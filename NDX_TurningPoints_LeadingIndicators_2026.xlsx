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方法論" sheetId="1" state="visible" r:id="rId3"/>
    <sheet name="01_指標排行" sheetId="2" state="visible" r:id="rId4"/>
    <sheet name="02_轉折點45個" sheetId="3" state="visible" r:id="rId5"/>
    <sheet name="03_指標明細" sheetId="4" state="visible" r:id="rId6"/>
    <sheet name="04_逐轉折lead明細" sheetId="5" state="visible" r:id="rId7"/>
    <sheet name="05_訊號明細" sheetId="6" state="visible" r:id="rId8"/>
    <sheet name="06_日線與趨勢線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<sst xmlns="http://schemas.openxmlformats.org/spreadsheetml/2006/main" count="22839" uniqueCount="7285">
  <si>
    <r>
      <rPr>
        <b val="true"/>
        <sz val="12"/>
        <rFont val="Arial"/>
        <family val="0"/>
        <charset val="1"/>
      </rPr>
      <t xml:space="preserve">NASDAQ 100 </t>
    </r>
    <r>
      <rPr>
        <b val="true"/>
        <sz val="12"/>
        <rFont val="WenQuanYi Zen Hei"/>
        <family val="2"/>
      </rPr>
      <t xml:space="preserve">趨勢轉折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領先指標 分析 </t>
    </r>
    <r>
      <rPr>
        <b val="true"/>
        <sz val="12"/>
        <rFont val="Arial"/>
        <family val="0"/>
        <charset val="1"/>
      </rPr>
      <t xml:space="preserve">(2026-07-26)</t>
    </r>
  </si>
  <si>
    <t xml:space="preserve">目標</t>
  </si>
  <si>
    <r>
      <rPr>
        <sz val="9"/>
        <rFont val="WenQuanYi Zen Hei"/>
        <family val="2"/>
      </rPr>
      <t xml:space="preserve">找出</t>
    </r>
    <r>
      <rPr>
        <sz val="9"/>
        <rFont val="Arial"/>
        <family val="0"/>
        <charset val="1"/>
      </rPr>
      <t xml:space="preserve">NDX</t>
    </r>
    <r>
      <rPr>
        <sz val="9"/>
        <rFont val="WenQuanYi Zen Hei"/>
        <family val="2"/>
      </rPr>
      <t xml:space="preserve">趨勢轉折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見頂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見底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的領先指標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客觀偵測</t>
    </r>
    <r>
      <rPr>
        <sz val="9"/>
        <rFont val="Arial"/>
        <family val="0"/>
        <charset val="1"/>
      </rPr>
      <t xml:space="preserve">45</t>
    </r>
    <r>
      <rPr>
        <sz val="9"/>
        <rFont val="WenQuanYi Zen Hei"/>
        <family val="2"/>
      </rPr>
      <t xml:space="preserve">個主要轉折</t>
    </r>
    <r>
      <rPr>
        <sz val="9"/>
        <rFont val="Arial"/>
        <family val="0"/>
        <charset val="1"/>
      </rPr>
      <t xml:space="preserve">(1999-2026), </t>
    </r>
    <r>
      <rPr>
        <sz val="9"/>
        <rFont val="WenQuanYi Zen Hei"/>
        <family val="2"/>
      </rPr>
      <t xml:space="preserve">對五大指標族的量化規則逐一量測領先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滯後天數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經對抗性驗證。</t>
    </r>
  </si>
  <si>
    <t xml:space="preserve">轉折定義</t>
  </si>
  <si>
    <r>
      <rPr>
        <sz val="9"/>
        <rFont val="Arial"/>
        <family val="0"/>
        <charset val="1"/>
      </rPr>
      <t xml:space="preserve">ZigZag</t>
    </r>
    <r>
      <rPr>
        <sz val="9"/>
        <rFont val="WenQuanYi Zen Hei"/>
        <family val="2"/>
      </rPr>
      <t xml:space="preserve">演算法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無前視</t>
    </r>
    <r>
      <rPr>
        <sz val="9"/>
        <rFont val="Arial"/>
        <family val="0"/>
        <charset val="1"/>
      </rPr>
      <t xml:space="preserve">): </t>
    </r>
    <r>
      <rPr>
        <sz val="9"/>
        <rFont val="WenQuanYi Zen Hei"/>
        <family val="2"/>
      </rPr>
      <t xml:space="preserve">收盤自峰回落≥</t>
    </r>
    <r>
      <rPr>
        <sz val="9"/>
        <rFont val="Arial"/>
        <family val="0"/>
        <charset val="1"/>
      </rPr>
      <t xml:space="preserve">15%</t>
    </r>
    <r>
      <rPr>
        <sz val="9"/>
        <rFont val="WenQuanYi Zen Hei"/>
        <family val="2"/>
      </rPr>
      <t xml:space="preserve">確認一個</t>
    </r>
    <r>
      <rPr>
        <sz val="9"/>
        <rFont val="Arial"/>
        <family val="0"/>
        <charset val="1"/>
      </rPr>
      <t xml:space="preserve">TOP, </t>
    </r>
    <r>
      <rPr>
        <sz val="9"/>
        <rFont val="WenQuanYi Zen Hei"/>
        <family val="2"/>
      </rPr>
      <t xml:space="preserve">自谷回升≥</t>
    </r>
    <r>
      <rPr>
        <sz val="9"/>
        <rFont val="Arial"/>
        <family val="0"/>
        <charset val="1"/>
      </rPr>
      <t xml:space="preserve">15%</t>
    </r>
    <r>
      <rPr>
        <sz val="9"/>
        <rFont val="WenQuanYi Zen Hei"/>
        <family val="2"/>
      </rPr>
      <t xml:space="preserve">確認一個</t>
    </r>
    <r>
      <rPr>
        <sz val="9"/>
        <rFont val="Arial"/>
        <family val="0"/>
        <charset val="1"/>
      </rPr>
      <t xml:space="preserve">BOTTOM → 45</t>
    </r>
    <r>
      <rPr>
        <sz val="9"/>
        <rFont val="WenQuanYi Zen Hei"/>
        <family val="2"/>
      </rPr>
      <t xml:space="preserve">個主要轉折</t>
    </r>
    <r>
      <rPr>
        <sz val="9"/>
        <rFont val="Arial"/>
        <family val="0"/>
        <charset val="1"/>
      </rPr>
      <t xml:space="preserve">(02</t>
    </r>
    <r>
      <rPr>
        <sz val="9"/>
        <rFont val="WenQuanYi Zen Hei"/>
        <family val="2"/>
      </rPr>
      <t xml:space="preserve">表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±8%</t>
    </r>
    <r>
      <rPr>
        <sz val="9"/>
        <rFont val="WenQuanYi Zen Hei"/>
        <family val="2"/>
      </rPr>
      <t xml:space="preserve">版</t>
    </r>
    <r>
      <rPr>
        <sz val="9"/>
        <rFont val="Arial"/>
        <family val="0"/>
        <charset val="1"/>
      </rPr>
      <t xml:space="preserve">=163</t>
    </r>
    <r>
      <rPr>
        <sz val="9"/>
        <rFont val="WenQuanYi Zen Hei"/>
        <family val="2"/>
      </rPr>
      <t xml:space="preserve">個中級轉折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輔助統計與假訊號判定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</si>
  <si>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t xml:space="preserve">數據</t>
  </si>
  <si>
    <r>
      <rPr>
        <sz val="9"/>
        <rFont val="Arial"/>
        <family val="0"/>
        <charset val="1"/>
      </rPr>
      <t xml:space="preserve">①NDX</t>
    </r>
    <r>
      <rPr>
        <sz val="9"/>
        <rFont val="WenQuanYi Zen Hei"/>
        <family val="2"/>
      </rPr>
      <t xml:space="preserve">真實日線</t>
    </r>
    <r>
      <rPr>
        <sz val="9"/>
        <rFont val="Arial"/>
        <family val="0"/>
        <charset val="1"/>
      </rPr>
      <t xml:space="preserve">2016-07-08..2026-07-10(</t>
    </r>
    <r>
      <rPr>
        <sz val="9"/>
        <rFont val="WenQuanYi Zen Hei"/>
        <family val="2"/>
      </rPr>
      <t xml:space="preserve">原工作簿</t>
    </r>
    <r>
      <rPr>
        <sz val="9"/>
        <rFont val="Arial"/>
        <family val="0"/>
        <charset val="1"/>
      </rPr>
      <t xml:space="preserve">02A); ②1999-01..2016-07</t>
    </r>
    <r>
      <rPr>
        <sz val="9"/>
        <rFont val="WenQuanYi Zen Hei"/>
        <family val="2"/>
      </rPr>
      <t xml:space="preserve">用</t>
    </r>
    <r>
      <rPr>
        <sz val="9"/>
        <rFont val="Arial"/>
        <family val="0"/>
        <charset val="1"/>
      </rPr>
      <t xml:space="preserve">Nasdaq Composite</t>
    </r>
    <r>
      <rPr>
        <sz val="9"/>
        <rFont val="WenQuanYi Zen Hei"/>
        <family val="2"/>
      </rPr>
      <t xml:space="preserve">日報酬鏈接</t>
    </r>
    <r>
      <rPr>
        <sz val="9"/>
        <rFont val="Arial"/>
        <family val="0"/>
        <charset val="1"/>
      </rPr>
      <t xml:space="preserve">(arch</t>
    </r>
    <r>
      <rPr>
        <sz val="9"/>
        <rFont val="WenQuanYi Zen Hei"/>
        <family val="2"/>
      </rPr>
      <t xml:space="preserve">套件學術數據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重疊期</t>
    </r>
    <r>
      <rPr>
        <sz val="9"/>
        <rFont val="Arial"/>
        <family val="0"/>
        <charset val="1"/>
      </rPr>
      <t xml:space="preserve">625</t>
    </r>
    <r>
      <rPr>
        <sz val="9"/>
        <rFont val="WenQuanYi Zen Hei"/>
        <family val="2"/>
      </rPr>
      <t xml:space="preserve">日報酬相關</t>
    </r>
    <r>
      <rPr>
        <sz val="9"/>
        <rFont val="Arial"/>
        <family val="0"/>
        <charset val="1"/>
      </rPr>
      <t xml:space="preserve">0.989); ③VIX 2014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; ④HY OAS/</t>
    </r>
    <r>
      <rPr>
        <sz val="9"/>
        <rFont val="WenQuanYi Zen Hei"/>
        <family val="2"/>
      </rPr>
      <t xml:space="preserve">廣度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合成分 </t>
    </r>
    <r>
      <rPr>
        <sz val="9"/>
        <rFont val="Arial"/>
        <family val="0"/>
        <charset val="1"/>
      </rPr>
      <t xml:space="preserve">2016-07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原工作簿</t>
    </r>
    <r>
      <rPr>
        <sz val="9"/>
        <rFont val="Arial"/>
        <family val="0"/>
        <charset val="1"/>
      </rPr>
      <t xml:space="preserve">); ⑤</t>
    </r>
    <r>
      <rPr>
        <sz val="9"/>
        <rFont val="WenQuanYi Zen Hei"/>
        <family val="2"/>
      </rPr>
      <t xml:space="preserve">成交量</t>
    </r>
    <r>
      <rPr>
        <sz val="9"/>
        <rFont val="Arial"/>
        <family val="0"/>
        <charset val="1"/>
      </rPr>
      <t xml:space="preserve">1999-2016(Composite); ⑥</t>
    </r>
    <r>
      <rPr>
        <sz val="9"/>
        <rFont val="WenQuanYi Zen Hei"/>
        <family val="2"/>
      </rPr>
      <t xml:space="preserve">月度七支柱</t>
    </r>
    <r>
      <rPr>
        <sz val="9"/>
        <rFont val="Arial"/>
        <family val="0"/>
        <charset val="1"/>
      </rPr>
      <t xml:space="preserve">1976-2026(</t>
    </r>
    <r>
      <rPr>
        <sz val="9"/>
        <rFont val="WenQuanYi Zen Hei"/>
        <family val="2"/>
      </rPr>
      <t xml:space="preserve">前次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年引擎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</si>
  <si>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t xml:space="preserve">評估協定</t>
  </si>
  <si>
    <r>
      <rPr>
        <sz val="9"/>
        <rFont val="Arial"/>
        <family val="0"/>
        <charset val="1"/>
      </rPr>
      <t xml:space="preserve">lead=</t>
    </r>
    <r>
      <rPr>
        <sz val="9"/>
        <rFont val="WenQuanYi Zen Hei"/>
        <family val="2"/>
      </rPr>
      <t xml:space="preserve">訊號日−轉折日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負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。配對窗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轉折</t>
    </r>
    <r>
      <rPr>
        <sz val="9"/>
        <rFont val="Arial"/>
        <family val="0"/>
        <charset val="1"/>
      </rPr>
      <t xml:space="preserve">-90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轉折</t>
    </r>
    <r>
      <rPr>
        <sz val="9"/>
        <rFont val="Arial"/>
        <family val="0"/>
        <charset val="1"/>
      </rPr>
      <t xml:space="preserve">+5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], </t>
    </r>
    <r>
      <rPr>
        <sz val="9"/>
        <rFont val="WenQuanYi Zen Hei"/>
        <family val="2"/>
      </rPr>
      <t xml:space="preserve">取窗內最早訊號。假訊號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訊號後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交易日內無同向主要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中級轉折。判定</t>
    </r>
    <r>
      <rPr>
        <sz val="9"/>
        <rFont val="Arial"/>
        <family val="0"/>
        <charset val="1"/>
      </rPr>
      <t xml:space="preserve">: LEADING(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lead&lt;-5) / COINCIDENT(-5..+5) / CONFIRMING(&gt;+5)</t>
    </r>
    <r>
      <rPr>
        <sz val="9"/>
        <rFont val="WenQuanYi Zen Hei"/>
        <family val="2"/>
      </rPr>
      <t xml:space="preserve">。</t>
    </r>
  </si>
  <si>
    <t xml:space="preserve">執行方式</t>
  </si>
  <si>
    <r>
      <rPr>
        <sz val="9"/>
        <rFont val="WenQuanYi Zen Hei"/>
        <family val="2"/>
      </rPr>
      <t xml:space="preserve">五個獨立分析</t>
    </r>
    <r>
      <rPr>
        <sz val="9"/>
        <rFont val="Arial"/>
        <family val="0"/>
        <charset val="1"/>
      </rPr>
      <t xml:space="preserve">agent(</t>
    </r>
    <r>
      <rPr>
        <sz val="9"/>
        <rFont val="WenQuanYi Zen Hei"/>
        <family val="2"/>
      </rPr>
      <t xml:space="preserve">趨勢動能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波動率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信用廣度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量價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月度支柱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按同一協定計算 → 五個對抗性驗證</t>
    </r>
    <r>
      <rPr>
        <sz val="9"/>
        <rFont val="Arial"/>
        <family val="0"/>
        <charset val="1"/>
      </rPr>
      <t xml:space="preserve">agent</t>
    </r>
    <r>
      <rPr>
        <sz val="9"/>
        <rFont val="WenQuanYi Zen Hei"/>
        <family val="2"/>
      </rPr>
      <t xml:space="preserve">獨立重算抽查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規則重現</t>
    </r>
    <r>
      <rPr>
        <sz val="9"/>
        <rFont val="Arial"/>
        <family val="0"/>
        <charset val="1"/>
      </rPr>
      <t xml:space="preserve">/lead</t>
    </r>
    <r>
      <rPr>
        <sz val="9"/>
        <rFont val="WenQuanYi Zen Hei"/>
        <family val="2"/>
      </rPr>
      <t xml:space="preserve">重算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前視偏誤專查</t>
    </r>
    <r>
      <rPr>
        <sz val="9"/>
        <rFont val="Arial"/>
        <family val="0"/>
        <charset val="1"/>
      </rPr>
      <t xml:space="preserve">) → </t>
    </r>
    <r>
      <rPr>
        <sz val="9"/>
        <rFont val="WenQuanYi Zen Hei"/>
        <family val="2"/>
      </rPr>
      <t xml:space="preserve">通過後彙總。驗證結果見</t>
    </r>
    <r>
      <rPr>
        <sz val="9"/>
        <rFont val="Arial"/>
        <family val="0"/>
        <charset val="1"/>
      </rPr>
      <t xml:space="preserve">03</t>
    </r>
    <r>
      <rPr>
        <sz val="9"/>
        <rFont val="WenQuanYi Zen Hei"/>
        <family val="2"/>
      </rPr>
      <t xml:space="preserve">表『驗證』欄。</t>
    </r>
  </si>
  <si>
    <t xml:space="preserve">工作表</t>
  </si>
  <si>
    <r>
      <rPr>
        <sz val="9"/>
        <rFont val="Arial"/>
        <family val="0"/>
        <charset val="1"/>
      </rPr>
      <t xml:space="preserve">01_</t>
    </r>
    <r>
      <rPr>
        <sz val="9"/>
        <rFont val="WenQuanYi Zen Hei"/>
        <family val="2"/>
      </rPr>
      <t xml:space="preserve">指標排行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統計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活公式</t>
    </r>
    <r>
      <rPr>
        <sz val="9"/>
        <rFont val="Arial"/>
        <family val="0"/>
        <charset val="1"/>
      </rPr>
      <t xml:space="preserve">) | 02_</t>
    </r>
    <r>
      <rPr>
        <sz val="9"/>
        <rFont val="WenQuanYi Zen Hei"/>
        <family val="2"/>
      </rPr>
      <t xml:space="preserve">轉折點</t>
    </r>
    <r>
      <rPr>
        <sz val="9"/>
        <rFont val="Arial"/>
        <family val="0"/>
        <charset val="1"/>
      </rPr>
      <t xml:space="preserve">45</t>
    </r>
    <r>
      <rPr>
        <sz val="9"/>
        <rFont val="WenQuanYi Zen Hei"/>
        <family val="2"/>
      </rPr>
      <t xml:space="preserve">個 </t>
    </r>
    <r>
      <rPr>
        <sz val="9"/>
        <rFont val="Arial"/>
        <family val="0"/>
        <charset val="1"/>
      </rPr>
      <t xml:space="preserve">| 03_</t>
    </r>
    <r>
      <rPr>
        <sz val="9"/>
        <rFont val="WenQuanYi Zen Hei"/>
        <family val="2"/>
      </rPr>
      <t xml:space="preserve">指標明細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全部規則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驗證</t>
    </r>
    <r>
      <rPr>
        <sz val="9"/>
        <rFont val="Arial"/>
        <family val="0"/>
        <charset val="1"/>
      </rPr>
      <t xml:space="preserve">) | 04_</t>
    </r>
    <r>
      <rPr>
        <sz val="9"/>
        <rFont val="WenQuanYi Zen Hei"/>
        <family val="2"/>
      </rPr>
      <t xml:space="preserve">逐轉折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明細 </t>
    </r>
    <r>
      <rPr>
        <sz val="9"/>
        <rFont val="Arial"/>
        <family val="0"/>
        <charset val="1"/>
      </rPr>
      <t xml:space="preserve">| 05_</t>
    </r>
    <r>
      <rPr>
        <sz val="9"/>
        <rFont val="WenQuanYi Zen Hei"/>
        <family val="2"/>
      </rPr>
      <t xml:space="preserve">訊號明細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全部訊號日</t>
    </r>
    <r>
      <rPr>
        <sz val="9"/>
        <rFont val="Arial"/>
        <family val="0"/>
        <charset val="1"/>
      </rPr>
      <t xml:space="preserve">) | 06_</t>
    </r>
    <r>
      <rPr>
        <sz val="9"/>
        <rFont val="WenQuanYi Zen Hei"/>
        <family val="2"/>
      </rPr>
      <t xml:space="preserve">日線與趨勢線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活公式</t>
    </r>
    <r>
      <rPr>
        <sz val="9"/>
        <rFont val="Arial"/>
        <family val="0"/>
        <charset val="1"/>
      </rPr>
      <t xml:space="preserve">SMA) </t>
    </r>
  </si>
  <si>
    <t xml:space="preserve">核心結論</t>
  </si>
  <si>
    <r>
      <rPr>
        <sz val="9"/>
        <rFont val="WenQuanYi Zen Hei"/>
        <family val="2"/>
      </rPr>
      <t xml:space="preserve">頂部最強領先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廣度頂背離</t>
    </r>
    <r>
      <rPr>
        <sz val="9"/>
        <rFont val="Arial"/>
        <family val="0"/>
        <charset val="1"/>
      </rPr>
      <t xml:space="preserve">(2016</t>
    </r>
    <r>
      <rPr>
        <sz val="9"/>
        <rFont val="WenQuanYi Zen Hei"/>
        <family val="2"/>
      </rPr>
      <t xml:space="preserve">後</t>
    </r>
    <r>
      <rPr>
        <sz val="9"/>
        <rFont val="Arial"/>
        <family val="0"/>
        <charset val="1"/>
      </rPr>
      <t xml:space="preserve">6/6</t>
    </r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-69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, FP12%)</t>
    </r>
    <r>
      <rPr>
        <sz val="9"/>
        <rFont val="WenQuanYi Zen Hei"/>
        <family val="2"/>
      </rPr>
      <t xml:space="preserve">、廣度先崩</t>
    </r>
    <r>
      <rPr>
        <sz val="9"/>
        <rFont val="Arial"/>
        <family val="0"/>
        <charset val="1"/>
      </rPr>
      <t xml:space="preserve">(-82d)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RSI14</t>
    </r>
    <r>
      <rPr>
        <sz val="9"/>
        <rFont val="WenQuanYi Zen Hei"/>
        <family val="2"/>
      </rPr>
      <t xml:space="preserve">頂背離</t>
    </r>
    <r>
      <rPr>
        <sz val="9"/>
        <rFont val="Arial"/>
        <family val="0"/>
        <charset val="1"/>
      </rPr>
      <t xml:space="preserve">(14/22, -73d)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HV20</t>
    </r>
    <r>
      <rPr>
        <sz val="9"/>
        <rFont val="WenQuanYi Zen Hei"/>
        <family val="2"/>
      </rPr>
      <t xml:space="preserve">低位翻升</t>
    </r>
    <r>
      <rPr>
        <sz val="9"/>
        <rFont val="Arial"/>
        <family val="0"/>
        <charset val="1"/>
      </rPr>
      <t xml:space="preserve">(13/22, -80d)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VIX</t>
    </r>
    <r>
      <rPr>
        <sz val="9"/>
        <rFont val="WenQuanYi Zen Hei"/>
        <family val="2"/>
      </rPr>
      <t xml:space="preserve">與價同升背離</t>
    </r>
    <r>
      <rPr>
        <sz val="9"/>
        <rFont val="Arial"/>
        <family val="0"/>
        <charset val="1"/>
      </rPr>
      <t xml:space="preserve">(6/7, -44d)</t>
    </r>
    <r>
      <rPr>
        <sz val="9"/>
        <rFont val="WenQuanYi Zen Hei"/>
        <family val="2"/>
      </rPr>
      <t xml:space="preserve">。底部最強領先</t>
    </r>
    <r>
      <rPr>
        <sz val="9"/>
        <rFont val="Arial"/>
        <family val="0"/>
        <charset val="1"/>
      </rPr>
      <t xml:space="preserve">: RSI14</t>
    </r>
    <r>
      <rPr>
        <sz val="9"/>
        <rFont val="WenQuanYi Zen Hei"/>
        <family val="2"/>
      </rPr>
      <t xml:space="preserve">底背離</t>
    </r>
    <r>
      <rPr>
        <sz val="9"/>
        <rFont val="Arial"/>
        <family val="0"/>
        <charset val="1"/>
      </rPr>
      <t xml:space="preserve">(18/22, FP=0, -32d)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OBV</t>
    </r>
    <r>
      <rPr>
        <sz val="9"/>
        <rFont val="WenQuanYi Zen Hei"/>
        <family val="2"/>
      </rPr>
      <t xml:space="preserve">底背離</t>
    </r>
    <r>
      <rPr>
        <sz val="9"/>
        <rFont val="Arial"/>
        <family val="0"/>
        <charset val="1"/>
      </rPr>
      <t xml:space="preserve">(12/16, FP=0, -34d)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HY OAS</t>
    </r>
    <r>
      <rPr>
        <sz val="9"/>
        <rFont val="WenQuanYi Zen Hei"/>
        <family val="2"/>
      </rPr>
      <t xml:space="preserve">峰值回落</t>
    </r>
    <r>
      <rPr>
        <sz val="9"/>
        <rFont val="Arial"/>
        <family val="0"/>
        <charset val="1"/>
      </rPr>
      <t xml:space="preserve">(5/6, -43d)</t>
    </r>
    <r>
      <rPr>
        <sz val="9"/>
        <rFont val="WenQuanYi Zen Hei"/>
        <family val="2"/>
      </rPr>
      <t xml:space="preserve">、廣度</t>
    </r>
    <r>
      <rPr>
        <sz val="9"/>
        <rFont val="Arial"/>
        <family val="0"/>
        <charset val="1"/>
      </rPr>
      <t xml:space="preserve">washout</t>
    </r>
    <r>
      <rPr>
        <sz val="9"/>
        <rFont val="WenQuanYi Zen Hei"/>
        <family val="2"/>
      </rPr>
      <t xml:space="preserve">回升</t>
    </r>
    <r>
      <rPr>
        <sz val="9"/>
        <rFont val="Arial"/>
        <family val="0"/>
        <charset val="1"/>
      </rPr>
      <t xml:space="preserve">(4/6, -44d); VIX</t>
    </r>
    <r>
      <rPr>
        <sz val="9"/>
        <rFont val="WenQuanYi Zen Hei"/>
        <family val="2"/>
      </rPr>
      <t xml:space="preserve">尖峰翻落</t>
    </r>
    <r>
      <rPr>
        <sz val="9"/>
        <rFont val="Arial"/>
        <family val="0"/>
        <charset val="1"/>
      </rPr>
      <t xml:space="preserve">(-2d)</t>
    </r>
    <r>
      <rPr>
        <sz val="9"/>
        <rFont val="WenQuanYi Zen Hei"/>
        <family val="2"/>
      </rPr>
      <t xml:space="preserve">為同步精確擇時器。月度制度層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合成分跌穿</t>
    </r>
    <r>
      <rPr>
        <sz val="9"/>
        <rFont val="Arial"/>
        <family val="0"/>
        <charset val="1"/>
      </rPr>
      <t xml:space="preserve">70</t>
    </r>
    <r>
      <rPr>
        <sz val="9"/>
        <rFont val="WenQuanYi Zen Hei"/>
        <family val="2"/>
      </rPr>
      <t xml:space="preserve">領先月度頂中位</t>
    </r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(8/9)</t>
    </r>
    <r>
      <rPr>
        <sz val="9"/>
        <rFont val="WenQuanYi Zen Hei"/>
        <family val="2"/>
      </rPr>
      <t xml:space="preserve">。對照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均線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交叉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回撤類全部是滯後確認器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真實滯後</t>
    </r>
    <r>
      <rPr>
        <sz val="9"/>
        <rFont val="Arial"/>
        <family val="0"/>
        <charset val="1"/>
      </rPr>
      <t xml:space="preserve">: 5/10</t>
    </r>
    <r>
      <rPr>
        <sz val="9"/>
        <rFont val="WenQuanYi Zen Hei"/>
        <family val="2"/>
      </rPr>
      <t xml:space="preserve">日叉</t>
    </r>
    <r>
      <rPr>
        <sz val="9"/>
        <rFont val="Arial"/>
        <family val="0"/>
        <charset val="1"/>
      </rPr>
      <t xml:space="preserve">+5d, -6%</t>
    </r>
    <r>
      <rPr>
        <sz val="9"/>
        <rFont val="WenQuanYi Zen Hei"/>
        <family val="2"/>
      </rPr>
      <t xml:space="preserve">回撤線</t>
    </r>
    <r>
      <rPr>
        <sz val="9"/>
        <rFont val="Arial"/>
        <family val="0"/>
        <charset val="1"/>
      </rPr>
      <t xml:space="preserve">+9d, 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MACD+26d, 200</t>
    </r>
    <r>
      <rPr>
        <sz val="9"/>
        <rFont val="WenQuanYi Zen Hei"/>
        <family val="2"/>
      </rPr>
      <t xml:space="preserve">日線穿越</t>
    </r>
    <r>
      <rPr>
        <sz val="9"/>
        <rFont val="Arial"/>
        <family val="0"/>
        <charset val="1"/>
      </rPr>
      <t xml:space="preserve">+31d, 10/40</t>
    </r>
    <r>
      <rPr>
        <sz val="9"/>
        <rFont val="WenQuanYi Zen Hei"/>
        <family val="2"/>
      </rPr>
      <t xml:space="preserve">週叉</t>
    </r>
    <r>
      <rPr>
        <sz val="9"/>
        <rFont val="Arial"/>
        <family val="0"/>
        <charset val="1"/>
      </rPr>
      <t xml:space="preserve">+65d, 200</t>
    </r>
    <r>
      <rPr>
        <sz val="9"/>
        <rFont val="WenQuanYi Zen Hei"/>
        <family val="2"/>
      </rPr>
      <t xml:space="preserve">日線斜率</t>
    </r>
    <r>
      <rPr>
        <sz val="9"/>
        <rFont val="Arial"/>
        <family val="0"/>
        <charset val="1"/>
      </rPr>
      <t xml:space="preserve">+83d)</t>
    </r>
    <r>
      <rPr>
        <sz val="9"/>
        <rFont val="WenQuanYi Zen Hei"/>
        <family val="2"/>
      </rPr>
      <t xml:space="preserve">。</t>
    </r>
  </si>
  <si>
    <r>
      <rPr>
        <b val="true"/>
        <sz val="9"/>
        <rFont val="WenQuanYi Zen Hei"/>
        <family val="2"/>
      </rPr>
      <t xml:space="preserve">限制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誠實揭露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</si>
  <si>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①主要轉折僅</t>
    </r>
    <r>
      <rPr>
        <sz val="9"/>
        <rFont val="Arial"/>
        <family val="0"/>
        <charset val="1"/>
      </rPr>
      <t xml:space="preserve">45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統計置信度有限</t>
    </r>
    <r>
      <rPr>
        <sz val="9"/>
        <rFont val="Arial"/>
        <family val="0"/>
        <charset val="1"/>
      </rPr>
      <t xml:space="preserve">; ②</t>
    </r>
    <r>
      <rPr>
        <sz val="9"/>
        <rFont val="WenQuanYi Zen Hei"/>
        <family val="2"/>
      </rPr>
      <t xml:space="preserve">信用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廣度族只覆蓋</t>
    </r>
    <r>
      <rPr>
        <sz val="9"/>
        <rFont val="Arial"/>
        <family val="0"/>
        <charset val="1"/>
      </rPr>
      <t xml:space="preserve">2016</t>
    </r>
    <r>
      <rPr>
        <sz val="9"/>
        <rFont val="WenQuanYi Zen Hei"/>
        <family val="2"/>
      </rPr>
      <t xml:space="preserve">後</t>
    </r>
    <r>
      <rPr>
        <sz val="9"/>
        <rFont val="Arial"/>
        <family val="0"/>
        <charset val="1"/>
      </rPr>
      <t xml:space="preserve">(12</t>
    </r>
    <r>
      <rPr>
        <sz val="9"/>
        <rFont val="WenQuanYi Zen Hei"/>
        <family val="2"/>
      </rPr>
      <t xml:space="preserve">個主要轉折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量價族只覆蓋</t>
    </r>
    <r>
      <rPr>
        <sz val="9"/>
        <rFont val="Arial"/>
        <family val="0"/>
        <charset val="1"/>
      </rPr>
      <t xml:space="preserve">1999-2016; ③</t>
    </r>
    <r>
      <rPr>
        <sz val="9"/>
        <rFont val="WenQuanYi Zen Hei"/>
        <family val="2"/>
      </rPr>
      <t xml:space="preserve">規則參數為合理預設而非優化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但仍屬</t>
    </r>
    <r>
      <rPr>
        <sz val="9"/>
        <rFont val="Arial"/>
        <family val="0"/>
        <charset val="1"/>
      </rPr>
      <t xml:space="preserve">in-sample</t>
    </r>
    <r>
      <rPr>
        <sz val="9"/>
        <rFont val="WenQuanYi Zen Hei"/>
        <family val="2"/>
      </rPr>
      <t xml:space="preserve">檢視</t>
    </r>
    <r>
      <rPr>
        <sz val="9"/>
        <rFont val="Arial"/>
        <family val="0"/>
        <charset val="1"/>
      </rPr>
      <t xml:space="preserve">; ④</t>
    </r>
    <r>
      <rPr>
        <sz val="9"/>
        <rFont val="WenQuanYi Zen Hei"/>
        <family val="2"/>
      </rPr>
      <t xml:space="preserve">「領先」為統計中位數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個別轉折可能失效</t>
    </r>
    <r>
      <rPr>
        <sz val="9"/>
        <rFont val="Arial"/>
        <family val="0"/>
        <charset val="1"/>
      </rPr>
      <t xml:space="preserve">; ⑤2016</t>
    </r>
    <r>
      <rPr>
        <sz val="9"/>
        <rFont val="WenQuanYi Zen Hei"/>
        <family val="2"/>
      </rPr>
      <t xml:space="preserve">年前價格為</t>
    </r>
    <r>
      <rPr>
        <sz val="9"/>
        <rFont val="Arial"/>
        <family val="0"/>
        <charset val="1"/>
      </rPr>
      <t xml:space="preserve">Composite</t>
    </r>
    <r>
      <rPr>
        <sz val="9"/>
        <rFont val="WenQuanYi Zen Hei"/>
        <family val="2"/>
      </rPr>
      <t xml:space="preserve">代理。</t>
    </r>
  </si>
  <si>
    <r>
      <rPr>
        <b val="true"/>
        <sz val="12"/>
        <rFont val="WenQuanYi Zen Hei"/>
        <family val="2"/>
      </rPr>
      <t xml:space="preserve">領先指標排行榜 — 按中位</t>
    </r>
    <r>
      <rPr>
        <b val="true"/>
        <sz val="12"/>
        <rFont val="Arial"/>
        <family val="0"/>
        <charset val="1"/>
      </rPr>
      <t xml:space="preserve">lead</t>
    </r>
    <r>
      <rPr>
        <b val="true"/>
        <sz val="12"/>
        <rFont val="WenQuanYi Zen Hei"/>
        <family val="2"/>
      </rPr>
      <t xml:space="preserve">排序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越負越領先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完整規則見</t>
    </r>
    <r>
      <rPr>
        <b val="true"/>
        <sz val="12"/>
        <rFont val="Arial"/>
        <family val="0"/>
        <charset val="1"/>
      </rPr>
      <t xml:space="preserve">03</t>
    </r>
    <r>
      <rPr>
        <b val="true"/>
        <sz val="12"/>
        <rFont val="WenQuanYi Zen Hei"/>
        <family val="2"/>
      </rPr>
      <t xml:space="preserve">表 </t>
    </r>
    <r>
      <rPr>
        <b val="true"/>
        <sz val="12"/>
        <rFont val="Arial"/>
        <family val="0"/>
        <charset val="1"/>
      </rPr>
      <t xml:space="preserve">| ⭐=HTML raster</t>
    </r>
    <r>
      <rPr>
        <b val="true"/>
        <sz val="12"/>
        <rFont val="WenQuanYi Zen Hei"/>
        <family val="2"/>
      </rPr>
      <t xml:space="preserve">入選</t>
    </r>
  </si>
  <si>
    <t xml:space="preserve">排名</t>
  </si>
  <si>
    <t xml:space="preserve">指標</t>
  </si>
  <si>
    <t xml:space="preserve">族</t>
  </si>
  <si>
    <t xml:space="preserve">警訊</t>
  </si>
  <si>
    <t xml:space="preserve">判定</t>
  </si>
  <si>
    <r>
      <rPr>
        <b val="true"/>
        <sz val="9"/>
        <rFont val="WenQuanYi Zen Hei"/>
        <family val="2"/>
      </rPr>
      <t xml:space="preserve">中位</t>
    </r>
    <r>
      <rPr>
        <b val="true"/>
        <sz val="9"/>
        <rFont val="Arial"/>
        <family val="0"/>
        <charset val="1"/>
      </rPr>
      <t xml:space="preserve">lead</t>
    </r>
  </si>
  <si>
    <t xml:space="preserve">命中率摘要</t>
  </si>
  <si>
    <t xml:space="preserve">假訊號率</t>
  </si>
  <si>
    <t xml:space="preserve">入選</t>
  </si>
  <si>
    <t xml:space="preserve">newhigh_low_volume</t>
  </si>
  <si>
    <t xml:space="preserve">量價</t>
  </si>
  <si>
    <t xml:space="preserve">TOP</t>
  </si>
  <si>
    <t xml:space="preserve">WEAK</t>
  </si>
  <si>
    <t xml:space="preserve">T7/16 B0/0</t>
  </si>
  <si>
    <t xml:space="preserve">breadth_break_first</t>
  </si>
  <si>
    <t xml:space="preserve">信用廣度</t>
  </si>
  <si>
    <t xml:space="preserve">LEADING</t>
  </si>
  <si>
    <t xml:space="preserve">T4/6 B0/0</t>
  </si>
  <si>
    <t xml:space="preserve">⭐</t>
  </si>
  <si>
    <t xml:space="preserve">HV20_rise_from_low_near_high</t>
  </si>
  <si>
    <t xml:space="preserve">波動率</t>
  </si>
  <si>
    <t xml:space="preserve">T13/22 B0/0</t>
  </si>
  <si>
    <t xml:space="preserve">vix_hyoas_double</t>
  </si>
  <si>
    <t xml:space="preserve">distribution_cluster</t>
  </si>
  <si>
    <t xml:space="preserve">T5/16 B0/0</t>
  </si>
  <si>
    <t xml:space="preserve">HV20_regime_cross25</t>
  </si>
  <si>
    <t xml:space="preserve">T4/22 B0/0</t>
  </si>
  <si>
    <t xml:space="preserve">sma200_slope_neg</t>
  </si>
  <si>
    <t xml:space="preserve">趨勢動能</t>
  </si>
  <si>
    <t xml:space="preserve">rsi14_top_div</t>
  </si>
  <si>
    <t xml:space="preserve">T14/22 B0/0</t>
  </si>
  <si>
    <t xml:space="preserve">breadth_top_divergence</t>
  </si>
  <si>
    <t xml:space="preserve">T6/6 B0/0</t>
  </si>
  <si>
    <t xml:space="preserve">hyoas_widen50</t>
  </si>
  <si>
    <t xml:space="preserve">T2/6 B0/0</t>
  </si>
  <si>
    <t xml:space="preserve">obv_top_divergence</t>
  </si>
  <si>
    <t xml:space="preserve">T6/16 B0/0</t>
  </si>
  <si>
    <t xml:space="preserve">sma5_10_cross</t>
  </si>
  <si>
    <t xml:space="preserve">BOTH</t>
  </si>
  <si>
    <t xml:space="preserve">T10/22 B16/22</t>
  </si>
  <si>
    <t xml:space="preserve">close_x_sma200</t>
  </si>
  <si>
    <t xml:space="preserve">T9/22 B15/22</t>
  </si>
  <si>
    <t xml:space="preserve">macd_wk_hist</t>
  </si>
  <si>
    <t xml:space="preserve">T8/22 B5/22</t>
  </si>
  <si>
    <t xml:space="preserve">dd52w_cross_6</t>
  </si>
  <si>
    <t xml:space="preserve">T11/22 B0/0</t>
  </si>
  <si>
    <t xml:space="preserve">VIX_price_rise_divergence</t>
  </si>
  <si>
    <t xml:space="preserve">T6/7 B0/0</t>
  </si>
  <si>
    <t xml:space="preserve">breadth_washout_recovery</t>
  </si>
  <si>
    <t xml:space="preserve">BOTTOM</t>
  </si>
  <si>
    <t xml:space="preserve">T0/0 B4/6</t>
  </si>
  <si>
    <t xml:space="preserve">score_break70</t>
  </si>
  <si>
    <t xml:space="preserve">T5/6 B0/0</t>
  </si>
  <si>
    <t xml:space="preserve">hyoas_peak_falloff</t>
  </si>
  <si>
    <t xml:space="preserve">T0/0 B5/6</t>
  </si>
  <si>
    <t xml:space="preserve">volume_climax_reversal_1p5x</t>
  </si>
  <si>
    <t xml:space="preserve">T0/0 B2/16</t>
  </si>
  <si>
    <t xml:space="preserve">obv_bottom_divergence</t>
  </si>
  <si>
    <t xml:space="preserve">T0/0 B12/16</t>
  </si>
  <si>
    <t xml:space="preserve">rsi14_bot_div</t>
  </si>
  <si>
    <t xml:space="preserve">T0/0 B18/22</t>
  </si>
  <si>
    <t xml:space="preserve">score_recover45</t>
  </si>
  <si>
    <t xml:space="preserve">HV20_peak_rolloff</t>
  </si>
  <si>
    <t xml:space="preserve">T0/0 B4/22</t>
  </si>
  <si>
    <t xml:space="preserve">wk10_40_cross</t>
  </si>
  <si>
    <t xml:space="preserve">T2/22 B1/22</t>
  </si>
  <si>
    <t xml:space="preserve">VIX_squeeze_break</t>
  </si>
  <si>
    <t xml:space="preserve">T1/7 B0/0</t>
  </si>
  <si>
    <t xml:space="preserve">s_CREDIT</t>
  </si>
  <si>
    <t xml:space="preserve">月度支柱</t>
  </si>
  <si>
    <t xml:space="preserve">T3/9 B5/9</t>
  </si>
  <si>
    <t xml:space="preserve">score</t>
  </si>
  <si>
    <t xml:space="preserve">T8/9 B5/9</t>
  </si>
  <si>
    <t xml:space="preserve">s_POLICY</t>
  </si>
  <si>
    <t xml:space="preserve">T3/9 B6/9</t>
  </si>
  <si>
    <t xml:space="preserve">s_CURVE</t>
  </si>
  <si>
    <t xml:space="preserve">T5/9 B0/0</t>
  </si>
  <si>
    <t xml:space="preserve">s_INFL</t>
  </si>
  <si>
    <t xml:space="preserve">T3/9 B0/0</t>
  </si>
  <si>
    <t xml:space="preserve">s_VOL</t>
  </si>
  <si>
    <t xml:space="preserve">CONFIRMING</t>
  </si>
  <si>
    <t xml:space="preserve">T4/9 B0/0</t>
  </si>
  <si>
    <t xml:space="preserve">VIX_spike_reversal</t>
  </si>
  <si>
    <t xml:space="preserve">COINCIDENT</t>
  </si>
  <si>
    <t xml:space="preserve">T0/0 B5/7</t>
  </si>
  <si>
    <t xml:space="preserve">volume_climax_reversal_spec</t>
  </si>
  <si>
    <t xml:space="preserve">T0/0 B0/16</t>
  </si>
  <si>
    <r>
      <rPr>
        <b val="true"/>
        <sz val="9"/>
        <rFont val="Arial"/>
        <family val="0"/>
        <charset val="1"/>
      </rPr>
      <t xml:space="preserve">LEADING</t>
    </r>
    <r>
      <rPr>
        <b val="true"/>
        <sz val="9"/>
        <rFont val="WenQuanYi Zen Hei"/>
        <family val="2"/>
      </rPr>
      <t xml:space="preserve">指標數</t>
    </r>
  </si>
  <si>
    <r>
      <rPr>
        <b val="true"/>
        <sz val="9"/>
        <rFont val="Arial"/>
        <family val="0"/>
        <charset val="1"/>
      </rPr>
      <t xml:space="preserve">CONFIRMING</t>
    </r>
    <r>
      <rPr>
        <b val="true"/>
        <sz val="9"/>
        <rFont val="WenQuanYi Zen Hei"/>
        <family val="2"/>
      </rPr>
      <t xml:space="preserve">指標數</t>
    </r>
  </si>
  <si>
    <r>
      <rPr>
        <b val="true"/>
        <sz val="9"/>
        <rFont val="Arial"/>
        <family val="0"/>
        <charset val="1"/>
      </rPr>
      <t xml:space="preserve">LEADING</t>
    </r>
    <r>
      <rPr>
        <b val="true"/>
        <sz val="9"/>
        <rFont val="WenQuanYi Zen Hei"/>
        <family val="2"/>
      </rPr>
      <t xml:space="preserve">之中位</t>
    </r>
    <r>
      <rPr>
        <b val="true"/>
        <sz val="9"/>
        <rFont val="Arial"/>
        <family val="0"/>
        <charset val="1"/>
      </rPr>
      <t xml:space="preserve">lead</t>
    </r>
    <r>
      <rPr>
        <b val="true"/>
        <sz val="9"/>
        <rFont val="WenQuanYi Zen Hei"/>
        <family val="2"/>
      </rPr>
      <t xml:space="preserve">平均</t>
    </r>
  </si>
  <si>
    <r>
      <rPr>
        <b val="true"/>
        <sz val="12"/>
        <rFont val="WenQuanYi Zen Hei"/>
        <family val="2"/>
      </rPr>
      <t xml:space="preserve">主要轉折點 </t>
    </r>
    <r>
      <rPr>
        <b val="true"/>
        <sz val="12"/>
        <rFont val="Arial"/>
        <family val="0"/>
        <charset val="1"/>
      </rPr>
      <t xml:space="preserve">(ZigZag ±15%, 1999-2026) | </t>
    </r>
    <r>
      <rPr>
        <b val="true"/>
        <sz val="12"/>
        <rFont val="WenQuanYi Zen Hei"/>
        <family val="2"/>
      </rPr>
      <t xml:space="preserve">統計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活公式</t>
    </r>
  </si>
  <si>
    <t xml:space="preserve">日期</t>
  </si>
  <si>
    <t xml:space="preserve">類型</t>
  </si>
  <si>
    <t xml:space="preserve">價位</t>
  </si>
  <si>
    <r>
      <rPr>
        <b val="true"/>
        <sz val="9"/>
        <rFont val="WenQuanYi Zen Hei"/>
        <family val="2"/>
      </rPr>
      <t xml:space="preserve">其後走勢</t>
    </r>
    <r>
      <rPr>
        <b val="true"/>
        <sz val="9"/>
        <rFont val="Arial"/>
        <family val="0"/>
        <charset val="1"/>
      </rPr>
      <t xml:space="preserve">%</t>
    </r>
  </si>
  <si>
    <t xml:space="preserve">走勢迄</t>
  </si>
  <si>
    <t xml:space="preserve">2000-03-10</t>
  </si>
  <si>
    <t xml:space="preserve">2000-04-14</t>
  </si>
  <si>
    <t xml:space="preserve">2000-05-01</t>
  </si>
  <si>
    <t xml:space="preserve">2000-05-23</t>
  </si>
  <si>
    <t xml:space="preserve">2000-07-17</t>
  </si>
  <si>
    <t xml:space="preserve">2000-11-30</t>
  </si>
  <si>
    <t xml:space="preserve">2000-12-11</t>
  </si>
  <si>
    <t xml:space="preserve">2001-01-02</t>
  </si>
  <si>
    <t xml:space="preserve">2001-01-24</t>
  </si>
  <si>
    <t xml:space="preserve">2001-04-04</t>
  </si>
  <si>
    <t xml:space="preserve">2001-05-22</t>
  </si>
  <si>
    <t xml:space="preserve">2001-09-21</t>
  </si>
  <si>
    <t xml:space="preserve">2002-01-04</t>
  </si>
  <si>
    <t xml:space="preserve">2002-08-05</t>
  </si>
  <si>
    <t xml:space="preserve">2002-08-22</t>
  </si>
  <si>
    <t xml:space="preserve">2002-10-09</t>
  </si>
  <si>
    <t xml:space="preserve">2004-01-26</t>
  </si>
  <si>
    <t xml:space="preserve">2004-08-12</t>
  </si>
  <si>
    <t xml:space="preserve">2007-10-31</t>
  </si>
  <si>
    <t xml:space="preserve">2008-03-10</t>
  </si>
  <si>
    <t xml:space="preserve">2008-06-05</t>
  </si>
  <si>
    <t xml:space="preserve">2008-10-27</t>
  </si>
  <si>
    <t xml:space="preserve">2008-11-04</t>
  </si>
  <si>
    <t xml:space="preserve">2008-11-20</t>
  </si>
  <si>
    <t xml:space="preserve">2009-01-06</t>
  </si>
  <si>
    <t xml:space="preserve">2009-03-09</t>
  </si>
  <si>
    <t xml:space="preserve">2010-04-23</t>
  </si>
  <si>
    <t xml:space="preserve">2010-07-02</t>
  </si>
  <si>
    <t xml:space="preserve">2011-04-29</t>
  </si>
  <si>
    <t xml:space="preserve">2011-10-03</t>
  </si>
  <si>
    <t xml:space="preserve">2015-07-20</t>
  </si>
  <si>
    <t xml:space="preserve">2016-02-11</t>
  </si>
  <si>
    <t xml:space="preserve">2018-08-29</t>
  </si>
  <si>
    <t xml:space="preserve">2018-12-24</t>
  </si>
  <si>
    <t xml:space="preserve">2020-02-19</t>
  </si>
  <si>
    <t xml:space="preserve">2020-03-20</t>
  </si>
  <si>
    <t xml:space="preserve">2021-11-19</t>
  </si>
  <si>
    <t xml:space="preserve">2022-03-14</t>
  </si>
  <si>
    <t xml:space="preserve">2022-03-29</t>
  </si>
  <si>
    <t xml:space="preserve">2022-06-16</t>
  </si>
  <si>
    <t xml:space="preserve">2022-08-15</t>
  </si>
  <si>
    <t xml:space="preserve">2022-12-28</t>
  </si>
  <si>
    <t xml:space="preserve">2025-02-19</t>
  </si>
  <si>
    <t xml:space="preserve">2025-04-08</t>
  </si>
  <si>
    <t xml:space="preserve">2026-07-10</t>
  </si>
  <si>
    <r>
      <rPr>
        <b val="true"/>
        <sz val="9"/>
        <rFont val="Arial"/>
        <family val="0"/>
        <charset val="1"/>
      </rPr>
      <t xml:space="preserve">TOP</t>
    </r>
    <r>
      <rPr>
        <b val="true"/>
        <sz val="9"/>
        <rFont val="WenQuanYi Zen Hei"/>
        <family val="2"/>
      </rPr>
      <t xml:space="preserve">數</t>
    </r>
  </si>
  <si>
    <r>
      <rPr>
        <b val="true"/>
        <sz val="9"/>
        <rFont val="Arial"/>
        <family val="0"/>
        <charset val="1"/>
      </rPr>
      <t xml:space="preserve">BOTTOM</t>
    </r>
    <r>
      <rPr>
        <b val="true"/>
        <sz val="9"/>
        <rFont val="WenQuanYi Zen Hei"/>
        <family val="2"/>
      </rPr>
      <t xml:space="preserve">數</t>
    </r>
  </si>
  <si>
    <r>
      <rPr>
        <b val="true"/>
        <sz val="9"/>
        <rFont val="Arial"/>
        <family val="0"/>
        <charset val="1"/>
      </rPr>
      <t xml:space="preserve">TOP</t>
    </r>
    <r>
      <rPr>
        <b val="true"/>
        <sz val="9"/>
        <rFont val="WenQuanYi Zen Hei"/>
        <family val="2"/>
      </rPr>
      <t xml:space="preserve">後平均跌幅</t>
    </r>
  </si>
  <si>
    <r>
      <rPr>
        <b val="true"/>
        <sz val="9"/>
        <rFont val="Arial"/>
        <family val="0"/>
        <charset val="1"/>
      </rPr>
      <t xml:space="preserve">BOTTOM</t>
    </r>
    <r>
      <rPr>
        <b val="true"/>
        <sz val="9"/>
        <rFont val="WenQuanYi Zen Hei"/>
        <family val="2"/>
      </rPr>
      <t xml:space="preserve">後平均升幅</t>
    </r>
  </si>
  <si>
    <r>
      <rPr>
        <b val="true"/>
        <sz val="12"/>
        <rFont val="WenQuanYi Zen Hei"/>
        <family val="2"/>
      </rPr>
      <t xml:space="preserve">全部指標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WenQuanYi Zen Hei"/>
        <family val="2"/>
      </rPr>
      <t xml:space="preserve">客觀規則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WenQuanYi Zen Hei"/>
        <family val="2"/>
      </rPr>
      <t xml:space="preserve">領先性量測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WenQuanYi Zen Hei"/>
        <family val="2"/>
      </rPr>
      <t xml:space="preserve">對抗性驗證結果 </t>
    </r>
    <r>
      <rPr>
        <b val="true"/>
        <sz val="12"/>
        <rFont val="Arial"/>
        <family val="0"/>
        <charset val="1"/>
      </rPr>
      <t xml:space="preserve">| lead</t>
    </r>
    <r>
      <rPr>
        <b val="true"/>
        <sz val="12"/>
        <rFont val="WenQuanYi Zen Hei"/>
        <family val="2"/>
      </rPr>
      <t xml:space="preserve">單位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WenQuanYi Zen Hei"/>
        <family val="2"/>
      </rPr>
      <t xml:space="preserve">交易日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月度支柱族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月</t>
    </r>
    <r>
      <rPr>
        <b val="true"/>
        <sz val="12"/>
        <rFont val="Arial"/>
        <family val="0"/>
        <charset val="1"/>
      </rPr>
      <t xml:space="preserve">), </t>
    </r>
    <r>
      <rPr>
        <b val="true"/>
        <sz val="12"/>
        <rFont val="WenQuanYi Zen Hei"/>
        <family val="2"/>
      </rPr>
      <t xml:space="preserve">負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領先</t>
    </r>
  </si>
  <si>
    <t xml:space="preserve">量化規則</t>
  </si>
  <si>
    <t xml:space="preserve">覆蓋</t>
  </si>
  <si>
    <t xml:space="preserve">訊號數</t>
  </si>
  <si>
    <r>
      <rPr>
        <b val="true"/>
        <sz val="9"/>
        <rFont val="Arial"/>
        <family val="0"/>
        <charset val="1"/>
      </rPr>
      <t xml:space="preserve">TOP</t>
    </r>
    <r>
      <rPr>
        <b val="true"/>
        <sz val="9"/>
        <rFont val="WenQuanYi Zen Hei"/>
        <family val="2"/>
      </rPr>
      <t xml:space="preserve">命中</t>
    </r>
  </si>
  <si>
    <r>
      <rPr>
        <b val="true"/>
        <sz val="9"/>
        <rFont val="Arial"/>
        <family val="0"/>
        <charset val="1"/>
      </rPr>
      <t xml:space="preserve">BOT</t>
    </r>
    <r>
      <rPr>
        <b val="true"/>
        <sz val="9"/>
        <rFont val="WenQuanYi Zen Hei"/>
        <family val="2"/>
      </rPr>
      <t xml:space="preserve">命中</t>
    </r>
  </si>
  <si>
    <r>
      <rPr>
        <b val="true"/>
        <sz val="9"/>
        <rFont val="WenQuanYi Zen Hei"/>
        <family val="2"/>
      </rPr>
      <t xml:space="preserve">平均</t>
    </r>
    <r>
      <rPr>
        <b val="true"/>
        <sz val="9"/>
        <rFont val="Arial"/>
        <family val="0"/>
        <charset val="1"/>
      </rPr>
      <t xml:space="preserve">lead</t>
    </r>
  </si>
  <si>
    <t xml:space="preserve">族驗證</t>
  </si>
  <si>
    <t xml:space="preserve">備註</t>
  </si>
  <si>
    <t xml:space="preserve">price makes 63d new high (close&gt;max of prior 63 closes, excl today) AND RSI14[t] &lt;= RSI14[anchor]-2, anchor=most recent confirmed 63d-high day &gt;=10 trading days earlier with lower price; Wilder RSI (ewm alpha=1/14)</t>
  </si>
  <si>
    <t xml:space="preserve">1999-04-27..2026-07-10</t>
  </si>
  <si>
    <t xml:space="preserve">T14/22</t>
  </si>
  <si>
    <t xml:space="preserve">B0/0</t>
  </si>
  <si>
    <t xml:space="preserve">CONFIRMED</t>
  </si>
  <si>
    <r>
      <rPr>
        <sz val="9"/>
        <rFont val="WenQuanYi Zen Hei"/>
        <family val="2"/>
      </rPr>
      <t xml:space="preserve">高密度指標</t>
    </r>
    <r>
      <rPr>
        <sz val="9"/>
        <rFont val="Arial"/>
        <family val="0"/>
        <charset val="1"/>
      </rPr>
      <t xml:space="preserve">(~12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常連日成串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配對窗內中位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個訊號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故『窗內最早』常貼近</t>
    </r>
    <r>
      <rPr>
        <sz val="9"/>
        <rFont val="Arial"/>
        <family val="0"/>
        <charset val="1"/>
      </rPr>
      <t xml:space="preserve">-90</t>
    </r>
    <r>
      <rPr>
        <sz val="9"/>
        <rFont val="WenQuanYi Zen Hei"/>
        <family val="2"/>
      </rPr>
      <t xml:space="preserve">窗緣</t>
    </r>
    <r>
      <rPr>
        <sz val="9"/>
        <rFont val="Arial"/>
        <family val="0"/>
        <charset val="1"/>
      </rPr>
      <t xml:space="preserve">, median lead -73 </t>
    </r>
    <r>
      <rPr>
        <sz val="9"/>
        <rFont val="WenQuanYi Zen Hei"/>
        <family val="2"/>
      </rPr>
      <t xml:space="preserve">部分是窗緣效應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非精確擇時</t>
    </r>
    <r>
      <rPr>
        <sz val="9"/>
        <rFont val="Arial"/>
        <family val="0"/>
        <charset val="1"/>
      </rPr>
      <t xml:space="preserve">.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0.34(</t>
    </r>
    <r>
      <rPr>
        <sz val="9"/>
        <rFont val="WenQuanYi Zen Hei"/>
        <family val="2"/>
      </rPr>
      <t xml:space="preserve">嚴格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同型</t>
    </r>
    <r>
      <rPr>
        <sz val="9"/>
        <rFont val="Arial"/>
        <family val="0"/>
        <charset val="1"/>
      </rPr>
      <t xml:space="preserve">MAJOR∪INTER</t>
    </r>
    <r>
      <rPr>
        <sz val="9"/>
        <rFont val="WenQuanYi Zen Hei"/>
        <family val="2"/>
      </rPr>
      <t xml:space="preserve">轉折需落在</t>
    </r>
    <r>
      <rPr>
        <sz val="9"/>
        <rFont val="Arial"/>
        <family val="0"/>
        <charset val="1"/>
      </rPr>
      <t xml:space="preserve">[s,s+90]). </t>
    </r>
    <r>
      <rPr>
        <sz val="9"/>
        <rFont val="WenQuanYi Zen Hei"/>
        <family val="2"/>
      </rPr>
      <t xml:space="preserve">漏掉</t>
    </r>
    <r>
      <rPr>
        <sz val="9"/>
        <rFont val="Arial"/>
        <family val="0"/>
        <charset val="1"/>
      </rPr>
      <t xml:space="preserve">8/22</t>
    </r>
    <r>
      <rPr>
        <sz val="9"/>
        <rFont val="WenQuanYi Zen Hei"/>
        <family val="2"/>
      </rPr>
      <t xml:space="preserve">頂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多為熊市反彈頂如</t>
    </r>
    <r>
      <rPr>
        <sz val="9"/>
        <rFont val="Arial"/>
        <family val="0"/>
        <charset val="1"/>
      </rPr>
      <t xml:space="preserve">2000-07,2000-12,2001,2008-11,2009-01 — </t>
    </r>
    <r>
      <rPr>
        <sz val="9"/>
        <rFont val="WenQuanYi Zen Hei"/>
        <family val="2"/>
      </rPr>
      <t xml:space="preserve">未創</t>
    </r>
    <r>
      <rPr>
        <sz val="9"/>
        <rFont val="Arial"/>
        <family val="0"/>
        <charset val="1"/>
      </rPr>
      <t xml:space="preserve">63</t>
    </r>
    <r>
      <rPr>
        <sz val="9"/>
        <rFont val="WenQuanYi Zen Hei"/>
        <family val="2"/>
      </rPr>
      <t xml:space="preserve">日新高故規則不適用</t>
    </r>
    <r>
      <rPr>
        <sz val="9"/>
        <rFont val="Arial"/>
        <family val="0"/>
        <charset val="1"/>
      </rPr>
      <t xml:space="preserve">). </t>
    </r>
    <r>
      <rPr>
        <sz val="9"/>
        <rFont val="WenQuanYi Zen Hei"/>
        <family val="2"/>
      </rPr>
      <t xml:space="preserve">錨點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至少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交易日前已確認之</t>
    </r>
    <r>
      <rPr>
        <sz val="9"/>
        <rFont val="Arial"/>
        <family val="0"/>
        <charset val="1"/>
      </rPr>
      <t xml:space="preserve">63</t>
    </r>
    <r>
      <rPr>
        <sz val="9"/>
        <rFont val="WenQuanYi Zen Hei"/>
        <family val="2"/>
      </rPr>
      <t xml:space="preserve">日高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無前視</t>
    </r>
    <r>
      <rPr>
        <sz val="9"/>
        <rFont val="Arial"/>
        <family val="0"/>
        <charset val="1"/>
      </rPr>
      <t xml:space="preserve">. [hit=0.636, FP=109/321</t>
    </r>
    <r>
      <rPr>
        <sz val="9"/>
        <rFont val="WenQuanYi Zen Hei"/>
        <family val="2"/>
      </rPr>
      <t xml:space="preserve">可評估訊號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尾端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筆未滿</t>
    </r>
    <r>
      <rPr>
        <sz val="9"/>
        <rFont val="Arial"/>
        <family val="0"/>
        <charset val="1"/>
      </rPr>
      <t xml:space="preserve">90td</t>
    </r>
    <r>
      <rPr>
        <sz val="9"/>
        <rFont val="WenQuanYi Zen Hei"/>
        <family val="2"/>
      </rPr>
      <t xml:space="preserve">不計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12.0/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</si>
  <si>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price makes 63d new low (close&lt;min of prior 63 closes, excl today) AND RSI14[t] &gt;= RSI14[anchor]+2, anchor=most recent confirmed 63d-low day &gt;=10 trading days earlier with higher price</t>
  </si>
  <si>
    <t xml:space="preserve">T0/0</t>
  </si>
  <si>
    <t xml:space="preserve">B18/22</t>
  </si>
  <si>
    <r>
      <rPr>
        <sz val="9"/>
        <rFont val="WenQuanYi Zen Hei"/>
        <family val="2"/>
      </rPr>
      <t xml:space="preserve">全家族最佳</t>
    </r>
    <r>
      <rPr>
        <sz val="9"/>
        <rFont val="Arial"/>
        <family val="0"/>
        <charset val="1"/>
      </rPr>
      <t xml:space="preserve">: 18/22</t>
    </r>
    <r>
      <rPr>
        <sz val="9"/>
        <rFont val="WenQuanYi Zen Hei"/>
        <family val="2"/>
      </rPr>
      <t xml:space="preserve">底命中</t>
    </r>
    <r>
      <rPr>
        <sz val="9"/>
        <rFont val="Arial"/>
        <family val="0"/>
        <charset val="1"/>
      </rPr>
      <t xml:space="preserve">, FP=0/73(</t>
    </r>
    <r>
      <rPr>
        <sz val="9"/>
        <rFont val="WenQuanYi Zen Hei"/>
        <family val="2"/>
      </rPr>
      <t xml:space="preserve">每個訊號其後</t>
    </r>
    <r>
      <rPr>
        <sz val="9"/>
        <rFont val="Arial"/>
        <family val="0"/>
        <charset val="1"/>
      </rPr>
      <t xml:space="preserve">90td</t>
    </r>
    <r>
      <rPr>
        <sz val="9"/>
        <rFont val="WenQuanYi Zen Hei"/>
        <family val="2"/>
      </rPr>
      <t xml:space="preserve">內必有</t>
    </r>
    <r>
      <rPr>
        <sz val="9"/>
        <rFont val="Arial"/>
        <family val="0"/>
        <charset val="1"/>
      </rPr>
      <t xml:space="preserve">MAJOR/INTER</t>
    </r>
    <r>
      <rPr>
        <sz val="9"/>
        <rFont val="WenQuanYi Zen Hei"/>
        <family val="2"/>
      </rPr>
      <t xml:space="preserve">底</t>
    </r>
    <r>
      <rPr>
        <sz val="9"/>
        <rFont val="Arial"/>
        <family val="0"/>
        <charset val="1"/>
      </rPr>
      <t xml:space="preserve">). 2020-03 COVID</t>
    </r>
    <r>
      <rPr>
        <sz val="9"/>
        <rFont val="WenQuanYi Zen Hei"/>
        <family val="2"/>
      </rPr>
      <t xml:space="preserve">未命中 — 跌速太快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價與</t>
    </r>
    <r>
      <rPr>
        <sz val="9"/>
        <rFont val="Arial"/>
        <family val="0"/>
        <charset val="1"/>
      </rPr>
      <t xml:space="preserve">RSI</t>
    </r>
    <r>
      <rPr>
        <sz val="9"/>
        <rFont val="WenQuanYi Zen Hei"/>
        <family val="2"/>
      </rPr>
      <t xml:space="preserve">同創新低無背離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誠實漏訊</t>
    </r>
    <r>
      <rPr>
        <sz val="9"/>
        <rFont val="Arial"/>
        <family val="0"/>
        <charset val="1"/>
      </rPr>
      <t xml:space="preserve">); 2025-04-08</t>
    </r>
    <r>
      <rPr>
        <sz val="9"/>
        <rFont val="WenQuanYi Zen Hei"/>
        <family val="2"/>
      </rPr>
      <t xml:space="preserve">底於</t>
    </r>
    <r>
      <rPr>
        <sz val="9"/>
        <rFont val="Arial"/>
        <family val="0"/>
        <charset val="1"/>
      </rPr>
      <t xml:space="preserve">2025-04-03</t>
    </r>
    <r>
      <rPr>
        <sz val="9"/>
        <rFont val="WenQuanYi Zen Hei"/>
        <family val="2"/>
      </rPr>
      <t xml:space="preserve">提前</t>
    </r>
    <r>
      <rPr>
        <sz val="9"/>
        <rFont val="Arial"/>
        <family val="0"/>
        <charset val="1"/>
      </rPr>
      <t xml:space="preserve">3td</t>
    </r>
    <r>
      <rPr>
        <sz val="9"/>
        <rFont val="WenQuanYi Zen Hei"/>
        <family val="2"/>
      </rPr>
      <t xml:space="preserve">發出</t>
    </r>
    <r>
      <rPr>
        <sz val="9"/>
        <rFont val="Arial"/>
        <family val="0"/>
        <charset val="1"/>
      </rPr>
      <t xml:space="preserve">; 2022-10-10</t>
    </r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2022-12-28</t>
    </r>
    <r>
      <rPr>
        <sz val="9"/>
        <rFont val="WenQuanYi Zen Hei"/>
        <family val="2"/>
      </rPr>
      <t xml:space="preserve">底</t>
    </r>
    <r>
      <rPr>
        <sz val="9"/>
        <rFont val="Arial"/>
        <family val="0"/>
        <charset val="1"/>
      </rPr>
      <t xml:space="preserve">55td. </t>
    </r>
    <r>
      <rPr>
        <sz val="9"/>
        <rFont val="WenQuanYi Zen Hei"/>
        <family val="2"/>
      </rPr>
      <t xml:space="preserve">密度僅</t>
    </r>
    <r>
      <rPr>
        <sz val="9"/>
        <rFont val="Arial"/>
        <family val="0"/>
        <charset val="1"/>
      </rPr>
      <t xml:space="preserve">2.7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訊號質量高</t>
    </r>
    <r>
      <rPr>
        <sz val="9"/>
        <rFont val="Arial"/>
        <family val="0"/>
        <charset val="1"/>
      </rPr>
      <t xml:space="preserve">; median lead -32</t>
    </r>
    <r>
      <rPr>
        <sz val="9"/>
        <rFont val="WenQuanYi Zen Hei"/>
        <family val="2"/>
      </rPr>
      <t xml:space="preserve">為真領先而非窗緣效應</t>
    </r>
    <r>
      <rPr>
        <sz val="9"/>
        <rFont val="Arial"/>
        <family val="0"/>
        <charset val="1"/>
      </rPr>
      <t xml:space="preserve">. [hit=0.818, FP=0/73,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2.7/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</si>
  <si>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W-FRI weekly close MACD(12,26,9) histogram: flip from &gt;=0 to &lt;0 AND daily close&gt;0.92*rolling252max =&gt; TOP; flip from &lt;=0 to &gt;0 AND close&lt;1.15*rolling252min =&gt; BOTTOM; signal date=last trading day of that week; 40-week EMA warmup</t>
  </si>
  <si>
    <t xml:space="preserve">2000-01-03..2026-07-10</t>
  </si>
  <si>
    <t xml:space="preserve">T8/22</t>
  </si>
  <si>
    <t xml:space="preserve">B5/22</t>
  </si>
  <si>
    <r>
      <rPr>
        <sz val="9"/>
        <rFont val="WenQuanYi Zen Hei"/>
        <family val="2"/>
      </rPr>
      <t xml:space="preserve">命中率僅</t>
    </r>
    <r>
      <rPr>
        <sz val="9"/>
        <rFont val="Arial"/>
        <family val="0"/>
        <charset val="1"/>
      </rPr>
      <t xml:space="preserve">29.5%(13/44),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0.49 → </t>
    </r>
    <r>
      <rPr>
        <sz val="9"/>
        <rFont val="WenQuanYi Zen Hei"/>
        <family val="2"/>
      </rPr>
      <t xml:space="preserve">依協定判</t>
    </r>
    <r>
      <rPr>
        <sz val="9"/>
        <rFont val="Arial"/>
        <family val="0"/>
        <charset val="1"/>
      </rPr>
      <t xml:space="preserve">WEAK. </t>
    </r>
    <r>
      <rPr>
        <sz val="9"/>
        <rFont val="WenQuanYi Zen Hei"/>
        <family val="2"/>
      </rPr>
      <t xml:space="preserve">主因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柱狀圖翻負多發生在頂後數週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超出</t>
    </r>
    <r>
      <rPr>
        <sz val="9"/>
        <rFont val="Arial"/>
        <family val="0"/>
        <charset val="1"/>
      </rPr>
      <t xml:space="preserve">turn+5</t>
    </r>
    <r>
      <rPr>
        <sz val="9"/>
        <rFont val="WenQuanYi Zen Hei"/>
        <family val="2"/>
      </rPr>
      <t xml:space="preserve">窗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補充診斷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轉折後首個同型訊號中位滯後</t>
    </r>
    <r>
      <rPr>
        <sz val="9"/>
        <rFont val="Arial"/>
        <family val="0"/>
        <charset val="1"/>
      </rPr>
      <t xml:space="preserve">+26td(n=13). </t>
    </r>
    <r>
      <rPr>
        <sz val="9"/>
        <rFont val="WenQuanYi Zen Hei"/>
        <family val="2"/>
      </rPr>
      <t xml:space="preserve">實質上是遲到的確認器而非領先指標</t>
    </r>
    <r>
      <rPr>
        <sz val="9"/>
        <rFont val="Arial"/>
        <family val="0"/>
        <charset val="1"/>
      </rPr>
      <t xml:space="preserve">. 2020</t>
    </r>
    <r>
      <rPr>
        <sz val="9"/>
        <rFont val="WenQuanYi Zen Hei"/>
        <family val="2"/>
      </rPr>
      <t xml:space="preserve">兩個轉折皆漏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週線太慢跟不上</t>
    </r>
    <r>
      <rPr>
        <sz val="9"/>
        <rFont val="Arial"/>
        <family val="0"/>
        <charset val="1"/>
      </rPr>
      <t xml:space="preserve">V</t>
    </r>
    <r>
      <rPr>
        <sz val="9"/>
        <rFont val="WenQuanYi Zen Hei"/>
        <family val="2"/>
      </rPr>
      <t xml:space="preserve">型</t>
    </r>
    <r>
      <rPr>
        <sz val="9"/>
        <rFont val="Arial"/>
        <family val="0"/>
        <charset val="1"/>
      </rPr>
      <t xml:space="preserve">). [hit=0.295, FP=24/49,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1.9/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</si>
  <si>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SMA5 crosses below SMA10 (prev day &gt;=) AND close&gt;=0.95*rolling252max =&gt; TOP; SMA5 crosses above SMA10 AND close&lt;=1.12*rolling252min =&gt; BOTTOM</t>
  </si>
  <si>
    <t xml:space="preserve">T10/22</t>
  </si>
  <si>
    <t xml:space="preserve">B16/22</t>
  </si>
  <si>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26/44(</t>
    </r>
    <r>
      <rPr>
        <sz val="9"/>
        <rFont val="WenQuanYi Zen Hei"/>
        <family val="2"/>
      </rPr>
      <t xml:space="preserve">底部</t>
    </r>
    <r>
      <rPr>
        <sz val="9"/>
        <rFont val="Arial"/>
        <family val="0"/>
        <charset val="1"/>
      </rPr>
      <t xml:space="preserve">16/22</t>
    </r>
    <r>
      <rPr>
        <sz val="9"/>
        <rFont val="WenQuanYi Zen Hei"/>
        <family val="2"/>
      </rPr>
      <t xml:space="preserve">較佳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但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0.432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~9.4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高頻鞭打</t>
    </r>
    <r>
      <rPr>
        <sz val="9"/>
        <rFont val="Arial"/>
        <family val="0"/>
        <charset val="1"/>
      </rPr>
      <t xml:space="preserve">). </t>
    </r>
    <r>
      <rPr>
        <sz val="9"/>
        <rFont val="WenQuanYi Zen Hei"/>
        <family val="2"/>
      </rPr>
      <t xml:space="preserve">名義</t>
    </r>
    <r>
      <rPr>
        <sz val="9"/>
        <rFont val="Arial"/>
        <family val="0"/>
        <charset val="1"/>
      </rPr>
      <t xml:space="preserve">LEADING</t>
    </r>
    <r>
      <rPr>
        <sz val="9"/>
        <rFont val="WenQuanYi Zen Hei"/>
        <family val="2"/>
      </rPr>
      <t xml:space="preserve">但窗內負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多來自築頂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築底過程的反覆交叉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非精確預警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作確認器反而快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轉折後首個同型訊號中位滯後僅</t>
    </r>
    <r>
      <rPr>
        <sz val="9"/>
        <rFont val="Arial"/>
        <family val="0"/>
        <charset val="1"/>
      </rPr>
      <t xml:space="preserve">+5td(n=29) — 2020-03-27(</t>
    </r>
    <r>
      <rPr>
        <sz val="9"/>
        <rFont val="WenQuanYi Zen Hei"/>
        <family val="2"/>
      </rPr>
      <t xml:space="preserve">底後</t>
    </r>
    <r>
      <rPr>
        <sz val="9"/>
        <rFont val="Arial"/>
        <family val="0"/>
        <charset val="1"/>
      </rPr>
      <t xml:space="preserve">5td), 2022-03-17, 2025-04-15</t>
    </r>
    <r>
      <rPr>
        <sz val="9"/>
        <rFont val="WenQuanYi Zen Hei"/>
        <family val="2"/>
      </rPr>
      <t xml:space="preserve">皆及時確認</t>
    </r>
    <r>
      <rPr>
        <sz val="9"/>
        <rFont val="Arial"/>
        <family val="0"/>
        <charset val="1"/>
      </rPr>
      <t xml:space="preserve">. [hit=0.591, FP=105/243</t>
    </r>
    <r>
      <rPr>
        <sz val="9"/>
        <rFont val="WenQuanYi Zen Hei"/>
        <family val="2"/>
      </rPr>
      <t xml:space="preserve">可評估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尾端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筆不計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9.4/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</si>
  <si>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close crosses below SMA200 (prev day close&gt;=SMA200) =&gt; TOP-confirm; close crosses above SMA200 (prev day &lt;=) =&gt; BOTTOM-confirm</t>
  </si>
  <si>
    <t xml:space="preserve">1999-10-20..2026-07-10</t>
  </si>
  <si>
    <t xml:space="preserve">T9/22</t>
  </si>
  <si>
    <t xml:space="preserve">B15/22</t>
  </si>
  <si>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24/44,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0.425. median lead -56.5</t>
    </r>
    <r>
      <rPr>
        <sz val="9"/>
        <rFont val="WenQuanYi Zen Hei"/>
        <family val="2"/>
      </rPr>
      <t xml:space="preserve">幾乎全來自頂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底過程中的鞭打式穿越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先穿越→收回→再穿越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非真預警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作確認器量測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轉折後首次同向穿越中位滯後</t>
    </r>
    <r>
      <rPr>
        <sz val="9"/>
        <rFont val="Arial"/>
        <family val="0"/>
        <charset val="1"/>
      </rPr>
      <t xml:space="preserve">+31td(n=40/44). </t>
    </r>
    <r>
      <rPr>
        <sz val="9"/>
        <rFont val="WenQuanYi Zen Hei"/>
        <family val="2"/>
      </rPr>
      <t xml:space="preserve">名義上</t>
    </r>
    <r>
      <rPr>
        <sz val="9"/>
        <rFont val="Arial"/>
        <family val="0"/>
        <charset val="1"/>
      </rPr>
      <t xml:space="preserve">LEADING(</t>
    </r>
    <r>
      <rPr>
        <sz val="9"/>
        <rFont val="WenQuanYi Zen Hei"/>
        <family val="2"/>
      </rPr>
      <t xml:space="preserve">依協定</t>
    </r>
    <r>
      <rPr>
        <sz val="9"/>
        <rFont val="Arial"/>
        <family val="0"/>
        <charset val="1"/>
      </rPr>
      <t xml:space="preserve">median lead), </t>
    </r>
    <r>
      <rPr>
        <sz val="9"/>
        <rFont val="WenQuanYi Zen Hei"/>
        <family val="2"/>
      </rPr>
      <t xml:space="preserve">實務應視為帶雜訊的確認器</t>
    </r>
    <r>
      <rPr>
        <sz val="9"/>
        <rFont val="Arial"/>
        <family val="0"/>
        <charset val="1"/>
      </rPr>
      <t xml:space="preserve">. 2020-02-19</t>
    </r>
    <r>
      <rPr>
        <sz val="9"/>
        <rFont val="WenQuanYi Zen Hei"/>
        <family val="2"/>
      </rPr>
      <t xml:space="preserve">頂與</t>
    </r>
    <r>
      <rPr>
        <sz val="9"/>
        <rFont val="Arial"/>
        <family val="0"/>
        <charset val="1"/>
      </rPr>
      <t xml:space="preserve">2025-02-19</t>
    </r>
    <r>
      <rPr>
        <sz val="9"/>
        <rFont val="WenQuanYi Zen Hei"/>
        <family val="2"/>
      </rPr>
      <t xml:space="preserve">頂皆漏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頂前價一直在</t>
    </r>
    <r>
      <rPr>
        <sz val="9"/>
        <rFont val="Arial"/>
        <family val="0"/>
        <charset val="1"/>
      </rPr>
      <t xml:space="preserve">200SMA</t>
    </r>
    <r>
      <rPr>
        <sz val="9"/>
        <rFont val="WenQuanYi Zen Hei"/>
        <family val="2"/>
      </rPr>
      <t xml:space="preserve">上</t>
    </r>
    <r>
      <rPr>
        <sz val="9"/>
        <rFont val="Arial"/>
        <family val="0"/>
        <charset val="1"/>
      </rPr>
      <t xml:space="preserve">). [hit=0.545, FP=74/174</t>
    </r>
    <r>
      <rPr>
        <sz val="9"/>
        <rFont val="WenQuanYi Zen Hei"/>
        <family val="2"/>
      </rPr>
      <t xml:space="preserve">可評估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尾端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筆不計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6.6/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</si>
  <si>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slope=SMA200[t]-SMA200[t-20]; signal when slope flips from &gt;=0 to &lt;0 =&gt; TOP</t>
  </si>
  <si>
    <t xml:space="preserve">1999-11-17..2026-07-10</t>
  </si>
  <si>
    <t xml:space="preserve">T4/22</t>
  </si>
  <si>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/27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4/22</t>
    </r>
    <r>
      <rPr>
        <sz val="9"/>
        <rFont val="WenQuanYi Zen Hei"/>
        <family val="2"/>
      </rPr>
      <t xml:space="preserve">頂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hit</t>
    </r>
    <r>
      <rPr>
        <sz val="9"/>
        <rFont val="WenQuanYi Zen Hei"/>
        <family val="2"/>
      </rPr>
      <t xml:space="preserve">全是熊市中段的次級頂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非週期起始頂</t>
    </r>
    <r>
      <rPr>
        <sz val="9"/>
        <rFont val="Arial"/>
        <family val="0"/>
        <charset val="1"/>
      </rPr>
      <t xml:space="preserve">),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0.571 → WEAK. </t>
    </r>
    <r>
      <rPr>
        <sz val="9"/>
        <rFont val="WenQuanYi Zen Hei"/>
        <family val="2"/>
      </rPr>
      <t xml:space="preserve">診斷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頂後首訊號中位滯後</t>
    </r>
    <r>
      <rPr>
        <sz val="9"/>
        <rFont val="Arial"/>
        <family val="0"/>
        <charset val="1"/>
      </rPr>
      <t xml:space="preserve">+83td(n=13) — </t>
    </r>
    <r>
      <rPr>
        <sz val="9"/>
        <rFont val="WenQuanYi Zen Hei"/>
        <family val="2"/>
      </rPr>
      <t xml:space="preserve">極度滯後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斜率翻負時跌勢多已過半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作頂部預警無效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僅適合長週期</t>
    </r>
    <r>
      <rPr>
        <sz val="9"/>
        <rFont val="Arial"/>
        <family val="0"/>
        <charset val="1"/>
      </rPr>
      <t xml:space="preserve">regime</t>
    </r>
    <r>
      <rPr>
        <sz val="9"/>
        <rFont val="WenQuanYi Zen Hei"/>
        <family val="2"/>
      </rPr>
      <t xml:space="preserve">過濾</t>
    </r>
    <r>
      <rPr>
        <sz val="9"/>
        <rFont val="Arial"/>
        <family val="0"/>
        <charset val="1"/>
      </rPr>
      <t xml:space="preserve">. [hit=0.182, FP=8/14,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0.5/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</si>
  <si>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weekly(W-FRI last close) SMA10 crosses below SMA40 =&gt; TOP; crosses above =&gt; BOTTOM; signal date=last trading day of that week</t>
  </si>
  <si>
    <t xml:space="preserve">1999-10-22..2026-07-10</t>
  </si>
  <si>
    <t xml:space="preserve">T2/22</t>
  </si>
  <si>
    <t xml:space="preserve">B1/22</t>
  </si>
  <si>
    <r>
      <rPr>
        <sz val="9"/>
        <rFont val="WenQuanYi Zen Hei"/>
        <family val="2"/>
      </rPr>
      <t xml:space="preserve">如預期為深度確認器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協定窗</t>
    </r>
    <r>
      <rPr>
        <sz val="9"/>
        <rFont val="Arial"/>
        <family val="0"/>
        <charset val="1"/>
      </rPr>
      <t xml:space="preserve">[turn-90,turn+5]</t>
    </r>
    <r>
      <rPr>
        <sz val="9"/>
        <rFont val="WenQuanYi Zen Hei"/>
        <family val="2"/>
      </rPr>
      <t xml:space="preserve">內幾乎不發訊</t>
    </r>
    <r>
      <rPr>
        <sz val="9"/>
        <rFont val="Arial"/>
        <family val="0"/>
        <charset val="1"/>
      </rPr>
      <t xml:space="preserve">(3/44</t>
    </r>
    <r>
      <rPr>
        <sz val="9"/>
        <rFont val="WenQuanYi Zen Hei"/>
        <family val="2"/>
      </rPr>
      <t xml:space="preserve">命中→依協定</t>
    </r>
    <r>
      <rPr>
        <sz val="9"/>
        <rFont val="Arial"/>
        <family val="0"/>
        <charset val="1"/>
      </rPr>
      <t xml:space="preserve">WEAK), </t>
    </r>
    <r>
      <rPr>
        <sz val="9"/>
        <rFont val="WenQuanYi Zen Hei"/>
        <family val="2"/>
      </rPr>
      <t xml:space="preserve">因死叉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金叉中位滯後轉折</t>
    </r>
    <r>
      <rPr>
        <sz val="9"/>
        <rFont val="Arial"/>
        <family val="0"/>
        <charset val="1"/>
      </rPr>
      <t xml:space="preserve">+65td(n=29, 200td</t>
    </r>
    <r>
      <rPr>
        <sz val="9"/>
        <rFont val="WenQuanYi Zen Hei"/>
        <family val="2"/>
      </rPr>
      <t xml:space="preserve">內有訊號的轉折</t>
    </r>
    <r>
      <rPr>
        <sz val="9"/>
        <rFont val="Arial"/>
        <family val="0"/>
        <charset val="1"/>
      </rPr>
      <t xml:space="preserve">). 36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0.529, 2011/2015-16</t>
    </r>
    <r>
      <rPr>
        <sz val="9"/>
        <rFont val="WenQuanYi Zen Hei"/>
        <family val="2"/>
      </rPr>
      <t xml:space="preserve">多次鞭打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對照結論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它確認趨勢已變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但平均要等約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(13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對抓轉折無用 — 這就是題目要的滯後量測</t>
    </r>
    <r>
      <rPr>
        <sz val="9"/>
        <rFont val="Arial"/>
        <family val="0"/>
        <charset val="1"/>
      </rPr>
      <t xml:space="preserve">. [hit=0.068, FP=18/34</t>
    </r>
    <r>
      <rPr>
        <sz val="9"/>
        <rFont val="WenQuanYi Zen Hei"/>
        <family val="2"/>
      </rPr>
      <t xml:space="preserve">可評估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尾端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筆不計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1.4/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</si>
  <si>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t xml:space="preserve">dd=close/rolling252max-1 (max incl today); signal when dd crosses from &gt;=-6% to &lt;-6% =&gt; TOP</t>
  </si>
  <si>
    <t xml:space="preserve">2000-01-04..2026-07-10</t>
  </si>
  <si>
    <t xml:space="preserve">T11/22</t>
  </si>
  <si>
    <r>
      <rPr>
        <sz val="9"/>
        <rFont val="WenQuanYi Zen Hei"/>
        <family val="2"/>
      </rPr>
      <t xml:space="preserve">定義上必然在頂後才觸發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需先跌</t>
    </r>
    <r>
      <rPr>
        <sz val="9"/>
        <rFont val="Arial"/>
        <family val="0"/>
        <charset val="1"/>
      </rPr>
      <t xml:space="preserve">6%): </t>
    </r>
    <r>
      <rPr>
        <sz val="9"/>
        <rFont val="WenQuanYi Zen Hei"/>
        <family val="2"/>
      </rPr>
      <t xml:space="preserve">頂後首訊號中位滯後僅</t>
    </r>
    <r>
      <rPr>
        <sz val="9"/>
        <rFont val="Arial"/>
        <family val="0"/>
        <charset val="1"/>
      </rPr>
      <t xml:space="preserve">+9td(n=11), </t>
    </r>
    <r>
      <rPr>
        <sz val="9"/>
        <rFont val="WenQuanYi Zen Hei"/>
        <family val="2"/>
      </rPr>
      <t xml:space="preserve">是全家族最快的頂部確認器</t>
    </r>
    <r>
      <rPr>
        <sz val="9"/>
        <rFont val="Arial"/>
        <family val="0"/>
        <charset val="1"/>
      </rPr>
      <t xml:space="preserve">(2020-02-24</t>
    </r>
    <r>
      <rPr>
        <sz val="9"/>
        <rFont val="WenQuanYi Zen Hei"/>
        <family val="2"/>
      </rPr>
      <t xml:space="preserve">即頂後</t>
    </r>
    <r>
      <rPr>
        <sz val="9"/>
        <rFont val="Arial"/>
        <family val="0"/>
        <charset val="1"/>
      </rPr>
      <t xml:space="preserve">3td). </t>
    </r>
    <r>
      <rPr>
        <sz val="9"/>
        <rFont val="WenQuanYi Zen Hei"/>
        <family val="2"/>
      </rPr>
      <t xml:space="preserve">協定窗內</t>
    </r>
    <r>
      <rPr>
        <sz val="9"/>
        <rFont val="Arial"/>
        <family val="0"/>
        <charset val="1"/>
      </rPr>
      <t xml:space="preserve">11/22</t>
    </r>
    <r>
      <rPr>
        <sz val="9"/>
        <rFont val="WenQuanYi Zen Hei"/>
        <family val="2"/>
      </rPr>
      <t xml:space="preserve">命中且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為負者多為更早一波回撤的殘留訊號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如</t>
    </r>
    <r>
      <rPr>
        <sz val="9"/>
        <rFont val="Arial"/>
        <family val="0"/>
        <charset val="1"/>
      </rPr>
      <t xml:space="preserve">2021-09-30</t>
    </r>
    <r>
      <rPr>
        <sz val="9"/>
        <rFont val="WenQuanYi Zen Hei"/>
        <family val="2"/>
      </rPr>
      <t xml:space="preserve">訊號配</t>
    </r>
    <r>
      <rPr>
        <sz val="9"/>
        <rFont val="Arial"/>
        <family val="0"/>
        <charset val="1"/>
      </rPr>
      <t xml:space="preserve">2021-11-19</t>
    </r>
    <r>
      <rPr>
        <sz val="9"/>
        <rFont val="WenQuanYi Zen Hei"/>
        <family val="2"/>
      </rPr>
      <t xml:space="preserve">頂</t>
    </r>
    <r>
      <rPr>
        <sz val="9"/>
        <rFont val="Arial"/>
        <family val="0"/>
        <charset val="1"/>
      </rPr>
      <t xml:space="preserve">).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0.525</t>
    </r>
    <r>
      <rPr>
        <sz val="9"/>
        <rFont val="WenQuanYi Zen Hei"/>
        <family val="2"/>
      </rPr>
      <t xml:space="preserve">偏高 — </t>
    </r>
    <r>
      <rPr>
        <sz val="9"/>
        <rFont val="Arial"/>
        <family val="0"/>
        <charset val="1"/>
      </rPr>
      <t xml:space="preserve">6%</t>
    </r>
    <r>
      <rPr>
        <sz val="9"/>
        <rFont val="WenQuanYi Zen Hei"/>
        <family val="2"/>
      </rPr>
      <t xml:space="preserve">回撤常只是牛市中繼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依協定</t>
    </r>
    <r>
      <rPr>
        <sz val="9"/>
        <rFont val="Arial"/>
        <family val="0"/>
        <charset val="1"/>
      </rPr>
      <t xml:space="preserve">median lead</t>
    </r>
    <r>
      <rPr>
        <sz val="9"/>
        <rFont val="WenQuanYi Zen Hei"/>
        <family val="2"/>
      </rPr>
      <t xml:space="preserve">判</t>
    </r>
    <r>
      <rPr>
        <sz val="9"/>
        <rFont val="Arial"/>
        <family val="0"/>
        <charset val="1"/>
      </rPr>
      <t xml:space="preserve">LEADING, </t>
    </r>
    <r>
      <rPr>
        <sz val="9"/>
        <rFont val="WenQuanYi Zen Hei"/>
        <family val="2"/>
      </rPr>
      <t xml:space="preserve">實務定位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快速</t>
    </r>
    <r>
      <rPr>
        <sz val="9"/>
        <rFont val="Arial"/>
        <family val="0"/>
        <charset val="1"/>
      </rPr>
      <t xml:space="preserve">TOP</t>
    </r>
    <r>
      <rPr>
        <sz val="9"/>
        <rFont val="WenQuanYi Zen Hei"/>
        <family val="2"/>
      </rPr>
      <t xml:space="preserve">確認器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風控觸發線</t>
    </r>
    <r>
      <rPr>
        <sz val="9"/>
        <rFont val="Arial"/>
        <family val="0"/>
        <charset val="1"/>
      </rPr>
      <t xml:space="preserve">. [hit=0.5, FP=63/120</t>
    </r>
    <r>
      <rPr>
        <sz val="9"/>
        <rFont val="WenQuanYi Zen Hei"/>
        <family val="2"/>
      </rPr>
      <t xml:space="preserve">可評估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尾端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筆不計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密度</t>
    </r>
    <r>
      <rPr>
        <sz val="9"/>
        <rFont val="Arial"/>
        <family val="0"/>
        <charset val="1"/>
      </rPr>
      <t xml:space="preserve">4.6/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</si>
  <si>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HV20(t)=std(</t>
    </r>
    <r>
      <rPr>
        <sz val="9"/>
        <rFont val="WenQuanYi Zen Hei"/>
        <family val="2"/>
      </rPr>
      <t xml:space="preserve">近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log</t>
    </r>
    <r>
      <rPr>
        <sz val="9"/>
        <rFont val="WenQuanYi Zen Hei"/>
        <family val="2"/>
      </rPr>
      <t xml:space="preserve">報酬</t>
    </r>
    <r>
      <rPr>
        <sz val="9"/>
        <rFont val="Arial"/>
        <family val="0"/>
        <charset val="1"/>
      </rPr>
      <t xml:space="preserve">,ddof=1)*sqrt(252)*100; </t>
    </r>
    <r>
      <rPr>
        <sz val="9"/>
        <rFont val="WenQuanYi Zen Hei"/>
        <family val="2"/>
      </rPr>
      <t xml:space="preserve">條件</t>
    </r>
    <r>
      <rPr>
        <sz val="9"/>
        <rFont val="Arial"/>
        <family val="0"/>
        <charset val="1"/>
      </rPr>
      <t xml:space="preserve">C(t): HV20(t)/min(HV20[t-59..t])-1&gt;0.25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(max(close[t-251..t])-close(t))/max(close[t-251..t])&lt;0.05; C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False</t>
    </r>
    <r>
      <rPr>
        <sz val="9"/>
        <rFont val="WenQuanYi Zen Hei"/>
        <family val="2"/>
      </rPr>
      <t xml:space="preserve">轉</t>
    </r>
    <r>
      <rPr>
        <sz val="9"/>
        <rFont val="Arial"/>
        <family val="0"/>
        <charset val="1"/>
      </rPr>
      <t xml:space="preserve">True</t>
    </r>
    <r>
      <rPr>
        <sz val="9"/>
        <rFont val="WenQuanYi Zen Hei"/>
        <family val="2"/>
      </rPr>
      <t xml:space="preserve">當日發訊</t>
    </r>
  </si>
  <si>
    <r>
      <rPr>
        <sz val="9"/>
        <rFont val="Arial"/>
        <family val="0"/>
        <charset val="1"/>
      </rPr>
      <t xml:space="preserve">1999-12-31..2026-07-10 (</t>
    </r>
    <r>
      <rPr>
        <sz val="9"/>
        <rFont val="WenQuanYi Zen Hei"/>
        <family val="2"/>
      </rPr>
      <t xml:space="preserve">需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日滾動高</t>
    </r>
    <r>
      <rPr>
        <sz val="9"/>
        <rFont val="Arial"/>
        <family val="0"/>
        <charset val="1"/>
      </rPr>
      <t xml:space="preserve">+60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HV</t>
    </r>
    <r>
      <rPr>
        <sz val="9"/>
        <rFont val="WenQuanYi Zen Hei"/>
        <family val="2"/>
      </rPr>
      <t xml:space="preserve">最低暖機</t>
    </r>
    <r>
      <rPr>
        <sz val="9"/>
        <rFont val="Arial"/>
        <family val="0"/>
        <charset val="1"/>
      </rPr>
      <t xml:space="preserve">)</t>
    </r>
  </si>
  <si>
    <t xml:space="preserve">T13/22</t>
  </si>
  <si>
    <t xml:space="preserve">MINOR_ISSUES</t>
  </si>
  <si>
    <r>
      <rPr>
        <sz val="9"/>
        <rFont val="WenQuanYi Zen Hei"/>
        <family val="2"/>
      </rPr>
      <t xml:space="preserve">抓到所有著名大頂</t>
    </r>
    <r>
      <rPr>
        <sz val="9"/>
        <rFont val="Arial"/>
        <family val="0"/>
        <charset val="1"/>
      </rPr>
      <t xml:space="preserve">(2000/2007/2015/2018/2020/2021/2025), </t>
    </r>
    <r>
      <rPr>
        <sz val="9"/>
        <rFont val="WenQuanYi Zen Hei"/>
        <family val="2"/>
      </rPr>
      <t xml:space="preserve">漏掉的全是熊市中的反彈頂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價不在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日高附近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規則設計上本就不觸發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。但警告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訊號極密</t>
    </r>
    <r>
      <rPr>
        <sz val="9"/>
        <rFont val="Arial"/>
        <family val="0"/>
        <charset val="1"/>
      </rPr>
      <t xml:space="preserve">(202</t>
    </r>
    <r>
      <rPr>
        <sz val="9"/>
        <rFont val="WenQuanYi Zen Hei"/>
        <family val="2"/>
      </rPr>
      <t xml:space="preserve">筆</t>
    </r>
    <r>
      <rPr>
        <sz val="9"/>
        <rFont val="Arial"/>
        <family val="0"/>
        <charset val="1"/>
      </rPr>
      <t xml:space="preserve">,</t>
    </r>
    <r>
      <rPr>
        <sz val="9"/>
        <rFont val="WenQuanYi Zen Hei"/>
        <family val="2"/>
      </rPr>
      <t xml:space="preserve">約</t>
    </r>
    <r>
      <rPr>
        <sz val="9"/>
        <rFont val="Arial"/>
        <family val="0"/>
        <charset val="1"/>
      </rPr>
      <t xml:space="preserve">7.6</t>
    </r>
    <r>
      <rPr>
        <sz val="9"/>
        <rFont val="WenQuanYi Zen Hei"/>
        <family val="2"/>
      </rPr>
      <t xml:space="preserve">筆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lead=-80</t>
    </r>
    <r>
      <rPr>
        <sz val="9"/>
        <rFont val="WenQuanYi Zen Hei"/>
        <family val="2"/>
      </rPr>
      <t xml:space="preserve">貼近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日窗邊界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命中很大程度靠訊號頻率</t>
    </r>
    <r>
      <rPr>
        <sz val="9"/>
        <rFont val="Arial"/>
        <family val="0"/>
        <charset val="1"/>
      </rPr>
      <t xml:space="preserve">;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43%; </t>
    </r>
    <r>
      <rPr>
        <sz val="9"/>
        <rFont val="WenQuanYi Zen Hei"/>
        <family val="2"/>
      </rPr>
      <t xml:space="preserve">另有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筆訊號因資料尾端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日窗未滿列為不確定、未計入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。實務上屬『環境警戒』而非精準擇時。</t>
    </r>
  </si>
  <si>
    <r>
      <rPr>
        <sz val="9"/>
        <rFont val="WenQuanYi Zen Hei"/>
        <family val="2"/>
      </rPr>
      <t xml:space="preserve">狀態機</t>
    </r>
    <r>
      <rPr>
        <sz val="9"/>
        <rFont val="Arial"/>
        <family val="0"/>
        <charset val="1"/>
      </rPr>
      <t xml:space="preserve">: HV20&gt;60%</t>
    </r>
    <r>
      <rPr>
        <sz val="9"/>
        <rFont val="WenQuanYi Zen Hei"/>
        <family val="2"/>
      </rPr>
      <t xml:space="preserve">進入武裝並追蹤</t>
    </r>
    <r>
      <rPr>
        <sz val="9"/>
        <rFont val="Arial"/>
        <family val="0"/>
        <charset val="1"/>
      </rPr>
      <t xml:space="preserve">episode</t>
    </r>
    <r>
      <rPr>
        <sz val="9"/>
        <rFont val="WenQuanYi Zen Hei"/>
        <family val="2"/>
      </rPr>
      <t xml:space="preserve">峰值</t>
    </r>
    <r>
      <rPr>
        <sz val="9"/>
        <rFont val="Arial"/>
        <family val="0"/>
        <charset val="1"/>
      </rPr>
      <t xml:space="preserve">; HV20(t)&lt;=0.8*</t>
    </r>
    <r>
      <rPr>
        <sz val="9"/>
        <rFont val="WenQuanYi Zen Hei"/>
        <family val="2"/>
      </rPr>
      <t xml:space="preserve">峰值當日發訊並解除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需</t>
    </r>
    <r>
      <rPr>
        <sz val="9"/>
        <rFont val="Arial"/>
        <family val="0"/>
        <charset val="1"/>
      </rPr>
      <t xml:space="preserve">HV20</t>
    </r>
    <r>
      <rPr>
        <sz val="9"/>
        <rFont val="WenQuanYi Zen Hei"/>
        <family val="2"/>
      </rPr>
      <t xml:space="preserve">重新上穿</t>
    </r>
    <r>
      <rPr>
        <sz val="9"/>
        <rFont val="Arial"/>
        <family val="0"/>
        <charset val="1"/>
      </rPr>
      <t xml:space="preserve">60%</t>
    </r>
    <r>
      <rPr>
        <sz val="9"/>
        <rFont val="WenQuanYi Zen Hei"/>
        <family val="2"/>
      </rPr>
      <t xml:space="preserve">才再武裝</t>
    </r>
  </si>
  <si>
    <t xml:space="preserve">1999-02-02..2026-07-10</t>
  </si>
  <si>
    <t xml:space="preserve">B4/22</t>
  </si>
  <si>
    <r>
      <rPr>
        <sz val="9"/>
        <rFont val="WenQuanYi Zen Hei"/>
        <family val="2"/>
      </rPr>
      <t xml:space="preserve">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不好用。</t>
    </r>
    <r>
      <rPr>
        <sz val="9"/>
        <rFont val="Arial"/>
        <family val="0"/>
        <charset val="1"/>
      </rPr>
      <t xml:space="preserve">HV20&gt;60%</t>
    </r>
    <r>
      <rPr>
        <sz val="9"/>
        <rFont val="WenQuanYi Zen Hei"/>
        <family val="2"/>
      </rPr>
      <t xml:space="preserve">門檻只在</t>
    </r>
    <r>
      <rPr>
        <sz val="9"/>
        <rFont val="Arial"/>
        <family val="0"/>
        <charset val="1"/>
      </rPr>
      <t xml:space="preserve">2000-01/2008/2020</t>
    </r>
    <r>
      <rPr>
        <sz val="9"/>
        <rFont val="WenQuanYi Zen Hei"/>
        <family val="2"/>
      </rPr>
      <t xml:space="preserve">等極端崩盤出現</t>
    </r>
    <r>
      <rPr>
        <sz val="9"/>
        <rFont val="Arial"/>
        <family val="0"/>
        <charset val="1"/>
      </rPr>
      <t xml:space="preserve">, 27</t>
    </r>
    <r>
      <rPr>
        <sz val="9"/>
        <rFont val="WenQuanYi Zen Hei"/>
        <family val="2"/>
      </rPr>
      <t xml:space="preserve">年僅</t>
    </r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筆訊號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命中率</t>
    </r>
    <r>
      <rPr>
        <sz val="9"/>
        <rFont val="Arial"/>
        <family val="0"/>
        <charset val="1"/>
      </rPr>
      <t xml:space="preserve">18%(4/22)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率低</t>
    </r>
    <r>
      <rPr>
        <sz val="9"/>
        <rFont val="Arial"/>
        <family val="0"/>
        <charset val="1"/>
      </rPr>
      <t xml:space="preserve">(12.5%)</t>
    </r>
    <r>
      <rPr>
        <sz val="9"/>
        <rFont val="WenQuanYi Zen Hei"/>
        <family val="2"/>
      </rPr>
      <t xml:space="preserve">但因</t>
    </r>
    <r>
      <rPr>
        <sz val="9"/>
        <rFont val="Arial"/>
        <family val="0"/>
        <charset val="1"/>
      </rPr>
      <t xml:space="preserve">HV20</t>
    </r>
    <r>
      <rPr>
        <sz val="9"/>
        <rFont val="WenQuanYi Zen Hei"/>
        <family val="2"/>
      </rPr>
      <t xml:space="preserve">是落後統計量</t>
    </r>
    <r>
      <rPr>
        <sz val="9"/>
        <rFont val="Arial"/>
        <family val="0"/>
        <charset val="1"/>
      </rPr>
      <t xml:space="preserve">, 2020-03-20 COVID</t>
    </r>
    <r>
      <rPr>
        <sz val="9"/>
        <rFont val="WenQuanYi Zen Hei"/>
        <family val="2"/>
      </rPr>
      <t xml:space="preserve">底的訊號遲至</t>
    </r>
    <r>
      <rPr>
        <sz val="9"/>
        <rFont val="Arial"/>
        <family val="0"/>
        <charset val="1"/>
      </rPr>
      <t xml:space="preserve">2020-04-14(</t>
    </r>
    <r>
      <rPr>
        <sz val="9"/>
        <rFont val="WenQuanYi Zen Hei"/>
        <family val="2"/>
      </rPr>
      <t xml:space="preserve">轉折後</t>
    </r>
    <r>
      <rPr>
        <sz val="9"/>
        <rFont val="Arial"/>
        <family val="0"/>
        <charset val="1"/>
      </rPr>
      <t xml:space="preserve">+17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窗外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才出現。多數大底</t>
    </r>
    <r>
      <rPr>
        <sz val="9"/>
        <rFont val="Arial"/>
        <family val="0"/>
        <charset val="1"/>
      </rPr>
      <t xml:space="preserve">(2016/2018/2022/2025)HV20</t>
    </r>
    <r>
      <rPr>
        <sz val="9"/>
        <rFont val="WenQuanYi Zen Hei"/>
        <family val="2"/>
      </rPr>
      <t xml:space="preserve">根本未達</t>
    </r>
    <r>
      <rPr>
        <sz val="9"/>
        <rFont val="Arial"/>
        <family val="0"/>
        <charset val="1"/>
      </rPr>
      <t xml:space="preserve">60%</t>
    </r>
    <r>
      <rPr>
        <sz val="9"/>
        <rFont val="WenQuanYi Zen Hei"/>
        <family val="2"/>
      </rPr>
      <t xml:space="preserve">。</t>
    </r>
  </si>
  <si>
    <r>
      <rPr>
        <sz val="9"/>
        <rFont val="WenQuanYi Zen Hei"/>
        <family val="2"/>
      </rPr>
      <t xml:space="preserve">條件</t>
    </r>
    <r>
      <rPr>
        <sz val="9"/>
        <rFont val="Arial"/>
        <family val="0"/>
        <charset val="1"/>
      </rPr>
      <t xml:space="preserve">C(t): </t>
    </r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日內</t>
    </r>
    <r>
      <rPr>
        <sz val="9"/>
        <rFont val="Arial"/>
        <family val="0"/>
        <charset val="1"/>
      </rPr>
      <t xml:space="preserve">(t-19..t)</t>
    </r>
    <r>
      <rPr>
        <sz val="9"/>
        <rFont val="WenQuanYi Zen Hei"/>
        <family val="2"/>
      </rPr>
      <t xml:space="preserve">曾有收盤</t>
    </r>
    <r>
      <rPr>
        <sz val="9"/>
        <rFont val="Arial"/>
        <family val="0"/>
        <charset val="1"/>
      </rPr>
      <t xml:space="preserve">=252</t>
    </r>
    <r>
      <rPr>
        <sz val="9"/>
        <rFont val="WenQuanYi Zen Hei"/>
        <family val="2"/>
      </rPr>
      <t xml:space="preserve">日滾動最高 且 </t>
    </r>
    <r>
      <rPr>
        <sz val="9"/>
        <rFont val="Arial"/>
        <family val="0"/>
        <charset val="1"/>
      </rPr>
      <t xml:space="preserve">SMA10(VIX)(t)/SMA10(VIX)(t-20)-1&gt;0.10; C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False</t>
    </r>
    <r>
      <rPr>
        <sz val="9"/>
        <rFont val="WenQuanYi Zen Hei"/>
        <family val="2"/>
      </rPr>
      <t xml:space="preserve">轉</t>
    </r>
    <r>
      <rPr>
        <sz val="9"/>
        <rFont val="Arial"/>
        <family val="0"/>
        <charset val="1"/>
      </rPr>
      <t xml:space="preserve">True</t>
    </r>
    <r>
      <rPr>
        <sz val="9"/>
        <rFont val="WenQuanYi Zen Hei"/>
        <family val="2"/>
      </rPr>
      <t xml:space="preserve">當日發訊</t>
    </r>
  </si>
  <si>
    <r>
      <rPr>
        <sz val="9"/>
        <rFont val="Arial"/>
        <family val="0"/>
        <charset val="1"/>
      </rPr>
      <t xml:space="preserve">2014-02-14..2026-07-10 (VIX</t>
    </r>
    <r>
      <rPr>
        <sz val="9"/>
        <rFont val="WenQuanYi Zen Hei"/>
        <family val="2"/>
      </rPr>
      <t xml:space="preserve">自</t>
    </r>
    <r>
      <rPr>
        <sz val="9"/>
        <rFont val="Arial"/>
        <family val="0"/>
        <charset val="1"/>
      </rPr>
      <t xml:space="preserve">2014-01-03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, +SMA10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日變化暖機</t>
    </r>
    <r>
      <rPr>
        <sz val="9"/>
        <rFont val="Arial"/>
        <family val="0"/>
        <charset val="1"/>
      </rPr>
      <t xml:space="preserve">); tops_evaluated</t>
    </r>
    <r>
      <rPr>
        <sz val="9"/>
        <rFont val="WenQuanYi Zen Hei"/>
        <family val="2"/>
      </rPr>
      <t xml:space="preserve">只計此後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MAJOR TOP</t>
    </r>
  </si>
  <si>
    <t xml:space="preserve">T6/7</t>
  </si>
  <si>
    <r>
      <rPr>
        <sz val="9"/>
        <rFont val="WenQuanYi Zen Hei"/>
        <family val="2"/>
      </rPr>
      <t xml:space="preserve">本家族最佳</t>
    </r>
    <r>
      <rPr>
        <sz val="9"/>
        <rFont val="Arial"/>
        <family val="0"/>
        <charset val="1"/>
      </rPr>
      <t xml:space="preserve">TOP</t>
    </r>
    <r>
      <rPr>
        <sz val="9"/>
        <rFont val="WenQuanYi Zen Hei"/>
        <family val="2"/>
      </rPr>
      <t xml:space="preserve">領先指標</t>
    </r>
    <r>
      <rPr>
        <sz val="9"/>
        <rFont val="Arial"/>
        <family val="0"/>
        <charset val="1"/>
      </rPr>
      <t xml:space="preserve">: VIX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個大頂命中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(86%), </t>
    </r>
    <r>
      <rPr>
        <sz val="9"/>
        <rFont val="WenQuanYi Zen Hei"/>
        <family val="2"/>
      </rPr>
      <t xml:space="preserve">中位領先</t>
    </r>
    <r>
      <rPr>
        <sz val="9"/>
        <rFont val="Arial"/>
        <family val="0"/>
        <charset val="1"/>
      </rPr>
      <t xml:space="preserve">-44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約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。唯一漏掉</t>
    </r>
    <r>
      <rPr>
        <sz val="9"/>
        <rFont val="Arial"/>
        <family val="0"/>
        <charset val="1"/>
      </rPr>
      <t xml:space="preserve">2022-08-15(</t>
    </r>
    <r>
      <rPr>
        <sz val="9"/>
        <rFont val="WenQuanYi Zen Hei"/>
        <family val="2"/>
      </rPr>
      <t xml:space="preserve">熊市反彈頂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價未創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日新高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。代價是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40%(35</t>
    </r>
    <r>
      <rPr>
        <sz val="9"/>
        <rFont val="WenQuanYi Zen Hei"/>
        <family val="2"/>
      </rPr>
      <t xml:space="preserve">筆中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筆後續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日無任何</t>
    </r>
    <r>
      <rPr>
        <sz val="9"/>
        <rFont val="Arial"/>
        <family val="0"/>
        <charset val="1"/>
      </rPr>
      <t xml:space="preserve">MAJOR/INTER</t>
    </r>
    <r>
      <rPr>
        <sz val="9"/>
        <rFont val="WenQuanYi Zen Hei"/>
        <family val="2"/>
      </rPr>
      <t xml:space="preserve">頂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。樣本僅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個頂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統計效力有限。</t>
    </r>
    <r>
      <rPr>
        <sz val="9"/>
        <rFont val="Arial"/>
        <family val="0"/>
        <charset val="1"/>
      </rPr>
      <t xml:space="preserve">2025-02-19</t>
    </r>
    <r>
      <rPr>
        <sz val="9"/>
        <rFont val="WenQuanYi Zen Hei"/>
        <family val="2"/>
      </rPr>
      <t xml:space="preserve">頂的配對訊號為</t>
    </r>
    <r>
      <rPr>
        <sz val="9"/>
        <rFont val="Arial"/>
        <family val="0"/>
        <charset val="1"/>
      </rPr>
      <t xml:space="preserve">2024-12-23(lead -37)</t>
    </r>
    <r>
      <rPr>
        <sz val="9"/>
        <rFont val="WenQuanYi Zen Hei"/>
        <family val="2"/>
      </rPr>
      <t xml:space="preserve">。</t>
    </r>
  </si>
  <si>
    <r>
      <rPr>
        <sz val="9"/>
        <rFont val="WenQuanYi Zen Hei"/>
        <family val="2"/>
      </rPr>
      <t xml:space="preserve">條件</t>
    </r>
    <r>
      <rPr>
        <sz val="9"/>
        <rFont val="Arial"/>
        <family val="0"/>
        <charset val="1"/>
      </rPr>
      <t xml:space="preserve">C(t): max(VIX[t-3..t-1])&gt;35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VIX(t)&lt;=0.85*</t>
    </r>
    <r>
      <rPr>
        <sz val="9"/>
        <rFont val="WenQuanYi Zen Hei"/>
        <family val="2"/>
      </rPr>
      <t xml:space="preserve">該</t>
    </r>
    <r>
      <rPr>
        <sz val="9"/>
        <rFont val="Arial"/>
        <family val="0"/>
        <charset val="1"/>
      </rPr>
      <t xml:space="preserve">max; C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False</t>
    </r>
    <r>
      <rPr>
        <sz val="9"/>
        <rFont val="WenQuanYi Zen Hei"/>
        <family val="2"/>
      </rPr>
      <t xml:space="preserve">轉</t>
    </r>
    <r>
      <rPr>
        <sz val="9"/>
        <rFont val="Arial"/>
        <family val="0"/>
        <charset val="1"/>
      </rPr>
      <t xml:space="preserve">True</t>
    </r>
    <r>
      <rPr>
        <sz val="9"/>
        <rFont val="WenQuanYi Zen Hei"/>
        <family val="2"/>
      </rPr>
      <t xml:space="preserve">當日發訊</t>
    </r>
  </si>
  <si>
    <r>
      <rPr>
        <sz val="9"/>
        <rFont val="Arial"/>
        <family val="0"/>
        <charset val="1"/>
      </rPr>
      <t xml:space="preserve">2014-01-08..2026-07-10 (VIX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); bottoms_evaluated</t>
    </r>
    <r>
      <rPr>
        <sz val="9"/>
        <rFont val="WenQuanYi Zen Hei"/>
        <family val="2"/>
      </rPr>
      <t xml:space="preserve">只計此後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MAJOR BOTTOM</t>
    </r>
  </si>
  <si>
    <t xml:space="preserve">B5/7</t>
  </si>
  <si>
    <r>
      <rPr>
        <sz val="9"/>
        <rFont val="WenQuanYi Zen Hei"/>
        <family val="2"/>
      </rPr>
      <t xml:space="preserve">最可靠的</t>
    </r>
    <r>
      <rPr>
        <sz val="9"/>
        <rFont val="Arial"/>
        <family val="0"/>
        <charset val="1"/>
      </rPr>
      <t xml:space="preserve">BOTTOM</t>
    </r>
    <r>
      <rPr>
        <sz val="9"/>
        <rFont val="WenQuanYi Zen Hei"/>
        <family val="2"/>
      </rPr>
      <t xml:space="preserve">同步確認器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5/7(71%),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lead=-2(</t>
    </r>
    <r>
      <rPr>
        <sz val="9"/>
        <rFont val="WenQuanYi Zen Hei"/>
        <family val="2"/>
      </rPr>
      <t xml:space="preserve">基本上就在底部當週</t>
    </r>
    <r>
      <rPr>
        <sz val="9"/>
        <rFont val="Arial"/>
        <family val="0"/>
        <charset val="1"/>
      </rPr>
      <t xml:space="preserve">), FP</t>
    </r>
    <r>
      <rPr>
        <sz val="9"/>
        <rFont val="WenQuanYi Zen Hei"/>
        <family val="2"/>
      </rPr>
      <t xml:space="preserve">率僅</t>
    </r>
    <r>
      <rPr>
        <sz val="9"/>
        <rFont val="Arial"/>
        <family val="0"/>
        <charset val="1"/>
      </rPr>
      <t xml:space="preserve">16.7%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2018-12-24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2025-04-08</t>
    </r>
    <r>
      <rPr>
        <sz val="9"/>
        <rFont val="WenQuanYi Zen Hei"/>
        <family val="2"/>
      </rPr>
      <t xml:space="preserve">均在底部後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日確認。漏掉</t>
    </r>
    <r>
      <rPr>
        <sz val="9"/>
        <rFont val="Arial"/>
        <family val="0"/>
        <charset val="1"/>
      </rPr>
      <t xml:space="preserve">2016-02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2022-12</t>
    </r>
    <r>
      <rPr>
        <sz val="9"/>
        <rFont val="WenQuanYi Zen Hei"/>
        <family val="2"/>
      </rPr>
      <t xml:space="preserve">是因</t>
    </r>
    <r>
      <rPr>
        <sz val="9"/>
        <rFont val="Arial"/>
        <family val="0"/>
        <charset val="1"/>
      </rPr>
      <t xml:space="preserve">VIX</t>
    </r>
    <r>
      <rPr>
        <sz val="9"/>
        <rFont val="WenQuanYi Zen Hei"/>
        <family val="2"/>
      </rPr>
      <t xml:space="preserve">兩次都未超過</t>
    </r>
    <r>
      <rPr>
        <sz val="9"/>
        <rFont val="Arial"/>
        <family val="0"/>
        <charset val="1"/>
      </rPr>
      <t xml:space="preserve">35——</t>
    </r>
    <r>
      <rPr>
        <sz val="9"/>
        <rFont val="WenQuanYi Zen Hei"/>
        <family val="2"/>
      </rPr>
      <t xml:space="preserve">門檻本身限制了覆蓋。</t>
    </r>
    <r>
      <rPr>
        <sz val="9"/>
        <rFont val="Arial"/>
        <family val="0"/>
        <charset val="1"/>
      </rPr>
      <t xml:space="preserve">COVID</t>
    </r>
    <r>
      <rPr>
        <sz val="9"/>
        <rFont val="WenQuanYi Zen Hei"/>
        <family val="2"/>
      </rPr>
      <t xml:space="preserve">期間重複發訊</t>
    </r>
    <r>
      <rPr>
        <sz val="9"/>
        <rFont val="Arial"/>
        <family val="0"/>
        <charset val="1"/>
      </rPr>
      <t xml:space="preserve">(2020-03-02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筆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首筆領先真底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日。屬同步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確認型而非領先型。</t>
    </r>
  </si>
  <si>
    <r>
      <rPr>
        <sz val="9"/>
        <rFont val="WenQuanYi Zen Hei"/>
        <family val="2"/>
      </rPr>
      <t xml:space="preserve">狀態機</t>
    </r>
    <r>
      <rPr>
        <sz val="9"/>
        <rFont val="Arial"/>
        <family val="0"/>
        <charset val="1"/>
      </rPr>
      <t xml:space="preserve">: VIX&lt;14</t>
    </r>
    <r>
      <rPr>
        <sz val="9"/>
        <rFont val="WenQuanYi Zen Hei"/>
        <family val="2"/>
      </rPr>
      <t xml:space="preserve">連續</t>
    </r>
    <r>
      <rPr>
        <sz val="9"/>
        <rFont val="Arial"/>
        <family val="0"/>
        <charset val="1"/>
      </rPr>
      <t xml:space="preserve">&gt;=20</t>
    </r>
    <r>
      <rPr>
        <sz val="9"/>
        <rFont val="WenQuanYi Zen Hei"/>
        <family val="2"/>
      </rPr>
      <t xml:space="preserve">日進入武裝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中斷即歸零</t>
    </r>
    <r>
      <rPr>
        <sz val="9"/>
        <rFont val="Arial"/>
        <family val="0"/>
        <charset val="1"/>
      </rPr>
      <t xml:space="preserve">); </t>
    </r>
    <r>
      <rPr>
        <sz val="9"/>
        <rFont val="WenQuanYi Zen Hei"/>
        <family val="2"/>
      </rPr>
      <t xml:space="preserve">武裝後首次收盤</t>
    </r>
    <r>
      <rPr>
        <sz val="9"/>
        <rFont val="Arial"/>
        <family val="0"/>
        <charset val="1"/>
      </rPr>
      <t xml:space="preserve">VIX&gt;17</t>
    </r>
    <r>
      <rPr>
        <sz val="9"/>
        <rFont val="WenQuanYi Zen Hei"/>
        <family val="2"/>
      </rPr>
      <t xml:space="preserve">當日發訊並重置</t>
    </r>
  </si>
  <si>
    <r>
      <rPr>
        <sz val="9"/>
        <rFont val="Arial"/>
        <family val="0"/>
        <charset val="1"/>
      </rPr>
      <t xml:space="preserve">2014-02-03..2026-07-10 (VIX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); tops_evaluated</t>
    </r>
    <r>
      <rPr>
        <sz val="9"/>
        <rFont val="WenQuanYi Zen Hei"/>
        <family val="2"/>
      </rPr>
      <t xml:space="preserve">只計此後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MAJOR TOP</t>
    </r>
  </si>
  <si>
    <t xml:space="preserve">T1/7</t>
  </si>
  <si>
    <r>
      <rPr>
        <sz val="9"/>
        <rFont val="WenQuanYi Zen Hei"/>
        <family val="2"/>
      </rPr>
      <t xml:space="preserve">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不好用。『自滿破裂』敘事只在</t>
    </r>
    <r>
      <rPr>
        <sz val="9"/>
        <rFont val="Arial"/>
        <family val="0"/>
        <charset val="1"/>
      </rPr>
      <t xml:space="preserve">2020-02-19</t>
    </r>
    <r>
      <rPr>
        <sz val="9"/>
        <rFont val="WenQuanYi Zen Hei"/>
        <family val="2"/>
      </rPr>
      <t xml:space="preserve">頂前</t>
    </r>
    <r>
      <rPr>
        <sz val="9"/>
        <rFont val="Arial"/>
        <family val="0"/>
        <charset val="1"/>
      </rPr>
      <t xml:space="preserve">16</t>
    </r>
    <r>
      <rPr>
        <sz val="9"/>
        <rFont val="WenQuanYi Zen Hei"/>
        <family val="2"/>
      </rPr>
      <t xml:space="preserve">日應驗過一次</t>
    </r>
    <r>
      <rPr>
        <sz val="9"/>
        <rFont val="Arial"/>
        <family val="0"/>
        <charset val="1"/>
      </rPr>
      <t xml:space="preserve">(2020-01-27); </t>
    </r>
    <r>
      <rPr>
        <sz val="9"/>
        <rFont val="WenQuanYi Zen Hei"/>
        <family val="2"/>
      </rPr>
      <t xml:space="preserve">命中率</t>
    </r>
    <r>
      <rPr>
        <sz val="9"/>
        <rFont val="Arial"/>
        <family val="0"/>
        <charset val="1"/>
      </rPr>
      <t xml:space="preserve">14%(1/7), 7</t>
    </r>
    <r>
      <rPr>
        <sz val="9"/>
        <rFont val="WenQuanYi Zen Hei"/>
        <family val="2"/>
      </rPr>
      <t xml:space="preserve">筆訊號中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筆為</t>
    </r>
    <r>
      <rPr>
        <sz val="9"/>
        <rFont val="Arial"/>
        <family val="0"/>
        <charset val="1"/>
      </rPr>
      <t xml:space="preserve">FP(43%)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VIX&lt;14</t>
    </r>
    <r>
      <rPr>
        <sz val="9"/>
        <rFont val="WenQuanYi Zen Hei"/>
        <family val="2"/>
      </rPr>
      <t xml:space="preserve">連續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日的擠壓條件在</t>
    </r>
    <r>
      <rPr>
        <sz val="9"/>
        <rFont val="Arial"/>
        <family val="0"/>
        <charset val="1"/>
      </rPr>
      <t xml:space="preserve">2017-2019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2023-2024</t>
    </r>
    <r>
      <rPr>
        <sz val="9"/>
        <rFont val="WenQuanYi Zen Hei"/>
        <family val="2"/>
      </rPr>
      <t xml:space="preserve">常見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但破裂後多數只是小幅回檔而非</t>
    </r>
    <r>
      <rPr>
        <sz val="9"/>
        <rFont val="Arial"/>
        <family val="0"/>
        <charset val="1"/>
      </rPr>
      <t xml:space="preserve">MAJOR</t>
    </r>
    <r>
      <rPr>
        <sz val="9"/>
        <rFont val="WenQuanYi Zen Hei"/>
        <family val="2"/>
      </rPr>
      <t xml:space="preserve">頂。</t>
    </r>
  </si>
  <si>
    <r>
      <rPr>
        <sz val="9"/>
        <rFont val="Arial"/>
        <family val="0"/>
        <charset val="1"/>
      </rPr>
      <t xml:space="preserve">HV20(t)&gt;25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HV20(t-1)&lt;=25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close(t)&gt;SMA200(t); </t>
    </r>
    <r>
      <rPr>
        <sz val="9"/>
        <rFont val="WenQuanYi Zen Hei"/>
        <family val="2"/>
      </rPr>
      <t xml:space="preserve">每次上穿當日發訊</t>
    </r>
  </si>
  <si>
    <r>
      <rPr>
        <sz val="9"/>
        <rFont val="Arial"/>
        <family val="0"/>
        <charset val="1"/>
      </rPr>
      <t xml:space="preserve">1999-10-19..2026-07-10 (SMA200</t>
    </r>
    <r>
      <rPr>
        <sz val="9"/>
        <rFont val="WenQuanYi Zen Hei"/>
        <family val="2"/>
      </rPr>
      <t xml:space="preserve">暖機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</si>
  <si>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不好用。命中率僅</t>
    </r>
    <r>
      <rPr>
        <sz val="9"/>
        <rFont val="Arial"/>
        <family val="0"/>
        <charset val="1"/>
      </rPr>
      <t xml:space="preserve">18%(4/22),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47%; 1</t>
    </r>
    <r>
      <rPr>
        <sz val="9"/>
        <rFont val="WenQuanYi Zen Hei"/>
        <family val="2"/>
      </rPr>
      <t xml:space="preserve">筆尾端訊號列為不確定未計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。結構性問題</t>
    </r>
    <r>
      <rPr>
        <sz val="9"/>
        <rFont val="Arial"/>
        <family val="0"/>
        <charset val="1"/>
      </rPr>
      <t xml:space="preserve">: HV20</t>
    </r>
    <r>
      <rPr>
        <sz val="9"/>
        <rFont val="WenQuanYi Zen Hei"/>
        <family val="2"/>
      </rPr>
      <t xml:space="preserve">上穿</t>
    </r>
    <r>
      <rPr>
        <sz val="9"/>
        <rFont val="Arial"/>
        <family val="0"/>
        <charset val="1"/>
      </rPr>
      <t xml:space="preserve">25%</t>
    </r>
    <r>
      <rPr>
        <sz val="9"/>
        <rFont val="WenQuanYi Zen Hei"/>
        <family val="2"/>
      </rPr>
      <t xml:space="preserve">通常發生在下跌『已經開始之後』——</t>
    </r>
    <r>
      <rPr>
        <sz val="9"/>
        <rFont val="Arial"/>
        <family val="0"/>
        <charset val="1"/>
      </rPr>
      <t xml:space="preserve">2020-02-19</t>
    </r>
    <r>
      <rPr>
        <sz val="9"/>
        <rFont val="WenQuanYi Zen Hei"/>
        <family val="2"/>
      </rPr>
      <t xml:space="preserve">頂的上穿發生在</t>
    </r>
    <r>
      <rPr>
        <sz val="9"/>
        <rFont val="Arial"/>
        <family val="0"/>
        <charset val="1"/>
      </rPr>
      <t xml:space="preserve">2020-02-27(</t>
    </r>
    <r>
      <rPr>
        <sz val="9"/>
        <rFont val="WenQuanYi Zen Hei"/>
        <family val="2"/>
      </rPr>
      <t xml:space="preserve">轉折後</t>
    </r>
    <r>
      <rPr>
        <sz val="9"/>
        <rFont val="Arial"/>
        <family val="0"/>
        <charset val="1"/>
      </rPr>
      <t xml:space="preserve">+6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剛好在</t>
    </r>
    <r>
      <rPr>
        <sz val="9"/>
        <rFont val="Arial"/>
        <family val="0"/>
        <charset val="1"/>
      </rPr>
      <t xml:space="preserve">+5</t>
    </r>
    <r>
      <rPr>
        <sz val="9"/>
        <rFont val="WenQuanYi Zen Hei"/>
        <family val="2"/>
      </rPr>
      <t xml:space="preserve">窗外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屬確認跌勢而非預警頂部。低波動時代</t>
    </r>
    <r>
      <rPr>
        <sz val="9"/>
        <rFont val="Arial"/>
        <family val="0"/>
        <charset val="1"/>
      </rPr>
      <t xml:space="preserve">(2014</t>
    </r>
    <r>
      <rPr>
        <sz val="9"/>
        <rFont val="WenQuanYi Zen Hei"/>
        <family val="2"/>
      </rPr>
      <t xml:space="preserve">後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多數頂部形成時</t>
    </r>
    <r>
      <rPr>
        <sz val="9"/>
        <rFont val="Arial"/>
        <family val="0"/>
        <charset val="1"/>
      </rPr>
      <t xml:space="preserve">HV20</t>
    </r>
    <r>
      <rPr>
        <sz val="9"/>
        <rFont val="WenQuanYi Zen Hei"/>
        <family val="2"/>
      </rPr>
      <t xml:space="preserve">根本未達</t>
    </r>
    <r>
      <rPr>
        <sz val="9"/>
        <rFont val="Arial"/>
        <family val="0"/>
        <charset val="1"/>
      </rPr>
      <t xml:space="preserve">25%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</si>
  <si>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TOP: hyoas[t]-hyoas[t-20] &gt; +50bp AND ndx[t]/max(ndx[t-251..t]) &gt; 0.92; rising-edge (</t>
    </r>
    <r>
      <rPr>
        <sz val="9"/>
        <rFont val="WenQuanYi Zen Hei"/>
        <family val="2"/>
      </rPr>
      <t xml:space="preserve">首日成立才發訊</t>
    </r>
    <r>
      <rPr>
        <sz val="9"/>
        <rFont val="Arial"/>
        <family val="0"/>
        <charset val="1"/>
      </rPr>
      <t xml:space="preserve">)</t>
    </r>
  </si>
  <si>
    <t xml:space="preserve">2016-08-05..2026-07-10</t>
  </si>
  <si>
    <t xml:space="preserve">T2/6</t>
  </si>
  <si>
    <r>
      <rPr>
        <sz val="9"/>
        <rFont val="Arial"/>
        <family val="0"/>
        <charset val="1"/>
      </rPr>
      <t xml:space="preserve">MAJOR hit 2/6=33% vs </t>
    </r>
    <r>
      <rPr>
        <sz val="9"/>
        <rFont val="WenQuanYi Zen Hei"/>
        <family val="2"/>
      </rPr>
      <t xml:space="preserve">隨機基準率</t>
    </r>
    <r>
      <rPr>
        <sz val="9"/>
        <rFont val="Arial"/>
        <family val="0"/>
        <charset val="1"/>
      </rPr>
      <t xml:space="preserve">38%(</t>
    </r>
    <r>
      <rPr>
        <sz val="9"/>
        <rFont val="WenQuanYi Zen Hei"/>
        <family val="2"/>
      </rPr>
      <t xml:space="preserve">任一日其</t>
    </r>
    <r>
      <rPr>
        <sz val="9"/>
        <rFont val="Arial"/>
        <family val="0"/>
        <charset val="1"/>
      </rPr>
      <t xml:space="preserve">[t-90,t+5]</t>
    </r>
    <r>
      <rPr>
        <sz val="9"/>
        <rFont val="WenQuanYi Zen Hei"/>
        <family val="2"/>
      </rPr>
      <t xml:space="preserve">窗含訊號的機率</t>
    </r>
    <r>
      <rPr>
        <sz val="9"/>
        <rFont val="Arial"/>
        <family val="0"/>
        <charset val="1"/>
      </rPr>
      <t xml:space="preserve">) — </t>
    </r>
    <r>
      <rPr>
        <sz val="9"/>
        <rFont val="WenQuanYi Zen Hei"/>
        <family val="2"/>
      </rPr>
      <t xml:space="preserve">無優於機率的證據。關鍵失敗</t>
    </r>
    <r>
      <rPr>
        <sz val="9"/>
        <rFont val="Arial"/>
        <family val="0"/>
        <charset val="1"/>
      </rPr>
      <t xml:space="preserve">: 2020-02-19</t>
    </r>
    <r>
      <rPr>
        <sz val="9"/>
        <rFont val="WenQuanYi Zen Hei"/>
        <family val="2"/>
      </rPr>
      <t xml:space="preserve">頂在頂前</t>
    </r>
    <r>
      <rPr>
        <sz val="9"/>
        <rFont val="Arial"/>
        <family val="0"/>
        <charset val="1"/>
      </rPr>
      <t xml:space="preserve">OAS</t>
    </r>
    <r>
      <rPr>
        <sz val="9"/>
        <rFont val="WenQuanYi Zen Hei"/>
        <family val="2"/>
      </rPr>
      <t xml:space="preserve">完全未走闊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首訊</t>
    </r>
    <r>
      <rPr>
        <sz val="9"/>
        <rFont val="Arial"/>
        <family val="0"/>
        <charset val="1"/>
      </rPr>
      <t xml:space="preserve">2020-03-04, </t>
    </r>
    <r>
      <rPr>
        <sz val="9"/>
        <rFont val="WenQuanYi Zen Hei"/>
        <family val="2"/>
      </rPr>
      <t xml:space="preserve">頂後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出窗</t>
    </r>
    <r>
      <rPr>
        <sz val="9"/>
        <rFont val="Arial"/>
        <family val="0"/>
        <charset val="1"/>
      </rPr>
      <t xml:space="preserve">), 2025-02-19</t>
    </r>
    <r>
      <rPr>
        <sz val="9"/>
        <rFont val="WenQuanYi Zen Hei"/>
        <family val="2"/>
      </rPr>
      <t xml:space="preserve">頂同樣缺席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即信用利差在急崩型頂部是落後的。</t>
    </r>
    <r>
      <rPr>
        <sz val="9"/>
        <rFont val="Arial"/>
        <family val="0"/>
        <charset val="1"/>
      </rPr>
      <t xml:space="preserve">FP 14/23=61%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INTER: 9/21 hit,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lead -48</t>
    </r>
    <r>
      <rPr>
        <sz val="9"/>
        <rFont val="WenQuanYi Zen Hei"/>
        <family val="2"/>
      </rPr>
      <t xml:space="preserve">。結論</t>
    </r>
    <r>
      <rPr>
        <sz val="9"/>
        <rFont val="Arial"/>
        <family val="0"/>
        <charset val="1"/>
      </rPr>
      <t xml:space="preserve">: OAS</t>
    </r>
    <r>
      <rPr>
        <sz val="9"/>
        <rFont val="WenQuanYi Zen Hei"/>
        <family val="2"/>
      </rPr>
      <t xml:space="preserve">走闊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價近高的組合在</t>
    </r>
    <r>
      <rPr>
        <sz val="9"/>
        <rFont val="Arial"/>
        <family val="0"/>
        <charset val="1"/>
      </rPr>
      <t xml:space="preserve">NDX</t>
    </r>
    <r>
      <rPr>
        <sz val="9"/>
        <rFont val="WenQuanYi Zen Hei"/>
        <family val="2"/>
      </rPr>
      <t xml:space="preserve">頂部不領先且假訊多。</t>
    </r>
  </si>
  <si>
    <t xml:space="preserve">BOTTOM: hyoas[t] &lt; 0.92*max(hyoas[t-19..t]) AND hyoas[t] &gt; 400bp; rising-edge</t>
  </si>
  <si>
    <t xml:space="preserve">2016-08-04..2026-07-10</t>
  </si>
  <si>
    <t xml:space="preserve">B5/6</t>
  </si>
  <si>
    <r>
      <rPr>
        <sz val="9"/>
        <rFont val="WenQuanYi Zen Hei"/>
        <family val="2"/>
      </rPr>
      <t xml:space="preserve">形式上</t>
    </r>
    <r>
      <rPr>
        <sz val="9"/>
        <rFont val="Arial"/>
        <family val="0"/>
        <charset val="1"/>
      </rPr>
      <t xml:space="preserve">LEADING(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-43)</t>
    </r>
    <r>
      <rPr>
        <sz val="9"/>
        <rFont val="WenQuanYi Zen Hei"/>
        <family val="2"/>
      </rPr>
      <t xml:space="preserve">但要打折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負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全來自</t>
    </r>
    <r>
      <rPr>
        <sz val="9"/>
        <rFont val="Arial"/>
        <family val="0"/>
        <charset val="1"/>
      </rPr>
      <t xml:space="preserve">2021-22 OAS</t>
    </r>
    <r>
      <rPr>
        <sz val="9"/>
        <rFont val="WenQuanYi Zen Hei"/>
        <family val="2"/>
      </rPr>
      <t xml:space="preserve">反覆震盪期的訊號叢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窗內</t>
    </r>
    <r>
      <rPr>
        <sz val="9"/>
        <rFont val="Arial"/>
        <family val="0"/>
        <charset val="1"/>
      </rPr>
      <t xml:space="preserve">8-9</t>
    </r>
    <r>
      <rPr>
        <sz val="9"/>
        <rFont val="WenQuanYi Zen Hei"/>
        <family val="2"/>
      </rPr>
      <t xml:space="preserve">個訊號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取最早者被推向窗緣</t>
    </r>
    <r>
      <rPr>
        <sz val="9"/>
        <rFont val="Arial"/>
        <family val="0"/>
        <charset val="1"/>
      </rPr>
      <t xml:space="preserve">); </t>
    </r>
    <r>
      <rPr>
        <sz val="9"/>
        <rFont val="WenQuanYi Zen Hei"/>
        <family val="2"/>
      </rPr>
      <t xml:space="preserve">在乾淨</t>
    </r>
    <r>
      <rPr>
        <sz val="9"/>
        <rFont val="Arial"/>
        <family val="0"/>
        <charset val="1"/>
      </rPr>
      <t xml:space="preserve">V</t>
    </r>
    <r>
      <rPr>
        <sz val="9"/>
        <rFont val="WenQuanYi Zen Hei"/>
        <family val="2"/>
      </rPr>
      <t xml:space="preserve">型底</t>
    </r>
    <r>
      <rPr>
        <sz val="9"/>
        <rFont val="Arial"/>
        <family val="0"/>
        <charset val="1"/>
      </rPr>
      <t xml:space="preserve">(2020-03-20, 2025-04-08)</t>
    </r>
    <r>
      <rPr>
        <sz val="9"/>
        <rFont val="WenQuanYi Zen Hei"/>
        <family val="2"/>
      </rPr>
      <t xml:space="preserve">其實是底後</t>
    </r>
    <r>
      <rPr>
        <sz val="9"/>
        <rFont val="Arial"/>
        <family val="0"/>
        <charset val="1"/>
      </rPr>
      <t xml:space="preserve">+4</t>
    </r>
    <r>
      <rPr>
        <sz val="9"/>
        <rFont val="WenQuanYi Zen Hei"/>
        <family val="2"/>
      </rPr>
      <t xml:space="preserve">日的</t>
    </r>
    <r>
      <rPr>
        <sz val="9"/>
        <rFont val="Arial"/>
        <family val="0"/>
        <charset val="1"/>
      </rPr>
      <t xml:space="preserve">coincident</t>
    </r>
    <r>
      <rPr>
        <sz val="9"/>
        <rFont val="WenQuanYi Zen Hei"/>
        <family val="2"/>
      </rPr>
      <t xml:space="preserve">確認訊號 — 作為『底部確認』比『領先預測』誠實。</t>
    </r>
    <r>
      <rPr>
        <sz val="9"/>
        <rFont val="Arial"/>
        <family val="0"/>
        <charset val="1"/>
      </rPr>
      <t xml:space="preserve">2018-12-24</t>
    </r>
    <r>
      <rPr>
        <sz val="9"/>
        <rFont val="WenQuanYi Zen Hei"/>
        <family val="2"/>
      </rPr>
      <t xml:space="preserve">漏失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當時</t>
    </r>
    <r>
      <rPr>
        <sz val="9"/>
        <rFont val="Arial"/>
        <family val="0"/>
        <charset val="1"/>
      </rPr>
      <t xml:space="preserve">OAS</t>
    </r>
    <r>
      <rPr>
        <sz val="9"/>
        <rFont val="WenQuanYi Zen Hei"/>
        <family val="2"/>
      </rPr>
      <t xml:space="preserve">峰值</t>
    </r>
    <r>
      <rPr>
        <sz val="9"/>
        <rFont val="Arial"/>
        <family val="0"/>
        <charset val="1"/>
      </rPr>
      <t xml:space="preserve">537, </t>
    </r>
    <r>
      <rPr>
        <sz val="9"/>
        <rFont val="WenQuanYi Zen Hei"/>
        <family val="2"/>
      </rPr>
      <t xml:space="preserve">回落確認在</t>
    </r>
    <r>
      <rPr>
        <sz val="9"/>
        <rFont val="Arial"/>
        <family val="0"/>
        <charset val="1"/>
      </rPr>
      <t xml:space="preserve">+5</t>
    </r>
    <r>
      <rPr>
        <sz val="9"/>
        <rFont val="WenQuanYi Zen Hei"/>
        <family val="2"/>
      </rPr>
      <t xml:space="preserve">窗外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FP 31/65=48%</t>
    </r>
    <r>
      <rPr>
        <sz val="9"/>
        <rFont val="WenQuanYi Zen Hei"/>
        <family val="2"/>
      </rPr>
      <t xml:space="preserve">高。</t>
    </r>
    <r>
      <rPr>
        <sz val="9"/>
        <rFont val="Arial"/>
        <family val="0"/>
        <charset val="1"/>
      </rPr>
      <t xml:space="preserve">hit 5/6=83% vs </t>
    </r>
    <r>
      <rPr>
        <sz val="9"/>
        <rFont val="WenQuanYi Zen Hei"/>
        <family val="2"/>
      </rPr>
      <t xml:space="preserve">基準率</t>
    </r>
    <r>
      <rPr>
        <sz val="9"/>
        <rFont val="Arial"/>
        <family val="0"/>
        <charset val="1"/>
      </rPr>
      <t xml:space="preserve">61%, </t>
    </r>
    <r>
      <rPr>
        <sz val="9"/>
        <rFont val="WenQuanYi Zen Hei"/>
        <family val="2"/>
      </rPr>
      <t xml:space="preserve">僅小幅優於機率。</t>
    </r>
    <r>
      <rPr>
        <sz val="9"/>
        <rFont val="Arial"/>
        <family val="0"/>
        <charset val="1"/>
      </rPr>
      <t xml:space="preserve">INTER: 14/21,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-78.5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</si>
  <si>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TOP: ndx[t]&gt;=max(ndx[t-62..t])(63</t>
    </r>
    <r>
      <rPr>
        <sz val="9"/>
        <rFont val="WenQuanYi Zen Hei"/>
        <family val="2"/>
      </rPr>
      <t xml:space="preserve">日新高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breadth[t] &lt;= (</t>
    </r>
    <r>
      <rPr>
        <sz val="9"/>
        <rFont val="WenQuanYi Zen Hei"/>
        <family val="2"/>
      </rPr>
      <t xml:space="preserve">上一段新高期最後一日的</t>
    </r>
    <r>
      <rPr>
        <sz val="9"/>
        <rFont val="Arial"/>
        <family val="0"/>
        <charset val="1"/>
      </rPr>
      <t xml:space="preserve">breadth) - 5pp; </t>
    </r>
    <r>
      <rPr>
        <sz val="9"/>
        <rFont val="WenQuanYi Zen Hei"/>
        <family val="2"/>
      </rPr>
      <t xml:space="preserve">參考點只用已確認的過去新高日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無前視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每段新高期最多發一次</t>
    </r>
  </si>
  <si>
    <t xml:space="preserve">2016-07-08..2026-07-10</t>
  </si>
  <si>
    <t xml:space="preserve">T6/6</t>
  </si>
  <si>
    <r>
      <rPr>
        <sz val="9"/>
        <rFont val="WenQuanYi Zen Hei"/>
        <family val="2"/>
      </rPr>
      <t xml:space="preserve">本家族最佳指標。</t>
    </r>
    <r>
      <rPr>
        <sz val="9"/>
        <rFont val="Arial"/>
        <family val="0"/>
        <charset val="1"/>
      </rPr>
      <t xml:space="preserve">MAJOR hit 6/6=100% vs </t>
    </r>
    <r>
      <rPr>
        <sz val="9"/>
        <rFont val="WenQuanYi Zen Hei"/>
        <family val="2"/>
      </rPr>
      <t xml:space="preserve">基準率</t>
    </r>
    <r>
      <rPr>
        <sz val="9"/>
        <rFont val="Arial"/>
        <family val="0"/>
        <charset val="1"/>
      </rPr>
      <t xml:space="preserve">60%; FP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3/24=12.5%(1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2026</t>
    </r>
    <r>
      <rPr>
        <sz val="9"/>
        <rFont val="WenQuanYi Zen Hei"/>
        <family val="2"/>
      </rPr>
      <t xml:space="preserve">年訊號因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日前瞻窗被資料截斷列為不確定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已剔除分母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且訊號稀疏</t>
    </r>
    <r>
      <rPr>
        <sz val="9"/>
        <rFont val="Arial"/>
        <family val="0"/>
        <charset val="1"/>
      </rPr>
      <t xml:space="preserve">(25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/10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、窗內通常僅</t>
    </r>
    <r>
      <rPr>
        <sz val="9"/>
        <rFont val="Arial"/>
        <family val="0"/>
        <charset val="1"/>
      </rPr>
      <t xml:space="preserve">1-3</t>
    </r>
    <r>
      <rPr>
        <sz val="9"/>
        <rFont val="WenQuanYi Zen Hei"/>
        <family val="2"/>
      </rPr>
      <t xml:space="preserve">個訊號</t>
    </r>
    <r>
      <rPr>
        <sz val="9"/>
        <rFont val="Arial"/>
        <family val="0"/>
        <charset val="1"/>
      </rPr>
      <t xml:space="preserve">, lead</t>
    </r>
    <r>
      <rPr>
        <sz val="9"/>
        <rFont val="WenQuanYi Zen Hei"/>
        <family val="2"/>
      </rPr>
      <t xml:space="preserve">不是窗緣假象。中位</t>
    </r>
    <r>
      <rPr>
        <sz val="9"/>
        <rFont val="Arial"/>
        <family val="0"/>
        <charset val="1"/>
      </rPr>
      <t xml:space="preserve">lead -69(</t>
    </r>
    <r>
      <rPr>
        <sz val="9"/>
        <rFont val="WenQuanYi Zen Hei"/>
        <family val="2"/>
      </rPr>
      <t xml:space="preserve">約</t>
    </r>
    <r>
      <rPr>
        <sz val="9"/>
        <rFont val="Arial"/>
        <family val="0"/>
        <charset val="1"/>
      </rPr>
      <t xml:space="preserve">3.3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): </t>
    </r>
    <r>
      <rPr>
        <sz val="9"/>
        <rFont val="WenQuanYi Zen Hei"/>
        <family val="2"/>
      </rPr>
      <t xml:space="preserve">屬『早期警戒』而非精確擇時 — 訊號後價格常再創高一段時間才見頂。</t>
    </r>
    <r>
      <rPr>
        <sz val="9"/>
        <rFont val="Arial"/>
        <family val="0"/>
        <charset val="1"/>
      </rPr>
      <t xml:space="preserve">INTER: 15/21=71%,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-73</t>
    </r>
    <r>
      <rPr>
        <sz val="9"/>
        <rFont val="WenQuanYi Zen Hei"/>
        <family val="2"/>
      </rPr>
      <t xml:space="preserve">。典型案例</t>
    </r>
    <r>
      <rPr>
        <sz val="9"/>
        <rFont val="Arial"/>
        <family val="0"/>
        <charset val="1"/>
      </rPr>
      <t xml:space="preserve">: 2024-10-29</t>
    </r>
    <r>
      <rPr>
        <sz val="9"/>
        <rFont val="WenQuanYi Zen Hei"/>
        <family val="2"/>
      </rPr>
      <t xml:space="preserve">發訊</t>
    </r>
    <r>
      <rPr>
        <sz val="9"/>
        <rFont val="Arial"/>
        <family val="0"/>
        <charset val="1"/>
      </rPr>
      <t xml:space="preserve">, 2025-02-19</t>
    </r>
    <r>
      <rPr>
        <sz val="9"/>
        <rFont val="WenQuanYi Zen Hei"/>
        <family val="2"/>
      </rPr>
      <t xml:space="preserve">見頂。</t>
    </r>
  </si>
  <si>
    <r>
      <rPr>
        <sz val="9"/>
        <rFont val="Arial"/>
        <family val="0"/>
        <charset val="1"/>
      </rPr>
      <t xml:space="preserve">BOTTOM: breadth&lt;30%</t>
    </r>
    <r>
      <rPr>
        <sz val="9"/>
        <rFont val="WenQuanYi Zen Hei"/>
        <family val="2"/>
      </rPr>
      <t xml:space="preserve">後</t>
    </r>
    <r>
      <rPr>
        <sz val="9"/>
        <rFont val="Arial"/>
        <family val="0"/>
        <charset val="1"/>
      </rPr>
      <t xml:space="preserve">(armed), </t>
    </r>
    <r>
      <rPr>
        <sz val="9"/>
        <rFont val="WenQuanYi Zen Hei"/>
        <family val="2"/>
      </rPr>
      <t xml:space="preserve">首日</t>
    </r>
    <r>
      <rPr>
        <sz val="9"/>
        <rFont val="Arial"/>
        <family val="0"/>
        <charset val="1"/>
      </rPr>
      <t xml:space="preserve">breadth&gt;=35%</t>
    </r>
    <r>
      <rPr>
        <sz val="9"/>
        <rFont val="WenQuanYi Zen Hei"/>
        <family val="2"/>
      </rPr>
      <t xml:space="preserve">發訊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發訊後解除直到再次</t>
    </r>
    <r>
      <rPr>
        <sz val="9"/>
        <rFont val="Arial"/>
        <family val="0"/>
        <charset val="1"/>
      </rPr>
      <t xml:space="preserve">&lt;30%</t>
    </r>
  </si>
  <si>
    <t xml:space="preserve">B4/6</t>
  </si>
  <si>
    <r>
      <rPr>
        <sz val="9"/>
        <rFont val="Arial"/>
        <family val="0"/>
        <charset val="1"/>
      </rPr>
      <t xml:space="preserve">hit 4/6=67% vs </t>
    </r>
    <r>
      <rPr>
        <sz val="9"/>
        <rFont val="WenQuanYi Zen Hei"/>
        <family val="2"/>
      </rPr>
      <t xml:space="preserve">基準率</t>
    </r>
    <r>
      <rPr>
        <sz val="9"/>
        <rFont val="Arial"/>
        <family val="0"/>
        <charset val="1"/>
      </rPr>
      <t xml:space="preserve">24% — </t>
    </r>
    <r>
      <rPr>
        <sz val="9"/>
        <rFont val="WenQuanYi Zen Hei"/>
        <family val="2"/>
      </rPr>
      <t xml:space="preserve">明顯優於機率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且訊號極稀疏</t>
    </r>
    <r>
      <rPr>
        <sz val="9"/>
        <rFont val="Arial"/>
        <family val="0"/>
        <charset val="1"/>
      </rPr>
      <t xml:space="preserve">(9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/10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。兩個『漏失』其實是遲到確認</t>
    </r>
    <r>
      <rPr>
        <sz val="9"/>
        <rFont val="Arial"/>
        <family val="0"/>
        <charset val="1"/>
      </rPr>
      <t xml:space="preserve">: 2018-12-24</t>
    </r>
    <r>
      <rPr>
        <sz val="9"/>
        <rFont val="WenQuanYi Zen Hei"/>
        <family val="2"/>
      </rPr>
      <t xml:space="preserve">底的回升訊號在</t>
    </r>
    <r>
      <rPr>
        <sz val="9"/>
        <rFont val="Arial"/>
        <family val="0"/>
        <charset val="1"/>
      </rPr>
      <t xml:space="preserve">2019-01-15(+14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), 2020-03-20</t>
    </r>
    <r>
      <rPr>
        <sz val="9"/>
        <rFont val="WenQuanYi Zen Hei"/>
        <family val="2"/>
      </rPr>
      <t xml:space="preserve">底在</t>
    </r>
    <r>
      <rPr>
        <sz val="9"/>
        <rFont val="Arial"/>
        <family val="0"/>
        <charset val="1"/>
      </rPr>
      <t xml:space="preserve">2020-04-06(+11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都在</t>
    </r>
    <r>
      <rPr>
        <sz val="9"/>
        <rFont val="Arial"/>
        <family val="0"/>
        <charset val="1"/>
      </rPr>
      <t xml:space="preserve">+5</t>
    </r>
    <r>
      <rPr>
        <sz val="9"/>
        <rFont val="WenQuanYi Zen Hei"/>
        <family val="2"/>
      </rPr>
      <t xml:space="preserve">窗外被判</t>
    </r>
    <r>
      <rPr>
        <sz val="9"/>
        <rFont val="Arial"/>
        <family val="0"/>
        <charset val="1"/>
      </rPr>
      <t xml:space="preserve">miss</t>
    </r>
    <r>
      <rPr>
        <sz val="9"/>
        <rFont val="WenQuanYi Zen Hei"/>
        <family val="2"/>
      </rPr>
      <t xml:space="preserve">、又因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日內無下一個底被判</t>
    </r>
    <r>
      <rPr>
        <sz val="9"/>
        <rFont val="Arial"/>
        <family val="0"/>
        <charset val="1"/>
      </rPr>
      <t xml:space="preserve">FP(FP 3/9</t>
    </r>
    <r>
      <rPr>
        <sz val="9"/>
        <rFont val="WenQuanYi Zen Hei"/>
        <family val="2"/>
      </rPr>
      <t xml:space="preserve">含這兩個</t>
    </r>
    <r>
      <rPr>
        <sz val="9"/>
        <rFont val="Arial"/>
        <family val="0"/>
        <charset val="1"/>
      </rPr>
      <t xml:space="preserve">) — </t>
    </r>
    <r>
      <rPr>
        <sz val="9"/>
        <rFont val="WenQuanYi Zen Hei"/>
        <family val="2"/>
      </rPr>
      <t xml:space="preserve">即對急崩</t>
    </r>
    <r>
      <rPr>
        <sz val="9"/>
        <rFont val="Arial"/>
        <family val="0"/>
        <charset val="1"/>
      </rPr>
      <t xml:space="preserve">V</t>
    </r>
    <r>
      <rPr>
        <sz val="9"/>
        <rFont val="WenQuanYi Zen Hei"/>
        <family val="2"/>
      </rPr>
      <t xml:space="preserve">型底它是落後確認</t>
    </r>
    <r>
      <rPr>
        <sz val="9"/>
        <rFont val="Arial"/>
        <family val="0"/>
        <charset val="1"/>
      </rPr>
      <t xml:space="preserve">(+11~+14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對磨底型</t>
    </r>
    <r>
      <rPr>
        <sz val="9"/>
        <rFont val="Arial"/>
        <family val="0"/>
        <charset val="1"/>
      </rPr>
      <t xml:space="preserve">(2022, 2025)</t>
    </r>
    <r>
      <rPr>
        <sz val="9"/>
        <rFont val="WenQuanYi Zen Hei"/>
        <family val="2"/>
      </rPr>
      <t xml:space="preserve">反而領先</t>
    </r>
    <r>
      <rPr>
        <sz val="9"/>
        <rFont val="Arial"/>
        <family val="0"/>
        <charset val="1"/>
      </rPr>
      <t xml:space="preserve">11-78</t>
    </r>
    <r>
      <rPr>
        <sz val="9"/>
        <rFont val="WenQuanYi Zen Hei"/>
        <family val="2"/>
      </rPr>
      <t xml:space="preserve">日。</t>
    </r>
    <r>
      <rPr>
        <sz val="9"/>
        <rFont val="Arial"/>
        <family val="0"/>
        <charset val="1"/>
      </rPr>
      <t xml:space="preserve">-78</t>
    </r>
    <r>
      <rPr>
        <sz val="9"/>
        <rFont val="WenQuanYi Zen Hei"/>
        <family val="2"/>
      </rPr>
      <t xml:space="preserve">的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2022-02-24</t>
    </r>
    <r>
      <rPr>
        <sz val="9"/>
        <rFont val="WenQuanYi Zen Hei"/>
        <family val="2"/>
      </rPr>
      <t xml:space="preserve">訊號同時落入</t>
    </r>
    <r>
      <rPr>
        <sz val="9"/>
        <rFont val="Arial"/>
        <family val="0"/>
        <charset val="1"/>
      </rPr>
      <t xml:space="preserve">3-14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6-16</t>
    </r>
    <r>
      <rPr>
        <sz val="9"/>
        <rFont val="WenQuanYi Zen Hei"/>
        <family val="2"/>
      </rPr>
      <t xml:space="preserve">兩底的窗所致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保守解讀取</t>
    </r>
    <r>
      <rPr>
        <sz val="9"/>
        <rFont val="Arial"/>
        <family val="0"/>
        <charset val="1"/>
      </rPr>
      <t xml:space="preserve">-12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INTER: 7/21,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-62</t>
    </r>
    <r>
      <rPr>
        <sz val="9"/>
        <rFont val="WenQuanYi Zen Hei"/>
        <family val="2"/>
      </rPr>
      <t xml:space="preserve">。</t>
    </r>
  </si>
  <si>
    <t xml:space="preserve">TOP: max(breadth[t-59..t]) - breadth[t] &gt;= 15pp AND ndx[t]/max(ndx[t-251..t]) &gt; 0.95; rising-edge</t>
  </si>
  <si>
    <t xml:space="preserve">2016-09-30..2026-07-10</t>
  </si>
  <si>
    <t xml:space="preserve">T4/6</t>
  </si>
  <si>
    <r>
      <rPr>
        <sz val="9"/>
        <rFont val="Arial"/>
        <family val="0"/>
        <charset val="1"/>
      </rPr>
      <t xml:space="preserve">hit 4/6=67% vs </t>
    </r>
    <r>
      <rPr>
        <sz val="9"/>
        <rFont val="WenQuanYi Zen Hei"/>
        <family val="2"/>
      </rPr>
      <t xml:space="preserve">基準率</t>
    </r>
    <r>
      <rPr>
        <sz val="9"/>
        <rFont val="Arial"/>
        <family val="0"/>
        <charset val="1"/>
      </rPr>
      <t xml:space="preserve">55%(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+12pp); </t>
    </r>
    <r>
      <rPr>
        <sz val="9"/>
        <rFont val="WenQuanYi Zen Hei"/>
        <family val="2"/>
      </rPr>
      <t xml:space="preserve">但兩個漏失</t>
    </r>
    <r>
      <rPr>
        <sz val="9"/>
        <rFont val="Arial"/>
        <family val="0"/>
        <charset val="1"/>
      </rPr>
      <t xml:space="preserve">(2022-03-29, 2022-08-15</t>
    </r>
    <r>
      <rPr>
        <sz val="9"/>
        <rFont val="WenQuanYi Zen Hei"/>
        <family val="2"/>
      </rPr>
      <t xml:space="preserve">熊反頂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是規則機械上不可達的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價遠離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日高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在可觸發樣本中</t>
    </r>
    <r>
      <rPr>
        <sz val="9"/>
        <rFont val="Arial"/>
        <family val="0"/>
        <charset val="1"/>
      </rPr>
      <t xml:space="preserve">4/4</t>
    </r>
    <r>
      <rPr>
        <sz val="9"/>
        <rFont val="WenQuanYi Zen Hei"/>
        <family val="2"/>
      </rPr>
      <t xml:space="preserve">。中位</t>
    </r>
    <r>
      <rPr>
        <sz val="9"/>
        <rFont val="Arial"/>
        <family val="0"/>
        <charset val="1"/>
      </rPr>
      <t xml:space="preserve">lead -82</t>
    </r>
    <r>
      <rPr>
        <sz val="9"/>
        <rFont val="WenQuanYi Zen Hei"/>
        <family val="2"/>
      </rPr>
      <t xml:space="preserve">貼窗緣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領先過遠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是『廣度先行惡化』的體制警訊而非擇時工具</t>
    </r>
    <r>
      <rPr>
        <sz val="9"/>
        <rFont val="Arial"/>
        <family val="0"/>
        <charset val="1"/>
      </rPr>
      <t xml:space="preserve">(2019-10-09</t>
    </r>
    <r>
      <rPr>
        <sz val="9"/>
        <rFont val="WenQuanYi Zen Hei"/>
        <family val="2"/>
      </rPr>
      <t xml:space="preserve">發訊→頂在</t>
    </r>
    <r>
      <rPr>
        <sz val="9"/>
        <rFont val="Arial"/>
        <family val="0"/>
        <charset val="1"/>
      </rPr>
      <t xml:space="preserve">4.5</t>
    </r>
    <r>
      <rPr>
        <sz val="9"/>
        <rFont val="WenQuanYi Zen Hei"/>
        <family val="2"/>
      </rPr>
      <t xml:space="preserve">個月後</t>
    </r>
    <r>
      <rPr>
        <sz val="9"/>
        <rFont val="Arial"/>
        <family val="0"/>
        <charset val="1"/>
      </rPr>
      <t xml:space="preserve">; 2024-10-16→2025-02-19)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FP 12/50=24%</t>
    </r>
    <r>
      <rPr>
        <sz val="9"/>
        <rFont val="WenQuanYi Zen Hei"/>
        <family val="2"/>
      </rPr>
      <t xml:space="preserve">尚可。</t>
    </r>
    <r>
      <rPr>
        <sz val="9"/>
        <rFont val="Arial"/>
        <family val="0"/>
        <charset val="1"/>
      </rPr>
      <t xml:space="preserve">INTER: 10/21=48%, </t>
    </r>
    <r>
      <rPr>
        <sz val="9"/>
        <rFont val="WenQuanYi Zen Hei"/>
        <family val="2"/>
      </rPr>
      <t xml:space="preserve">低於基準率</t>
    </r>
    <r>
      <rPr>
        <sz val="9"/>
        <rFont val="Arial"/>
        <family val="0"/>
        <charset val="1"/>
      </rPr>
      <t xml:space="preserve">55% — </t>
    </r>
    <r>
      <rPr>
        <sz val="9"/>
        <rFont val="WenQuanYi Zen Hei"/>
        <family val="2"/>
      </rPr>
      <t xml:space="preserve">對中級頂無增量價值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只對主要頂有意義。</t>
    </r>
  </si>
  <si>
    <r>
      <rPr>
        <sz val="9"/>
        <rFont val="Arial"/>
        <family val="0"/>
        <charset val="1"/>
      </rPr>
      <t xml:space="preserve">TOP: score[t-1]&gt;=70 AND score[t]&lt;70 (</t>
    </r>
    <r>
      <rPr>
        <sz val="9"/>
        <rFont val="WenQuanYi Zen Hei"/>
        <family val="2"/>
      </rPr>
      <t xml:space="preserve">向下跌穿</t>
    </r>
    <r>
      <rPr>
        <sz val="9"/>
        <rFont val="Arial"/>
        <family val="0"/>
        <charset val="1"/>
      </rPr>
      <t xml:space="preserve">70)</t>
    </r>
  </si>
  <si>
    <t xml:space="preserve">2016-07-11..2026-07-10</t>
  </si>
  <si>
    <t xml:space="preserve">T5/6</t>
  </si>
  <si>
    <r>
      <rPr>
        <sz val="9"/>
        <rFont val="WenQuanYi Zen Hei"/>
        <family val="2"/>
      </rPr>
      <t xml:space="preserve">原工作簿引擎</t>
    </r>
    <r>
      <rPr>
        <sz val="9"/>
        <rFont val="Arial"/>
        <family val="0"/>
        <charset val="1"/>
      </rPr>
      <t xml:space="preserve">TOP</t>
    </r>
    <r>
      <rPr>
        <sz val="9"/>
        <rFont val="WenQuanYi Zen Hei"/>
        <family val="2"/>
      </rPr>
      <t xml:space="preserve">面誠實結論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無先行性優勢。跌穿</t>
    </r>
    <r>
      <rPr>
        <sz val="9"/>
        <rFont val="Arial"/>
        <family val="0"/>
        <charset val="1"/>
      </rPr>
      <t xml:space="preserve">70</t>
    </r>
    <r>
      <rPr>
        <sz val="9"/>
        <rFont val="WenQuanYi Zen Hei"/>
        <family val="2"/>
      </rPr>
      <t xml:space="preserve">十年發生</t>
    </r>
    <r>
      <rPr>
        <sz val="9"/>
        <rFont val="Arial"/>
        <family val="0"/>
        <charset val="1"/>
      </rPr>
      <t xml:space="preserve">70</t>
    </r>
    <r>
      <rPr>
        <sz val="9"/>
        <rFont val="WenQuanYi Zen Hei"/>
        <family val="2"/>
      </rPr>
      <t xml:space="preserve">次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每年約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次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任一日的</t>
    </r>
    <r>
      <rPr>
        <sz val="9"/>
        <rFont val="Arial"/>
        <family val="0"/>
        <charset val="1"/>
      </rPr>
      <t xml:space="preserve">[t-90,t+5]</t>
    </r>
    <r>
      <rPr>
        <sz val="9"/>
        <rFont val="WenQuanYi Zen Hei"/>
        <family val="2"/>
      </rPr>
      <t xml:space="preserve">窗有</t>
    </r>
    <r>
      <rPr>
        <sz val="9"/>
        <rFont val="Arial"/>
        <family val="0"/>
        <charset val="1"/>
      </rPr>
      <t xml:space="preserve">79%</t>
    </r>
    <r>
      <rPr>
        <sz val="9"/>
        <rFont val="WenQuanYi Zen Hei"/>
        <family val="2"/>
      </rPr>
      <t xml:space="preserve">機率含訊號</t>
    </r>
    <r>
      <rPr>
        <sz val="9"/>
        <rFont val="Arial"/>
        <family val="0"/>
        <charset val="1"/>
      </rPr>
      <t xml:space="preserve">, hit 5/6=83%</t>
    </r>
    <r>
      <rPr>
        <sz val="9"/>
        <rFont val="WenQuanYi Zen Hei"/>
        <family val="2"/>
      </rPr>
      <t xml:space="preserve">僅比擲硬幣式基準高</t>
    </r>
    <r>
      <rPr>
        <sz val="9"/>
        <rFont val="Arial"/>
        <family val="0"/>
        <charset val="1"/>
      </rPr>
      <t xml:space="preserve">4pp</t>
    </r>
    <r>
      <rPr>
        <sz val="9"/>
        <rFont val="WenQuanYi Zen Hei"/>
        <family val="2"/>
      </rPr>
      <t xml:space="preserve">。對</t>
    </r>
    <r>
      <rPr>
        <sz val="9"/>
        <rFont val="Arial"/>
        <family val="0"/>
        <charset val="1"/>
      </rPr>
      <t xml:space="preserve">2020-02-19</t>
    </r>
    <r>
      <rPr>
        <sz val="9"/>
        <rFont val="WenQuanYi Zen Hei"/>
        <family val="2"/>
      </rPr>
      <t xml:space="preserve">頂僅</t>
    </r>
    <r>
      <rPr>
        <sz val="9"/>
        <rFont val="Arial"/>
        <family val="0"/>
        <charset val="1"/>
      </rPr>
      <t xml:space="preserve">+3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(coincident); FP 27/62=44%(8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2026</t>
    </r>
    <r>
      <rPr>
        <sz val="9"/>
        <rFont val="WenQuanYi Zen Hei"/>
        <family val="2"/>
      </rPr>
      <t xml:space="preserve">年訊號前瞻窗截斷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剔除分母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INTER: 15/21,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-68</t>
    </r>
    <r>
      <rPr>
        <sz val="9"/>
        <rFont val="WenQuanYi Zen Hei"/>
        <family val="2"/>
      </rPr>
      <t xml:space="preserve">。引擎的</t>
    </r>
    <r>
      <rPr>
        <sz val="9"/>
        <rFont val="Arial"/>
        <family val="0"/>
        <charset val="1"/>
      </rPr>
      <t xml:space="preserve">70</t>
    </r>
    <r>
      <rPr>
        <sz val="9"/>
        <rFont val="WenQuanYi Zen Hei"/>
        <family val="2"/>
      </rPr>
      <t xml:space="preserve">界線太淺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牛市中的正常回檔即頻繁觸發。</t>
    </r>
  </si>
  <si>
    <r>
      <rPr>
        <sz val="9"/>
        <rFont val="Arial"/>
        <family val="0"/>
        <charset val="1"/>
      </rPr>
      <t xml:space="preserve">BOTTOM: score&lt;40</t>
    </r>
    <r>
      <rPr>
        <sz val="9"/>
        <rFont val="WenQuanYi Zen Hei"/>
        <family val="2"/>
      </rPr>
      <t xml:space="preserve">後</t>
    </r>
    <r>
      <rPr>
        <sz val="9"/>
        <rFont val="Arial"/>
        <family val="0"/>
        <charset val="1"/>
      </rPr>
      <t xml:space="preserve">(armed), </t>
    </r>
    <r>
      <rPr>
        <sz val="9"/>
        <rFont val="WenQuanYi Zen Hei"/>
        <family val="2"/>
      </rPr>
      <t xml:space="preserve">首日</t>
    </r>
    <r>
      <rPr>
        <sz val="9"/>
        <rFont val="Arial"/>
        <family val="0"/>
        <charset val="1"/>
      </rPr>
      <t xml:space="preserve">score&gt;=45</t>
    </r>
    <r>
      <rPr>
        <sz val="9"/>
        <rFont val="WenQuanYi Zen Hei"/>
        <family val="2"/>
      </rPr>
      <t xml:space="preserve">發訊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發訊後解除直到再次</t>
    </r>
    <r>
      <rPr>
        <sz val="9"/>
        <rFont val="Arial"/>
        <family val="0"/>
        <charset val="1"/>
      </rPr>
      <t xml:space="preserve">&lt;40</t>
    </r>
  </si>
  <si>
    <r>
      <rPr>
        <sz val="9"/>
        <rFont val="WenQuanYi Zen Hei"/>
        <family val="2"/>
      </rPr>
      <t xml:space="preserve">原引擎</t>
    </r>
    <r>
      <rPr>
        <sz val="9"/>
        <rFont val="Arial"/>
        <family val="0"/>
        <charset val="1"/>
      </rPr>
      <t xml:space="preserve">BOTTOM</t>
    </r>
    <r>
      <rPr>
        <sz val="9"/>
        <rFont val="WenQuanYi Zen Hei"/>
        <family val="2"/>
      </rPr>
      <t xml:space="preserve">面明顯比</t>
    </r>
    <r>
      <rPr>
        <sz val="9"/>
        <rFont val="Arial"/>
        <family val="0"/>
        <charset val="1"/>
      </rPr>
      <t xml:space="preserve">TOP</t>
    </r>
    <r>
      <rPr>
        <sz val="9"/>
        <rFont val="WenQuanYi Zen Hei"/>
        <family val="2"/>
      </rPr>
      <t xml:space="preserve">面好</t>
    </r>
    <r>
      <rPr>
        <sz val="9"/>
        <rFont val="Arial"/>
        <family val="0"/>
        <charset val="1"/>
      </rPr>
      <t xml:space="preserve">: hit 5/6=83% vs </t>
    </r>
    <r>
      <rPr>
        <sz val="9"/>
        <rFont val="WenQuanYi Zen Hei"/>
        <family val="2"/>
      </rPr>
      <t xml:space="preserve">基準率僅</t>
    </r>
    <r>
      <rPr>
        <sz val="9"/>
        <rFont val="Arial"/>
        <family val="0"/>
        <charset val="1"/>
      </rPr>
      <t xml:space="preserve">29%, </t>
    </r>
    <r>
      <rPr>
        <sz val="9"/>
        <rFont val="WenQuanYi Zen Hei"/>
        <family val="2"/>
      </rPr>
      <t xml:space="preserve">訊號稀疏</t>
    </r>
    <r>
      <rPr>
        <sz val="9"/>
        <rFont val="Arial"/>
        <family val="0"/>
        <charset val="1"/>
      </rPr>
      <t xml:space="preserve">(16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/10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lead -29(</t>
    </r>
    <r>
      <rPr>
        <sz val="9"/>
        <rFont val="WenQuanYi Zen Hei"/>
        <family val="2"/>
      </rPr>
      <t xml:space="preserve">約</t>
    </r>
    <r>
      <rPr>
        <sz val="9"/>
        <rFont val="Arial"/>
        <family val="0"/>
        <charset val="1"/>
      </rPr>
      <t xml:space="preserve">1.4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且分佈緊</t>
    </r>
    <r>
      <rPr>
        <sz val="9"/>
        <rFont val="Arial"/>
        <family val="0"/>
        <charset val="1"/>
      </rPr>
      <t xml:space="preserve">(-8~-56), </t>
    </r>
    <r>
      <rPr>
        <sz val="9"/>
        <rFont val="WenQuanYi Zen Hei"/>
        <family val="2"/>
      </rPr>
      <t xml:space="preserve">不是窗緣假象。漏失</t>
    </r>
    <r>
      <rPr>
        <sz val="9"/>
        <rFont val="Arial"/>
        <family val="0"/>
        <charset val="1"/>
      </rPr>
      <t xml:space="preserve">2022-12-28(</t>
    </r>
    <r>
      <rPr>
        <sz val="9"/>
        <rFont val="WenQuanYi Zen Hei"/>
        <family val="2"/>
      </rPr>
      <t xml:space="preserve">當時</t>
    </r>
    <r>
      <rPr>
        <sz val="9"/>
        <rFont val="Arial"/>
        <family val="0"/>
        <charset val="1"/>
      </rPr>
      <t xml:space="preserve">score</t>
    </r>
    <r>
      <rPr>
        <sz val="9"/>
        <rFont val="WenQuanYi Zen Hei"/>
        <family val="2"/>
      </rPr>
      <t xml:space="preserve">回升過</t>
    </r>
    <r>
      <rPr>
        <sz val="9"/>
        <rFont val="Arial"/>
        <family val="0"/>
        <charset val="1"/>
      </rPr>
      <t xml:space="preserve">45</t>
    </r>
    <r>
      <rPr>
        <sz val="9"/>
        <rFont val="WenQuanYi Zen Hei"/>
        <family val="2"/>
      </rPr>
      <t xml:space="preserve">發生在</t>
    </r>
    <r>
      <rPr>
        <sz val="9"/>
        <rFont val="Arial"/>
        <family val="0"/>
        <charset val="1"/>
      </rPr>
      <t xml:space="preserve">2023-01-12, </t>
    </r>
    <r>
      <rPr>
        <sz val="9"/>
        <rFont val="WenQuanYi Zen Hei"/>
        <family val="2"/>
      </rPr>
      <t xml:space="preserve">底後</t>
    </r>
    <r>
      <rPr>
        <sz val="9"/>
        <rFont val="Arial"/>
        <family val="0"/>
        <charset val="1"/>
      </rPr>
      <t xml:space="preserve">+9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差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日出窗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。代價是</t>
    </r>
    <r>
      <rPr>
        <sz val="9"/>
        <rFont val="Arial"/>
        <family val="0"/>
        <charset val="1"/>
      </rPr>
      <t xml:space="preserve">FP 7/15=47% — </t>
    </r>
    <r>
      <rPr>
        <sz val="9"/>
        <rFont val="WenQuanYi Zen Hei"/>
        <family val="2"/>
      </rPr>
      <t xml:space="preserve">熊市中段的反彈也會觸發</t>
    </r>
    <r>
      <rPr>
        <sz val="9"/>
        <rFont val="Arial"/>
        <family val="0"/>
        <charset val="1"/>
      </rPr>
      <t xml:space="preserve">(2019-01, 2020-04, 2023-01/03, 2025-04</t>
    </r>
    <r>
      <rPr>
        <sz val="9"/>
        <rFont val="WenQuanYi Zen Hei"/>
        <family val="2"/>
      </rPr>
      <t xml:space="preserve">末的二次訊號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INTER: 10/21,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-21</t>
    </r>
    <r>
      <rPr>
        <sz val="9"/>
        <rFont val="WenQuanYi Zen Hei"/>
        <family val="2"/>
      </rPr>
      <t xml:space="preserve">。</t>
    </r>
  </si>
  <si>
    <t xml:space="preserve">TOP: (hyoas[t]-hyoas[t-20] &gt; +30bp) AND (vix[t]/vix[t-20] &gt; 1.20); rising-edge</t>
  </si>
  <si>
    <r>
      <rPr>
        <sz val="9"/>
        <rFont val="WenQuanYi Zen Hei"/>
        <family val="2"/>
      </rPr>
      <t xml:space="preserve">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無效。任一日窗含訊號的基準率高達</t>
    </r>
    <r>
      <rPr>
        <sz val="9"/>
        <rFont val="Arial"/>
        <family val="0"/>
        <charset val="1"/>
      </rPr>
      <t xml:space="preserve">84%, </t>
    </r>
    <r>
      <rPr>
        <sz val="9"/>
        <rFont val="WenQuanYi Zen Hei"/>
        <family val="2"/>
      </rPr>
      <t xml:space="preserve">而</t>
    </r>
    <r>
      <rPr>
        <sz val="9"/>
        <rFont val="Arial"/>
        <family val="0"/>
        <charset val="1"/>
      </rPr>
      <t xml:space="preserve">hit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4/6=67% — </t>
    </r>
    <r>
      <rPr>
        <sz val="9"/>
        <rFont val="WenQuanYi Zen Hei"/>
        <family val="2"/>
      </rPr>
      <t xml:space="preserve">低於隨機基準。訊號太頻</t>
    </r>
    <r>
      <rPr>
        <sz val="9"/>
        <rFont val="Arial"/>
        <family val="0"/>
        <charset val="1"/>
      </rPr>
      <t xml:space="preserve">(66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且觸發時點多在跌勢已展開後</t>
    </r>
    <r>
      <rPr>
        <sz val="9"/>
        <rFont val="Arial"/>
        <family val="0"/>
        <charset val="1"/>
      </rPr>
      <t xml:space="preserve">(VIX+20%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OAS+30bp</t>
    </r>
    <r>
      <rPr>
        <sz val="9"/>
        <rFont val="WenQuanYi Zen Hei"/>
        <family val="2"/>
      </rPr>
      <t xml:space="preserve">都需要壓力已現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對</t>
    </r>
    <r>
      <rPr>
        <sz val="9"/>
        <rFont val="Arial"/>
        <family val="0"/>
        <charset val="1"/>
      </rPr>
      <t xml:space="preserve">2018-08-29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2025-02-19</t>
    </r>
    <r>
      <rPr>
        <sz val="9"/>
        <rFont val="WenQuanYi Zen Hei"/>
        <family val="2"/>
      </rPr>
      <t xml:space="preserve">兩個頂完全缺席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頂前市場平靜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-80</t>
    </r>
    <r>
      <rPr>
        <sz val="9"/>
        <rFont val="WenQuanYi Zen Hei"/>
        <family val="2"/>
      </rPr>
      <t xml:space="preserve">的中位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是訊號叢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取窗內最早的窗緣假象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非真領先。</t>
    </r>
    <r>
      <rPr>
        <sz val="9"/>
        <rFont val="Arial"/>
        <family val="0"/>
        <charset val="1"/>
      </rPr>
      <t xml:space="preserve">FP 23/61=38%(5</t>
    </r>
    <r>
      <rPr>
        <sz val="9"/>
        <rFont val="WenQuanYi Zen Hei"/>
        <family val="2"/>
      </rPr>
      <t xml:space="preserve">個截斷剔除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INTER: 16/21</t>
    </r>
    <r>
      <rPr>
        <sz val="9"/>
        <rFont val="WenQuanYi Zen Hei"/>
        <family val="2"/>
      </rPr>
      <t xml:space="preserve">但基準</t>
    </r>
    <r>
      <rPr>
        <sz val="9"/>
        <rFont val="Arial"/>
        <family val="0"/>
        <charset val="1"/>
      </rPr>
      <t xml:space="preserve">84%</t>
    </r>
    <r>
      <rPr>
        <sz val="9"/>
        <rFont val="WenQuanYi Zen Hei"/>
        <family val="2"/>
      </rPr>
      <t xml:space="preserve">下無意義。雙確認條件沒有互補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反而繼承了兩者的落後性。</t>
    </r>
  </si>
  <si>
    <r>
      <rPr>
        <sz val="9"/>
        <rFont val="Arial"/>
        <family val="0"/>
        <charset val="1"/>
      </rPr>
      <t xml:space="preserve">OBV=</t>
    </r>
    <r>
      <rPr>
        <sz val="9"/>
        <rFont val="WenQuanYi Zen Hei"/>
        <family val="2"/>
      </rPr>
      <t xml:space="preserve">累加</t>
    </r>
    <r>
      <rPr>
        <sz val="9"/>
        <rFont val="Arial"/>
        <family val="0"/>
        <charset val="1"/>
      </rPr>
      <t xml:space="preserve">sign(close[t]-close[t-1])*volume[t]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NH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: close[t]&gt;max(close[t-63..t-1])</t>
    </r>
    <r>
      <rPr>
        <sz val="9"/>
        <rFont val="WenQuanYi Zen Hei"/>
        <family val="2"/>
      </rPr>
      <t xml:space="preserve">。取最近一個且</t>
    </r>
    <r>
      <rPr>
        <sz val="9"/>
        <rFont val="Arial"/>
        <family val="0"/>
        <charset val="1"/>
      </rPr>
      <t xml:space="preserve">&lt;=t-10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NH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p; </t>
    </r>
    <r>
      <rPr>
        <sz val="9"/>
        <rFont val="WenQuanYi Zen Hei"/>
        <family val="2"/>
      </rPr>
      <t xml:space="preserve">若</t>
    </r>
    <r>
      <rPr>
        <sz val="9"/>
        <rFont val="Arial"/>
        <family val="0"/>
        <charset val="1"/>
      </rPr>
      <t xml:space="preserve">close[t]&gt;close[p]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OBV[t]&lt;OBV[p]→TOP; </t>
    </r>
    <r>
      <rPr>
        <sz val="9"/>
        <rFont val="WenQuanYi Zen Hei"/>
        <family val="2"/>
      </rPr>
      <t xml:space="preserve">冷卻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交易日。僅用</t>
    </r>
    <r>
      <rPr>
        <sz val="9"/>
        <rFont val="Arial"/>
        <family val="0"/>
        <charset val="1"/>
      </rPr>
      <t xml:space="preserve">&lt;=t</t>
    </r>
    <r>
      <rPr>
        <sz val="9"/>
        <rFont val="WenQuanYi Zen Hei"/>
        <family val="2"/>
      </rPr>
      <t xml:space="preserve">數據。</t>
    </r>
  </si>
  <si>
    <r>
      <rPr>
        <sz val="9"/>
        <rFont val="Arial"/>
        <family val="0"/>
        <charset val="1"/>
      </rPr>
      <t xml:space="preserve">1999-04..2016-07 (63</t>
    </r>
    <r>
      <rPr>
        <sz val="9"/>
        <rFont val="WenQuanYi Zen Hei"/>
        <family val="2"/>
      </rPr>
      <t xml:space="preserve">日高暖機</t>
    </r>
    <r>
      <rPr>
        <sz val="9"/>
        <rFont val="Arial"/>
        <family val="0"/>
        <charset val="1"/>
      </rPr>
      <t xml:space="preserve">~73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; volume</t>
    </r>
    <r>
      <rPr>
        <sz val="9"/>
        <rFont val="WenQuanYi Zen Hei"/>
        <family val="2"/>
      </rPr>
      <t xml:space="preserve">止於</t>
    </r>
    <r>
      <rPr>
        <sz val="9"/>
        <rFont val="Arial"/>
        <family val="0"/>
        <charset val="1"/>
      </rPr>
      <t xml:space="preserve">2016-07-07)</t>
    </r>
  </si>
  <si>
    <t xml:space="preserve">T6/16</t>
  </si>
  <si>
    <r>
      <rPr>
        <sz val="9"/>
        <rFont val="Arial"/>
        <family val="0"/>
        <charset val="1"/>
      </rPr>
      <t xml:space="preserve">hit 6/16=37.5%;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34.1%</t>
    </r>
    <r>
      <rPr>
        <sz val="9"/>
        <rFont val="WenQuanYi Zen Hei"/>
        <family val="2"/>
      </rPr>
      <t xml:space="preserve">與隨機基準</t>
    </r>
    <r>
      <rPr>
        <sz val="9"/>
        <rFont val="Arial"/>
        <family val="0"/>
        <charset val="1"/>
      </rPr>
      <t xml:space="preserve">35.5%(</t>
    </r>
    <r>
      <rPr>
        <sz val="9"/>
        <rFont val="WenQuanYi Zen Hei"/>
        <family val="2"/>
      </rPr>
      <t xml:space="preserve">任一日後</t>
    </r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日內出現</t>
    </r>
    <r>
      <rPr>
        <sz val="9"/>
        <rFont val="Arial"/>
        <family val="0"/>
        <charset val="1"/>
      </rPr>
      <t xml:space="preserve">MAJOR/INTER TOP</t>
    </r>
    <r>
      <rPr>
        <sz val="9"/>
        <rFont val="WenQuanYi Zen Hei"/>
        <family val="2"/>
      </rPr>
      <t xml:space="preserve">之機率</t>
    </r>
    <r>
      <rPr>
        <sz val="9"/>
        <rFont val="Arial"/>
        <family val="0"/>
        <charset val="1"/>
      </rPr>
      <t xml:space="preserve">64.5%)</t>
    </r>
    <r>
      <rPr>
        <sz val="9"/>
        <rFont val="WenQuanYi Zen Hei"/>
        <family val="2"/>
      </rPr>
      <t xml:space="preserve">幾乎無異。命中時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極長</t>
    </r>
    <r>
      <rPr>
        <sz val="9"/>
        <rFont val="Arial"/>
        <family val="0"/>
        <charset val="1"/>
      </rPr>
      <t xml:space="preserve">(-17..-88, </t>
    </r>
    <r>
      <rPr>
        <sz val="9"/>
        <rFont val="WenQuanYi Zen Hei"/>
        <family val="2"/>
      </rPr>
      <t xml:space="preserve">窗內訊號</t>
    </r>
    <r>
      <rPr>
        <sz val="9"/>
        <rFont val="Arial"/>
        <family val="0"/>
        <charset val="1"/>
      </rPr>
      <t xml:space="preserve">1-4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更像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漲勢成熟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背景訊號而非頂部定時器。</t>
    </r>
    <r>
      <rPr>
        <sz val="9"/>
        <rFont val="Arial"/>
        <family val="0"/>
        <charset val="1"/>
      </rPr>
      <t xml:space="preserve">2000-2001</t>
    </r>
    <r>
      <rPr>
        <sz val="9"/>
        <rFont val="WenQuanYi Zen Hei"/>
        <family val="2"/>
      </rPr>
      <t xml:space="preserve">多數頂完全漏掉。誠實結論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不可靠→</t>
    </r>
    <r>
      <rPr>
        <sz val="9"/>
        <rFont val="Arial"/>
        <family val="0"/>
        <charset val="1"/>
      </rPr>
      <t xml:space="preserve">WEAK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</si>
  <si>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NL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: close[t]&lt;min(close[t-63..t-1])</t>
    </r>
    <r>
      <rPr>
        <sz val="9"/>
        <rFont val="WenQuanYi Zen Hei"/>
        <family val="2"/>
      </rPr>
      <t xml:space="preserve">。取最近一個且</t>
    </r>
    <r>
      <rPr>
        <sz val="9"/>
        <rFont val="Arial"/>
        <family val="0"/>
        <charset val="1"/>
      </rPr>
      <t xml:space="preserve">&lt;=t-10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NL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p; </t>
    </r>
    <r>
      <rPr>
        <sz val="9"/>
        <rFont val="WenQuanYi Zen Hei"/>
        <family val="2"/>
      </rPr>
      <t xml:space="preserve">若</t>
    </r>
    <r>
      <rPr>
        <sz val="9"/>
        <rFont val="Arial"/>
        <family val="0"/>
        <charset val="1"/>
      </rPr>
      <t xml:space="preserve">close[t]&lt;close[p]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OBV[t]&gt;OBV[p]→BOTTOM; </t>
    </r>
    <r>
      <rPr>
        <sz val="9"/>
        <rFont val="WenQuanYi Zen Hei"/>
        <family val="2"/>
      </rPr>
      <t xml:space="preserve">冷卻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交易日。僅用</t>
    </r>
    <r>
      <rPr>
        <sz val="9"/>
        <rFont val="Arial"/>
        <family val="0"/>
        <charset val="1"/>
      </rPr>
      <t xml:space="preserve">&lt;=t</t>
    </r>
    <r>
      <rPr>
        <sz val="9"/>
        <rFont val="WenQuanYi Zen Hei"/>
        <family val="2"/>
      </rPr>
      <t xml:space="preserve">數據。</t>
    </r>
  </si>
  <si>
    <r>
      <rPr>
        <sz val="9"/>
        <rFont val="Arial"/>
        <family val="0"/>
        <charset val="1"/>
      </rPr>
      <t xml:space="preserve">1999-04..2016-07 (63</t>
    </r>
    <r>
      <rPr>
        <sz val="9"/>
        <rFont val="WenQuanYi Zen Hei"/>
        <family val="2"/>
      </rPr>
      <t xml:space="preserve">日低暖機</t>
    </r>
    <r>
      <rPr>
        <sz val="9"/>
        <rFont val="Arial"/>
        <family val="0"/>
        <charset val="1"/>
      </rPr>
      <t xml:space="preserve">~73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)</t>
    </r>
  </si>
  <si>
    <t xml:space="preserve">B12/16</t>
  </si>
  <si>
    <r>
      <rPr>
        <sz val="9"/>
        <rFont val="WenQuanYi Zen Hei"/>
        <family val="2"/>
      </rPr>
      <t xml:space="preserve">本家族最佳</t>
    </r>
    <r>
      <rPr>
        <sz val="9"/>
        <rFont val="Arial"/>
        <family val="0"/>
        <charset val="1"/>
      </rPr>
      <t xml:space="preserve">: hit 12/16=75%, FP 0/18 (</t>
    </r>
    <r>
      <rPr>
        <sz val="9"/>
        <rFont val="WenQuanYi Zen Hei"/>
        <family val="2"/>
      </rPr>
      <t xml:space="preserve">隨機基準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~34.4%, 18</t>
    </r>
    <r>
      <rPr>
        <sz val="9"/>
        <rFont val="WenQuanYi Zen Hei"/>
        <family val="2"/>
      </rPr>
      <t xml:space="preserve">訊號全過檢定之隨機機率</t>
    </r>
    <r>
      <rPr>
        <sz val="9"/>
        <rFont val="Arial"/>
        <family val="0"/>
        <charset val="1"/>
      </rPr>
      <t xml:space="preserve">&lt;0.1%)</t>
    </r>
    <r>
      <rPr>
        <sz val="9"/>
        <rFont val="WenQuanYi Zen Hei"/>
        <family val="2"/>
      </rPr>
      <t xml:space="preserve">。窗內訊號</t>
    </r>
    <r>
      <rPr>
        <sz val="9"/>
        <rFont val="Arial"/>
        <family val="0"/>
        <charset val="1"/>
      </rPr>
      <t xml:space="preserve">1-3</t>
    </r>
    <r>
      <rPr>
        <sz val="9"/>
        <rFont val="WenQuanYi Zen Hei"/>
        <family val="2"/>
      </rPr>
      <t xml:space="preserve">個。警告</t>
    </r>
    <r>
      <rPr>
        <sz val="9"/>
        <rFont val="Arial"/>
        <family val="0"/>
        <charset val="1"/>
      </rPr>
      <t xml:space="preserve">: lead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-34</t>
    </r>
    <r>
      <rPr>
        <sz val="9"/>
        <rFont val="WenQuanYi Zen Hei"/>
        <family val="2"/>
      </rPr>
      <t xml:space="preserve">表示訊號常出現在下跌途中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如</t>
    </r>
    <r>
      <rPr>
        <sz val="9"/>
        <rFont val="Arial"/>
        <family val="0"/>
        <charset val="1"/>
      </rPr>
      <t xml:space="preserve">2009-03-09</t>
    </r>
    <r>
      <rPr>
        <sz val="9"/>
        <rFont val="WenQuanYi Zen Hei"/>
        <family val="2"/>
      </rPr>
      <t xml:space="preserve">底於</t>
    </r>
    <r>
      <rPr>
        <sz val="9"/>
        <rFont val="Arial"/>
        <family val="0"/>
        <charset val="1"/>
      </rPr>
      <t xml:space="preserve">2008-11-12</t>
    </r>
    <r>
      <rPr>
        <sz val="9"/>
        <rFont val="WenQuanYi Zen Hei"/>
        <family val="2"/>
      </rPr>
      <t xml:space="preserve">即發訊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之後又跌逾</t>
    </r>
    <r>
      <rPr>
        <sz val="9"/>
        <rFont val="Arial"/>
        <family val="0"/>
        <charset val="1"/>
      </rPr>
      <t xml:space="preserve">20%), </t>
    </r>
    <r>
      <rPr>
        <sz val="9"/>
        <rFont val="WenQuanYi Zen Hei"/>
        <family val="2"/>
      </rPr>
      <t xml:space="preserve">屬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築底過程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指標而非低點定時器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漏掉</t>
    </r>
    <r>
      <rPr>
        <sz val="9"/>
        <rFont val="Arial"/>
        <family val="0"/>
        <charset val="1"/>
      </rPr>
      <t xml:space="preserve">2000</t>
    </r>
    <r>
      <rPr>
        <sz val="9"/>
        <rFont val="WenQuanYi Zen Hei"/>
        <family val="2"/>
      </rPr>
      <t xml:space="preserve">年的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個急跌底</t>
    </r>
    <r>
      <rPr>
        <sz val="9"/>
        <rFont val="Arial"/>
        <family val="0"/>
        <charset val="1"/>
      </rPr>
      <t xml:space="preserve">(OBV</t>
    </r>
    <r>
      <rPr>
        <sz val="9"/>
        <rFont val="WenQuanYi Zen Hei"/>
        <family val="2"/>
      </rPr>
      <t xml:space="preserve">與價同步崩跌無背離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</si>
  <si>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sz val="9"/>
        <rFont val="WenQuanYi Zen Hei"/>
        <family val="2"/>
      </rPr>
      <t xml:space="preserve">派發日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日跌幅</t>
    </r>
    <r>
      <rPr>
        <sz val="9"/>
        <rFont val="Arial"/>
        <family val="0"/>
        <charset val="1"/>
      </rPr>
      <t xml:space="preserve">&gt;0.2%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volume&gt;</t>
    </r>
    <r>
      <rPr>
        <sz val="9"/>
        <rFont val="WenQuanYi Zen Hei"/>
        <family val="2"/>
      </rPr>
      <t xml:space="preserve">前日</t>
    </r>
    <r>
      <rPr>
        <sz val="9"/>
        <rFont val="Arial"/>
        <family val="0"/>
        <charset val="1"/>
      </rPr>
      <t xml:space="preserve">volume</t>
    </r>
    <r>
      <rPr>
        <sz val="9"/>
        <rFont val="WenQuanYi Zen Hei"/>
        <family val="2"/>
      </rPr>
      <t xml:space="preserve">。條件</t>
    </r>
    <r>
      <rPr>
        <sz val="9"/>
        <rFont val="Arial"/>
        <family val="0"/>
        <charset val="1"/>
      </rPr>
      <t xml:space="preserve">C(t): </t>
    </r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25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含</t>
    </r>
    <r>
      <rPr>
        <sz val="9"/>
        <rFont val="Arial"/>
        <family val="0"/>
        <charset val="1"/>
      </rPr>
      <t xml:space="preserve">t)</t>
    </r>
    <r>
      <rPr>
        <sz val="9"/>
        <rFont val="WenQuanYi Zen Hei"/>
        <family val="2"/>
      </rPr>
      <t xml:space="preserve">派發日</t>
    </r>
    <r>
      <rPr>
        <sz val="9"/>
        <rFont val="Arial"/>
        <family val="0"/>
        <charset val="1"/>
      </rPr>
      <t xml:space="preserve">&gt;=6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close[t]&gt;0.92*max(close[t-251..t])(</t>
    </r>
    <r>
      <rPr>
        <sz val="9"/>
        <rFont val="WenQuanYi Zen Hei"/>
        <family val="2"/>
      </rPr>
      <t xml:space="preserve">距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日高</t>
    </r>
    <r>
      <rPr>
        <sz val="9"/>
        <rFont val="Arial"/>
        <family val="0"/>
        <charset val="1"/>
      </rPr>
      <t xml:space="preserve">&lt;8%)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C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false</t>
    </r>
    <r>
      <rPr>
        <sz val="9"/>
        <rFont val="WenQuanYi Zen Hei"/>
        <family val="2"/>
      </rPr>
      <t xml:space="preserve">轉</t>
    </r>
    <r>
      <rPr>
        <sz val="9"/>
        <rFont val="Arial"/>
        <family val="0"/>
        <charset val="1"/>
      </rPr>
      <t xml:space="preserve">true</t>
    </r>
    <r>
      <rPr>
        <sz val="9"/>
        <rFont val="WenQuanYi Zen Hei"/>
        <family val="2"/>
      </rPr>
      <t xml:space="preserve">之日發訊→</t>
    </r>
    <r>
      <rPr>
        <sz val="9"/>
        <rFont val="Arial"/>
        <family val="0"/>
        <charset val="1"/>
      </rPr>
      <t xml:space="preserve">TOP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</si>
  <si>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2000-01..2016-07 (252</t>
    </r>
    <r>
      <rPr>
        <sz val="9"/>
        <rFont val="WenQuanYi Zen Hei"/>
        <family val="2"/>
      </rPr>
      <t xml:space="preserve">日高暖機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)</t>
    </r>
  </si>
  <si>
    <t xml:space="preserve">T5/16</t>
  </si>
  <si>
    <r>
      <rPr>
        <sz val="9"/>
        <rFont val="Arial"/>
        <family val="0"/>
        <charset val="1"/>
      </rPr>
      <t xml:space="preserve">hit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5/16=31.3%; 120</t>
    </r>
    <r>
      <rPr>
        <sz val="9"/>
        <rFont val="WenQuanYi Zen Hei"/>
        <family val="2"/>
      </rPr>
      <t xml:space="preserve">個訊號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約</t>
    </r>
    <r>
      <rPr>
        <sz val="9"/>
        <rFont val="Arial"/>
        <family val="0"/>
        <charset val="1"/>
      </rPr>
      <t xml:space="preserve">7.5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過於頻繁</t>
    </r>
    <r>
      <rPr>
        <sz val="9"/>
        <rFont val="Arial"/>
        <family val="0"/>
        <charset val="1"/>
      </rPr>
      <t xml:space="preserve">, 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38.3%</t>
    </r>
    <r>
      <rPr>
        <sz val="9"/>
        <rFont val="WenQuanYi Zen Hei"/>
        <family val="2"/>
      </rPr>
      <t xml:space="preserve">與隨機基準無異。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距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日高</t>
    </r>
    <r>
      <rPr>
        <sz val="9"/>
        <rFont val="Arial"/>
        <family val="0"/>
        <charset val="1"/>
      </rPr>
      <t xml:space="preserve">&lt;8%'</t>
    </r>
    <r>
      <rPr>
        <sz val="9"/>
        <rFont val="WenQuanYi Zen Hei"/>
        <family val="2"/>
      </rPr>
      <t xml:space="preserve">過濾使熊市反彈頂</t>
    </r>
    <r>
      <rPr>
        <sz val="9"/>
        <rFont val="Arial"/>
        <family val="0"/>
        <charset val="1"/>
      </rPr>
      <t xml:space="preserve">(2000-02, 2008-09)</t>
    </r>
    <r>
      <rPr>
        <sz val="9"/>
        <rFont val="WenQuanYi Zen Hei"/>
        <family val="2"/>
      </rPr>
      <t xml:space="preserve">結構上無法觸發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造成大量漏失。命中時窗內訊號</t>
    </r>
    <r>
      <rPr>
        <sz val="9"/>
        <rFont val="Arial"/>
        <family val="0"/>
        <charset val="1"/>
      </rPr>
      <t xml:space="preserve">2-6</t>
    </r>
    <r>
      <rPr>
        <sz val="9"/>
        <rFont val="WenQuanYi Zen Hei"/>
        <family val="2"/>
      </rPr>
      <t xml:space="preserve">個且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極長</t>
    </r>
    <r>
      <rPr>
        <sz val="9"/>
        <rFont val="Arial"/>
        <family val="0"/>
        <charset val="1"/>
      </rPr>
      <t xml:space="preserve">(-45..-88), </t>
    </r>
    <r>
      <rPr>
        <sz val="9"/>
        <rFont val="WenQuanYi Zen Hei"/>
        <family val="2"/>
      </rPr>
      <t xml:space="preserve">只能當多頭成熟期的背景警戒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非定時工具。</t>
    </r>
  </si>
  <si>
    <r>
      <rPr>
        <sz val="9"/>
        <rFont val="WenQuanYi Zen Hei"/>
        <family val="2"/>
      </rPr>
      <t xml:space="preserve">高潮日</t>
    </r>
    <r>
      <rPr>
        <sz val="9"/>
        <rFont val="Arial"/>
        <family val="0"/>
        <charset val="1"/>
      </rPr>
      <t xml:space="preserve">c: volume[c]&gt;2.5*SMA50(volume[c-50..c-1]) </t>
    </r>
    <r>
      <rPr>
        <sz val="9"/>
        <rFont val="WenQuanYi Zen Hei"/>
        <family val="2"/>
      </rPr>
      <t xml:space="preserve">且 日跌幅</t>
    </r>
    <r>
      <rPr>
        <sz val="9"/>
        <rFont val="Arial"/>
        <family val="0"/>
        <charset val="1"/>
      </rPr>
      <t xml:space="preserve">&gt;3%; </t>
    </r>
    <r>
      <rPr>
        <sz val="9"/>
        <rFont val="WenQuanYi Zen Hei"/>
        <family val="2"/>
      </rPr>
      <t xml:space="preserve">其後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交易日內首個</t>
    </r>
    <r>
      <rPr>
        <sz val="9"/>
        <rFont val="Arial"/>
        <family val="0"/>
        <charset val="1"/>
      </rPr>
      <t xml:space="preserve">volume[t]&lt;SMA50</t>
    </r>
    <r>
      <rPr>
        <sz val="9"/>
        <rFont val="WenQuanYi Zen Hei"/>
        <family val="2"/>
      </rPr>
      <t xml:space="preserve">之日發訊→</t>
    </r>
    <r>
      <rPr>
        <sz val="9"/>
        <rFont val="Arial"/>
        <family val="0"/>
        <charset val="1"/>
      </rPr>
      <t xml:space="preserve">BOTTOM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原規格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</si>
  <si>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1999-03..2016-07 (SMA50</t>
    </r>
    <r>
      <rPr>
        <sz val="9"/>
        <rFont val="WenQuanYi Zen Hei"/>
        <family val="2"/>
      </rPr>
      <t xml:space="preserve">暖機</t>
    </r>
    <r>
      <rPr>
        <sz val="9"/>
        <rFont val="Arial"/>
        <family val="0"/>
        <charset val="1"/>
      </rPr>
      <t xml:space="preserve">51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)</t>
    </r>
  </si>
  <si>
    <t xml:space="preserve">B0/16</t>
  </si>
  <si>
    <r>
      <rPr>
        <sz val="9"/>
        <rFont val="WenQuanYi Zen Hei"/>
        <family val="2"/>
      </rPr>
      <t xml:space="preserve">零訊號 — </t>
    </r>
    <r>
      <rPr>
        <sz val="9"/>
        <rFont val="Arial"/>
        <family val="0"/>
        <charset val="1"/>
      </rPr>
      <t xml:space="preserve">2.5x</t>
    </r>
    <r>
      <rPr>
        <sz val="9"/>
        <rFont val="WenQuanYi Zen Hei"/>
        <family val="2"/>
      </rPr>
      <t xml:space="preserve">門檻在指數層級不可達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全樣本</t>
    </r>
    <r>
      <rPr>
        <sz val="9"/>
        <rFont val="Arial"/>
        <family val="0"/>
        <charset val="1"/>
      </rPr>
      <t xml:space="preserve">1999-2016 volume/SMA50</t>
    </r>
    <r>
      <rPr>
        <sz val="9"/>
        <rFont val="WenQuanYi Zen Hei"/>
        <family val="2"/>
      </rPr>
      <t xml:space="preserve">最大值僅</t>
    </r>
    <r>
      <rPr>
        <sz val="9"/>
        <rFont val="Arial"/>
        <family val="0"/>
        <charset val="1"/>
      </rPr>
      <t xml:space="preserve">2.40; 162</t>
    </r>
    <r>
      <rPr>
        <sz val="9"/>
        <rFont val="WenQuanYi Zen Hei"/>
        <family val="2"/>
      </rPr>
      <t xml:space="preserve">個跌</t>
    </r>
    <r>
      <rPr>
        <sz val="9"/>
        <rFont val="Arial"/>
        <family val="0"/>
        <charset val="1"/>
      </rPr>
      <t xml:space="preserve">&gt;3%</t>
    </r>
    <r>
      <rPr>
        <sz val="9"/>
        <rFont val="WenQuanYi Zen Hei"/>
        <family val="2"/>
      </rPr>
      <t xml:space="preserve">日中量比</t>
    </r>
    <r>
      <rPr>
        <sz val="9"/>
        <rFont val="Arial"/>
        <family val="0"/>
        <charset val="1"/>
      </rPr>
      <t xml:space="preserve">&gt;2.0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日。交易所總量波動遠低於個股量</t>
    </r>
    <r>
      <rPr>
        <sz val="9"/>
        <rFont val="Arial"/>
        <family val="0"/>
        <charset val="1"/>
      </rPr>
      <t xml:space="preserve">(IBD</t>
    </r>
    <r>
      <rPr>
        <sz val="9"/>
        <rFont val="WenQuanYi Zen Hei"/>
        <family val="2"/>
      </rPr>
      <t xml:space="preserve">原規則假設個股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統計無定義</t>
    </r>
    <r>
      <rPr>
        <sz val="9"/>
        <rFont val="Arial"/>
        <family val="0"/>
        <charset val="1"/>
      </rPr>
      <t xml:space="preserve">(schema</t>
    </r>
    <r>
      <rPr>
        <sz val="9"/>
        <rFont val="WenQuanYi Zen Hei"/>
        <family val="2"/>
      </rPr>
      <t xml:space="preserve">需數值故填</t>
    </r>
    <r>
      <rPr>
        <sz val="9"/>
        <rFont val="Arial"/>
        <family val="0"/>
        <charset val="1"/>
      </rPr>
      <t xml:space="preserve">0)</t>
    </r>
    <r>
      <rPr>
        <sz val="9"/>
        <rFont val="WenQuanYi Zen Hei"/>
        <family val="2"/>
      </rPr>
      <t xml:space="preserve">。此規格照實回報為不可用。</t>
    </r>
  </si>
  <si>
    <r>
      <rPr>
        <sz val="9"/>
        <rFont val="WenQuanYi Zen Hei"/>
        <family val="2"/>
      </rPr>
      <t xml:space="preserve">同上但門檻改</t>
    </r>
    <r>
      <rPr>
        <sz val="9"/>
        <rFont val="Arial"/>
        <family val="0"/>
        <charset val="1"/>
      </rPr>
      <t xml:space="preserve">1.5x(</t>
    </r>
    <r>
      <rPr>
        <sz val="9"/>
        <rFont val="WenQuanYi Zen Hei"/>
        <family val="2"/>
      </rPr>
      <t xml:space="preserve">全樣本</t>
    </r>
    <r>
      <rPr>
        <sz val="9"/>
        <rFont val="Arial"/>
        <family val="0"/>
        <charset val="1"/>
      </rPr>
      <t xml:space="preserve">98.7</t>
    </r>
    <r>
      <rPr>
        <sz val="9"/>
        <rFont val="WenQuanYi Zen Hei"/>
        <family val="2"/>
      </rPr>
      <t xml:space="preserve">百分位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因</t>
    </r>
    <r>
      <rPr>
        <sz val="9"/>
        <rFont val="Arial"/>
        <family val="0"/>
        <charset val="1"/>
      </rPr>
      <t xml:space="preserve">2.5x</t>
    </r>
    <r>
      <rPr>
        <sz val="9"/>
        <rFont val="WenQuanYi Zen Hei"/>
        <family val="2"/>
      </rPr>
      <t xml:space="preserve">不可達之變異數調整版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屬事後校準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有</t>
    </r>
    <r>
      <rPr>
        <sz val="9"/>
        <rFont val="Arial"/>
        <family val="0"/>
        <charset val="1"/>
      </rPr>
      <t xml:space="preserve">in-sample</t>
    </r>
    <r>
      <rPr>
        <sz val="9"/>
        <rFont val="WenQuanYi Zen Hei"/>
        <family val="2"/>
      </rPr>
      <t xml:space="preserve">之嫌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。高潮日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其中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日內出現量縮企穩發訊。</t>
    </r>
  </si>
  <si>
    <t xml:space="preserve">B2/16</t>
  </si>
  <si>
    <r>
      <rPr>
        <sz val="9"/>
        <rFont val="WenQuanYi Zen Hei"/>
        <family val="2"/>
      </rPr>
      <t xml:space="preserve">即使放寬門檻仍只有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, hit 2/16=12.5%, FP 2/4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2008-10</t>
    </r>
    <r>
      <rPr>
        <sz val="9"/>
        <rFont val="WenQuanYi Zen Hei"/>
        <family val="2"/>
      </rPr>
      <t xml:space="preserve">大量恐慌日後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日內量從未縮到均量下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危機期量持續放大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企穩條件太嚴。指數層級的量高潮反轉不可行→</t>
    </r>
    <r>
      <rPr>
        <sz val="9"/>
        <rFont val="Arial"/>
        <family val="0"/>
        <charset val="1"/>
      </rPr>
      <t xml:space="preserve">WEAK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</si>
  <si>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63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NH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(close[t]&gt;max(close[t-63..t-1]))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volume[t]&lt;0.85*SMA50(volume[t-50..t-1])→TOP; </t>
    </r>
    <r>
      <rPr>
        <sz val="9"/>
        <rFont val="WenQuanYi Zen Hei"/>
        <family val="2"/>
      </rPr>
      <t xml:space="preserve">冷卻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交易日。</t>
    </r>
  </si>
  <si>
    <t xml:space="preserve">T7/16</t>
  </si>
  <si>
    <r>
      <rPr>
        <sz val="9"/>
        <rFont val="Arial"/>
        <family val="0"/>
        <charset val="1"/>
      </rPr>
      <t xml:space="preserve">hit 7/16=43.8% </t>
    </r>
    <r>
      <rPr>
        <sz val="9"/>
        <rFont val="WenQuanYi Zen Hei"/>
        <family val="2"/>
      </rPr>
      <t xml:space="preserve">但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率</t>
    </r>
    <r>
      <rPr>
        <sz val="9"/>
        <rFont val="Arial"/>
        <family val="0"/>
        <charset val="1"/>
      </rPr>
      <t xml:space="preserve">50% — </t>
    </r>
    <r>
      <rPr>
        <sz val="9"/>
        <rFont val="WenQuanYi Zen Hei"/>
        <family val="2"/>
      </rPr>
      <t xml:space="preserve">比隨機基準</t>
    </r>
    <r>
      <rPr>
        <sz val="9"/>
        <rFont val="Arial"/>
        <family val="0"/>
        <charset val="1"/>
      </rPr>
      <t xml:space="preserve">35.5%</t>
    </r>
    <r>
      <rPr>
        <sz val="9"/>
        <rFont val="WenQuanYi Zen Hei"/>
        <family val="2"/>
      </rPr>
      <t xml:space="preserve">更差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因量縮新高常出現在假期前後低量期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如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月底</t>
    </r>
    <r>
      <rPr>
        <sz val="9"/>
        <rFont val="Arial"/>
        <family val="0"/>
        <charset val="1"/>
      </rPr>
      <t xml:space="preserve">: 1999-12-29/2003-12-29/2009-12-22/2010-12-22</t>
    </r>
    <r>
      <rPr>
        <sz val="9"/>
        <rFont val="WenQuanYi Zen Hei"/>
        <family val="2"/>
      </rPr>
      <t xml:space="preserve">四個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皆年底低量日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疑為季節性量縮而非真派發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。命中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-83</t>
    </r>
    <r>
      <rPr>
        <sz val="9"/>
        <rFont val="WenQuanYi Zen Hei"/>
        <family val="2"/>
      </rPr>
      <t xml:space="preserve">過長。窗內訊號</t>
    </r>
    <r>
      <rPr>
        <sz val="9"/>
        <rFont val="Arial"/>
        <family val="0"/>
        <charset val="1"/>
      </rPr>
      <t xml:space="preserve">1-2</t>
    </r>
    <r>
      <rPr>
        <sz val="9"/>
        <rFont val="WenQuanYi Zen Hei"/>
        <family val="2"/>
      </rPr>
      <t xml:space="preserve">個。不建議採用→</t>
    </r>
    <r>
      <rPr>
        <sz val="9"/>
        <rFont val="Arial"/>
        <family val="0"/>
        <charset val="1"/>
      </rPr>
      <t xml:space="preserve">WEAK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</si>
  <si>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TOP: s_CREDIT[t]&lt;=50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s_CREDIT[t-1]&gt;50 (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100</t>
    </r>
    <r>
      <rPr>
        <sz val="9"/>
        <rFont val="WenQuanYi Zen Hei"/>
        <family val="2"/>
      </rPr>
      <t xml:space="preserve">跌落</t>
    </r>
    <r>
      <rPr>
        <sz val="9"/>
        <rFont val="Arial"/>
        <family val="0"/>
        <charset val="1"/>
      </rPr>
      <t xml:space="preserve">); BOTTOM: s_CREDIT[t]&gt;=50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s_CREDIT[t-1]&lt;50 (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0</t>
    </r>
    <r>
      <rPr>
        <sz val="9"/>
        <rFont val="WenQuanYi Zen Hei"/>
        <family val="2"/>
      </rPr>
      <t xml:space="preserve">回升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。僅用</t>
    </r>
    <r>
      <rPr>
        <sz val="9"/>
        <rFont val="Arial"/>
        <family val="0"/>
        <charset val="1"/>
      </rPr>
      <t xml:space="preserve">t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t-1</t>
    </r>
    <r>
      <rPr>
        <sz val="9"/>
        <rFont val="WenQuanYi Zen Hei"/>
        <family val="2"/>
      </rPr>
      <t xml:space="preserve">值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無前視。</t>
    </r>
  </si>
  <si>
    <r>
      <rPr>
        <sz val="9"/>
        <rFont val="Arial"/>
        <family val="0"/>
        <charset val="1"/>
      </rPr>
      <t xml:space="preserve">1976-01..2026-07 (baa_aaa</t>
    </r>
    <r>
      <rPr>
        <sz val="9"/>
        <rFont val="WenQuanYi Zen Hei"/>
        <family val="2"/>
      </rPr>
      <t xml:space="preserve">利差全程有效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評估起點</t>
    </r>
    <r>
      <rPr>
        <sz val="9"/>
        <rFont val="Arial"/>
        <family val="0"/>
        <charset val="1"/>
      </rPr>
      <t xml:space="preserve">1976-01)</t>
    </r>
  </si>
  <si>
    <t xml:space="preserve">T3/9</t>
  </si>
  <si>
    <t xml:space="preserve">B5/9</t>
  </si>
  <si>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單位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(engine_monthly</t>
    </r>
    <r>
      <rPr>
        <sz val="9"/>
        <rFont val="WenQuanYi Zen Hei"/>
        <family val="2"/>
      </rPr>
      <t xml:space="preserve">行序差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非交易日。整體命中</t>
    </r>
    <r>
      <rPr>
        <sz val="9"/>
        <rFont val="Arial"/>
        <family val="0"/>
        <charset val="1"/>
      </rPr>
      <t xml:space="preserve">8/18=44%&lt;50%</t>
    </r>
    <r>
      <rPr>
        <sz val="9"/>
        <rFont val="WenQuanYi Zen Hei"/>
        <family val="2"/>
      </rPr>
      <t xml:space="preserve">故判</t>
    </r>
    <r>
      <rPr>
        <sz val="9"/>
        <rFont val="Arial"/>
        <family val="0"/>
        <charset val="1"/>
      </rPr>
      <t xml:space="preserve">WEAK; </t>
    </r>
    <r>
      <rPr>
        <sz val="9"/>
        <rFont val="WenQuanYi Zen Hei"/>
        <family val="2"/>
      </rPr>
      <t xml:space="preserve">但命中時領先極長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-12.5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尤其底部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利差自極端回落先於</t>
    </r>
    <r>
      <rPr>
        <sz val="9"/>
        <rFont val="Arial"/>
        <family val="0"/>
        <charset val="1"/>
      </rPr>
      <t xml:space="preserve">1987/2002/2011/2020/2022</t>
    </r>
    <r>
      <rPr>
        <sz val="9"/>
        <rFont val="WenQuanYi Zen Hei"/>
        <family val="2"/>
      </rPr>
      <t xml:space="preserve">底</t>
    </r>
    <r>
      <rPr>
        <sz val="9"/>
        <rFont val="Arial"/>
        <family val="0"/>
        <charset val="1"/>
      </rPr>
      <t xml:space="preserve">5~18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。漏掉</t>
    </r>
    <r>
      <rPr>
        <sz val="9"/>
        <rFont val="Arial"/>
        <family val="0"/>
        <charset val="1"/>
      </rPr>
      <t xml:space="preserve">1980/1987/1998/2000/2021</t>
    </r>
    <r>
      <rPr>
        <sz val="9"/>
        <rFont val="WenQuanYi Zen Hei"/>
        <family val="2"/>
      </rPr>
      <t xml:space="preserve">頂與</t>
    </r>
    <r>
      <rPr>
        <sz val="9"/>
        <rFont val="Arial"/>
        <family val="0"/>
        <charset val="1"/>
      </rPr>
      <t xml:space="preserve">1982/1990/1998/2009</t>
    </r>
    <r>
      <rPr>
        <sz val="9"/>
        <rFont val="WenQuanYi Zen Hei"/>
        <family val="2"/>
      </rPr>
      <t xml:space="preserve">底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利差劇烈期</t>
    </r>
    <r>
      <rPr>
        <sz val="9"/>
        <rFont val="Arial"/>
        <family val="0"/>
        <charset val="1"/>
      </rPr>
      <t xml:space="preserve">tri-state</t>
    </r>
    <r>
      <rPr>
        <sz val="9"/>
        <rFont val="WenQuanYi Zen Hei"/>
        <family val="2"/>
      </rPr>
      <t xml:space="preserve">分數跳動太快或根本未達</t>
    </r>
    <r>
      <rPr>
        <sz val="9"/>
        <rFont val="Arial"/>
        <family val="0"/>
        <charset val="1"/>
      </rPr>
      <t xml:space="preserve">100)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FP 11/42=26.2%(1991-11,2005-06,2011-08,2013-07</t>
    </r>
    <r>
      <rPr>
        <sz val="9"/>
        <rFont val="WenQuanYi Zen Hei"/>
        <family val="2"/>
      </rPr>
      <t xml:space="preserve">等頂訊</t>
    </r>
    <r>
      <rPr>
        <sz val="9"/>
        <rFont val="Arial"/>
        <family val="0"/>
        <charset val="1"/>
      </rPr>
      <t xml:space="preserve">; 1976/1984/1991/2012/2016/2020-11</t>
    </r>
    <r>
      <rPr>
        <sz val="9"/>
        <rFont val="WenQuanYi Zen Hei"/>
        <family val="2"/>
      </rPr>
      <t xml:space="preserve">底訊</t>
    </r>
    <r>
      <rPr>
        <sz val="9"/>
        <rFont val="Arial"/>
        <family val="0"/>
        <charset val="1"/>
      </rPr>
      <t xml:space="preserve">); 2</t>
    </r>
    <r>
      <rPr>
        <sz val="9"/>
        <rFont val="WenQuanYi Zen Hei"/>
        <family val="2"/>
      </rPr>
      <t xml:space="preserve">筆近期訊號</t>
    </r>
    <r>
      <rPr>
        <sz val="9"/>
        <rFont val="Arial"/>
        <family val="0"/>
        <charset val="1"/>
      </rPr>
      <t xml:space="preserve">(2025+)FP</t>
    </r>
    <r>
      <rPr>
        <sz val="9"/>
        <rFont val="WenQuanYi Zen Hei"/>
        <family val="2"/>
      </rPr>
      <t xml:space="preserve">窗超出資料末端列為不可判定並自分母剔除。</t>
    </r>
  </si>
  <si>
    <r>
      <rPr>
        <sz val="9"/>
        <rFont val="Arial"/>
        <family val="0"/>
        <charset val="1"/>
      </rPr>
      <t xml:space="preserve">TOP: s_POLICY[t]=0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s_POLICY[t-1]&gt;0 (Fed</t>
    </r>
    <r>
      <rPr>
        <sz val="9"/>
        <rFont val="WenQuanYi Zen Hei"/>
        <family val="2"/>
      </rPr>
      <t xml:space="preserve">轉緊縮</t>
    </r>
    <r>
      <rPr>
        <sz val="9"/>
        <rFont val="Arial"/>
        <family val="0"/>
        <charset val="1"/>
      </rPr>
      <t xml:space="preserve">); BOTTOM: s_POLICY[t]=100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s_POLICY[t-1]&lt;100 (</t>
    </r>
    <r>
      <rPr>
        <sz val="9"/>
        <rFont val="WenQuanYi Zen Hei"/>
        <family val="2"/>
      </rPr>
      <t xml:space="preserve">轉寬鬆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</si>
  <si>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1976-01..2026-07 (policy</t>
    </r>
    <r>
      <rPr>
        <sz val="9"/>
        <rFont val="WenQuanYi Zen Hei"/>
        <family val="2"/>
      </rPr>
      <t xml:space="preserve">步驟自</t>
    </r>
    <r>
      <rPr>
        <sz val="9"/>
        <rFont val="Arial"/>
        <family val="0"/>
        <charset val="1"/>
      </rPr>
      <t xml:space="preserve">1970-02</t>
    </r>
    <r>
      <rPr>
        <sz val="9"/>
        <rFont val="WenQuanYi Zen Hei"/>
        <family val="2"/>
      </rPr>
      <t xml:space="preserve">有效</t>
    </r>
    <r>
      <rPr>
        <sz val="9"/>
        <rFont val="Arial"/>
        <family val="0"/>
        <charset val="1"/>
      </rPr>
      <t xml:space="preserve">)</t>
    </r>
  </si>
  <si>
    <t xml:space="preserve">B6/9</t>
  </si>
  <si>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單位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月。整體命中</t>
    </r>
    <r>
      <rPr>
        <sz val="9"/>
        <rFont val="Arial"/>
        <family val="0"/>
        <charset val="1"/>
      </rPr>
      <t xml:space="preserve">9/18=50%,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-7</t>
    </r>
    <r>
      <rPr>
        <sz val="9"/>
        <rFont val="WenQuanYi Zen Hei"/>
        <family val="2"/>
      </rPr>
      <t xml:space="preserve">月→</t>
    </r>
    <r>
      <rPr>
        <sz val="9"/>
        <rFont val="Arial"/>
        <family val="0"/>
        <charset val="1"/>
      </rPr>
      <t xml:space="preserve">LEADING, </t>
    </r>
    <r>
      <rPr>
        <sz val="9"/>
        <rFont val="WenQuanYi Zen Hei"/>
        <family val="2"/>
      </rPr>
      <t xml:space="preserve">但明顯偏底部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轉寬鬆→底部</t>
    </r>
    <r>
      <rPr>
        <sz val="9"/>
        <rFont val="Arial"/>
        <family val="0"/>
        <charset val="1"/>
      </rPr>
      <t xml:space="preserve">6/9</t>
    </r>
    <r>
      <rPr>
        <sz val="9"/>
        <rFont val="WenQuanYi Zen Hei"/>
        <family val="2"/>
      </rPr>
      <t xml:space="preserve">且領先深</t>
    </r>
    <r>
      <rPr>
        <sz val="9"/>
        <rFont val="Arial"/>
        <family val="0"/>
        <charset val="1"/>
      </rPr>
      <t xml:space="preserve">(-17~0); </t>
    </r>
    <r>
      <rPr>
        <sz val="9"/>
        <rFont val="WenQuanYi Zen Hei"/>
        <family val="2"/>
      </rPr>
      <t xml:space="preserve">轉緊縮→頂部僅</t>
    </r>
    <r>
      <rPr>
        <sz val="9"/>
        <rFont val="Arial"/>
        <family val="0"/>
        <charset val="1"/>
      </rPr>
      <t xml:space="preserve">3/9(1980,1987,2000), mid-cycle</t>
    </r>
    <r>
      <rPr>
        <sz val="9"/>
        <rFont val="WenQuanYi Zen Hei"/>
        <family val="2"/>
      </rPr>
      <t xml:space="preserve">緊縮</t>
    </r>
    <r>
      <rPr>
        <sz val="9"/>
        <rFont val="Arial"/>
        <family val="0"/>
        <charset val="1"/>
      </rPr>
      <t xml:space="preserve">1988/1994/2004/2015-12/2016-12</t>
    </r>
    <r>
      <rPr>
        <sz val="9"/>
        <rFont val="WenQuanYi Zen Hei"/>
        <family val="2"/>
      </rPr>
      <t xml:space="preserve">全為假訊</t>
    </r>
    <r>
      <rPr>
        <sz val="9"/>
        <rFont val="Arial"/>
        <family val="0"/>
        <charset val="1"/>
      </rPr>
      <t xml:space="preserve">, 2022-03</t>
    </r>
    <r>
      <rPr>
        <sz val="9"/>
        <rFont val="WenQuanYi Zen Hei"/>
        <family val="2"/>
      </rPr>
      <t xml:space="preserve">緊縮訊在</t>
    </r>
    <r>
      <rPr>
        <sz val="9"/>
        <rFont val="Arial"/>
        <family val="0"/>
        <charset val="1"/>
      </rPr>
      <t xml:space="preserve">2021-12</t>
    </r>
    <r>
      <rPr>
        <sz val="9"/>
        <rFont val="WenQuanYi Zen Hei"/>
        <family val="2"/>
      </rPr>
      <t xml:space="preserve">頂之後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超出</t>
    </r>
    <r>
      <rPr>
        <sz val="9"/>
        <rFont val="Arial"/>
        <family val="0"/>
        <charset val="1"/>
      </rPr>
      <t xml:space="preserve">+2</t>
    </r>
    <r>
      <rPr>
        <sz val="9"/>
        <rFont val="WenQuanYi Zen Hei"/>
        <family val="2"/>
      </rPr>
      <t xml:space="preserve">窗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未計中。</t>
    </r>
    <r>
      <rPr>
        <sz val="9"/>
        <rFont val="Arial"/>
        <family val="0"/>
        <charset val="1"/>
      </rPr>
      <t xml:space="preserve">FP 7/21=33.3%; 3</t>
    </r>
    <r>
      <rPr>
        <sz val="9"/>
        <rFont val="WenQuanYi Zen Hei"/>
        <family val="2"/>
      </rPr>
      <t xml:space="preserve">筆</t>
    </r>
    <r>
      <rPr>
        <sz val="9"/>
        <rFont val="Arial"/>
        <family val="0"/>
        <charset val="1"/>
      </rPr>
      <t xml:space="preserve">2024-09</t>
    </r>
    <r>
      <rPr>
        <sz val="9"/>
        <rFont val="WenQuanYi Zen Hei"/>
        <family val="2"/>
      </rPr>
      <t xml:space="preserve">後訊號不可判定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資料末端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已剔除分母。</t>
    </r>
  </si>
  <si>
    <r>
      <rPr>
        <sz val="9"/>
        <rFont val="Arial"/>
        <family val="0"/>
        <charset val="1"/>
      </rPr>
      <t xml:space="preserve">TOP: s_CURVE[t]=0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s_CURVE[t-1]&gt;0 (</t>
    </r>
    <r>
      <rPr>
        <sz val="9"/>
        <rFont val="WenQuanYi Zen Hei"/>
        <family val="2"/>
      </rPr>
      <t xml:space="preserve">殖利率曲線轉倒掛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。二值指標</t>
    </r>
    <r>
      <rPr>
        <sz val="9"/>
        <rFont val="Arial"/>
        <family val="0"/>
        <charset val="1"/>
      </rPr>
      <t xml:space="preserve">(0/100)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</si>
  <si>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1976-01..2026-07 (curve</t>
    </r>
    <r>
      <rPr>
        <sz val="9"/>
        <rFont val="WenQuanYi Zen Hei"/>
        <family val="2"/>
      </rPr>
      <t xml:space="preserve">自</t>
    </r>
    <r>
      <rPr>
        <sz val="9"/>
        <rFont val="Arial"/>
        <family val="0"/>
        <charset val="1"/>
      </rPr>
      <t xml:space="preserve">1970-01</t>
    </r>
    <r>
      <rPr>
        <sz val="9"/>
        <rFont val="WenQuanYi Zen Hei"/>
        <family val="2"/>
      </rPr>
      <t xml:space="preserve">有效</t>
    </r>
    <r>
      <rPr>
        <sz val="9"/>
        <rFont val="Arial"/>
        <family val="0"/>
        <charset val="1"/>
      </rPr>
      <t xml:space="preserve">)</t>
    </r>
  </si>
  <si>
    <t xml:space="preserve">T5/9</t>
  </si>
  <si>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單位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月。注意</t>
    </r>
    <r>
      <rPr>
        <sz val="9"/>
        <rFont val="Arial"/>
        <family val="0"/>
        <charset val="1"/>
      </rPr>
      <t xml:space="preserve">: 2021-12</t>
    </r>
    <r>
      <rPr>
        <sz val="9"/>
        <rFont val="WenQuanYi Zen Hei"/>
        <family val="2"/>
      </rPr>
      <t xml:space="preserve">頂在</t>
    </r>
    <r>
      <rPr>
        <sz val="9"/>
        <rFont val="Arial"/>
        <family val="0"/>
        <charset val="1"/>
      </rPr>
      <t xml:space="preserve">[-18,+2]</t>
    </r>
    <r>
      <rPr>
        <sz val="9"/>
        <rFont val="WenQuanYi Zen Hei"/>
        <family val="2"/>
      </rPr>
      <t xml:space="preserve">窗內無訊號</t>
    </r>
    <r>
      <rPr>
        <sz val="9"/>
        <rFont val="Arial"/>
        <family val="0"/>
        <charset val="1"/>
      </rPr>
      <t xml:space="preserve">, per_turn</t>
    </r>
    <r>
      <rPr>
        <sz val="9"/>
        <rFont val="WenQuanYi Zen Hei"/>
        <family val="2"/>
      </rPr>
      <t xml:space="preserve">該行列出的是最近一次倒掛</t>
    </r>
    <r>
      <rPr>
        <sz val="9"/>
        <rFont val="Arial"/>
        <family val="0"/>
        <charset val="1"/>
      </rPr>
      <t xml:space="preserve">(2019-05, lead-31)</t>
    </r>
    <r>
      <rPr>
        <sz val="9"/>
        <rFont val="WenQuanYi Zen Hei"/>
        <family val="2"/>
      </rPr>
      <t xml:space="preserve">僅供參考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正式配對計為</t>
    </r>
    <r>
      <rPr>
        <sz val="9"/>
        <rFont val="Arial"/>
        <family val="0"/>
        <charset val="1"/>
      </rPr>
      <t xml:space="preserve">miss(</t>
    </r>
    <r>
      <rPr>
        <sz val="9"/>
        <rFont val="WenQuanYi Zen Hei"/>
        <family val="2"/>
      </rPr>
      <t xml:space="preserve">窗內命中</t>
    </r>
    <r>
      <rPr>
        <sz val="9"/>
        <rFont val="Arial"/>
        <family val="0"/>
        <charset val="1"/>
      </rPr>
      <t xml:space="preserve">5/9)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次倒掛</t>
    </r>
    <r>
      <rPr>
        <sz val="9"/>
        <rFont val="Arial"/>
        <family val="0"/>
        <charset val="1"/>
      </rPr>
      <t xml:space="preserve">(1978-11,1980-09,1989-01,2000-04,2006-07,2019-05,2022-10) FP=0/7 — </t>
    </r>
    <r>
      <rPr>
        <sz val="9"/>
        <rFont val="WenQuanYi Zen Hei"/>
        <family val="2"/>
      </rPr>
      <t xml:space="preserve">每次倒掛後</t>
    </r>
    <r>
      <rPr>
        <sz val="9"/>
        <rFont val="Arial"/>
        <family val="0"/>
        <charset val="1"/>
      </rPr>
      <t xml:space="preserve">18</t>
    </r>
    <r>
      <rPr>
        <sz val="9"/>
        <rFont val="WenQuanYi Zen Hei"/>
        <family val="2"/>
      </rPr>
      <t xml:space="preserve">月內都有</t>
    </r>
    <r>
      <rPr>
        <sz val="9"/>
        <rFont val="Arial"/>
        <family val="0"/>
        <charset val="1"/>
      </rPr>
      <t xml:space="preserve">±15%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±8%</t>
    </r>
    <r>
      <rPr>
        <sz val="9"/>
        <rFont val="WenQuanYi Zen Hei"/>
        <family val="2"/>
      </rPr>
      <t xml:space="preserve">頂部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且不設窗時</t>
    </r>
    <r>
      <rPr>
        <sz val="9"/>
        <rFont val="Arial"/>
        <family val="0"/>
        <charset val="1"/>
      </rPr>
      <t xml:space="preserve">1976</t>
    </r>
    <r>
      <rPr>
        <sz val="9"/>
        <rFont val="WenQuanYi Zen Hei"/>
        <family val="2"/>
      </rPr>
      <t xml:space="preserve">後每個主要頂部之前都存在倒掛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但領先幅度極不穩定</t>
    </r>
    <r>
      <rPr>
        <sz val="9"/>
        <rFont val="Arial"/>
        <family val="0"/>
        <charset val="1"/>
      </rPr>
      <t xml:space="preserve">(-2</t>
    </r>
    <r>
      <rPr>
        <sz val="9"/>
        <rFont val="WenQuanYi Zen Hei"/>
        <family val="2"/>
      </rPr>
      <t xml:space="preserve">至</t>
    </r>
    <r>
      <rPr>
        <sz val="9"/>
        <rFont val="Arial"/>
        <family val="0"/>
        <charset val="1"/>
      </rPr>
      <t xml:space="preserve">-113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, 1987/1998/2011/2021</t>
    </r>
    <r>
      <rPr>
        <sz val="9"/>
        <rFont val="WenQuanYi Zen Hei"/>
        <family val="2"/>
      </rPr>
      <t xml:space="preserve">頂距最近倒掛太遠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制度級警戒器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幾乎零假警報但無擇時價值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如實量測窗內中位</t>
    </r>
    <r>
      <rPr>
        <sz val="9"/>
        <rFont val="Arial"/>
        <family val="0"/>
        <charset val="1"/>
      </rPr>
      <t xml:space="preserve">-7</t>
    </r>
    <r>
      <rPr>
        <sz val="9"/>
        <rFont val="WenQuanYi Zen Hei"/>
        <family val="2"/>
      </rPr>
      <t xml:space="preserve">月。</t>
    </r>
  </si>
  <si>
    <r>
      <rPr>
        <sz val="9"/>
        <rFont val="Arial"/>
        <family val="0"/>
        <charset val="1"/>
      </rPr>
      <t xml:space="preserve">TOP: s_INFL[t]&lt;=50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s_INFL[t-1]&gt;50 (</t>
    </r>
    <r>
      <rPr>
        <sz val="9"/>
        <rFont val="WenQuanYi Zen Hei"/>
        <family val="2"/>
      </rPr>
      <t xml:space="preserve">通脹支柱由</t>
    </r>
    <r>
      <rPr>
        <sz val="9"/>
        <rFont val="Arial"/>
        <family val="0"/>
        <charset val="1"/>
      </rPr>
      <t xml:space="preserve">100</t>
    </r>
    <r>
      <rPr>
        <sz val="9"/>
        <rFont val="WenQuanYi Zen Hei"/>
        <family val="2"/>
      </rPr>
      <t xml:space="preserve">惡化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</si>
  <si>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1976-01..2026-07 (cpi</t>
    </r>
    <r>
      <rPr>
        <sz val="9"/>
        <rFont val="WenQuanYi Zen Hei"/>
        <family val="2"/>
      </rPr>
      <t xml:space="preserve">自</t>
    </r>
    <r>
      <rPr>
        <sz val="9"/>
        <rFont val="Arial"/>
        <family val="0"/>
        <charset val="1"/>
      </rPr>
      <t xml:space="preserve">1958</t>
    </r>
    <r>
      <rPr>
        <sz val="9"/>
        <rFont val="WenQuanYi Zen Hei"/>
        <family val="2"/>
      </rPr>
      <t xml:space="preserve">有效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</si>
  <si>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單位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月。命中僅</t>
    </r>
    <r>
      <rPr>
        <sz val="9"/>
        <rFont val="Arial"/>
        <family val="0"/>
        <charset val="1"/>
      </rPr>
      <t xml:space="preserve">3/9(1987,1990,2021)→WEAK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次訊號集中在</t>
    </r>
    <r>
      <rPr>
        <sz val="9"/>
        <rFont val="Arial"/>
        <family val="0"/>
        <charset val="1"/>
      </rPr>
      <t xml:space="preserve">1977-1989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2021 — </t>
    </r>
    <r>
      <rPr>
        <sz val="9"/>
        <rFont val="WenQuanYi Zen Hei"/>
        <family val="2"/>
      </rPr>
      <t xml:space="preserve">低通脹時代</t>
    </r>
    <r>
      <rPr>
        <sz val="9"/>
        <rFont val="Arial"/>
        <family val="0"/>
        <charset val="1"/>
      </rPr>
      <t xml:space="preserve">(1990s-2010s)</t>
    </r>
    <r>
      <rPr>
        <sz val="9"/>
        <rFont val="WenQuanYi Zen Hei"/>
        <family val="2"/>
      </rPr>
      <t xml:space="preserve">此支柱長期停在</t>
    </r>
    <r>
      <rPr>
        <sz val="9"/>
        <rFont val="Arial"/>
        <family val="0"/>
        <charset val="1"/>
      </rPr>
      <t xml:space="preserve">100</t>
    </r>
    <r>
      <rPr>
        <sz val="9"/>
        <rFont val="WenQuanYi Zen Hei"/>
        <family val="2"/>
      </rPr>
      <t xml:space="preserve">幾乎不動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對</t>
    </r>
    <r>
      <rPr>
        <sz val="9"/>
        <rFont val="Arial"/>
        <family val="0"/>
        <charset val="1"/>
      </rPr>
      <t xml:space="preserve">1998/2000/2007/2011/2019</t>
    </r>
    <r>
      <rPr>
        <sz val="9"/>
        <rFont val="WenQuanYi Zen Hei"/>
        <family val="2"/>
      </rPr>
      <t xml:space="preserve">頂完全無警訊。</t>
    </r>
    <r>
      <rPr>
        <sz val="9"/>
        <rFont val="Arial"/>
        <family val="0"/>
        <charset val="1"/>
      </rPr>
      <t xml:space="preserve">FP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1/9(1983-11)</t>
    </r>
    <r>
      <rPr>
        <sz val="9"/>
        <rFont val="WenQuanYi Zen Hei"/>
        <family val="2"/>
      </rPr>
      <t xml:space="preserve">因訊號本身稀少。命中時領先尚可</t>
    </r>
    <r>
      <rPr>
        <sz val="9"/>
        <rFont val="Arial"/>
        <family val="0"/>
        <charset val="1"/>
      </rPr>
      <t xml:space="preserve">(-6~-12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): </t>
    </r>
    <r>
      <rPr>
        <sz val="9"/>
        <rFont val="WenQuanYi Zen Hei"/>
        <family val="2"/>
      </rPr>
      <t xml:space="preserve">通脹惡化確實先於</t>
    </r>
    <r>
      <rPr>
        <sz val="9"/>
        <rFont val="Arial"/>
        <family val="0"/>
        <charset val="1"/>
      </rPr>
      <t xml:space="preserve">1987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2021</t>
    </r>
    <r>
      <rPr>
        <sz val="9"/>
        <rFont val="WenQuanYi Zen Hei"/>
        <family val="2"/>
      </rPr>
      <t xml:space="preserve">兩個大頂。時代依賴性極強。</t>
    </r>
  </si>
  <si>
    <r>
      <rPr>
        <sz val="9"/>
        <rFont val="WenQuanYi Zen Hei"/>
        <family val="2"/>
      </rPr>
      <t xml:space="preserve">評估規則</t>
    </r>
    <r>
      <rPr>
        <sz val="9"/>
        <rFont val="Arial"/>
        <family val="0"/>
        <charset val="1"/>
      </rPr>
      <t xml:space="preserve">: s_VOL[t]=0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s_VOL[t-1]&gt;0 (6</t>
    </r>
    <r>
      <rPr>
        <sz val="9"/>
        <rFont val="WenQuanYi Zen Hei"/>
        <family val="2"/>
      </rPr>
      <t xml:space="preserve">月已實現波動惡化至極端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以</t>
    </r>
    <r>
      <rPr>
        <sz val="9"/>
        <rFont val="Arial"/>
        <family val="0"/>
        <charset val="1"/>
      </rPr>
      <t xml:space="preserve">TOP</t>
    </r>
    <r>
      <rPr>
        <sz val="9"/>
        <rFont val="WenQuanYi Zen Hei"/>
        <family val="2"/>
      </rPr>
      <t xml:space="preserve">警訊身分與頂部配對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另診斷其與底部之時間關係。</t>
    </r>
  </si>
  <si>
    <t xml:space="preserve">1976-01..2026-07</t>
  </si>
  <si>
    <t xml:space="preserve">T4/9</t>
  </si>
  <si>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單位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月。任務問「同步還是滯後」— 答案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對頂部是滯後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確認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對底部大致同步。配對中位</t>
    </r>
    <r>
      <rPr>
        <sz val="9"/>
        <rFont val="Arial"/>
        <family val="0"/>
        <charset val="1"/>
      </rPr>
      <t xml:space="preserve">-6.5</t>
    </r>
    <r>
      <rPr>
        <sz val="9"/>
        <rFont val="WenQuanYi Zen Hei"/>
        <family val="2"/>
      </rPr>
      <t xml:space="preserve">月純屬窗口假象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僅</t>
    </r>
    <r>
      <rPr>
        <sz val="9"/>
        <rFont val="Arial"/>
        <family val="0"/>
        <charset val="1"/>
      </rPr>
      <t xml:space="preserve">4/9</t>
    </r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1980-03/1987-01/2010-10</t>
    </r>
    <r>
      <rPr>
        <sz val="9"/>
        <rFont val="WenQuanYi Zen Hei"/>
        <family val="2"/>
      </rPr>
      <t xml:space="preserve">是高波動盤整期先於</t>
    </r>
    <r>
      <rPr>
        <sz val="9"/>
        <rFont val="Arial"/>
        <family val="0"/>
        <charset val="1"/>
      </rPr>
      <t xml:space="preserve">blow-off</t>
    </r>
    <r>
      <rPr>
        <sz val="9"/>
        <rFont val="WenQuanYi Zen Hei"/>
        <family val="2"/>
      </rPr>
      <t xml:space="preserve">頂的特例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。週期位置分析</t>
    </r>
    <r>
      <rPr>
        <sz val="9"/>
        <rFont val="Arial"/>
        <family val="0"/>
        <charset val="1"/>
      </rPr>
      <t xml:space="preserve">: 13</t>
    </r>
    <r>
      <rPr>
        <sz val="9"/>
        <rFont val="WenQuanYi Zen Hei"/>
        <family val="2"/>
      </rPr>
      <t xml:space="preserve">次訊號中</t>
    </r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次在主要頂部之後</t>
    </r>
    <r>
      <rPr>
        <sz val="9"/>
        <rFont val="Arial"/>
        <family val="0"/>
        <charset val="1"/>
      </rPr>
      <t xml:space="preserve">2~17</t>
    </r>
    <r>
      <rPr>
        <sz val="9"/>
        <rFont val="WenQuanYi Zen Hei"/>
        <family val="2"/>
      </rPr>
      <t xml:space="preserve">個月才發出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跌勢已展開波動才歸零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且距下一個主要底部僅</t>
    </r>
    <r>
      <rPr>
        <sz val="9"/>
        <rFont val="Arial"/>
        <family val="0"/>
        <charset val="1"/>
      </rPr>
      <t xml:space="preserve">0~4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(1987-10,1998-08,2008-10,2008-12); 2020-04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2022-10</t>
    </r>
    <r>
      <rPr>
        <sz val="9"/>
        <rFont val="WenQuanYi Zen Hei"/>
        <family val="2"/>
      </rPr>
      <t xml:space="preserve">更在底部之後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個月。對底部最早訊號中位</t>
    </r>
    <r>
      <rPr>
        <sz val="9"/>
        <rFont val="Arial"/>
        <family val="0"/>
        <charset val="1"/>
      </rPr>
      <t xml:space="preserve">lead=-4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近同步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FP 1/12=8.3%(2020-04, </t>
    </r>
    <r>
      <rPr>
        <sz val="9"/>
        <rFont val="WenQuanYi Zen Hei"/>
        <family val="2"/>
      </rPr>
      <t xml:space="preserve">其後</t>
    </r>
    <r>
      <rPr>
        <sz val="9"/>
        <rFont val="Arial"/>
        <family val="0"/>
        <charset val="1"/>
      </rPr>
      <t xml:space="preserve">18</t>
    </r>
    <r>
      <rPr>
        <sz val="9"/>
        <rFont val="WenQuanYi Zen Hei"/>
        <family val="2"/>
      </rPr>
      <t xml:space="preserve">月無底</t>
    </r>
    <r>
      <rPr>
        <sz val="9"/>
        <rFont val="Arial"/>
        <family val="0"/>
        <charset val="1"/>
      </rPr>
      <t xml:space="preserve">), 1</t>
    </r>
    <r>
      <rPr>
        <sz val="9"/>
        <rFont val="WenQuanYi Zen Hei"/>
        <family val="2"/>
      </rPr>
      <t xml:space="preserve">筆</t>
    </r>
    <r>
      <rPr>
        <sz val="9"/>
        <rFont val="Arial"/>
        <family val="0"/>
        <charset val="1"/>
      </rPr>
      <t xml:space="preserve">2026-05</t>
    </r>
    <r>
      <rPr>
        <sz val="9"/>
        <rFont val="WenQuanYi Zen Hei"/>
        <family val="2"/>
      </rPr>
      <t xml:space="preserve">訊號不可判定。誠實結論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不是頂部領先指標。</t>
    </r>
  </si>
  <si>
    <r>
      <rPr>
        <sz val="9"/>
        <rFont val="Arial"/>
        <family val="0"/>
        <charset val="1"/>
      </rPr>
      <t xml:space="preserve">TOP: score[t]&lt;70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score[t-1]&gt;=70 (</t>
    </r>
    <r>
      <rPr>
        <sz val="9"/>
        <rFont val="WenQuanYi Zen Hei"/>
        <family val="2"/>
      </rPr>
      <t xml:space="preserve">合成分跌穿</t>
    </r>
    <r>
      <rPr>
        <sz val="9"/>
        <rFont val="Arial"/>
        <family val="0"/>
        <charset val="1"/>
      </rPr>
      <t xml:space="preserve">70); BOTTOM: score[t]&gt;40 </t>
    </r>
    <r>
      <rPr>
        <sz val="9"/>
        <rFont val="WenQuanYi Zen Hei"/>
        <family val="2"/>
      </rPr>
      <t xml:space="preserve">且 </t>
    </r>
    <r>
      <rPr>
        <sz val="9"/>
        <rFont val="Arial"/>
        <family val="0"/>
        <charset val="1"/>
      </rPr>
      <t xml:space="preserve">score[t-1]&lt;=40 (</t>
    </r>
    <r>
      <rPr>
        <sz val="9"/>
        <rFont val="WenQuanYi Zen Hei"/>
        <family val="2"/>
      </rPr>
      <t xml:space="preserve">升穿</t>
    </r>
    <r>
      <rPr>
        <sz val="9"/>
        <rFont val="Arial"/>
        <family val="0"/>
        <charset val="1"/>
      </rPr>
      <t xml:space="preserve">40)</t>
    </r>
    <r>
      <rPr>
        <sz val="9"/>
        <rFont val="WenQuanYi Zen Hei"/>
        <family val="2"/>
      </rPr>
      <t xml:space="preserve">。</t>
    </r>
  </si>
  <si>
    <r>
      <rPr>
        <sz val="9"/>
        <rFont val="Arial"/>
        <family val="0"/>
        <charset val="1"/>
      </rPr>
      <t xml:space="preserve">1976-01..2026-07 (score</t>
    </r>
    <r>
      <rPr>
        <sz val="9"/>
        <rFont val="WenQuanYi Zen Hei"/>
        <family val="2"/>
      </rPr>
      <t xml:space="preserve">自</t>
    </r>
    <r>
      <rPr>
        <sz val="9"/>
        <rFont val="Arial"/>
        <family val="0"/>
        <charset val="1"/>
      </rPr>
      <t xml:space="preserve">1927-08</t>
    </r>
    <r>
      <rPr>
        <sz val="9"/>
        <rFont val="WenQuanYi Zen Hei"/>
        <family val="2"/>
      </rPr>
      <t xml:space="preserve">有效</t>
    </r>
    <r>
      <rPr>
        <sz val="9"/>
        <rFont val="Arial"/>
        <family val="0"/>
        <charset val="1"/>
      </rPr>
      <t xml:space="preserve">)</t>
    </r>
  </si>
  <si>
    <t xml:space="preserve">T8/9</t>
  </si>
  <si>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單位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月。全家族最佳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頂部</t>
    </r>
    <r>
      <rPr>
        <sz val="9"/>
        <rFont val="Arial"/>
        <family val="0"/>
        <charset val="1"/>
      </rPr>
      <t xml:space="preserve">8/9(</t>
    </r>
    <r>
      <rPr>
        <sz val="9"/>
        <rFont val="WenQuanYi Zen Hei"/>
        <family val="2"/>
      </rPr>
      <t xml:space="preserve">僅漏</t>
    </r>
    <r>
      <rPr>
        <sz val="9"/>
        <rFont val="Arial"/>
        <family val="0"/>
        <charset val="1"/>
      </rPr>
      <t xml:space="preserve">1980-11), </t>
    </r>
    <r>
      <rPr>
        <sz val="9"/>
        <rFont val="WenQuanYi Zen Hei"/>
        <family val="2"/>
      </rPr>
      <t xml:space="preserve">頂部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中位約</t>
    </r>
    <r>
      <rPr>
        <sz val="9"/>
        <rFont val="Arial"/>
        <family val="0"/>
        <charset val="1"/>
      </rPr>
      <t xml:space="preserve">-10.5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底部</t>
    </r>
    <r>
      <rPr>
        <sz val="9"/>
        <rFont val="Arial"/>
        <family val="0"/>
        <charset val="1"/>
      </rPr>
      <t xml:space="preserve">5/9, </t>
    </r>
    <r>
      <rPr>
        <sz val="9"/>
        <rFont val="WenQuanYi Zen Hei"/>
        <family val="2"/>
      </rPr>
      <t xml:space="preserve">底部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-6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漏</t>
    </r>
    <r>
      <rPr>
        <sz val="9"/>
        <rFont val="Arial"/>
        <family val="0"/>
        <charset val="1"/>
      </rPr>
      <t xml:space="preserve">1990/1998/2011/2022</t>
    </r>
    <r>
      <rPr>
        <sz val="9"/>
        <rFont val="WenQuanYi Zen Hei"/>
        <family val="2"/>
      </rPr>
      <t xml:space="preserve">的急跌底 — </t>
    </r>
    <r>
      <rPr>
        <sz val="9"/>
        <rFont val="Arial"/>
        <family val="0"/>
        <charset val="1"/>
      </rPr>
      <t xml:space="preserve">score</t>
    </r>
    <r>
      <rPr>
        <sz val="9"/>
        <rFont val="WenQuanYi Zen Hei"/>
        <family val="2"/>
      </rPr>
      <t xml:space="preserve">回升太慢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升穿</t>
    </r>
    <r>
      <rPr>
        <sz val="9"/>
        <rFont val="Arial"/>
        <family val="0"/>
        <charset val="1"/>
      </rPr>
      <t xml:space="preserve">40</t>
    </r>
    <r>
      <rPr>
        <sz val="9"/>
        <rFont val="WenQuanYi Zen Hei"/>
        <family val="2"/>
      </rPr>
      <t xml:space="preserve">常在</t>
    </r>
    <r>
      <rPr>
        <sz val="9"/>
        <rFont val="Arial"/>
        <family val="0"/>
        <charset val="1"/>
      </rPr>
      <t xml:space="preserve">V</t>
    </r>
    <r>
      <rPr>
        <sz val="9"/>
        <rFont val="WenQuanYi Zen Hei"/>
        <family val="2"/>
      </rPr>
      <t xml:space="preserve">形底之後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。整體</t>
    </r>
    <r>
      <rPr>
        <sz val="9"/>
        <rFont val="Arial"/>
        <family val="0"/>
        <charset val="1"/>
      </rPr>
      <t xml:space="preserve">13/18=72%</t>
    </r>
    <r>
      <rPr>
        <sz val="9"/>
        <rFont val="WenQuanYi Zen Hei"/>
        <family val="2"/>
      </rPr>
      <t xml:space="preserve">命中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中位</t>
    </r>
    <r>
      <rPr>
        <sz val="9"/>
        <rFont val="Arial"/>
        <family val="0"/>
        <charset val="1"/>
      </rPr>
      <t xml:space="preserve">-8</t>
    </r>
    <r>
      <rPr>
        <sz val="9"/>
        <rFont val="WenQuanYi Zen Hei"/>
        <family val="2"/>
      </rPr>
      <t xml:space="preserve">月。</t>
    </r>
    <r>
      <rPr>
        <sz val="9"/>
        <rFont val="Arial"/>
        <family val="0"/>
        <charset val="1"/>
      </rPr>
      <t xml:space="preserve">FP 13/56=23.2%, </t>
    </r>
    <r>
      <rPr>
        <sz val="9"/>
        <rFont val="WenQuanYi Zen Hei"/>
        <family val="2"/>
      </rPr>
      <t xml:space="preserve">集中於</t>
    </r>
    <r>
      <rPr>
        <sz val="9"/>
        <rFont val="Arial"/>
        <family val="0"/>
        <charset val="1"/>
      </rPr>
      <t xml:space="preserve">1983-84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1994(</t>
    </r>
    <r>
      <rPr>
        <sz val="9"/>
        <rFont val="WenQuanYi Zen Hei"/>
        <family val="2"/>
      </rPr>
      <t xml:space="preserve">四次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2005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2015-16</t>
    </r>
    <r>
      <rPr>
        <sz val="9"/>
        <rFont val="WenQuanYi Zen Hei"/>
        <family val="2"/>
      </rPr>
      <t xml:space="preserve">等</t>
    </r>
    <r>
      <rPr>
        <sz val="9"/>
        <rFont val="Arial"/>
        <family val="0"/>
        <charset val="1"/>
      </rPr>
      <t xml:space="preserve">mid-cycle</t>
    </r>
    <r>
      <rPr>
        <sz val="9"/>
        <rFont val="WenQuanYi Zen Hei"/>
        <family val="2"/>
      </rPr>
      <t xml:space="preserve">降溫</t>
    </r>
    <r>
      <rPr>
        <sz val="9"/>
        <rFont val="Arial"/>
        <family val="0"/>
        <charset val="1"/>
      </rPr>
      <t xml:space="preserve">; 1</t>
    </r>
    <r>
      <rPr>
        <sz val="9"/>
        <rFont val="WenQuanYi Zen Hei"/>
        <family val="2"/>
      </rPr>
      <t xml:space="preserve">筆</t>
    </r>
    <r>
      <rPr>
        <sz val="9"/>
        <rFont val="Arial"/>
        <family val="0"/>
        <charset val="1"/>
      </rPr>
      <t xml:space="preserve">2025+</t>
    </r>
    <r>
      <rPr>
        <sz val="9"/>
        <rFont val="WenQuanYi Zen Hei"/>
        <family val="2"/>
      </rPr>
      <t xml:space="preserve">訊號不可判定。注意跌穿</t>
    </r>
    <r>
      <rPr>
        <sz val="9"/>
        <rFont val="Arial"/>
        <family val="0"/>
        <charset val="1"/>
      </rPr>
      <t xml:space="preserve">70</t>
    </r>
    <r>
      <rPr>
        <sz val="9"/>
        <rFont val="WenQuanYi Zen Hei"/>
        <family val="2"/>
      </rPr>
      <t xml:space="preserve">訊號多</t>
    </r>
    <r>
      <rPr>
        <sz val="9"/>
        <rFont val="Arial"/>
        <family val="0"/>
        <charset val="1"/>
      </rPr>
      <t xml:space="preserve">(39</t>
    </r>
    <r>
      <rPr>
        <sz val="9"/>
        <rFont val="WenQuanYi Zen Hei"/>
        <family val="2"/>
      </rPr>
      <t xml:space="preserve">次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領先性好但需容忍約</t>
    </r>
    <r>
      <rPr>
        <sz val="9"/>
        <rFont val="Arial"/>
        <family val="0"/>
        <charset val="1"/>
      </rPr>
      <t xml:space="preserve">1/4</t>
    </r>
    <r>
      <rPr>
        <sz val="9"/>
        <rFont val="WenQuanYi Zen Hei"/>
        <family val="2"/>
      </rPr>
      <t xml:space="preserve">假警報。</t>
    </r>
  </si>
  <si>
    <r>
      <rPr>
        <b val="true"/>
        <sz val="12"/>
        <rFont val="WenQuanYi Zen Hei"/>
        <family val="2"/>
      </rPr>
      <t xml:space="preserve">每個主要轉折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每個指標的 </t>
    </r>
    <r>
      <rPr>
        <b val="true"/>
        <sz val="12"/>
        <rFont val="Arial"/>
        <family val="0"/>
        <charset val="1"/>
      </rPr>
      <t xml:space="preserve">lead(</t>
    </r>
    <r>
      <rPr>
        <b val="true"/>
        <sz val="12"/>
        <rFont val="WenQuanYi Zen Hei"/>
        <family val="2"/>
      </rPr>
      <t xml:space="preserve">交易日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月度族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月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空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該轉折無訊號或不在覆蓋期 </t>
    </r>
    <r>
      <rPr>
        <b val="true"/>
        <sz val="12"/>
        <rFont val="Arial"/>
        <family val="0"/>
        <charset val="1"/>
      </rPr>
      <t xml:space="preserve">| </t>
    </r>
    <r>
      <rPr>
        <b val="true"/>
        <sz val="12"/>
        <rFont val="WenQuanYi Zen Hei"/>
        <family val="2"/>
      </rPr>
      <t xml:space="preserve">負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領先</t>
    </r>
  </si>
  <si>
    <t xml:space="preserve">轉折日期</t>
  </si>
  <si>
    <r>
      <rPr>
        <b val="true"/>
        <sz val="12"/>
        <rFont val="WenQuanYi Zen Hei"/>
        <family val="2"/>
      </rPr>
      <t xml:space="preserve">全部訊號日 </t>
    </r>
    <r>
      <rPr>
        <b val="true"/>
        <sz val="12"/>
        <rFont val="Arial"/>
        <family val="0"/>
        <charset val="1"/>
      </rPr>
      <t xml:space="preserve">(2037</t>
    </r>
    <r>
      <rPr>
        <b val="true"/>
        <sz val="12"/>
        <rFont val="WenQuanYi Zen Hei"/>
        <family val="2"/>
      </rPr>
      <t xml:space="preserve">筆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統計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活公式</t>
    </r>
  </si>
  <si>
    <t xml:space="preserve">1976-05-31</t>
  </si>
  <si>
    <t xml:space="preserve">1976-10-31</t>
  </si>
  <si>
    <t xml:space="preserve">1977-01-31</t>
  </si>
  <si>
    <t xml:space="preserve">1977-02-28</t>
  </si>
  <si>
    <t xml:space="preserve">1977-11-30</t>
  </si>
  <si>
    <t xml:space="preserve">1978-03-31</t>
  </si>
  <si>
    <t xml:space="preserve">1978-06-30</t>
  </si>
  <si>
    <t xml:space="preserve">1978-10-31</t>
  </si>
  <si>
    <t xml:space="preserve">1978-11-30</t>
  </si>
  <si>
    <t xml:space="preserve">1979-04-30</t>
  </si>
  <si>
    <t xml:space="preserve">1979-11-30</t>
  </si>
  <si>
    <t xml:space="preserve">1980-03-31</t>
  </si>
  <si>
    <t xml:space="preserve">1980-05-31</t>
  </si>
  <si>
    <t xml:space="preserve">1980-08-31</t>
  </si>
  <si>
    <t xml:space="preserve">1980-09-30</t>
  </si>
  <si>
    <t xml:space="preserve">1981-08-31</t>
  </si>
  <si>
    <t xml:space="preserve">1981-11-30</t>
  </si>
  <si>
    <t xml:space="preserve">1982-04-30</t>
  </si>
  <si>
    <t xml:space="preserve">1982-08-31</t>
  </si>
  <si>
    <t xml:space="preserve">1983-03-31</t>
  </si>
  <si>
    <t xml:space="preserve">1983-07-31</t>
  </si>
  <si>
    <t xml:space="preserve">1983-11-30</t>
  </si>
  <si>
    <t xml:space="preserve">1983-12-31</t>
  </si>
  <si>
    <t xml:space="preserve">1984-08-31</t>
  </si>
  <si>
    <t xml:space="preserve">1984-10-31</t>
  </si>
  <si>
    <t xml:space="preserve">1985-07-31</t>
  </si>
  <si>
    <t xml:space="preserve">1985-09-30</t>
  </si>
  <si>
    <t xml:space="preserve">1985-10-31</t>
  </si>
  <si>
    <t xml:space="preserve">1985-11-30</t>
  </si>
  <si>
    <t xml:space="preserve">1986-05-31</t>
  </si>
  <si>
    <t xml:space="preserve">1986-08-31</t>
  </si>
  <si>
    <t xml:space="preserve">1986-09-30</t>
  </si>
  <si>
    <t xml:space="preserve">1986-12-31</t>
  </si>
  <si>
    <t xml:space="preserve">1987-01-31</t>
  </si>
  <si>
    <t xml:space="preserve">1987-02-28</t>
  </si>
  <si>
    <t xml:space="preserve">1987-04-30</t>
  </si>
  <si>
    <t xml:space="preserve">1987-05-31</t>
  </si>
  <si>
    <t xml:space="preserve">1987-09-30</t>
  </si>
  <si>
    <t xml:space="preserve">1987-10-31</t>
  </si>
  <si>
    <t xml:space="preserve">1987-11-30</t>
  </si>
  <si>
    <t xml:space="preserve">1987-12-31</t>
  </si>
  <si>
    <t xml:space="preserve">1988-03-31</t>
  </si>
  <si>
    <t xml:space="preserve">1988-05-31</t>
  </si>
  <si>
    <t xml:space="preserve">1988-11-30</t>
  </si>
  <si>
    <t xml:space="preserve">1989-01-31</t>
  </si>
  <si>
    <t xml:space="preserve">1989-06-30</t>
  </si>
  <si>
    <t xml:space="preserve">1989-10-31</t>
  </si>
  <si>
    <t xml:space="preserve">1989-12-31</t>
  </si>
  <si>
    <t xml:space="preserve">1990-01-31</t>
  </si>
  <si>
    <t xml:space="preserve">1990-04-30</t>
  </si>
  <si>
    <t xml:space="preserve">1990-06-30</t>
  </si>
  <si>
    <t xml:space="preserve">1990-08-31</t>
  </si>
  <si>
    <t xml:space="preserve">1991-02-28</t>
  </si>
  <si>
    <t xml:space="preserve">1991-11-30</t>
  </si>
  <si>
    <t xml:space="preserve">1994-02-28</t>
  </si>
  <si>
    <t xml:space="preserve">1994-03-31</t>
  </si>
  <si>
    <t xml:space="preserve">1994-05-31</t>
  </si>
  <si>
    <t xml:space="preserve">1994-09-30</t>
  </si>
  <si>
    <t xml:space="preserve">1994-11-30</t>
  </si>
  <si>
    <t xml:space="preserve">1995-07-31</t>
  </si>
  <si>
    <t xml:space="preserve">1998-08-31</t>
  </si>
  <si>
    <t xml:space="preserve">1998-09-30</t>
  </si>
  <si>
    <t xml:space="preserve">1998-11-30</t>
  </si>
  <si>
    <t xml:space="preserve">1999-02-28</t>
  </si>
  <si>
    <t xml:space="preserve">1999-04-26</t>
  </si>
  <si>
    <t xml:space="preserve">1999-06-30</t>
  </si>
  <si>
    <t xml:space="preserve">1999-09-10</t>
  </si>
  <si>
    <t xml:space="preserve">1999-10-20</t>
  </si>
  <si>
    <t xml:space="preserve">1999-10-28</t>
  </si>
  <si>
    <t xml:space="preserve">1999-10-29</t>
  </si>
  <si>
    <t xml:space="preserve">1999-11-26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</si>
  <si>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</si>
  <si>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</si>
  <si>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</si>
  <si>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</si>
  <si>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1999-12-21</t>
  </si>
  <si>
    <t xml:space="preserve">1999-12-29</t>
  </si>
  <si>
    <t xml:space="preserve">2000-01-04</t>
  </si>
  <si>
    <t xml:space="preserve">2000-01-05</t>
  </si>
  <si>
    <t xml:space="preserve">2000-01-10</t>
  </si>
  <si>
    <t xml:space="preserve">2000-01-12</t>
  </si>
  <si>
    <t xml:space="preserve">2000-01-13</t>
  </si>
  <si>
    <t xml:space="preserve">2000-01-19</t>
  </si>
  <si>
    <t xml:space="preserve">2000-01-20</t>
  </si>
  <si>
    <t xml:space="preserve">2000-01-21</t>
  </si>
  <si>
    <t xml:space="preserve">2000-01-28</t>
  </si>
  <si>
    <t xml:space="preserve">2000-02-01</t>
  </si>
  <si>
    <t xml:space="preserve">2000-02-04</t>
  </si>
  <si>
    <t xml:space="preserve">2000-02-07</t>
  </si>
  <si>
    <t xml:space="preserve">2000-02-23</t>
  </si>
  <si>
    <t xml:space="preserve">2000-03-14</t>
  </si>
  <si>
    <t xml:space="preserve">2000-03-17</t>
  </si>
  <si>
    <t xml:space="preserve">2000-03-20</t>
  </si>
  <si>
    <t xml:space="preserve">2000-03-22</t>
  </si>
  <si>
    <t xml:space="preserve">2000-03-29</t>
  </si>
  <si>
    <t xml:space="preserve">2000-04-17</t>
  </si>
  <si>
    <t xml:space="preserve">2000-04-24</t>
  </si>
  <si>
    <t xml:space="preserve">2000-04-25</t>
  </si>
  <si>
    <t xml:space="preserve">2000-04-30</t>
  </si>
  <si>
    <t xml:space="preserve">2000-05-10</t>
  </si>
  <si>
    <t xml:space="preserve">2000-05-15</t>
  </si>
  <si>
    <t xml:space="preserve">2000-05-18</t>
  </si>
  <si>
    <t xml:space="preserve">2000-05-31</t>
  </si>
  <si>
    <t xml:space="preserve">2000-06-02</t>
  </si>
  <si>
    <t xml:space="preserve">2000-06-09</t>
  </si>
  <si>
    <t xml:space="preserve">2000-06-21</t>
  </si>
  <si>
    <t xml:space="preserve">2000-07-27</t>
  </si>
  <si>
    <t xml:space="preserve">2000-07-31</t>
  </si>
  <si>
    <t xml:space="preserve">2000-08-23</t>
  </si>
  <si>
    <t xml:space="preserve">2000-09-08</t>
  </si>
  <si>
    <t xml:space="preserve">2000-09-30</t>
  </si>
  <si>
    <t xml:space="preserve">2000-10-11</t>
  </si>
  <si>
    <t xml:space="preserve">2000-11-10</t>
  </si>
  <si>
    <t xml:space="preserve">2000-11-13</t>
  </si>
  <si>
    <t xml:space="preserve">2000-11-20</t>
  </si>
  <si>
    <t xml:space="preserve">2000-11-21</t>
  </si>
  <si>
    <t xml:space="preserve">2000-11-22</t>
  </si>
  <si>
    <t xml:space="preserve">2000-12-19</t>
  </si>
  <si>
    <t xml:space="preserve">2000-12-29</t>
  </si>
  <si>
    <t xml:space="preserve">2001-01-09</t>
  </si>
  <si>
    <t xml:space="preserve">2001-01-31</t>
  </si>
  <si>
    <t xml:space="preserve">2001-02-01</t>
  </si>
  <si>
    <t xml:space="preserve">2001-02-21</t>
  </si>
  <si>
    <t xml:space="preserve">2001-03-09</t>
  </si>
  <si>
    <t xml:space="preserve">2001-03-28</t>
  </si>
  <si>
    <t xml:space="preserve">2001-03-29</t>
  </si>
  <si>
    <t xml:space="preserve">2001-04-02</t>
  </si>
  <si>
    <t xml:space="preserve">2001-04-30</t>
  </si>
  <si>
    <t xml:space="preserve">2001-05-04</t>
  </si>
  <si>
    <t xml:space="preserve">2001-08-10</t>
  </si>
  <si>
    <t xml:space="preserve">2001-10-03</t>
  </si>
  <si>
    <t xml:space="preserve">2001-12-04</t>
  </si>
  <si>
    <t xml:space="preserve">2001-12-20</t>
  </si>
  <si>
    <t xml:space="preserve">2001-12-21</t>
  </si>
  <si>
    <t xml:space="preserve">2001-12-31</t>
  </si>
  <si>
    <t xml:space="preserve">2002-01-11</t>
  </si>
  <si>
    <t xml:space="preserve">2002-01-16</t>
  </si>
  <si>
    <t xml:space="preserve">2002-01-18</t>
  </si>
  <si>
    <t xml:space="preserve">2002-01-24</t>
  </si>
  <si>
    <t xml:space="preserve">2002-01-29</t>
  </si>
  <si>
    <t xml:space="preserve">2002-02-13</t>
  </si>
  <si>
    <t xml:space="preserve">2002-03-08</t>
  </si>
  <si>
    <t xml:space="preserve">2002-03-12</t>
  </si>
  <si>
    <t xml:space="preserve">2002-03-15</t>
  </si>
  <si>
    <t xml:space="preserve">2002-03-31</t>
  </si>
  <si>
    <t xml:space="preserve">2002-04-24</t>
  </si>
  <si>
    <t xml:space="preserve">2002-04-30</t>
  </si>
  <si>
    <t xml:space="preserve">2002-06-03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</si>
  <si>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</si>
  <si>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</si>
  <si>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</si>
  <si>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</si>
  <si>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2002-06-13</t>
  </si>
  <si>
    <t xml:space="preserve">2002-06-30</t>
  </si>
  <si>
    <t xml:space="preserve">2002-07-01</t>
  </si>
  <si>
    <t xml:space="preserve">2002-07-10</t>
  </si>
  <si>
    <t xml:space="preserve">2002-07-19</t>
  </si>
  <si>
    <t xml:space="preserve">2002-07-22</t>
  </si>
  <si>
    <t xml:space="preserve">2002-07-31</t>
  </si>
  <si>
    <t xml:space="preserve">2002-08-12</t>
  </si>
  <si>
    <t xml:space="preserve">2002-08-31</t>
  </si>
  <si>
    <t xml:space="preserve">2002-09-12</t>
  </si>
  <si>
    <t xml:space="preserve">2002-09-13</t>
  </si>
  <si>
    <t xml:space="preserve">2002-09-23</t>
  </si>
  <si>
    <t xml:space="preserve">2002-10-03</t>
  </si>
  <si>
    <t xml:space="preserve">2002-10-14</t>
  </si>
  <si>
    <t xml:space="preserve">2002-11-30</t>
  </si>
  <si>
    <t xml:space="preserve">2003-01-09</t>
  </si>
  <si>
    <t xml:space="preserve">2003-01-16</t>
  </si>
  <si>
    <t xml:space="preserve">2003-01-24</t>
  </si>
  <si>
    <t xml:space="preserve">2003-01-31</t>
  </si>
  <si>
    <t xml:space="preserve">2003-03-11</t>
  </si>
  <si>
    <t xml:space="preserve">2003-03-17</t>
  </si>
  <si>
    <t xml:space="preserve">2003-03-31</t>
  </si>
  <si>
    <t xml:space="preserve">2003-04-01</t>
  </si>
  <si>
    <t xml:space="preserve">2003-04-04</t>
  </si>
  <si>
    <t xml:space="preserve">2003-04-17</t>
  </si>
  <si>
    <t xml:space="preserve">2003-05-27</t>
  </si>
  <si>
    <t xml:space="preserve">2003-05-28</t>
  </si>
  <si>
    <t xml:space="preserve">2003-06-16</t>
  </si>
  <si>
    <t xml:space="preserve">2003-06-17</t>
  </si>
  <si>
    <t xml:space="preserve">2003-06-18</t>
  </si>
  <si>
    <t xml:space="preserve">2003-06-24</t>
  </si>
  <si>
    <t xml:space="preserve">2003-07-02</t>
  </si>
  <si>
    <t xml:space="preserve">2003-07-07</t>
  </si>
  <si>
    <t xml:space="preserve">2003-07-17</t>
  </si>
  <si>
    <t xml:space="preserve">2003-07-18</t>
  </si>
  <si>
    <t xml:space="preserve">2003-08-01</t>
  </si>
  <si>
    <t xml:space="preserve">2003-08-05</t>
  </si>
  <si>
    <t xml:space="preserve">2003-08-08</t>
  </si>
  <si>
    <t xml:space="preserve">2003-08-19</t>
  </si>
  <si>
    <t xml:space="preserve">2003-08-27</t>
  </si>
  <si>
    <t xml:space="preserve">2003-09-10</t>
  </si>
  <si>
    <t xml:space="preserve">2003-09-15</t>
  </si>
  <si>
    <t xml:space="preserve">2003-09-18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</si>
  <si>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</si>
  <si>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</si>
  <si>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</si>
  <si>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</si>
  <si>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</si>
  <si>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</si>
  <si>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</si>
  <si>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</si>
  <si>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</si>
  <si>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2003-10-16</t>
  </si>
  <si>
    <t xml:space="preserve">2003-10-22</t>
  </si>
  <si>
    <t xml:space="preserve">2003-11-03</t>
  </si>
  <si>
    <t xml:space="preserve">2003-11-13</t>
  </si>
  <si>
    <t xml:space="preserve">2003-11-18</t>
  </si>
  <si>
    <t xml:space="preserve">2003-11-20</t>
  </si>
  <si>
    <t xml:space="preserve">2003-11-21</t>
  </si>
  <si>
    <t xml:space="preserve">2003-12-01</t>
  </si>
  <si>
    <t xml:space="preserve">2003-12-03</t>
  </si>
  <si>
    <t xml:space="preserve">2003-12-09</t>
  </si>
  <si>
    <t xml:space="preserve">2003-12-29</t>
  </si>
  <si>
    <t xml:space="preserve">2003-12-31</t>
  </si>
  <si>
    <t xml:space="preserve">2004-01-27</t>
  </si>
  <si>
    <t xml:space="preserve">2004-01-28</t>
  </si>
  <si>
    <t xml:space="preserve">2004-02-04</t>
  </si>
  <si>
    <t xml:space="preserve">2004-02-06</t>
  </si>
  <si>
    <t xml:space="preserve">2004-02-13</t>
  </si>
  <si>
    <t xml:space="preserve">2004-02-23</t>
  </si>
  <si>
    <t xml:space="preserve">2004-03-01</t>
  </si>
  <si>
    <t xml:space="preserve">2004-03-04</t>
  </si>
  <si>
    <t xml:space="preserve">2004-03-08</t>
  </si>
  <si>
    <t xml:space="preserve">2004-03-09</t>
  </si>
  <si>
    <t xml:space="preserve">2004-03-12</t>
  </si>
  <si>
    <t xml:space="preserve">2004-03-29</t>
  </si>
  <si>
    <t xml:space="preserve">2004-04-02</t>
  </si>
  <si>
    <t xml:space="preserve">2004-04-15</t>
  </si>
  <si>
    <t xml:space="preserve">2004-04-21</t>
  </si>
  <si>
    <t xml:space="preserve">2004-04-28</t>
  </si>
  <si>
    <t xml:space="preserve">2004-04-30</t>
  </si>
  <si>
    <t xml:space="preserve">2004-05-03</t>
  </si>
  <si>
    <t xml:space="preserve">2004-05-06</t>
  </si>
  <si>
    <t xml:space="preserve">2004-05-25</t>
  </si>
  <si>
    <t xml:space="preserve">2004-05-27</t>
  </si>
  <si>
    <t xml:space="preserve">2004-06-03</t>
  </si>
  <si>
    <t xml:space="preserve">2004-06-04</t>
  </si>
  <si>
    <t xml:space="preserve">2004-06-09</t>
  </si>
  <si>
    <t xml:space="preserve">2004-06-10</t>
  </si>
  <si>
    <t xml:space="preserve">2004-06-15</t>
  </si>
  <si>
    <t xml:space="preserve">2004-06-17</t>
  </si>
  <si>
    <t xml:space="preserve">2004-06-28</t>
  </si>
  <si>
    <t xml:space="preserve">2004-06-30</t>
  </si>
  <si>
    <t xml:space="preserve">2004-07-01</t>
  </si>
  <si>
    <t xml:space="preserve">2004-07-06</t>
  </si>
  <si>
    <t xml:space="preserve">2004-07-21</t>
  </si>
  <si>
    <t xml:space="preserve">2004-08-06</t>
  </si>
  <si>
    <t xml:space="preserve">2004-08-19</t>
  </si>
  <si>
    <t xml:space="preserve">2004-09-07</t>
  </si>
  <si>
    <t xml:space="preserve">2004-10-01</t>
  </si>
  <si>
    <t xml:space="preserve">2004-10-04</t>
  </si>
  <si>
    <t xml:space="preserve">2004-10-06</t>
  </si>
  <si>
    <t xml:space="preserve">2004-10-07</t>
  </si>
  <si>
    <t xml:space="preserve">2004-10-21</t>
  </si>
  <si>
    <t xml:space="preserve">2004-10-27</t>
  </si>
  <si>
    <t xml:space="preserve">2004-10-28</t>
  </si>
  <si>
    <t xml:space="preserve">2004-11-01</t>
  </si>
  <si>
    <t xml:space="preserve">2004-11-02</t>
  </si>
  <si>
    <t xml:space="preserve">2004-11-19</t>
  </si>
  <si>
    <t xml:space="preserve">2004-11-26</t>
  </si>
  <si>
    <t xml:space="preserve">2004-11-29</t>
  </si>
  <si>
    <t xml:space="preserve">2004-12-01</t>
  </si>
  <si>
    <t xml:space="preserve">2004-12-07</t>
  </si>
  <si>
    <t xml:space="preserve">2004-12-13</t>
  </si>
  <si>
    <t xml:space="preserve">2004-12-15</t>
  </si>
  <si>
    <t xml:space="preserve">2004-12-17</t>
  </si>
  <si>
    <t xml:space="preserve">2004-12-22</t>
  </si>
  <si>
    <t xml:space="preserve">2004-12-27</t>
  </si>
  <si>
    <t xml:space="preserve">2004-12-28</t>
  </si>
  <si>
    <t xml:space="preserve">2004-12-30</t>
  </si>
  <si>
    <t xml:space="preserve">2005-01-03</t>
  </si>
  <si>
    <t xml:space="preserve">2005-01-04</t>
  </si>
  <si>
    <t xml:space="preserve">2005-01-18</t>
  </si>
  <si>
    <t xml:space="preserve">2005-01-20</t>
  </si>
  <si>
    <t xml:space="preserve">2005-01-28</t>
  </si>
  <si>
    <t xml:space="preserve">2005-02-02</t>
  </si>
  <si>
    <t xml:space="preserve">2005-02-04</t>
  </si>
  <si>
    <t xml:space="preserve">2005-02-11</t>
  </si>
  <si>
    <t xml:space="preserve">2005-02-14</t>
  </si>
  <si>
    <t xml:space="preserve">2005-02-22</t>
  </si>
  <si>
    <t xml:space="preserve">2005-03-01</t>
  </si>
  <si>
    <t xml:space="preserve">2005-03-04</t>
  </si>
  <si>
    <t xml:space="preserve">2005-03-08</t>
  </si>
  <si>
    <t xml:space="preserve">2005-03-11</t>
  </si>
  <si>
    <t xml:space="preserve">2005-03-15</t>
  </si>
  <si>
    <t xml:space="preserve">2005-03-22</t>
  </si>
  <si>
    <t xml:space="preserve">2005-03-30</t>
  </si>
  <si>
    <t xml:space="preserve">2005-04-01</t>
  </si>
  <si>
    <t xml:space="preserve">2005-04-05</t>
  </si>
  <si>
    <t xml:space="preserve">2005-04-07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</si>
  <si>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</si>
  <si>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</si>
  <si>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</si>
  <si>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</si>
  <si>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2005-04-26</t>
  </si>
  <si>
    <t xml:space="preserve">2005-04-28</t>
  </si>
  <si>
    <t xml:space="preserve">2005-04-29</t>
  </si>
  <si>
    <t xml:space="preserve">2005-05-05</t>
  </si>
  <si>
    <t xml:space="preserve">2005-05-17</t>
  </si>
  <si>
    <t xml:space="preserve">2005-06-09</t>
  </si>
  <si>
    <t xml:space="preserve">2005-06-27</t>
  </si>
  <si>
    <t xml:space="preserve">2005-06-30</t>
  </si>
  <si>
    <t xml:space="preserve">2005-07-08</t>
  </si>
  <si>
    <t xml:space="preserve">2005-07-11</t>
  </si>
  <si>
    <t xml:space="preserve">2005-08-04</t>
  </si>
  <si>
    <t xml:space="preserve">2005-08-09</t>
  </si>
  <si>
    <t xml:space="preserve">2005-08-12</t>
  </si>
  <si>
    <t xml:space="preserve">2005-09-13</t>
  </si>
  <si>
    <t xml:space="preserve">2005-09-16</t>
  </si>
  <si>
    <t xml:space="preserve">2005-09-20</t>
  </si>
  <si>
    <t xml:space="preserve">2005-09-23</t>
  </si>
  <si>
    <t xml:space="preserve">2005-09-27</t>
  </si>
  <si>
    <t xml:space="preserve">2005-10-04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</si>
  <si>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</si>
  <si>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</si>
  <si>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</si>
  <si>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</si>
  <si>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2005-10-13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</si>
  <si>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</si>
  <si>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</si>
  <si>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</si>
  <si>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</si>
  <si>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2005-10-27</t>
  </si>
  <si>
    <t xml:space="preserve">2005-10-28</t>
  </si>
  <si>
    <t xml:space="preserve">2005-10-31</t>
  </si>
  <si>
    <t xml:space="preserve">2005-11-11</t>
  </si>
  <si>
    <t xml:space="preserve">2005-11-17</t>
  </si>
  <si>
    <t xml:space="preserve">2005-11-18</t>
  </si>
  <si>
    <t xml:space="preserve">2005-11-29</t>
  </si>
  <si>
    <t xml:space="preserve">2005-12-13</t>
  </si>
  <si>
    <t xml:space="preserve">2005-12-19</t>
  </si>
  <si>
    <t xml:space="preserve">2005-12-30</t>
  </si>
  <si>
    <t xml:space="preserve">2006-01-03</t>
  </si>
  <si>
    <t xml:space="preserve">2006-01-05</t>
  </si>
  <si>
    <t xml:space="preserve">2006-01-06</t>
  </si>
  <si>
    <t xml:space="preserve">2006-01-19</t>
  </si>
  <si>
    <t xml:space="preserve">2006-02-06</t>
  </si>
  <si>
    <t xml:space="preserve">2006-02-09</t>
  </si>
  <si>
    <t xml:space="preserve">2006-02-10</t>
  </si>
  <si>
    <t xml:space="preserve">2006-02-28</t>
  </si>
  <si>
    <t xml:space="preserve">2006-03-03</t>
  </si>
  <si>
    <t xml:space="preserve">2006-03-08</t>
  </si>
  <si>
    <t xml:space="preserve">2006-03-27</t>
  </si>
  <si>
    <t xml:space="preserve">2006-03-29</t>
  </si>
  <si>
    <t xml:space="preserve">2006-03-30</t>
  </si>
  <si>
    <t xml:space="preserve">2006-04-04</t>
  </si>
  <si>
    <t xml:space="preserve">2006-04-05</t>
  </si>
  <si>
    <t xml:space="preserve">2006-04-06</t>
  </si>
  <si>
    <t xml:space="preserve">2006-04-12</t>
  </si>
  <si>
    <t xml:space="preserve">2006-04-18</t>
  </si>
  <si>
    <t xml:space="preserve">2006-04-20</t>
  </si>
  <si>
    <t xml:space="preserve">2006-04-27</t>
  </si>
  <si>
    <t xml:space="preserve">2006-04-28</t>
  </si>
  <si>
    <t xml:space="preserve">2006-05-09</t>
  </si>
  <si>
    <t xml:space="preserve">2006-05-16</t>
  </si>
  <si>
    <t xml:space="preserve">2006-05-17</t>
  </si>
  <si>
    <t xml:space="preserve">2006-05-19</t>
  </si>
  <si>
    <t xml:space="preserve">2006-05-25</t>
  </si>
  <si>
    <t xml:space="preserve">2006-05-31</t>
  </si>
  <si>
    <t xml:space="preserve">2006-06-01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</si>
  <si>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</si>
  <si>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</si>
  <si>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</si>
  <si>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</si>
  <si>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2006-06-21</t>
  </si>
  <si>
    <t xml:space="preserve">2006-06-23</t>
  </si>
  <si>
    <t xml:space="preserve">2006-06-29</t>
  </si>
  <si>
    <t xml:space="preserve">2006-07-03</t>
  </si>
  <si>
    <t xml:space="preserve">2006-07-13</t>
  </si>
  <si>
    <t xml:space="preserve">2006-07-14</t>
  </si>
  <si>
    <t xml:space="preserve">2006-07-21</t>
  </si>
  <si>
    <t xml:space="preserve">2006-07-25</t>
  </si>
  <si>
    <t xml:space="preserve">2006-07-31</t>
  </si>
  <si>
    <t xml:space="preserve">2006-08-16</t>
  </si>
  <si>
    <t xml:space="preserve">2006-08-28</t>
  </si>
  <si>
    <t xml:space="preserve">2006-08-30</t>
  </si>
  <si>
    <t xml:space="preserve">2006-09-01</t>
  </si>
  <si>
    <t xml:space="preserve">2006-09-13</t>
  </si>
  <si>
    <t xml:space="preserve">2006-09-19</t>
  </si>
  <si>
    <t xml:space="preserve">2006-09-20</t>
  </si>
  <si>
    <t xml:space="preserve">2006-09-22</t>
  </si>
  <si>
    <t xml:space="preserve">2006-09-25</t>
  </si>
  <si>
    <t xml:space="preserve">2006-10-04</t>
  </si>
  <si>
    <t xml:space="preserve">2006-10-09</t>
  </si>
  <si>
    <t xml:space="preserve">2006-10-20</t>
  </si>
  <si>
    <t xml:space="preserve">2006-10-25</t>
  </si>
  <si>
    <t xml:space="preserve">2006-11-01</t>
  </si>
  <si>
    <t xml:space="preserve">2006-11-02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</si>
  <si>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</si>
  <si>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</si>
  <si>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</si>
  <si>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</si>
  <si>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2006-11-22</t>
  </si>
  <si>
    <t xml:space="preserve">2006-11-28</t>
  </si>
  <si>
    <t xml:space="preserve">2006-12-13</t>
  </si>
  <si>
    <t xml:space="preserve">2006-12-21</t>
  </si>
  <si>
    <t xml:space="preserve">2006-12-29</t>
  </si>
  <si>
    <t xml:space="preserve">2007-01-11</t>
  </si>
  <si>
    <t xml:space="preserve">2007-01-12</t>
  </si>
  <si>
    <t xml:space="preserve">2007-01-18</t>
  </si>
  <si>
    <t xml:space="preserve">2007-01-22</t>
  </si>
  <si>
    <t xml:space="preserve">2007-01-25</t>
  </si>
  <si>
    <t xml:space="preserve">2007-02-09</t>
  </si>
  <si>
    <t xml:space="preserve">2007-02-13</t>
  </si>
  <si>
    <t xml:space="preserve">2007-02-20</t>
  </si>
  <si>
    <t xml:space="preserve">2007-02-21</t>
  </si>
  <si>
    <t xml:space="preserve">2007-02-27</t>
  </si>
  <si>
    <t xml:space="preserve">2007-02-28</t>
  </si>
  <si>
    <t xml:space="preserve">2007-03-02</t>
  </si>
  <si>
    <t xml:space="preserve">2007-03-12</t>
  </si>
  <si>
    <t xml:space="preserve">2007-03-13</t>
  </si>
  <si>
    <t xml:space="preserve">2007-03-16</t>
  </si>
  <si>
    <t xml:space="preserve">2007-03-20</t>
  </si>
  <si>
    <t xml:space="preserve">2007-03-28</t>
  </si>
  <si>
    <t xml:space="preserve">2007-03-30</t>
  </si>
  <si>
    <t xml:space="preserve">2007-03-31</t>
  </si>
  <si>
    <t xml:space="preserve">2007-05-10</t>
  </si>
  <si>
    <t xml:space="preserve">2007-05-14</t>
  </si>
  <si>
    <t xml:space="preserve">2007-05-21</t>
  </si>
  <si>
    <t xml:space="preserve">2007-05-22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</si>
  <si>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</si>
  <si>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</si>
  <si>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</si>
  <si>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</si>
  <si>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2007-06-08</t>
  </si>
  <si>
    <t xml:space="preserve">2007-06-15</t>
  </si>
  <si>
    <t xml:space="preserve">2007-06-19</t>
  </si>
  <si>
    <t xml:space="preserve">2007-06-26</t>
  </si>
  <si>
    <t xml:space="preserve">2007-07-02</t>
  </si>
  <si>
    <t xml:space="preserve">2007-07-03</t>
  </si>
  <si>
    <t xml:space="preserve">2007-07-10</t>
  </si>
  <si>
    <t xml:space="preserve">2007-07-20</t>
  </si>
  <si>
    <t xml:space="preserve">2007-07-24</t>
  </si>
  <si>
    <t xml:space="preserve">2007-07-27</t>
  </si>
  <si>
    <t xml:space="preserve">2007-07-31</t>
  </si>
  <si>
    <t xml:space="preserve">2007-08-03</t>
  </si>
  <si>
    <t xml:space="preserve">2007-08-08</t>
  </si>
  <si>
    <t xml:space="preserve">2007-08-09</t>
  </si>
  <si>
    <t xml:space="preserve">2007-08-15</t>
  </si>
  <si>
    <t xml:space="preserve">2007-08-17</t>
  </si>
  <si>
    <t xml:space="preserve">2007-08-28</t>
  </si>
  <si>
    <t xml:space="preserve">2007-08-29</t>
  </si>
  <si>
    <t xml:space="preserve">2007-08-31</t>
  </si>
  <si>
    <t xml:space="preserve">2007-09-11</t>
  </si>
  <si>
    <t xml:space="preserve">2007-09-12</t>
  </si>
  <si>
    <t xml:space="preserve">2007-09-18</t>
  </si>
  <si>
    <t xml:space="preserve">2007-09-30</t>
  </si>
  <si>
    <t xml:space="preserve">2007-10-02</t>
  </si>
  <si>
    <t xml:space="preserve">2007-10-16</t>
  </si>
  <si>
    <t xml:space="preserve">2007-10-17</t>
  </si>
  <si>
    <t xml:space="preserve">2007-10-19</t>
  </si>
  <si>
    <t xml:space="preserve">2007-10-29</t>
  </si>
  <si>
    <t xml:space="preserve">2007-11-07</t>
  </si>
  <si>
    <t xml:space="preserve">2007-11-09</t>
  </si>
  <si>
    <t xml:space="preserve">2007-11-13</t>
  </si>
  <si>
    <t xml:space="preserve">2007-11-16</t>
  </si>
  <si>
    <t xml:space="preserve">2007-11-21</t>
  </si>
  <si>
    <t xml:space="preserve">2007-11-23</t>
  </si>
  <si>
    <t xml:space="preserve">2007-11-26</t>
  </si>
  <si>
    <t xml:space="preserve">2007-11-28</t>
  </si>
  <si>
    <t xml:space="preserve">2007-11-30</t>
  </si>
  <si>
    <t xml:space="preserve">2007-12-10</t>
  </si>
  <si>
    <t xml:space="preserve">2007-12-11</t>
  </si>
  <si>
    <t xml:space="preserve">2007-12-17</t>
  </si>
  <si>
    <t xml:space="preserve">2007-12-20</t>
  </si>
  <si>
    <t xml:space="preserve">2007-12-26</t>
  </si>
  <si>
    <t xml:space="preserve">2007-12-27</t>
  </si>
  <si>
    <t xml:space="preserve">2007-12-31</t>
  </si>
  <si>
    <t xml:space="preserve">2008-01-02</t>
  </si>
  <si>
    <t xml:space="preserve">2008-01-08</t>
  </si>
  <si>
    <t xml:space="preserve">2008-01-11</t>
  </si>
  <si>
    <t xml:space="preserve">2008-01-29</t>
  </si>
  <si>
    <t xml:space="preserve">2008-01-30</t>
  </si>
  <si>
    <t xml:space="preserve">2008-01-31</t>
  </si>
  <si>
    <t xml:space="preserve">2008-02-06</t>
  </si>
  <si>
    <t xml:space="preserve">2008-02-15</t>
  </si>
  <si>
    <t xml:space="preserve">2008-02-28</t>
  </si>
  <si>
    <t xml:space="preserve">2008-02-29</t>
  </si>
  <si>
    <t xml:space="preserve">2008-03-03</t>
  </si>
  <si>
    <t xml:space="preserve">2008-03-17</t>
  </si>
  <si>
    <t xml:space="preserve">2008-03-24</t>
  </si>
  <si>
    <t xml:space="preserve">2008-04-18</t>
  </si>
  <si>
    <t xml:space="preserve">2008-04-21</t>
  </si>
  <si>
    <t xml:space="preserve">2008-05-12</t>
  </si>
  <si>
    <t xml:space="preserve">2008-05-15</t>
  </si>
  <si>
    <t xml:space="preserve">2008-05-19</t>
  </si>
  <si>
    <t xml:space="preserve">2008-05-30</t>
  </si>
  <si>
    <t xml:space="preserve">2008-05-31</t>
  </si>
  <si>
    <t xml:space="preserve">2008-06-02</t>
  </si>
  <si>
    <t xml:space="preserve">2008-06-06</t>
  </si>
  <si>
    <t xml:space="preserve">2008-07-18</t>
  </si>
  <si>
    <t xml:space="preserve">2008-07-31</t>
  </si>
  <si>
    <t xml:space="preserve">2008-08-08</t>
  </si>
  <si>
    <t xml:space="preserve">2008-08-11</t>
  </si>
  <si>
    <t xml:space="preserve">2008-08-12</t>
  </si>
  <si>
    <t xml:space="preserve">2008-08-14</t>
  </si>
  <si>
    <t xml:space="preserve">2008-08-18</t>
  </si>
  <si>
    <t xml:space="preserve">2008-09-25</t>
  </si>
  <si>
    <t xml:space="preserve">2008-09-29</t>
  </si>
  <si>
    <t xml:space="preserve">2008-10-02</t>
  </si>
  <si>
    <t xml:space="preserve">2008-10-03</t>
  </si>
  <si>
    <t xml:space="preserve">2008-10-17</t>
  </si>
  <si>
    <t xml:space="preserve">2008-10-22</t>
  </si>
  <si>
    <t xml:space="preserve">2008-10-23</t>
  </si>
  <si>
    <t xml:space="preserve">2008-10-24</t>
  </si>
  <si>
    <t xml:space="preserve">2008-10-31</t>
  </si>
  <si>
    <t xml:space="preserve">2008-11-12</t>
  </si>
  <si>
    <t xml:space="preserve">2008-11-17</t>
  </si>
  <si>
    <t xml:space="preserve">2008-11-19</t>
  </si>
  <si>
    <t xml:space="preserve">2008-12-23</t>
  </si>
  <si>
    <t xml:space="preserve">2008-12-31</t>
  </si>
  <si>
    <t xml:space="preserve">2009-03-05</t>
  </si>
  <si>
    <t xml:space="preserve">2009-03-31</t>
  </si>
  <si>
    <t xml:space="preserve">2009-04-13</t>
  </si>
  <si>
    <t xml:space="preserve">2009-05-04</t>
  </si>
  <si>
    <t xml:space="preserve">2009-05-07</t>
  </si>
  <si>
    <t xml:space="preserve">2009-05-18</t>
  </si>
  <si>
    <t xml:space="preserve">2009-05-21</t>
  </si>
  <si>
    <t xml:space="preserve">2009-05-26</t>
  </si>
  <si>
    <t xml:space="preserve">2009-05-29</t>
  </si>
  <si>
    <t xml:space="preserve">2009-05-31</t>
  </si>
  <si>
    <t xml:space="preserve">2009-06-22</t>
  </si>
  <si>
    <t xml:space="preserve">2009-07-15</t>
  </si>
  <si>
    <t xml:space="preserve">2009-07-16</t>
  </si>
  <si>
    <t xml:space="preserve">2009-07-17</t>
  </si>
  <si>
    <t xml:space="preserve">2009-08-21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</si>
  <si>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</si>
  <si>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</si>
  <si>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</si>
  <si>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</si>
  <si>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</si>
  <si>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2009-09-28</t>
  </si>
  <si>
    <t xml:space="preserve">2009-10-01</t>
  </si>
  <si>
    <t xml:space="preserve">2009-10-14</t>
  </si>
  <si>
    <t xml:space="preserve">2009-10-15</t>
  </si>
  <si>
    <t xml:space="preserve">2009-10-19</t>
  </si>
  <si>
    <t xml:space="preserve">2009-10-21</t>
  </si>
  <si>
    <t xml:space="preserve">2009-10-26</t>
  </si>
  <si>
    <t xml:space="preserve">2009-10-27</t>
  </si>
  <si>
    <t xml:space="preserve">2009-10-29</t>
  </si>
  <si>
    <t xml:space="preserve">2009-10-30</t>
  </si>
  <si>
    <t xml:space="preserve">2009-11-05</t>
  </si>
  <si>
    <t xml:space="preserve">2009-11-06</t>
  </si>
  <si>
    <t xml:space="preserve">2009-11-16</t>
  </si>
  <si>
    <t xml:space="preserve">2009-11-17</t>
  </si>
  <si>
    <t xml:space="preserve">2009-11-24</t>
  </si>
  <si>
    <t xml:space="preserve">2009-12-14</t>
  </si>
  <si>
    <t xml:space="preserve">2009-12-15</t>
  </si>
  <si>
    <t xml:space="preserve">2009-12-22</t>
  </si>
  <si>
    <t xml:space="preserve">2010-01-15</t>
  </si>
  <si>
    <t xml:space="preserve">2010-01-19</t>
  </si>
  <si>
    <t xml:space="preserve">2010-01-21</t>
  </si>
  <si>
    <t xml:space="preserve">2010-01-22</t>
  </si>
  <si>
    <t xml:space="preserve">2010-01-27</t>
  </si>
  <si>
    <t xml:space="preserve">2010-01-28</t>
  </si>
  <si>
    <t xml:space="preserve">2010-02-04</t>
  </si>
  <si>
    <t xml:space="preserve">2010-02-05</t>
  </si>
  <si>
    <t xml:space="preserve">2010-02-09</t>
  </si>
  <si>
    <t xml:space="preserve">2010-02-16</t>
  </si>
  <si>
    <t xml:space="preserve">2010-04-05</t>
  </si>
  <si>
    <t xml:space="preserve">2010-04-16</t>
  </si>
  <si>
    <t xml:space="preserve">2010-04-27</t>
  </si>
  <si>
    <t xml:space="preserve">2010-04-30</t>
  </si>
  <si>
    <t xml:space="preserve">2010-05-06</t>
  </si>
  <si>
    <t xml:space="preserve">2010-05-10</t>
  </si>
  <si>
    <t xml:space="preserve">2010-05-11</t>
  </si>
  <si>
    <t xml:space="preserve">2010-05-12</t>
  </si>
  <si>
    <t xml:space="preserve">2010-05-14</t>
  </si>
  <si>
    <t xml:space="preserve">2010-05-20</t>
  </si>
  <si>
    <t xml:space="preserve">2010-05-21</t>
  </si>
  <si>
    <t xml:space="preserve">2010-05-24</t>
  </si>
  <si>
    <t xml:space="preserve">2010-05-27</t>
  </si>
  <si>
    <t xml:space="preserve">2010-06-01</t>
  </si>
  <si>
    <t xml:space="preserve">2010-06-02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</si>
  <si>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</si>
  <si>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</si>
  <si>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</si>
  <si>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</si>
  <si>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2010-06-11</t>
  </si>
  <si>
    <t xml:space="preserve">2010-06-24</t>
  </si>
  <si>
    <t xml:space="preserve">2010-06-29</t>
  </si>
  <si>
    <t xml:space="preserve">2010-06-30</t>
  </si>
  <si>
    <t xml:space="preserve">2010-07-09</t>
  </si>
  <si>
    <t xml:space="preserve">2010-07-23</t>
  </si>
  <si>
    <t xml:space="preserve">2010-07-29</t>
  </si>
  <si>
    <t xml:space="preserve">2010-07-31</t>
  </si>
  <si>
    <t xml:space="preserve">2010-08-02</t>
  </si>
  <si>
    <t xml:space="preserve">2010-08-11</t>
  </si>
  <si>
    <t xml:space="preserve">2010-08-31</t>
  </si>
  <si>
    <t xml:space="preserve">2010-09-02</t>
  </si>
  <si>
    <t xml:space="preserve">2010-09-13</t>
  </si>
  <si>
    <t xml:space="preserve">2010-09-17</t>
  </si>
  <si>
    <t xml:space="preserve">2010-09-22</t>
  </si>
  <si>
    <t xml:space="preserve">2010-09-27</t>
  </si>
  <si>
    <t xml:space="preserve">2010-09-29</t>
  </si>
  <si>
    <t xml:space="preserve">2010-10-05</t>
  </si>
  <si>
    <t xml:space="preserve">2010-10-08</t>
  </si>
  <si>
    <t xml:space="preserve">2010-10-11</t>
  </si>
  <si>
    <t xml:space="preserve">2010-10-12</t>
  </si>
  <si>
    <t xml:space="preserve">2010-10-15</t>
  </si>
  <si>
    <t xml:space="preserve">2010-10-31</t>
  </si>
  <si>
    <t xml:space="preserve">2010-11-15</t>
  </si>
  <si>
    <t xml:space="preserve">2010-11-18</t>
  </si>
  <si>
    <t xml:space="preserve">2010-11-30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</si>
  <si>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</si>
  <si>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</si>
  <si>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</si>
  <si>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</si>
  <si>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</si>
  <si>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</si>
  <si>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2010-12-22</t>
  </si>
  <si>
    <t xml:space="preserve">2011-01-03</t>
  </si>
  <si>
    <t xml:space="preserve">2011-01-24</t>
  </si>
  <si>
    <t xml:space="preserve">2011-02-04</t>
  </si>
  <si>
    <t xml:space="preserve">2011-02-07</t>
  </si>
  <si>
    <t xml:space="preserve">2011-02-08</t>
  </si>
  <si>
    <t xml:space="preserve">2011-02-11</t>
  </si>
  <si>
    <t xml:space="preserve">2011-02-14</t>
  </si>
  <si>
    <t xml:space="preserve">2011-02-16</t>
  </si>
  <si>
    <t xml:space="preserve">2011-02-17</t>
  </si>
  <si>
    <t xml:space="preserve">2011-02-22</t>
  </si>
  <si>
    <t xml:space="preserve">2011-02-23</t>
  </si>
  <si>
    <t xml:space="preserve">2011-03-01</t>
  </si>
  <si>
    <t xml:space="preserve">2011-03-10</t>
  </si>
  <si>
    <t xml:space="preserve">2011-03-11</t>
  </si>
  <si>
    <t xml:space="preserve">2011-03-16</t>
  </si>
  <si>
    <t xml:space="preserve">2011-03-23</t>
  </si>
  <si>
    <t xml:space="preserve">2011-04-12</t>
  </si>
  <si>
    <t xml:space="preserve">2011-04-26</t>
  </si>
  <si>
    <t xml:space="preserve">2011-05-05</t>
  </si>
  <si>
    <t xml:space="preserve">2011-05-13</t>
  </si>
  <si>
    <t xml:space="preserve">2011-05-16</t>
  </si>
  <si>
    <t xml:space="preserve">2011-05-17</t>
  </si>
  <si>
    <t xml:space="preserve">2011-05-20</t>
  </si>
  <si>
    <t xml:space="preserve">2011-06-08</t>
  </si>
  <si>
    <t xml:space="preserve">2011-06-14</t>
  </si>
  <si>
    <t xml:space="preserve">2011-06-15</t>
  </si>
  <si>
    <t xml:space="preserve">2011-06-17</t>
  </si>
  <si>
    <t xml:space="preserve">2011-06-21</t>
  </si>
  <si>
    <t xml:space="preserve">2011-06-29</t>
  </si>
  <si>
    <t xml:space="preserve">2011-07-14</t>
  </si>
  <si>
    <t xml:space="preserve">2011-07-29</t>
  </si>
  <si>
    <t xml:space="preserve">2011-08-02</t>
  </si>
  <si>
    <t xml:space="preserve">2011-08-04</t>
  </si>
  <si>
    <t xml:space="preserve">2011-08-12</t>
  </si>
  <si>
    <t xml:space="preserve">2011-08-15</t>
  </si>
  <si>
    <t xml:space="preserve">2011-08-19</t>
  </si>
  <si>
    <t xml:space="preserve">2011-08-26</t>
  </si>
  <si>
    <t xml:space="preserve">2011-08-31</t>
  </si>
  <si>
    <t xml:space="preserve">2011-10-10</t>
  </si>
  <si>
    <t xml:space="preserve">2011-10-18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</si>
  <si>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</si>
  <si>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</si>
  <si>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</si>
  <si>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</si>
  <si>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</si>
  <si>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2011-10-31</t>
  </si>
  <si>
    <t xml:space="preserve">2011-11-03</t>
  </si>
  <si>
    <t xml:space="preserve">2011-11-04</t>
  </si>
  <si>
    <t xml:space="preserve">2011-11-07</t>
  </si>
  <si>
    <t xml:space="preserve">2011-11-09</t>
  </si>
  <si>
    <t xml:space="preserve">2012-01-03</t>
  </si>
  <si>
    <t xml:space="preserve">2012-01-05</t>
  </si>
  <si>
    <t xml:space="preserve">2012-02-03</t>
  </si>
  <si>
    <t xml:space="preserve">2012-02-22</t>
  </si>
  <si>
    <t xml:space="preserve">2012-02-24</t>
  </si>
  <si>
    <t xml:space="preserve">2012-02-27</t>
  </si>
  <si>
    <t xml:space="preserve">2012-02-29</t>
  </si>
  <si>
    <t xml:space="preserve">2012-03-01</t>
  </si>
  <si>
    <t xml:space="preserve">2012-03-06</t>
  </si>
  <si>
    <t xml:space="preserve">2012-03-13</t>
  </si>
  <si>
    <t xml:space="preserve">2012-03-14</t>
  </si>
  <si>
    <t xml:space="preserve">2012-04-05</t>
  </si>
  <si>
    <t xml:space="preserve">2012-04-18</t>
  </si>
  <si>
    <t xml:space="preserve">2012-04-25</t>
  </si>
  <si>
    <t xml:space="preserve">2012-05-04</t>
  </si>
  <si>
    <t xml:space="preserve">2012-05-09</t>
  </si>
  <si>
    <t xml:space="preserve">2012-06-01</t>
  </si>
  <si>
    <t xml:space="preserve">2012-06-04</t>
  </si>
  <si>
    <t xml:space="preserve">2012-06-15</t>
  </si>
  <si>
    <t xml:space="preserve">2012-06-22</t>
  </si>
  <si>
    <t xml:space="preserve">2012-06-29</t>
  </si>
  <si>
    <t xml:space="preserve">2012-07-03</t>
  </si>
  <si>
    <t xml:space="preserve">2012-07-09</t>
  </si>
  <si>
    <t xml:space="preserve">2012-07-10</t>
  </si>
  <si>
    <t xml:space="preserve">2012-07-13</t>
  </si>
  <si>
    <t xml:space="preserve">2012-07-20</t>
  </si>
  <si>
    <t xml:space="preserve">2012-07-26</t>
  </si>
  <si>
    <t xml:space="preserve">2012-08-01</t>
  </si>
  <si>
    <t xml:space="preserve">2012-08-13</t>
  </si>
  <si>
    <t xml:space="preserve">2012-08-21</t>
  </si>
  <si>
    <t xml:space="preserve">2012-08-28</t>
  </si>
  <si>
    <t xml:space="preserve">2012-08-29</t>
  </si>
  <si>
    <t xml:space="preserve">2012-09-05</t>
  </si>
  <si>
    <t xml:space="preserve">2012-09-06</t>
  </si>
  <si>
    <t xml:space="preserve">2012-09-26</t>
  </si>
  <si>
    <t xml:space="preserve">2012-09-30</t>
  </si>
  <si>
    <t xml:space="preserve">2012-10-10</t>
  </si>
  <si>
    <t xml:space="preserve">2012-10-18</t>
  </si>
  <si>
    <t xml:space="preserve">2012-10-19</t>
  </si>
  <si>
    <t xml:space="preserve">2012-10-23</t>
  </si>
  <si>
    <t xml:space="preserve">2012-11-02</t>
  </si>
  <si>
    <t xml:space="preserve">2012-11-07</t>
  </si>
  <si>
    <t xml:space="preserve">2012-11-23</t>
  </si>
  <si>
    <t xml:space="preserve">2012-11-28</t>
  </si>
  <si>
    <t xml:space="preserve">2012-12-05</t>
  </si>
  <si>
    <t xml:space="preserve">2012-12-06</t>
  </si>
  <si>
    <t xml:space="preserve">2012-12-07</t>
  </si>
  <si>
    <t xml:space="preserve">2012-12-11</t>
  </si>
  <si>
    <t xml:space="preserve">2012-12-13</t>
  </si>
  <si>
    <t xml:space="preserve">2012-12-14</t>
  </si>
  <si>
    <t xml:space="preserve">2012-12-17</t>
  </si>
  <si>
    <t xml:space="preserve">2012-12-26</t>
  </si>
  <si>
    <t xml:space="preserve">2012-12-31</t>
  </si>
  <si>
    <t xml:space="preserve">2013-01-02</t>
  </si>
  <si>
    <t xml:space="preserve">2013-01-11</t>
  </si>
  <si>
    <t xml:space="preserve">2013-01-24</t>
  </si>
  <si>
    <t xml:space="preserve">2013-02-01</t>
  </si>
  <si>
    <t xml:space="preserve">2013-02-04</t>
  </si>
  <si>
    <t xml:space="preserve">2013-02-08</t>
  </si>
  <si>
    <t xml:space="preserve">2013-02-19</t>
  </si>
  <si>
    <t xml:space="preserve">2013-02-21</t>
  </si>
  <si>
    <t xml:space="preserve">2013-03-05</t>
  </si>
  <si>
    <t xml:space="preserve">2013-03-07</t>
  </si>
  <si>
    <t xml:space="preserve">2013-03-19</t>
  </si>
  <si>
    <t xml:space="preserve">2013-03-21</t>
  </si>
  <si>
    <t xml:space="preserve">2013-03-28</t>
  </si>
  <si>
    <t xml:space="preserve">2013-04-04</t>
  </si>
  <si>
    <t xml:space="preserve">2013-04-05</t>
  </si>
  <si>
    <t xml:space="preserve">2013-04-10</t>
  </si>
  <si>
    <t xml:space="preserve">2013-04-11</t>
  </si>
  <si>
    <t xml:space="preserve">2013-04-18</t>
  </si>
  <si>
    <t xml:space="preserve">2013-04-29</t>
  </si>
  <si>
    <t xml:space="preserve">2013-05-02</t>
  </si>
  <si>
    <t xml:space="preserve">2013-05-28</t>
  </si>
  <si>
    <t xml:space="preserve">2013-05-29</t>
  </si>
  <si>
    <t xml:space="preserve">2013-06-05</t>
  </si>
  <si>
    <t xml:space="preserve">2013-06-14</t>
  </si>
  <si>
    <t xml:space="preserve">2013-06-20</t>
  </si>
  <si>
    <t xml:space="preserve">2013-06-25</t>
  </si>
  <si>
    <t xml:space="preserve">2013-06-28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</si>
  <si>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</si>
  <si>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</si>
  <si>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</si>
  <si>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</si>
  <si>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</si>
  <si>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2013-07-17</t>
  </si>
  <si>
    <t xml:space="preserve">2013-07-18</t>
  </si>
  <si>
    <t xml:space="preserve">2013-07-24</t>
  </si>
  <si>
    <t xml:space="preserve">2013-07-26</t>
  </si>
  <si>
    <t xml:space="preserve">2013-07-30</t>
  </si>
  <si>
    <t xml:space="preserve">2013-07-31</t>
  </si>
  <si>
    <t xml:space="preserve">2013-08-05</t>
  </si>
  <si>
    <t xml:space="preserve">2013-08-13</t>
  </si>
  <si>
    <t xml:space="preserve">2013-08-15</t>
  </si>
  <si>
    <t xml:space="preserve">2013-08-30</t>
  </si>
  <si>
    <t xml:space="preserve">2013-09-09</t>
  </si>
  <si>
    <t xml:space="preserve">2013-09-10</t>
  </si>
  <si>
    <t xml:space="preserve">2013-09-17</t>
  </si>
  <si>
    <t xml:space="preserve">2013-09-18</t>
  </si>
  <si>
    <t xml:space="preserve">2013-09-19</t>
  </si>
  <si>
    <t xml:space="preserve">2013-10-01</t>
  </si>
  <si>
    <t xml:space="preserve">2013-10-08</t>
  </si>
  <si>
    <t xml:space="preserve">2013-10-15</t>
  </si>
  <si>
    <t xml:space="preserve">2013-10-16</t>
  </si>
  <si>
    <t xml:space="preserve">2013-10-17</t>
  </si>
  <si>
    <t xml:space="preserve">2013-11-05</t>
  </si>
  <si>
    <t xml:space="preserve">2013-11-13</t>
  </si>
  <si>
    <t xml:space="preserve">2013-11-14</t>
  </si>
  <si>
    <t xml:space="preserve">2013-11-15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</si>
  <si>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</si>
  <si>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</si>
  <si>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</si>
  <si>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</si>
  <si>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2013-12-11</t>
  </si>
  <si>
    <t xml:space="preserve">2013-12-12</t>
  </si>
  <si>
    <t xml:space="preserve">2013-12-18</t>
  </si>
  <si>
    <t xml:space="preserve">2013-12-24</t>
  </si>
  <si>
    <t xml:space="preserve">2014-01-06</t>
  </si>
  <si>
    <t xml:space="preserve">2014-01-07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</si>
  <si>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</si>
  <si>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</si>
  <si>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</si>
  <si>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</si>
  <si>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</si>
  <si>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</si>
  <si>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</si>
  <si>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</si>
  <si>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</si>
  <si>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2014-02-04</t>
  </si>
  <si>
    <t xml:space="preserve">2014-02-06</t>
  </si>
  <si>
    <t xml:space="preserve">2014-02-14</t>
  </si>
  <si>
    <t xml:space="preserve">2014-03-04</t>
  </si>
  <si>
    <t xml:space="preserve">2014-03-13</t>
  </si>
  <si>
    <t xml:space="preserve">2014-03-14</t>
  </si>
  <si>
    <t xml:space="preserve">2014-03-17</t>
  </si>
  <si>
    <t xml:space="preserve">2014-03-19</t>
  </si>
  <si>
    <t xml:space="preserve">2014-03-25</t>
  </si>
  <si>
    <t xml:space="preserve">2014-04-07</t>
  </si>
  <si>
    <t xml:space="preserve">2014-04-09</t>
  </si>
  <si>
    <t xml:space="preserve">2014-04-10</t>
  </si>
  <si>
    <t xml:space="preserve">2014-04-14</t>
  </si>
  <si>
    <t xml:space="preserve">2014-04-22</t>
  </si>
  <si>
    <t xml:space="preserve">2014-04-24</t>
  </si>
  <si>
    <t xml:space="preserve">2014-04-25</t>
  </si>
  <si>
    <t xml:space="preserve">2014-05-06</t>
  </si>
  <si>
    <t xml:space="preserve">2014-05-12</t>
  </si>
  <si>
    <t xml:space="preserve">2014-05-15</t>
  </si>
  <si>
    <t xml:space="preserve">2014-05-22</t>
  </si>
  <si>
    <t xml:space="preserve">2014-05-27</t>
  </si>
  <si>
    <t xml:space="preserve">2014-05-29</t>
  </si>
  <si>
    <t xml:space="preserve">2014-06-25</t>
  </si>
  <si>
    <t xml:space="preserve">2014-07-03</t>
  </si>
  <si>
    <t xml:space="preserve">2014-07-08</t>
  </si>
  <si>
    <t xml:space="preserve">2014-07-11</t>
  </si>
  <si>
    <t xml:space="preserve">2014-07-30</t>
  </si>
  <si>
    <t xml:space="preserve">2014-07-31</t>
  </si>
  <si>
    <t xml:space="preserve">2014-08-01</t>
  </si>
  <si>
    <t xml:space="preserve">2014-08-07</t>
  </si>
  <si>
    <t xml:space="preserve">2014-08-18</t>
  </si>
  <si>
    <t xml:space="preserve">2014-08-19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</si>
  <si>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</si>
  <si>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</si>
  <si>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</si>
  <si>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</si>
  <si>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2014-08-29</t>
  </si>
  <si>
    <t xml:space="preserve">2014-09-09</t>
  </si>
  <si>
    <t xml:space="preserve">2014-09-12</t>
  </si>
  <si>
    <t xml:space="preserve">2014-09-15</t>
  </si>
  <si>
    <t xml:space="preserve">2014-09-18</t>
  </si>
  <si>
    <t xml:space="preserve">2014-09-25</t>
  </si>
  <si>
    <t xml:space="preserve">2014-10-03</t>
  </si>
  <si>
    <t xml:space="preserve">2014-10-07</t>
  </si>
  <si>
    <t xml:space="preserve">2014-10-10</t>
  </si>
  <si>
    <t xml:space="preserve">2014-10-17</t>
  </si>
  <si>
    <t xml:space="preserve">2014-10-20</t>
  </si>
  <si>
    <t xml:space="preserve">2014-10-21</t>
  </si>
  <si>
    <t xml:space="preserve">2014-10-31</t>
  </si>
  <si>
    <t xml:space="preserve">2014-11-03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</si>
  <si>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</si>
  <si>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</si>
  <si>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</si>
  <si>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</si>
  <si>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2014-11-26</t>
  </si>
  <si>
    <t xml:space="preserve">2014-11-30</t>
  </si>
  <si>
    <t xml:space="preserve">2014-12-10</t>
  </si>
  <si>
    <t xml:space="preserve">2014-12-12</t>
  </si>
  <si>
    <t xml:space="preserve">2014-12-17</t>
  </si>
  <si>
    <t xml:space="preserve">2014-12-26</t>
  </si>
  <si>
    <t xml:space="preserve">2014-12-29</t>
  </si>
  <si>
    <t xml:space="preserve">2014-12-30</t>
  </si>
  <si>
    <t xml:space="preserve">2015-01-05</t>
  </si>
  <si>
    <t xml:space="preserve">2015-01-15</t>
  </si>
  <si>
    <t xml:space="preserve">2015-01-16</t>
  </si>
  <si>
    <t xml:space="preserve">2015-01-27</t>
  </si>
  <si>
    <t xml:space="preserve">2015-01-30</t>
  </si>
  <si>
    <t xml:space="preserve">2015-01-31</t>
  </si>
  <si>
    <t xml:space="preserve">2015-02-12</t>
  </si>
  <si>
    <t xml:space="preserve">2015-02-19</t>
  </si>
  <si>
    <t xml:space="preserve">2015-02-27</t>
  </si>
  <si>
    <t xml:space="preserve">2015-02-28</t>
  </si>
  <si>
    <t xml:space="preserve">2015-03-03</t>
  </si>
  <si>
    <t xml:space="preserve">2015-03-09</t>
  </si>
  <si>
    <t xml:space="preserve">2015-03-10</t>
  </si>
  <si>
    <t xml:space="preserve">2015-03-18</t>
  </si>
  <si>
    <t xml:space="preserve">2015-03-20</t>
  </si>
  <si>
    <t xml:space="preserve">2015-03-25</t>
  </si>
  <si>
    <t xml:space="preserve">2015-03-27</t>
  </si>
  <si>
    <t xml:space="preserve">2015-04-02</t>
  </si>
  <si>
    <t xml:space="preserve">2015-04-14</t>
  </si>
  <si>
    <t xml:space="preserve">2015-04-17</t>
  </si>
  <si>
    <t xml:space="preserve">2015-04-22</t>
  </si>
  <si>
    <t xml:space="preserve">2015-04-23</t>
  </si>
  <si>
    <t xml:space="preserve">2015-04-27</t>
  </si>
  <si>
    <t xml:space="preserve">2015-04-30</t>
  </si>
  <si>
    <t xml:space="preserve">2015-05-01</t>
  </si>
  <si>
    <t xml:space="preserve">2015-05-08</t>
  </si>
  <si>
    <t xml:space="preserve">2015-05-27</t>
  </si>
  <si>
    <t xml:space="preserve">2015-05-29</t>
  </si>
  <si>
    <t xml:space="preserve">2015-06-01</t>
  </si>
  <si>
    <t xml:space="preserve">2015-06-04</t>
  </si>
  <si>
    <t xml:space="preserve">2015-06-05</t>
  </si>
  <si>
    <t xml:space="preserve">2015-06-22</t>
  </si>
  <si>
    <t xml:space="preserve">2015-06-26</t>
  </si>
  <si>
    <t xml:space="preserve">2015-06-29</t>
  </si>
  <si>
    <t xml:space="preserve">2015-07-02</t>
  </si>
  <si>
    <t xml:space="preserve">2015-07-16</t>
  </si>
  <si>
    <t xml:space="preserve">2015-07-24</t>
  </si>
  <si>
    <t xml:space="preserve">2015-07-27</t>
  </si>
  <si>
    <t xml:space="preserve">2015-07-31</t>
  </si>
  <si>
    <t xml:space="preserve">2015-08-06</t>
  </si>
  <si>
    <t xml:space="preserve">2015-08-07</t>
  </si>
  <si>
    <t xml:space="preserve">2015-08-11</t>
  </si>
  <si>
    <t xml:space="preserve">2015-08-20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</si>
  <si>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</si>
  <si>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</si>
  <si>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</si>
  <si>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</si>
  <si>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</si>
  <si>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2015-09-08</t>
  </si>
  <si>
    <t xml:space="preserve">2015-09-11</t>
  </si>
  <si>
    <t xml:space="preserve">2015-09-25</t>
  </si>
  <si>
    <t xml:space="preserve">2015-10-08</t>
  </si>
  <si>
    <t xml:space="preserve">2015-10-15</t>
  </si>
  <si>
    <t xml:space="preserve">2015-10-23</t>
  </si>
  <si>
    <t xml:space="preserve">2015-10-30</t>
  </si>
  <si>
    <t xml:space="preserve">2015-11-11</t>
  </si>
  <si>
    <t xml:space="preserve">2015-11-13</t>
  </si>
  <si>
    <t xml:space="preserve">2015-11-16</t>
  </si>
  <si>
    <t xml:space="preserve">2015-12-01</t>
  </si>
  <si>
    <t xml:space="preserve">2015-12-02</t>
  </si>
  <si>
    <t xml:space="preserve">2015-12-04</t>
  </si>
  <si>
    <t xml:space="preserve">2015-12-08</t>
  </si>
  <si>
    <t xml:space="preserve">2015-12-11</t>
  </si>
  <si>
    <t xml:space="preserve">2015-12-15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</si>
  <si>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</si>
  <si>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</si>
  <si>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</si>
  <si>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</si>
  <si>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2015-12-31</t>
  </si>
  <si>
    <t xml:space="preserve">2016-01-04</t>
  </si>
  <si>
    <t xml:space="preserve">2016-01-11</t>
  </si>
  <si>
    <t xml:space="preserve">2016-01-15</t>
  </si>
  <si>
    <t xml:space="preserve">2016-01-19</t>
  </si>
  <si>
    <t xml:space="preserve">2016-01-20</t>
  </si>
  <si>
    <t xml:space="preserve">2016-01-27</t>
  </si>
  <si>
    <t xml:space="preserve">2016-02-05</t>
  </si>
  <si>
    <t xml:space="preserve">2016-02-18</t>
  </si>
  <si>
    <t xml:space="preserve">2016-03-15</t>
  </si>
  <si>
    <t xml:space="preserve">2016-03-18</t>
  </si>
  <si>
    <t xml:space="preserve">2016-03-30</t>
  </si>
  <si>
    <t xml:space="preserve">2016-03-31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</si>
  <si>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</si>
  <si>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</si>
  <si>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</si>
  <si>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</si>
  <si>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2016-04-12</t>
  </si>
  <si>
    <t xml:space="preserve">2016-04-25</t>
  </si>
  <si>
    <t xml:space="preserve">2016-04-27</t>
  </si>
  <si>
    <t xml:space="preserve">2016-04-28</t>
  </si>
  <si>
    <t xml:space="preserve">2016-05-02</t>
  </si>
  <si>
    <t xml:space="preserve">2016-05-10</t>
  </si>
  <si>
    <t xml:space="preserve">2016-05-13</t>
  </si>
  <si>
    <t xml:space="preserve">2016-05-24</t>
  </si>
  <si>
    <t xml:space="preserve">2016-06-02</t>
  </si>
  <si>
    <t xml:space="preserve">2016-06-06</t>
  </si>
  <si>
    <t xml:space="preserve">2016-06-10</t>
  </si>
  <si>
    <t xml:space="preserve">2016-06-17</t>
  </si>
  <si>
    <t xml:space="preserve">2016-06-20</t>
  </si>
  <si>
    <t xml:space="preserve">2016-06-24</t>
  </si>
  <si>
    <t xml:space="preserve">2016-06-30</t>
  </si>
  <si>
    <t xml:space="preserve">2016-07-01</t>
  </si>
  <si>
    <t xml:space="preserve">2016-07-08</t>
  </si>
  <si>
    <t xml:space="preserve">2016-07-11</t>
  </si>
  <si>
    <t xml:space="preserve">2016-07-12</t>
  </si>
  <si>
    <t xml:space="preserve">2016-08-15</t>
  </si>
  <si>
    <t xml:space="preserve">2016-08-24</t>
  </si>
  <si>
    <t xml:space="preserve">2016-09-06</t>
  </si>
  <si>
    <t xml:space="preserve">2016-09-07</t>
  </si>
  <si>
    <t xml:space="preserve">2016-09-09</t>
  </si>
  <si>
    <t xml:space="preserve">2016-09-12</t>
  </si>
  <si>
    <t xml:space="preserve">2016-09-13</t>
  </si>
  <si>
    <t xml:space="preserve">2016-09-21</t>
  </si>
  <si>
    <t xml:space="preserve">2016-09-22</t>
  </si>
  <si>
    <t xml:space="preserve">2016-10-05</t>
  </si>
  <si>
    <t xml:space="preserve">2016-10-10</t>
  </si>
  <si>
    <t xml:space="preserve">2016-10-12</t>
  </si>
  <si>
    <t xml:space="preserve">2016-10-13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</si>
  <si>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</si>
  <si>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</si>
  <si>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</si>
  <si>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</si>
  <si>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2016-11-07</t>
  </si>
  <si>
    <t xml:space="preserve">2016-11-18</t>
  </si>
  <si>
    <t xml:space="preserve">2016-11-21</t>
  </si>
  <si>
    <t xml:space="preserve">2016-12-01</t>
  </si>
  <si>
    <t xml:space="preserve">2016-12-28</t>
  </si>
  <si>
    <t xml:space="preserve">2016-12-29</t>
  </si>
  <si>
    <t xml:space="preserve">2016-12-31</t>
  </si>
  <si>
    <t xml:space="preserve">2017-01-04</t>
  </si>
  <si>
    <t xml:space="preserve">2017-02-08</t>
  </si>
  <si>
    <t xml:space="preserve">2017-03-06</t>
  </si>
  <si>
    <t xml:space="preserve">2017-03-13</t>
  </si>
  <si>
    <t xml:space="preserve">2017-03-15</t>
  </si>
  <si>
    <t xml:space="preserve">2017-03-22</t>
  </si>
  <si>
    <t xml:space="preserve">2017-03-24</t>
  </si>
  <si>
    <t xml:space="preserve">2017-03-29</t>
  </si>
  <si>
    <t xml:space="preserve">2017-03-30</t>
  </si>
  <si>
    <t xml:space="preserve">2017-04-04</t>
  </si>
  <si>
    <t xml:space="preserve">2017-04-10</t>
  </si>
  <si>
    <t xml:space="preserve">2017-04-12</t>
  </si>
  <si>
    <t xml:space="preserve">2017-04-13</t>
  </si>
  <si>
    <t xml:space="preserve">2017-04-20</t>
  </si>
  <si>
    <t xml:space="preserve">2017-04-24</t>
  </si>
  <si>
    <t xml:space="preserve">2017-05-17</t>
  </si>
  <si>
    <t xml:space="preserve">2017-05-18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</si>
  <si>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</si>
  <si>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</si>
  <si>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</si>
  <si>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</si>
  <si>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2017-06-01</t>
  </si>
  <si>
    <t xml:space="preserve">2017-06-02</t>
  </si>
  <si>
    <t xml:space="preserve">2017-06-12</t>
  </si>
  <si>
    <t xml:space="preserve">2017-06-29</t>
  </si>
  <si>
    <t xml:space="preserve">2017-06-30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</si>
  <si>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</si>
  <si>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</si>
  <si>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</si>
  <si>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</si>
  <si>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2017-07-26</t>
  </si>
  <si>
    <t xml:space="preserve">2017-08-01</t>
  </si>
  <si>
    <t xml:space="preserve">2017-08-10</t>
  </si>
  <si>
    <t xml:space="preserve">2017-08-15</t>
  </si>
  <si>
    <t xml:space="preserve">2017-08-17</t>
  </si>
  <si>
    <t xml:space="preserve">2017-08-31</t>
  </si>
  <si>
    <t xml:space="preserve">2017-09-12</t>
  </si>
  <si>
    <t xml:space="preserve">2017-09-13</t>
  </si>
  <si>
    <t xml:space="preserve">2017-09-22</t>
  </si>
  <si>
    <t xml:space="preserve">2017-10-24</t>
  </si>
  <si>
    <t xml:space="preserve">2017-10-27</t>
  </si>
  <si>
    <t xml:space="preserve">2017-10-31</t>
  </si>
  <si>
    <t xml:space="preserve">2017-11-15</t>
  </si>
  <si>
    <t xml:space="preserve">2017-11-17</t>
  </si>
  <si>
    <t xml:space="preserve">2017-11-21</t>
  </si>
  <si>
    <t xml:space="preserve">2017-11-22</t>
  </si>
  <si>
    <t xml:space="preserve">2017-11-24</t>
  </si>
  <si>
    <t xml:space="preserve">2017-11-28</t>
  </si>
  <si>
    <t xml:space="preserve">2017-12-04</t>
  </si>
  <si>
    <t xml:space="preserve">2017-12-15</t>
  </si>
  <si>
    <t xml:space="preserve">2017-12-28</t>
  </si>
  <si>
    <t xml:space="preserve">2018-01-23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</si>
  <si>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</si>
  <si>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</si>
  <si>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</si>
  <si>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</si>
  <si>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</si>
  <si>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</si>
  <si>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2018-02-14</t>
  </si>
  <si>
    <t xml:space="preserve">2018-03-01</t>
  </si>
  <si>
    <t xml:space="preserve">2018-03-02</t>
  </si>
  <si>
    <t xml:space="preserve">2018-03-06</t>
  </si>
  <si>
    <t xml:space="preserve">2018-03-09</t>
  </si>
  <si>
    <t xml:space="preserve">2018-03-12</t>
  </si>
  <si>
    <t xml:space="preserve">2018-03-19</t>
  </si>
  <si>
    <t xml:space="preserve">2018-03-20</t>
  </si>
  <si>
    <t xml:space="preserve">2018-03-22</t>
  </si>
  <si>
    <t xml:space="preserve">2018-03-27</t>
  </si>
  <si>
    <t xml:space="preserve">2018-04-02</t>
  </si>
  <si>
    <t xml:space="preserve">2018-04-17</t>
  </si>
  <si>
    <t xml:space="preserve">2018-04-20</t>
  </si>
  <si>
    <t xml:space="preserve">2018-04-24</t>
  </si>
  <si>
    <t xml:space="preserve">2018-04-30</t>
  </si>
  <si>
    <t xml:space="preserve">2018-05-03</t>
  </si>
  <si>
    <t xml:space="preserve">2018-05-07</t>
  </si>
  <si>
    <t xml:space="preserve">2018-05-14</t>
  </si>
  <si>
    <t xml:space="preserve">2018-05-21</t>
  </si>
  <si>
    <t xml:space="preserve">2018-06-04</t>
  </si>
  <si>
    <t xml:space="preserve">2018-06-20</t>
  </si>
  <si>
    <t xml:space="preserve">2018-06-25</t>
  </si>
  <si>
    <t xml:space="preserve">2018-06-26</t>
  </si>
  <si>
    <t xml:space="preserve">2018-07-02</t>
  </si>
  <si>
    <t xml:space="preserve">2018-07-03</t>
  </si>
  <si>
    <t xml:space="preserve">2018-07-10</t>
  </si>
  <si>
    <t xml:space="preserve">2018-07-12</t>
  </si>
  <si>
    <t xml:space="preserve">2018-07-13</t>
  </si>
  <si>
    <t xml:space="preserve">2018-07-17</t>
  </si>
  <si>
    <t xml:space="preserve">2018-07-30</t>
  </si>
  <si>
    <t xml:space="preserve">2018-07-31</t>
  </si>
  <si>
    <t xml:space="preserve">2018-08-15</t>
  </si>
  <si>
    <t xml:space="preserve">2018-08-27</t>
  </si>
  <si>
    <t xml:space="preserve">2018-08-28</t>
  </si>
  <si>
    <t xml:space="preserve">2018-09-07</t>
  </si>
  <si>
    <t xml:space="preserve">2018-09-10</t>
  </si>
  <si>
    <t xml:space="preserve">2018-09-11</t>
  </si>
  <si>
    <t xml:space="preserve">2018-09-14</t>
  </si>
  <si>
    <t xml:space="preserve">2018-09-17</t>
  </si>
  <si>
    <t xml:space="preserve">2018-09-21</t>
  </si>
  <si>
    <t xml:space="preserve">2018-10-04</t>
  </si>
  <si>
    <t xml:space="preserve">2018-10-05</t>
  </si>
  <si>
    <t xml:space="preserve">2018-10-10</t>
  </si>
  <si>
    <t xml:space="preserve">2018-10-11</t>
  </si>
  <si>
    <t xml:space="preserve">2018-10-12</t>
  </si>
  <si>
    <t xml:space="preserve">2018-10-17</t>
  </si>
  <si>
    <t xml:space="preserve">2018-10-18</t>
  </si>
  <si>
    <t xml:space="preserve">2018-10-23</t>
  </si>
  <si>
    <t xml:space="preserve">2018-10-24</t>
  </si>
  <si>
    <t xml:space="preserve">2018-10-29</t>
  </si>
  <si>
    <t xml:space="preserve">2018-11-01</t>
  </si>
  <si>
    <t xml:space="preserve">2018-11-02</t>
  </si>
  <si>
    <t xml:space="preserve">2018-11-05</t>
  </si>
  <si>
    <t xml:space="preserve">2018-11-07</t>
  </si>
  <si>
    <t xml:space="preserve">2018-11-08</t>
  </si>
  <si>
    <t xml:space="preserve">2018-11-09</t>
  </si>
  <si>
    <t xml:space="preserve">2018-11-14</t>
  </si>
  <si>
    <t xml:space="preserve">2018-11-19</t>
  </si>
  <si>
    <t xml:space="preserve">2018-11-29</t>
  </si>
  <si>
    <t xml:space="preserve">2018-11-30</t>
  </si>
  <si>
    <t xml:space="preserve">2018-12-07</t>
  </si>
  <si>
    <t xml:space="preserve">2018-12-17</t>
  </si>
  <si>
    <t xml:space="preserve">2018-12-19</t>
  </si>
  <si>
    <t xml:space="preserve">2018-12-26</t>
  </si>
  <si>
    <t xml:space="preserve">2019-01-02</t>
  </si>
  <si>
    <t xml:space="preserve">2019-01-07</t>
  </si>
  <si>
    <t xml:space="preserve">2019-01-15</t>
  </si>
  <si>
    <t xml:space="preserve">2019-01-17</t>
  </si>
  <si>
    <t xml:space="preserve">2019-01-30</t>
  </si>
  <si>
    <t xml:space="preserve">2019-02-12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</si>
  <si>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</si>
  <si>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</si>
  <si>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</si>
  <si>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</si>
  <si>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</si>
  <si>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2019-02-26</t>
  </si>
  <si>
    <t xml:space="preserve">2019-03-07</t>
  </si>
  <si>
    <t xml:space="preserve">2019-03-11</t>
  </si>
  <si>
    <t xml:space="preserve">2019-03-21</t>
  </si>
  <si>
    <t xml:space="preserve">2019-03-28</t>
  </si>
  <si>
    <t xml:space="preserve">2019-03-29</t>
  </si>
  <si>
    <t xml:space="preserve">2019-04-02</t>
  </si>
  <si>
    <t xml:space="preserve">2019-04-03</t>
  </si>
  <si>
    <t xml:space="preserve">2019-04-05</t>
  </si>
  <si>
    <t xml:space="preserve">2019-04-08</t>
  </si>
  <si>
    <t xml:space="preserve">2019-04-10</t>
  </si>
  <si>
    <t xml:space="preserve">2019-04-12</t>
  </si>
  <si>
    <t xml:space="preserve">2019-04-15</t>
  </si>
  <si>
    <t xml:space="preserve">2019-05-03</t>
  </si>
  <si>
    <t xml:space="preserve">2019-05-09</t>
  </si>
  <si>
    <t xml:space="preserve">2019-05-13</t>
  </si>
  <si>
    <t xml:space="preserve">2019-05-15</t>
  </si>
  <si>
    <t xml:space="preserve">2019-05-23</t>
  </si>
  <si>
    <t xml:space="preserve">2019-05-30</t>
  </si>
  <si>
    <t xml:space="preserve">2019-05-31</t>
  </si>
  <si>
    <t xml:space="preserve">2019-06-04</t>
  </si>
  <si>
    <t xml:space="preserve">2019-06-05</t>
  </si>
  <si>
    <t xml:space="preserve">2019-06-10</t>
  </si>
  <si>
    <t xml:space="preserve">2019-06-25</t>
  </si>
  <si>
    <t xml:space="preserve">2019-06-28</t>
  </si>
  <si>
    <t xml:space="preserve">2019-06-30</t>
  </si>
  <si>
    <t xml:space="preserve">2019-07-02</t>
  </si>
  <si>
    <t xml:space="preserve">2019-07-03</t>
  </si>
  <si>
    <t xml:space="preserve">2019-07-10</t>
  </si>
  <si>
    <t xml:space="preserve">2019-07-22</t>
  </si>
  <si>
    <t xml:space="preserve">2019-07-26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</si>
  <si>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</si>
  <si>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</si>
  <si>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</si>
  <si>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</si>
  <si>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</si>
  <si>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</si>
  <si>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</si>
  <si>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</si>
  <si>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</si>
  <si>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</si>
  <si>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2019-08-16</t>
  </si>
  <si>
    <t xml:space="preserve">2019-08-19</t>
  </si>
  <si>
    <t xml:space="preserve">2019-08-20</t>
  </si>
  <si>
    <t xml:space="preserve">2019-08-22</t>
  </si>
  <si>
    <t xml:space="preserve">2019-08-23</t>
  </si>
  <si>
    <t xml:space="preserve">2019-08-29</t>
  </si>
  <si>
    <t xml:space="preserve">2019-08-31</t>
  </si>
  <si>
    <t xml:space="preserve">2019-09-04</t>
  </si>
  <si>
    <t xml:space="preserve">2019-09-05</t>
  </si>
  <si>
    <t xml:space="preserve">2019-09-23</t>
  </si>
  <si>
    <t xml:space="preserve">2019-10-03</t>
  </si>
  <si>
    <t xml:space="preserve">2019-10-08</t>
  </si>
  <si>
    <t xml:space="preserve">2019-10-09</t>
  </si>
  <si>
    <t xml:space="preserve">2019-10-15</t>
  </si>
  <si>
    <t xml:space="preserve">2019-10-18</t>
  </si>
  <si>
    <t xml:space="preserve">2019-10-25</t>
  </si>
  <si>
    <t xml:space="preserve">2019-12-04</t>
  </si>
  <si>
    <t xml:space="preserve">2019-12-05</t>
  </si>
  <si>
    <t xml:space="preserve">2019-12-06</t>
  </si>
  <si>
    <t xml:space="preserve">2019-12-10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</si>
  <si>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</si>
  <si>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</si>
  <si>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</si>
  <si>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</si>
  <si>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</si>
  <si>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2020-01-02</t>
  </si>
  <si>
    <t xml:space="preserve">2020-01-08</t>
  </si>
  <si>
    <t xml:space="preserve">2020-01-13</t>
  </si>
  <si>
    <t xml:space="preserve">2020-01-27</t>
  </si>
  <si>
    <t xml:space="preserve">2020-01-29</t>
  </si>
  <si>
    <t xml:space="preserve">2020-01-31</t>
  </si>
  <si>
    <t xml:space="preserve">2020-02-04</t>
  </si>
  <si>
    <t xml:space="preserve">2020-02-05</t>
  </si>
  <si>
    <t xml:space="preserve">2020-02-06</t>
  </si>
  <si>
    <t xml:space="preserve">2020-02-10</t>
  </si>
  <si>
    <t xml:space="preserve">2020-02-11</t>
  </si>
  <si>
    <t xml:space="preserve">2020-02-12</t>
  </si>
  <si>
    <t xml:space="preserve">2020-02-14</t>
  </si>
  <si>
    <t xml:space="preserve">2020-02-18</t>
  </si>
  <si>
    <t xml:space="preserve">2020-02-24</t>
  </si>
  <si>
    <t xml:space="preserve">2020-02-26</t>
  </si>
  <si>
    <t xml:space="preserve">2020-02-27</t>
  </si>
  <si>
    <t xml:space="preserve">2020-02-29</t>
  </si>
  <si>
    <t xml:space="preserve">2020-03-02</t>
  </si>
  <si>
    <t xml:space="preserve">2020-03-04</t>
  </si>
  <si>
    <t xml:space="preserve">2020-03-09</t>
  </si>
  <si>
    <t xml:space="preserve">2020-03-10</t>
  </si>
  <si>
    <t xml:space="preserve">2020-03-11</t>
  </si>
  <si>
    <t xml:space="preserve">2020-03-13</t>
  </si>
  <si>
    <t xml:space="preserve">2020-03-23</t>
  </si>
  <si>
    <t xml:space="preserve">2020-03-26</t>
  </si>
  <si>
    <t xml:space="preserve">2020-03-27</t>
  </si>
  <si>
    <t xml:space="preserve">2020-03-31</t>
  </si>
  <si>
    <t xml:space="preserve">2020-04-03</t>
  </si>
  <si>
    <t xml:space="preserve">2020-04-06</t>
  </si>
  <si>
    <t xml:space="preserve">2020-04-08</t>
  </si>
  <si>
    <t xml:space="preserve">2020-04-14</t>
  </si>
  <si>
    <t xml:space="preserve">2020-04-22</t>
  </si>
  <si>
    <t xml:space="preserve">2020-04-24</t>
  </si>
  <si>
    <t xml:space="preserve">2020-04-30</t>
  </si>
  <si>
    <t xml:space="preserve">2020-05-11</t>
  </si>
  <si>
    <t xml:space="preserve">2020-05-12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</si>
  <si>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</si>
  <si>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</si>
  <si>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</si>
  <si>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</si>
  <si>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</si>
  <si>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2020-05-28</t>
  </si>
  <si>
    <t xml:space="preserve">2020-05-31</t>
  </si>
  <si>
    <t xml:space="preserve">2020-06-05</t>
  </si>
  <si>
    <t xml:space="preserve">2020-06-08</t>
  </si>
  <si>
    <t xml:space="preserve">2020-06-09</t>
  </si>
  <si>
    <t xml:space="preserve">2020-06-11</t>
  </si>
  <si>
    <t xml:space="preserve">2020-06-12</t>
  </si>
  <si>
    <t xml:space="preserve">2020-06-15</t>
  </si>
  <si>
    <t xml:space="preserve">2020-06-17</t>
  </si>
  <si>
    <t xml:space="preserve">2020-06-22</t>
  </si>
  <si>
    <t xml:space="preserve">2020-06-23</t>
  </si>
  <si>
    <t xml:space="preserve">2020-06-24</t>
  </si>
  <si>
    <t xml:space="preserve">2020-06-26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</si>
  <si>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</si>
  <si>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</si>
  <si>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</si>
  <si>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</si>
  <si>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2020-07-13</t>
  </si>
  <si>
    <t xml:space="preserve">2020-07-15</t>
  </si>
  <si>
    <t xml:space="preserve">2020-07-16</t>
  </si>
  <si>
    <t xml:space="preserve">2020-07-17</t>
  </si>
  <si>
    <t xml:space="preserve">2020-07-23</t>
  </si>
  <si>
    <t xml:space="preserve">2020-07-27</t>
  </si>
  <si>
    <t xml:space="preserve">2020-07-28</t>
  </si>
  <si>
    <t xml:space="preserve">2020-08-03</t>
  </si>
  <si>
    <t xml:space="preserve">2020-08-04</t>
  </si>
  <si>
    <t xml:space="preserve">2020-08-05</t>
  </si>
  <si>
    <t xml:space="preserve">2020-08-13</t>
  </si>
  <si>
    <t xml:space="preserve">2020-08-20</t>
  </si>
  <si>
    <t xml:space="preserve">2020-09-03</t>
  </si>
  <si>
    <t xml:space="preserve">2020-09-04</t>
  </si>
  <si>
    <t xml:space="preserve">2020-09-08</t>
  </si>
  <si>
    <t xml:space="preserve">2020-09-23</t>
  </si>
  <si>
    <t xml:space="preserve">2020-10-05</t>
  </si>
  <si>
    <t xml:space="preserve">2020-10-12</t>
  </si>
  <si>
    <t xml:space="preserve">2020-10-19</t>
  </si>
  <si>
    <t xml:space="preserve">2020-10-21</t>
  </si>
  <si>
    <t xml:space="preserve">2020-10-26</t>
  </si>
  <si>
    <t xml:space="preserve">2020-10-28</t>
  </si>
  <si>
    <t xml:space="preserve">2020-11-04</t>
  </si>
  <si>
    <t xml:space="preserve">2020-11-05</t>
  </si>
  <si>
    <t xml:space="preserve">2020-11-10</t>
  </si>
  <si>
    <t xml:space="preserve">2020-11-11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</si>
  <si>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</si>
  <si>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</si>
  <si>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</si>
  <si>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</si>
  <si>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</si>
  <si>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</si>
  <si>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</si>
  <si>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2020-12-14</t>
  </si>
  <si>
    <t xml:space="preserve">2020-12-28</t>
  </si>
  <si>
    <t xml:space="preserve">2020-12-29</t>
  </si>
  <si>
    <t xml:space="preserve">2020-12-30</t>
  </si>
  <si>
    <t xml:space="preserve">2021-01-05</t>
  </si>
  <si>
    <t xml:space="preserve">2021-01-07</t>
  </si>
  <si>
    <t xml:space="preserve">2021-01-20</t>
  </si>
  <si>
    <t xml:space="preserve">2021-01-28</t>
  </si>
  <si>
    <t xml:space="preserve">2021-01-29</t>
  </si>
  <si>
    <t xml:space="preserve">2021-02-01</t>
  </si>
  <si>
    <t xml:space="preserve">2021-02-04</t>
  </si>
  <si>
    <t xml:space="preserve">2021-02-05</t>
  </si>
  <si>
    <t xml:space="preserve">2021-02-08</t>
  </si>
  <si>
    <t xml:space="preserve">2021-02-11</t>
  </si>
  <si>
    <t xml:space="preserve">2021-02-12</t>
  </si>
  <si>
    <t xml:space="preserve">2021-02-22</t>
  </si>
  <si>
    <t xml:space="preserve">2021-02-25</t>
  </si>
  <si>
    <t xml:space="preserve">2021-02-26</t>
  </si>
  <si>
    <t xml:space="preserve">2021-03-01</t>
  </si>
  <si>
    <t xml:space="preserve">2021-03-03</t>
  </si>
  <si>
    <t xml:space="preserve">2021-03-08</t>
  </si>
  <si>
    <t xml:space="preserve">2021-03-12</t>
  </si>
  <si>
    <t xml:space="preserve">2021-03-16</t>
  </si>
  <si>
    <t xml:space="preserve">2021-03-18</t>
  </si>
  <si>
    <t xml:space="preserve">2021-03-22</t>
  </si>
  <si>
    <t xml:space="preserve">2021-03-24</t>
  </si>
  <si>
    <t xml:space="preserve">2021-03-29</t>
  </si>
  <si>
    <t xml:space="preserve">2021-04-01</t>
  </si>
  <si>
    <t xml:space="preserve">2021-04-09</t>
  </si>
  <si>
    <t xml:space="preserve">2021-04-13</t>
  </si>
  <si>
    <t xml:space="preserve">2021-04-15</t>
  </si>
  <si>
    <t xml:space="preserve">2021-04-19</t>
  </si>
  <si>
    <t xml:space="preserve">2021-04-22</t>
  </si>
  <si>
    <t xml:space="preserve">2021-04-28</t>
  </si>
  <si>
    <t xml:space="preserve">2021-04-30</t>
  </si>
  <si>
    <t xml:space="preserve">2021-05-04</t>
  </si>
  <si>
    <t xml:space="preserve">2021-05-10</t>
  </si>
  <si>
    <t xml:space="preserve">2021-05-11</t>
  </si>
  <si>
    <t xml:space="preserve">2021-05-12</t>
  </si>
  <si>
    <t xml:space="preserve">2021-05-14</t>
  </si>
  <si>
    <t xml:space="preserve">2021-05-19</t>
  </si>
  <si>
    <t xml:space="preserve">2021-05-20</t>
  </si>
  <si>
    <t xml:space="preserve">2021-06-03</t>
  </si>
  <si>
    <t xml:space="preserve">2021-06-23</t>
  </si>
  <si>
    <t xml:space="preserve">2021-06-30</t>
  </si>
  <si>
    <t xml:space="preserve">2021-07-06</t>
  </si>
  <si>
    <t xml:space="preserve">2021-07-09</t>
  </si>
  <si>
    <t xml:space="preserve">2021-07-14</t>
  </si>
  <si>
    <t xml:space="preserve">2021-07-19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</si>
  <si>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</si>
  <si>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</si>
  <si>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</si>
  <si>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</si>
  <si>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</si>
  <si>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2021-07-29</t>
  </si>
  <si>
    <t xml:space="preserve">2021-08-02</t>
  </si>
  <si>
    <t xml:space="preserve">2021-08-03</t>
  </si>
  <si>
    <t xml:space="preserve">2021-08-04</t>
  </si>
  <si>
    <t xml:space="preserve">2021-08-16</t>
  </si>
  <si>
    <t xml:space="preserve">2021-08-18</t>
  </si>
  <si>
    <t xml:space="preserve">2021-08-23</t>
  </si>
  <si>
    <t xml:space="preserve">2021-08-27</t>
  </si>
  <si>
    <t xml:space="preserve">2021-09-10</t>
  </si>
  <si>
    <t xml:space="preserve">2021-09-13</t>
  </si>
  <si>
    <t xml:space="preserve">2021-09-20</t>
  </si>
  <si>
    <t xml:space="preserve">2021-09-22</t>
  </si>
  <si>
    <t xml:space="preserve">2021-09-24</t>
  </si>
  <si>
    <t xml:space="preserve">2021-09-28</t>
  </si>
  <si>
    <t xml:space="preserve">2021-09-30</t>
  </si>
  <si>
    <t xml:space="preserve">2021-10-04</t>
  </si>
  <si>
    <t xml:space="preserve">2021-10-06</t>
  </si>
  <si>
    <t xml:space="preserve">2021-10-07</t>
  </si>
  <si>
    <t xml:space="preserve">2021-10-11</t>
  </si>
  <si>
    <t xml:space="preserve">2021-10-14</t>
  </si>
  <si>
    <t xml:space="preserve">2021-10-22</t>
  </si>
  <si>
    <t xml:space="preserve">2021-10-28</t>
  </si>
  <si>
    <t xml:space="preserve">2021-10-31</t>
  </si>
  <si>
    <t xml:space="preserve">2021-11-01</t>
  </si>
  <si>
    <t xml:space="preserve">2021-11-04</t>
  </si>
  <si>
    <t xml:space="preserve">2021-11-10</t>
  </si>
  <si>
    <t xml:space="preserve">2021-11-15</t>
  </si>
  <si>
    <t xml:space="preserve">2021-11-18</t>
  </si>
  <si>
    <t xml:space="preserve">2021-11-22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</si>
  <si>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</si>
  <si>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</si>
  <si>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</si>
  <si>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</si>
  <si>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2021-12-03</t>
  </si>
  <si>
    <t xml:space="preserve">2021-12-06</t>
  </si>
  <si>
    <t xml:space="preserve">2021-12-07</t>
  </si>
  <si>
    <t xml:space="preserve">2021-12-13</t>
  </si>
  <si>
    <t xml:space="preserve">2021-12-16</t>
  </si>
  <si>
    <t xml:space="preserve">2021-12-17</t>
  </si>
  <si>
    <t xml:space="preserve">2021-12-21</t>
  </si>
  <si>
    <t xml:space="preserve">2021-12-31</t>
  </si>
  <si>
    <t xml:space="preserve">2022-01-05</t>
  </si>
  <si>
    <t xml:space="preserve">2022-01-11</t>
  </si>
  <si>
    <t xml:space="preserve">2022-01-13</t>
  </si>
  <si>
    <t xml:space="preserve">2022-01-18</t>
  </si>
  <si>
    <t xml:space="preserve">2022-01-20</t>
  </si>
  <si>
    <t xml:space="preserve">2022-01-31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</si>
  <si>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</si>
  <si>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</si>
  <si>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</si>
  <si>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</si>
  <si>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2022-02-09</t>
  </si>
  <si>
    <t xml:space="preserve">2022-02-10</t>
  </si>
  <si>
    <t xml:space="preserve">2022-02-15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</si>
  <si>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</si>
  <si>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</si>
  <si>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</si>
  <si>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</si>
  <si>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2022-03-01</t>
  </si>
  <si>
    <t xml:space="preserve">2022-03-07</t>
  </si>
  <si>
    <t xml:space="preserve">2022-03-10</t>
  </si>
  <si>
    <t xml:space="preserve">2022-03-15</t>
  </si>
  <si>
    <t xml:space="preserve">2022-03-16</t>
  </si>
  <si>
    <t xml:space="preserve">2022-03-17</t>
  </si>
  <si>
    <t xml:space="preserve">2022-03-28</t>
  </si>
  <si>
    <t xml:space="preserve">2022-03-30</t>
  </si>
  <si>
    <t xml:space="preserve">2022-03-31</t>
  </si>
  <si>
    <t xml:space="preserve">2022-04-04</t>
  </si>
  <si>
    <t xml:space="preserve">2022-04-05</t>
  </si>
  <si>
    <t xml:space="preserve">2022-04-22</t>
  </si>
  <si>
    <t xml:space="preserve">2022-04-25</t>
  </si>
  <si>
    <t xml:space="preserve">2022-05-04</t>
  </si>
  <si>
    <t xml:space="preserve">2022-05-05</t>
  </si>
  <si>
    <t xml:space="preserve">2022-05-06</t>
  </si>
  <si>
    <t xml:space="preserve">2022-05-13</t>
  </si>
  <si>
    <t xml:space="preserve">2022-05-19</t>
  </si>
  <si>
    <t xml:space="preserve">2022-05-23</t>
  </si>
  <si>
    <t xml:space="preserve">2022-05-24</t>
  </si>
  <si>
    <t xml:space="preserve">2022-05-25</t>
  </si>
  <si>
    <t xml:space="preserve">2022-05-27</t>
  </si>
  <si>
    <t xml:space="preserve">2022-06-24</t>
  </si>
  <si>
    <t xml:space="preserve">2022-07-01</t>
  </si>
  <si>
    <t xml:space="preserve">2022-07-08</t>
  </si>
  <si>
    <t xml:space="preserve">2022-07-20</t>
  </si>
  <si>
    <t xml:space="preserve">2022-07-22</t>
  </si>
  <si>
    <t xml:space="preserve">2022-07-27</t>
  </si>
  <si>
    <t xml:space="preserve">2022-08-03</t>
  </si>
  <si>
    <t xml:space="preserve">2022-08-04</t>
  </si>
  <si>
    <t xml:space="preserve">2022-09-02</t>
  </si>
  <si>
    <t xml:space="preserve">2022-09-09</t>
  </si>
  <si>
    <t xml:space="preserve">2022-09-12</t>
  </si>
  <si>
    <t xml:space="preserve">2022-09-23</t>
  </si>
  <si>
    <t xml:space="preserve">2022-09-29</t>
  </si>
  <si>
    <t xml:space="preserve">2022-10-06</t>
  </si>
  <si>
    <t xml:space="preserve">2022-10-10</t>
  </si>
  <si>
    <t xml:space="preserve">2022-10-11</t>
  </si>
  <si>
    <t xml:space="preserve">2022-10-12</t>
  </si>
  <si>
    <t xml:space="preserve">2022-10-14</t>
  </si>
  <si>
    <t xml:space="preserve">2022-10-19</t>
  </si>
  <si>
    <t xml:space="preserve">2022-10-26</t>
  </si>
  <si>
    <t xml:space="preserve">2022-10-31</t>
  </si>
  <si>
    <t xml:space="preserve">2022-11-03</t>
  </si>
  <si>
    <t xml:space="preserve">2022-11-10</t>
  </si>
  <si>
    <t xml:space="preserve">2022-11-11</t>
  </si>
  <si>
    <t xml:space="preserve">2022-11-30</t>
  </si>
  <si>
    <t xml:space="preserve">2022-12-21</t>
  </si>
  <si>
    <t xml:space="preserve">2023-01-03</t>
  </si>
  <si>
    <t xml:space="preserve">2023-01-06</t>
  </si>
  <si>
    <t xml:space="preserve">2023-01-12</t>
  </si>
  <si>
    <t xml:space="preserve">2023-01-13</t>
  </si>
  <si>
    <t xml:space="preserve">2023-01-26</t>
  </si>
  <si>
    <t xml:space="preserve">2023-01-30</t>
  </si>
  <si>
    <t xml:space="preserve">2023-01-31</t>
  </si>
  <si>
    <t xml:space="preserve">2023-02-01</t>
  </si>
  <si>
    <t xml:space="preserve">2023-02-03</t>
  </si>
  <si>
    <t xml:space="preserve">2023-02-07</t>
  </si>
  <si>
    <t xml:space="preserve">2023-03-02</t>
  </si>
  <si>
    <t xml:space="preserve">2023-03-10</t>
  </si>
  <si>
    <t xml:space="preserve">2023-03-13</t>
  </si>
  <si>
    <t xml:space="preserve">2023-03-15</t>
  </si>
  <si>
    <t xml:space="preserve">2023-03-21</t>
  </si>
  <si>
    <t xml:space="preserve">2023-03-24</t>
  </si>
  <si>
    <t xml:space="preserve">2023-03-29</t>
  </si>
  <si>
    <t xml:space="preserve">2023-03-30</t>
  </si>
  <si>
    <t xml:space="preserve">2023-03-31</t>
  </si>
  <si>
    <t xml:space="preserve">2023-04-10</t>
  </si>
  <si>
    <t xml:space="preserve">2023-04-25</t>
  </si>
  <si>
    <t xml:space="preserve">2023-04-28</t>
  </si>
  <si>
    <t xml:space="preserve">2023-04-30</t>
  </si>
  <si>
    <t xml:space="preserve">2023-05-05</t>
  </si>
  <si>
    <t xml:space="preserve">2023-05-08</t>
  </si>
  <si>
    <t xml:space="preserve">2023-05-10</t>
  </si>
  <si>
    <t xml:space="preserve">2023-05-11</t>
  </si>
  <si>
    <t xml:space="preserve">2023-05-25</t>
  </si>
  <si>
    <t xml:space="preserve">2023-05-26</t>
  </si>
  <si>
    <t xml:space="preserve">2023-06-01</t>
  </si>
  <si>
    <t xml:space="preserve">2023-06-12</t>
  </si>
  <si>
    <t xml:space="preserve">2023-06-26</t>
  </si>
  <si>
    <t xml:space="preserve">2023-07-03</t>
  </si>
  <si>
    <t xml:space="preserve">2023-07-12</t>
  </si>
  <si>
    <t xml:space="preserve">2023-07-13</t>
  </si>
  <si>
    <t xml:space="preserve">2023-07-17</t>
  </si>
  <si>
    <t xml:space="preserve">2023-07-25</t>
  </si>
  <si>
    <t xml:space="preserve">2023-08-04</t>
  </si>
  <si>
    <t xml:space="preserve">2023-08-14</t>
  </si>
  <si>
    <t xml:space="preserve">2023-08-16</t>
  </si>
  <si>
    <t xml:space="preserve">2023-08-18</t>
  </si>
  <si>
    <t xml:space="preserve">2023-08-24</t>
  </si>
  <si>
    <t xml:space="preserve">2023-08-28</t>
  </si>
  <si>
    <t xml:space="preserve">2023-09-07</t>
  </si>
  <si>
    <t xml:space="preserve">2023-09-11</t>
  </si>
  <si>
    <t xml:space="preserve">2023-09-15</t>
  </si>
  <si>
    <t xml:space="preserve">2023-09-21</t>
  </si>
  <si>
    <t xml:space="preserve">2023-09-30</t>
  </si>
  <si>
    <t xml:space="preserve">2023-10-03</t>
  </si>
  <si>
    <t xml:space="preserve">2023-10-04</t>
  </si>
  <si>
    <t xml:space="preserve">2023-10-09</t>
  </si>
  <si>
    <t xml:space="preserve">2023-10-11</t>
  </si>
  <si>
    <t xml:space="preserve">2023-10-12</t>
  </si>
  <si>
    <t xml:space="preserve">2023-10-13</t>
  </si>
  <si>
    <t xml:space="preserve">2023-10-18</t>
  </si>
  <si>
    <t xml:space="preserve">2023-10-19</t>
  </si>
  <si>
    <t xml:space="preserve">2023-10-23</t>
  </si>
  <si>
    <t xml:space="preserve">2023-10-25</t>
  </si>
  <si>
    <t xml:space="preserve">2023-10-27</t>
  </si>
  <si>
    <t xml:space="preserve">2023-11-02</t>
  </si>
  <si>
    <t xml:space="preserve">2023-11-03</t>
  </si>
  <si>
    <t xml:space="preserve">2023-11-07</t>
  </si>
  <si>
    <t xml:space="preserve">2023-11-10</t>
  </si>
  <si>
    <t xml:space="preserve">2023-11-16</t>
  </si>
  <si>
    <t xml:space="preserve">2023-11-20</t>
  </si>
  <si>
    <t xml:space="preserve">2023-12-04</t>
  </si>
  <si>
    <t xml:space="preserve">2023-12-08</t>
  </si>
  <si>
    <t xml:space="preserve">2023-12-11</t>
  </si>
  <si>
    <t xml:space="preserve">2024-01-02</t>
  </si>
  <si>
    <t xml:space="preserve">2024-01-03</t>
  </si>
  <si>
    <t xml:space="preserve">2024-01-18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</si>
  <si>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</si>
  <si>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</si>
  <si>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</si>
  <si>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</si>
  <si>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2024-02-07</t>
  </si>
  <si>
    <t xml:space="preserve">2024-02-08</t>
  </si>
  <si>
    <t xml:space="preserve">2024-02-09</t>
  </si>
  <si>
    <t xml:space="preserve">2024-02-20</t>
  </si>
  <si>
    <t xml:space="preserve">2024-02-22</t>
  </si>
  <si>
    <t xml:space="preserve">2024-02-29</t>
  </si>
  <si>
    <t xml:space="preserve">2024-03-01</t>
  </si>
  <si>
    <t xml:space="preserve">2024-03-11</t>
  </si>
  <si>
    <t xml:space="preserve">2024-03-14</t>
  </si>
  <si>
    <t xml:space="preserve">2024-03-21</t>
  </si>
  <si>
    <t xml:space="preserve">2024-03-22</t>
  </si>
  <si>
    <t xml:space="preserve">2024-04-02</t>
  </si>
  <si>
    <t xml:space="preserve">2024-04-05</t>
  </si>
  <si>
    <t xml:space="preserve">2024-04-12</t>
  </si>
  <si>
    <t xml:space="preserve">2024-04-15</t>
  </si>
  <si>
    <t xml:space="preserve">2024-04-17</t>
  </si>
  <si>
    <t xml:space="preserve">2024-04-19</t>
  </si>
  <si>
    <t xml:space="preserve">2024-04-23</t>
  </si>
  <si>
    <t xml:space="preserve">2024-05-02</t>
  </si>
  <si>
    <t xml:space="preserve">2024-06-03</t>
  </si>
  <si>
    <t xml:space="preserve">2024-06-07</t>
  </si>
  <si>
    <t xml:space="preserve">2024-06-17</t>
  </si>
  <si>
    <t xml:space="preserve">2024-06-26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</si>
  <si>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</si>
  <si>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</si>
  <si>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</si>
  <si>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</si>
  <si>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</si>
  <si>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2024-07-11</t>
  </si>
  <si>
    <t xml:space="preserve">2024-07-17</t>
  </si>
  <si>
    <t xml:space="preserve">2024-07-22</t>
  </si>
  <si>
    <t xml:space="preserve">2024-07-24</t>
  </si>
  <si>
    <t xml:space="preserve">2024-07-26</t>
  </si>
  <si>
    <t xml:space="preserve">2024-07-31</t>
  </si>
  <si>
    <t xml:space="preserve">2024-08-02</t>
  </si>
  <si>
    <t xml:space="preserve">2024-08-06</t>
  </si>
  <si>
    <t xml:space="preserve">2024-08-12</t>
  </si>
  <si>
    <t xml:space="preserve">2024-08-19</t>
  </si>
  <si>
    <t xml:space="preserve">2024-08-23</t>
  </si>
  <si>
    <t xml:space="preserve">2024-08-28</t>
  </si>
  <si>
    <t xml:space="preserve">2024-09-03</t>
  </si>
  <si>
    <t xml:space="preserve">2024-09-06</t>
  </si>
  <si>
    <t xml:space="preserve">2024-09-16</t>
  </si>
  <si>
    <t xml:space="preserve">2024-09-19</t>
  </si>
  <si>
    <t xml:space="preserve">2024-09-20</t>
  </si>
  <si>
    <t xml:space="preserve">2024-09-30</t>
  </si>
  <si>
    <t xml:space="preserve">2024-10-03</t>
  </si>
  <si>
    <t xml:space="preserve">2024-10-16</t>
  </si>
  <si>
    <t xml:space="preserve">2024-10-21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</si>
  <si>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</si>
  <si>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</si>
  <si>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</si>
  <si>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</si>
  <si>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2024-11-06</t>
  </si>
  <si>
    <t xml:space="preserve">2024-11-15</t>
  </si>
  <si>
    <t xml:space="preserve">2024-11-18</t>
  </si>
  <si>
    <t xml:space="preserve">2024-12-02</t>
  </si>
  <si>
    <t xml:space="preserve">2024-12-03</t>
  </si>
  <si>
    <t xml:space="preserve">2024-12-16</t>
  </si>
  <si>
    <t xml:space="preserve">2024-12-18</t>
  </si>
  <si>
    <t xml:space="preserve">2024-12-20</t>
  </si>
  <si>
    <t xml:space="preserve">2024-12-23</t>
  </si>
  <si>
    <t xml:space="preserve">2025-01-03</t>
  </si>
  <si>
    <t xml:space="preserve">2025-01-10</t>
  </si>
  <si>
    <t xml:space="preserve">2025-01-14</t>
  </si>
  <si>
    <t xml:space="preserve">2025-01-15</t>
  </si>
  <si>
    <t xml:space="preserve">2025-01-27</t>
  </si>
  <si>
    <t xml:space="preserve">2025-01-30</t>
  </si>
  <si>
    <t xml:space="preserve">2025-02-06</t>
  </si>
  <si>
    <t xml:space="preserve">2025-02-14</t>
  </si>
  <si>
    <t xml:space="preserve">2025-02-18</t>
  </si>
  <si>
    <t xml:space="preserve">2025-02-24</t>
  </si>
  <si>
    <t xml:space="preserve">2025-02-25</t>
  </si>
  <si>
    <t xml:space="preserve">2025-02-27</t>
  </si>
  <si>
    <t xml:space="preserve">2025-02-28</t>
  </si>
  <si>
    <t xml:space="preserve">2025-03-03</t>
  </si>
  <si>
    <t xml:space="preserve">2025-03-06</t>
  </si>
  <si>
    <t xml:space="preserve">2025-03-07</t>
  </si>
  <si>
    <t xml:space="preserve">2025-03-20</t>
  </si>
  <si>
    <t xml:space="preserve">2025-03-24</t>
  </si>
  <si>
    <t xml:space="preserve">2025-03-31</t>
  </si>
  <si>
    <t xml:space="preserve">2025-04-03</t>
  </si>
  <si>
    <t xml:space="preserve">2025-04-09</t>
  </si>
  <si>
    <t xml:space="preserve">2025-04-11</t>
  </si>
  <si>
    <t xml:space="preserve">2025-04-14</t>
  </si>
  <si>
    <t xml:space="preserve">2025-04-15</t>
  </si>
  <si>
    <t xml:space="preserve">2025-04-29</t>
  </si>
  <si>
    <t xml:space="preserve">2025-05-01</t>
  </si>
  <si>
    <t xml:space="preserve">2025-05-12</t>
  </si>
  <si>
    <t xml:space="preserve">2025-05-13</t>
  </si>
  <si>
    <t xml:space="preserve">2025-06-02</t>
  </si>
  <si>
    <t xml:space="preserve">2025-06-13</t>
  </si>
  <si>
    <t xml:space="preserve">2025-06-20</t>
  </si>
  <si>
    <t xml:space="preserve">2025-06-24</t>
  </si>
  <si>
    <t xml:space="preserve">2025-06-25</t>
  </si>
  <si>
    <t xml:space="preserve">2025-07-15</t>
  </si>
  <si>
    <t xml:space="preserve">2025-07-16</t>
  </si>
  <si>
    <t xml:space="preserve">2025-07-31</t>
  </si>
  <si>
    <t xml:space="preserve">2025-08-01</t>
  </si>
  <si>
    <t xml:space="preserve">2025-08-04</t>
  </si>
  <si>
    <t xml:space="preserve">2025-08-07</t>
  </si>
  <si>
    <t xml:space="preserve">2025-08-08</t>
  </si>
  <si>
    <t xml:space="preserve">2025-08-12</t>
  </si>
  <si>
    <t xml:space="preserve">2025-08-13</t>
  </si>
  <si>
    <t xml:space="preserve">2025-08-20</t>
  </si>
  <si>
    <t xml:space="preserve">2025-09-05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</si>
  <si>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</si>
  <si>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</si>
  <si>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</si>
  <si>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</si>
  <si>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2025-09-18</t>
  </si>
  <si>
    <t xml:space="preserve">2025-09-23</t>
  </si>
  <si>
    <t xml:space="preserve">2025-09-30</t>
  </si>
  <si>
    <t xml:space="preserve">2025-10-03</t>
  </si>
  <si>
    <t xml:space="preserve">2025-10-06</t>
  </si>
  <si>
    <t xml:space="preserve">2025-10-08</t>
  </si>
  <si>
    <t xml:space="preserve">2025-10-10</t>
  </si>
  <si>
    <t xml:space="preserve">2025-10-13</t>
  </si>
  <si>
    <t xml:space="preserve">2025-10-16</t>
  </si>
  <si>
    <t xml:space="preserve">2025-10-20</t>
  </si>
  <si>
    <t xml:space="preserve">2025-10-24</t>
  </si>
  <si>
    <t xml:space="preserve">2025-10-27</t>
  </si>
  <si>
    <t xml:space="preserve">2025-10-29</t>
  </si>
  <si>
    <t xml:space="preserve">2025-11-06</t>
  </si>
  <si>
    <t xml:space="preserve">2025-11-18</t>
  </si>
  <si>
    <t xml:space="preserve">2025-11-20</t>
  </si>
  <si>
    <t xml:space="preserve">2025-11-21</t>
  </si>
  <si>
    <t xml:space="preserve">2025-11-24</t>
  </si>
  <si>
    <t xml:space="preserve">2025-12-15</t>
  </si>
  <si>
    <t xml:space="preserve">2025-12-18</t>
  </si>
  <si>
    <t xml:space="preserve">2026-01-05</t>
  </si>
  <si>
    <t xml:space="preserve">2026-01-20</t>
  </si>
  <si>
    <t xml:space="preserve">2026-01-30</t>
  </si>
  <si>
    <t xml:space="preserve">2026-02-04</t>
  </si>
  <si>
    <t xml:space="preserve">2026-02-05</t>
  </si>
  <si>
    <t xml:space="preserve">2026-02-06</t>
  </si>
  <si>
    <t xml:space="preserve">2026-02-18</t>
  </si>
  <si>
    <t xml:space="preserve">2026-02-20</t>
  </si>
  <si>
    <t xml:space="preserve">2026-02-24</t>
  </si>
  <si>
    <t xml:space="preserve">2026-03-04</t>
  </si>
  <si>
    <t xml:space="preserve">2026-03-09</t>
  </si>
  <si>
    <t xml:space="preserve">2026-03-12</t>
  </si>
  <si>
    <t xml:space="preserve">2026-03-13</t>
  </si>
  <si>
    <t xml:space="preserve">2026-03-18</t>
  </si>
  <si>
    <t xml:space="preserve">2026-03-20</t>
  </si>
  <si>
    <t xml:space="preserve">2026-03-27</t>
  </si>
  <si>
    <t xml:space="preserve">2026-04-08</t>
  </si>
  <si>
    <t xml:space="preserve">2026-04-10</t>
  </si>
  <si>
    <t xml:space="preserve">2026-04-17</t>
  </si>
  <si>
    <t xml:space="preserve">2026-05-15</t>
  </si>
  <si>
    <t xml:space="preserve">2026-05-21</t>
  </si>
  <si>
    <t xml:space="preserve">2026-05-26</t>
  </si>
  <si>
    <t xml:space="preserve">2026-05-28</t>
  </si>
  <si>
    <t xml:space="preserve">2026-05-29</t>
  </si>
  <si>
    <t xml:space="preserve">2026-05-31</t>
  </si>
  <si>
    <t xml:space="preserve">2026-06-01</t>
  </si>
  <si>
    <t xml:space="preserve">2026-06-02</t>
  </si>
  <si>
    <t xml:space="preserve">2026-06-04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</si>
  <si>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</si>
  <si>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</si>
  <si>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</si>
  <si>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</si>
  <si>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2026-06-23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</si>
  <si>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</si>
  <si>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</si>
  <si>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</si>
  <si>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</si>
  <si>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2026-07-08</t>
  </si>
  <si>
    <r>
      <rPr>
        <b val="true"/>
        <sz val="9"/>
        <rFont val="Arial"/>
        <family val="0"/>
        <charset val="1"/>
      </rPr>
      <t xml:space="preserve">TOP</t>
    </r>
    <r>
      <rPr>
        <b val="true"/>
        <sz val="9"/>
        <rFont val="WenQuanYi Zen Hei"/>
        <family val="2"/>
      </rPr>
      <t xml:space="preserve">警訊數</t>
    </r>
  </si>
  <si>
    <r>
      <rPr>
        <b val="true"/>
        <sz val="9"/>
        <rFont val="Arial"/>
        <family val="0"/>
        <charset val="1"/>
      </rPr>
      <t xml:space="preserve">BOTTOM</t>
    </r>
    <r>
      <rPr>
        <b val="true"/>
        <sz val="9"/>
        <rFont val="WenQuanYi Zen Hei"/>
        <family val="2"/>
      </rPr>
      <t xml:space="preserve">警訊數</t>
    </r>
  </si>
  <si>
    <r>
      <rPr>
        <b val="true"/>
        <sz val="12"/>
        <rFont val="WenQuanYi Zen Hei"/>
        <family val="2"/>
      </rPr>
      <t xml:space="preserve">日線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WenQuanYi Zen Hei"/>
        <family val="2"/>
      </rPr>
      <t xml:space="preserve">趨勢線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活公式</t>
    </r>
    <r>
      <rPr>
        <b val="true"/>
        <sz val="12"/>
        <rFont val="Arial"/>
        <family val="0"/>
        <charset val="1"/>
      </rPr>
      <t xml:space="preserve">) | B=</t>
    </r>
    <r>
      <rPr>
        <b val="true"/>
        <sz val="12"/>
        <rFont val="WenQuanYi Zen Hei"/>
        <family val="2"/>
      </rPr>
      <t xml:space="preserve">收盤</t>
    </r>
    <r>
      <rPr>
        <b val="true"/>
        <sz val="12"/>
        <rFont val="Arial"/>
        <family val="0"/>
        <charset val="1"/>
      </rPr>
      <t xml:space="preserve">(2016-07</t>
    </r>
    <r>
      <rPr>
        <b val="true"/>
        <sz val="12"/>
        <rFont val="WenQuanYi Zen Hei"/>
        <family val="2"/>
      </rPr>
      <t xml:space="preserve">前</t>
    </r>
    <r>
      <rPr>
        <b val="true"/>
        <sz val="12"/>
        <rFont val="Arial"/>
        <family val="0"/>
        <charset val="1"/>
      </rPr>
      <t xml:space="preserve">=Composite</t>
    </r>
    <r>
      <rPr>
        <b val="true"/>
        <sz val="12"/>
        <rFont val="WenQuanYi Zen Hei"/>
        <family val="2"/>
      </rPr>
      <t xml:space="preserve">鏈接</t>
    </r>
    <r>
      <rPr>
        <b val="true"/>
        <sz val="12"/>
        <rFont val="Arial"/>
        <family val="0"/>
        <charset val="1"/>
      </rPr>
      <t xml:space="preserve">) | C-F=</t>
    </r>
    <r>
      <rPr>
        <b val="true"/>
        <sz val="12"/>
        <rFont val="WenQuanYi Zen Hei"/>
        <family val="2"/>
      </rPr>
      <t xml:space="preserve">活公式</t>
    </r>
    <r>
      <rPr>
        <b val="true"/>
        <sz val="12"/>
        <rFont val="Arial"/>
        <family val="0"/>
        <charset val="1"/>
      </rPr>
      <t xml:space="preserve">: SMA50/SMA200/</t>
    </r>
    <r>
      <rPr>
        <b val="true"/>
        <sz val="12"/>
        <rFont val="WenQuanYi Zen Hei"/>
        <family val="2"/>
      </rPr>
      <t xml:space="preserve">距</t>
    </r>
    <r>
      <rPr>
        <b val="true"/>
        <sz val="12"/>
        <rFont val="Arial"/>
        <family val="0"/>
        <charset val="1"/>
      </rPr>
      <t xml:space="preserve">252</t>
    </r>
    <r>
      <rPr>
        <b val="true"/>
        <sz val="12"/>
        <rFont val="WenQuanYi Zen Hei"/>
        <family val="2"/>
      </rPr>
      <t xml:space="preserve">日高</t>
    </r>
    <r>
      <rPr>
        <b val="true"/>
        <sz val="12"/>
        <rFont val="Arial"/>
        <family val="0"/>
        <charset val="1"/>
      </rPr>
      <t xml:space="preserve">/ZigZag</t>
    </r>
    <r>
      <rPr>
        <b val="true"/>
        <sz val="12"/>
        <rFont val="WenQuanYi Zen Hei"/>
        <family val="2"/>
      </rPr>
      <t xml:space="preserve">轉折標記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查表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修改</t>
    </r>
    <r>
      <rPr>
        <b val="true"/>
        <sz val="12"/>
        <rFont val="Arial"/>
        <family val="0"/>
        <charset val="1"/>
      </rPr>
      <t xml:space="preserve">B</t>
    </r>
    <r>
      <rPr>
        <b val="true"/>
        <sz val="12"/>
        <rFont val="WenQuanYi Zen Hei"/>
        <family val="2"/>
      </rPr>
      <t xml:space="preserve">欄即全表重算</t>
    </r>
  </si>
  <si>
    <t xml:space="preserve">收盤</t>
  </si>
  <si>
    <r>
      <rPr>
        <b val="true"/>
        <sz val="9"/>
        <rFont val="Arial"/>
        <family val="0"/>
        <charset val="1"/>
      </rPr>
      <t xml:space="preserve">SMA50(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</si>
  <si>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SMA200(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</si>
  <si>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距</t>
    </r>
    <r>
      <rPr>
        <b val="true"/>
        <sz val="9"/>
        <rFont val="Arial"/>
        <family val="0"/>
        <charset val="1"/>
      </rPr>
      <t xml:space="preserve">252</t>
    </r>
    <r>
      <rPr>
        <b val="true"/>
        <sz val="9"/>
        <rFont val="WenQuanYi Zen Hei"/>
        <family val="2"/>
      </rPr>
      <t xml:space="preserve">日高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</si>
  <si>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主要轉折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</si>
  <si>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t xml:space="preserve">來源</t>
  </si>
  <si>
    <t xml:space="preserve">1999-01-04</t>
  </si>
  <si>
    <t xml:space="preserve">IXIC_chained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</si>
  <si>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</si>
  <si>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</si>
  <si>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</si>
  <si>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</si>
  <si>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</si>
  <si>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</si>
  <si>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</si>
  <si>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</si>
  <si>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</si>
  <si>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</si>
  <si>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</si>
  <si>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</si>
  <si>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</si>
  <si>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</si>
  <si>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</si>
  <si>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</si>
  <si>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</si>
  <si>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</si>
  <si>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</si>
  <si>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</si>
  <si>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</si>
  <si>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</si>
  <si>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</si>
  <si>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</si>
  <si>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</si>
  <si>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</si>
  <si>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</si>
  <si>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</si>
  <si>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</si>
  <si>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</si>
  <si>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</si>
  <si>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</si>
  <si>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</si>
  <si>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</si>
  <si>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</si>
  <si>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</si>
  <si>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</si>
  <si>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</si>
  <si>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</si>
  <si>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</si>
  <si>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</si>
  <si>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</si>
  <si>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</si>
  <si>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</si>
  <si>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</si>
  <si>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</si>
  <si>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</si>
  <si>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</si>
  <si>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</si>
  <si>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</si>
  <si>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</si>
  <si>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</si>
  <si>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</si>
  <si>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</si>
  <si>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</si>
  <si>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</si>
  <si>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</si>
  <si>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</si>
  <si>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</si>
  <si>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</si>
  <si>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</si>
  <si>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</si>
  <si>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</si>
  <si>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</si>
  <si>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</si>
  <si>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</si>
  <si>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</si>
  <si>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</si>
  <si>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</si>
  <si>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</si>
  <si>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</si>
  <si>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</si>
  <si>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</si>
  <si>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</si>
  <si>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</si>
  <si>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</si>
  <si>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</si>
  <si>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</si>
  <si>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</si>
  <si>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</si>
  <si>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</si>
  <si>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</si>
  <si>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</si>
  <si>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</si>
  <si>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</si>
  <si>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</si>
  <si>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</si>
  <si>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</si>
  <si>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</si>
  <si>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</si>
  <si>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</si>
  <si>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</si>
  <si>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</si>
  <si>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</si>
  <si>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</si>
  <si>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</si>
  <si>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</si>
  <si>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</si>
  <si>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</si>
  <si>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</si>
  <si>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</si>
  <si>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</si>
  <si>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</si>
  <si>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</si>
  <si>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</si>
  <si>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</si>
  <si>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</si>
  <si>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</si>
  <si>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</si>
  <si>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</si>
  <si>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</si>
  <si>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</si>
  <si>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</si>
  <si>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</si>
  <si>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</si>
  <si>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</si>
  <si>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</si>
  <si>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</si>
  <si>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</si>
  <si>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</si>
  <si>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</si>
  <si>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1999-07-01</t>
  </si>
  <si>
    <t xml:space="preserve">1999-07-02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</si>
  <si>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</si>
  <si>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</si>
  <si>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</si>
  <si>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</si>
  <si>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</si>
  <si>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</si>
  <si>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</si>
  <si>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</si>
  <si>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</si>
  <si>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</si>
  <si>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</si>
  <si>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</si>
  <si>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</si>
  <si>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</si>
  <si>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</si>
  <si>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</si>
  <si>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</si>
  <si>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</si>
  <si>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</si>
  <si>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</si>
  <si>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</si>
  <si>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</si>
  <si>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</si>
  <si>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</si>
  <si>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</si>
  <si>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</si>
  <si>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</si>
  <si>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</si>
  <si>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</si>
  <si>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</si>
  <si>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</si>
  <si>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</si>
  <si>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</si>
  <si>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</si>
  <si>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</si>
  <si>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</si>
  <si>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</si>
  <si>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</si>
  <si>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</si>
  <si>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</si>
  <si>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</si>
  <si>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</si>
  <si>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</si>
  <si>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</si>
  <si>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1999-09-07</t>
  </si>
  <si>
    <t xml:space="preserve">1999-09-08</t>
  </si>
  <si>
    <t xml:space="preserve">1999-09-09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</si>
  <si>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</si>
  <si>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</si>
  <si>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</si>
  <si>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</si>
  <si>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</si>
  <si>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</si>
  <si>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</si>
  <si>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</si>
  <si>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</si>
  <si>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</si>
  <si>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</si>
  <si>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</si>
  <si>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</si>
  <si>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</si>
  <si>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</si>
  <si>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</si>
  <si>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</si>
  <si>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</si>
  <si>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</si>
  <si>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</si>
  <si>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</si>
  <si>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</si>
  <si>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</si>
  <si>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</si>
  <si>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</si>
  <si>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</si>
  <si>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</si>
  <si>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</si>
  <si>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</si>
  <si>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</si>
  <si>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</si>
  <si>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</si>
  <si>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</si>
  <si>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</si>
  <si>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</si>
  <si>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</si>
  <si>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</si>
  <si>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</si>
  <si>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</si>
  <si>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</si>
  <si>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</si>
  <si>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</si>
  <si>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</si>
  <si>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</si>
  <si>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</si>
  <si>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</si>
  <si>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</si>
  <si>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</si>
  <si>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</si>
  <si>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</si>
  <si>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1999-11-29</t>
  </si>
  <si>
    <t xml:space="preserve">1999-11-30</t>
  </si>
  <si>
    <t xml:space="preserve">1999-12-01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</si>
  <si>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</si>
  <si>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</si>
  <si>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</si>
  <si>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</si>
  <si>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</si>
  <si>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</si>
  <si>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</si>
  <si>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</si>
  <si>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</si>
  <si>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1999-12-22</t>
  </si>
  <si>
    <t xml:space="preserve">1999-12-23</t>
  </si>
  <si>
    <t xml:space="preserve">1999-12-27</t>
  </si>
  <si>
    <t xml:space="preserve">1999-12-28</t>
  </si>
  <si>
    <t xml:space="preserve">1999-12-30</t>
  </si>
  <si>
    <t xml:space="preserve">1999-12-31</t>
  </si>
  <si>
    <t xml:space="preserve">2000-01-03</t>
  </si>
  <si>
    <t xml:space="preserve">2000-01-06</t>
  </si>
  <si>
    <t xml:space="preserve">2000-01-07</t>
  </si>
  <si>
    <t xml:space="preserve">2000-01-11</t>
  </si>
  <si>
    <t xml:space="preserve">2000-01-14</t>
  </si>
  <si>
    <t xml:space="preserve">2000-01-18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</si>
  <si>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</si>
  <si>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</si>
  <si>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</si>
  <si>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</si>
  <si>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2000-01-31</t>
  </si>
  <si>
    <t xml:space="preserve">2000-02-02</t>
  </si>
  <si>
    <t xml:space="preserve">2000-02-03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</si>
  <si>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</si>
  <si>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</si>
  <si>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</si>
  <si>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</si>
  <si>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</si>
  <si>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</si>
  <si>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</si>
  <si>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</si>
  <si>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</si>
  <si>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2000-02-22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</si>
  <si>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</si>
  <si>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</si>
  <si>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</si>
  <si>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</si>
  <si>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</si>
  <si>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</si>
  <si>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</si>
  <si>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</si>
  <si>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</si>
  <si>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</si>
  <si>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</si>
  <si>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2000-03-13</t>
  </si>
  <si>
    <t xml:space="preserve">2000-03-15</t>
  </si>
  <si>
    <t xml:space="preserve">2000-03-16</t>
  </si>
  <si>
    <t xml:space="preserve">2000-03-21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</si>
  <si>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</si>
  <si>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</si>
  <si>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</si>
  <si>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</si>
  <si>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</si>
  <si>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</si>
  <si>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</si>
  <si>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</si>
  <si>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</si>
  <si>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</si>
  <si>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</si>
  <si>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</si>
  <si>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</si>
  <si>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</si>
  <si>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</si>
  <si>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2000-04-18</t>
  </si>
  <si>
    <t xml:space="preserve">2000-04-19</t>
  </si>
  <si>
    <t xml:space="preserve">2000-04-20</t>
  </si>
  <si>
    <t xml:space="preserve">2000-04-26</t>
  </si>
  <si>
    <t xml:space="preserve">2000-04-27</t>
  </si>
  <si>
    <t xml:space="preserve">2000-04-28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</si>
  <si>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</si>
  <si>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</si>
  <si>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</si>
  <si>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</si>
  <si>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</si>
  <si>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</si>
  <si>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2000-05-11</t>
  </si>
  <si>
    <t xml:space="preserve">2000-05-12</t>
  </si>
  <si>
    <t xml:space="preserve">2000-05-16</t>
  </si>
  <si>
    <t xml:space="preserve">2000-05-17</t>
  </si>
  <si>
    <t xml:space="preserve">2000-05-19</t>
  </si>
  <si>
    <t xml:space="preserve">2000-05-22</t>
  </si>
  <si>
    <t xml:space="preserve">2000-05-24</t>
  </si>
  <si>
    <t xml:space="preserve">2000-05-25</t>
  </si>
  <si>
    <t xml:space="preserve">2000-05-26</t>
  </si>
  <si>
    <t xml:space="preserve">2000-05-30</t>
  </si>
  <si>
    <t xml:space="preserve">2000-06-01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</si>
  <si>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</si>
  <si>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</si>
  <si>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</si>
  <si>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</si>
  <si>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</si>
  <si>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</si>
  <si>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</si>
  <si>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</si>
  <si>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</si>
  <si>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</si>
  <si>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</si>
  <si>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</si>
  <si>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</si>
  <si>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</si>
  <si>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</si>
  <si>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</si>
  <si>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</si>
  <si>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</si>
  <si>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</si>
  <si>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</si>
  <si>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</si>
  <si>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</si>
  <si>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</si>
  <si>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</si>
  <si>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</si>
  <si>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</si>
  <si>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</si>
  <si>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</si>
  <si>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</si>
  <si>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</si>
  <si>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</si>
  <si>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</si>
  <si>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</si>
  <si>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</si>
  <si>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2000-07-28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</si>
  <si>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</si>
  <si>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</si>
  <si>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</si>
  <si>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</si>
  <si>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</si>
  <si>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</si>
  <si>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</si>
  <si>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</si>
  <si>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</si>
  <si>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</si>
  <si>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</si>
  <si>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</si>
  <si>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</si>
  <si>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</si>
  <si>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</si>
  <si>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</si>
  <si>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</si>
  <si>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</si>
  <si>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</si>
  <si>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</si>
  <si>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</si>
  <si>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</si>
  <si>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</si>
  <si>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2000-09-05</t>
  </si>
  <si>
    <t xml:space="preserve">2000-09-06</t>
  </si>
  <si>
    <t xml:space="preserve">2000-09-07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</si>
  <si>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</si>
  <si>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</si>
  <si>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</si>
  <si>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</si>
  <si>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</si>
  <si>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</si>
  <si>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</si>
  <si>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</si>
  <si>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</si>
  <si>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</si>
  <si>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</si>
  <si>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</si>
  <si>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</si>
  <si>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</si>
  <si>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</si>
  <si>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</si>
  <si>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</si>
  <si>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</si>
  <si>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</si>
  <si>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</si>
  <si>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</si>
  <si>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</si>
  <si>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</si>
  <si>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</si>
  <si>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</si>
  <si>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</si>
  <si>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</si>
  <si>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</si>
  <si>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</si>
  <si>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</si>
  <si>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</si>
  <si>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</si>
  <si>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</si>
  <si>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</si>
  <si>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</si>
  <si>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</si>
  <si>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</si>
  <si>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</si>
  <si>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</si>
  <si>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</si>
  <si>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</si>
  <si>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</si>
  <si>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</si>
  <si>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</si>
  <si>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</si>
  <si>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</si>
  <si>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</si>
  <si>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</si>
  <si>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</si>
  <si>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</si>
  <si>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</si>
  <si>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</si>
  <si>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</si>
  <si>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</si>
  <si>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</si>
  <si>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</si>
  <si>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</si>
  <si>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</si>
  <si>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</si>
  <si>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</si>
  <si>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</si>
  <si>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</si>
  <si>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2000-12-20</t>
  </si>
  <si>
    <t xml:space="preserve">2000-12-21</t>
  </si>
  <si>
    <t xml:space="preserve">2000-12-22</t>
  </si>
  <si>
    <t xml:space="preserve">2000-12-26</t>
  </si>
  <si>
    <t xml:space="preserve">2000-12-27</t>
  </si>
  <si>
    <t xml:space="preserve">2000-12-28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</si>
  <si>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</si>
  <si>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</si>
  <si>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</si>
  <si>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</si>
  <si>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2001-01-10</t>
  </si>
  <si>
    <t xml:space="preserve">2001-01-11</t>
  </si>
  <si>
    <t xml:space="preserve">2001-01-12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</si>
  <si>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</si>
  <si>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</si>
  <si>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</si>
  <si>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</si>
  <si>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</si>
  <si>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</si>
  <si>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</si>
  <si>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</si>
  <si>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</si>
  <si>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</si>
  <si>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</si>
  <si>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</si>
  <si>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</si>
  <si>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</si>
  <si>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</si>
  <si>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</si>
  <si>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</si>
  <si>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</si>
  <si>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</si>
  <si>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</si>
  <si>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</si>
  <si>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2001-02-20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</si>
  <si>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</si>
  <si>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</si>
  <si>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</si>
  <si>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</si>
  <si>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</si>
  <si>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</si>
  <si>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</si>
  <si>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</si>
  <si>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</si>
  <si>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</si>
  <si>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</si>
  <si>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</si>
  <si>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</si>
  <si>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</si>
  <si>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</si>
  <si>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</si>
  <si>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</si>
  <si>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</si>
  <si>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</si>
  <si>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</si>
  <si>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</si>
  <si>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</si>
  <si>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</si>
  <si>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2001-03-30</t>
  </si>
  <si>
    <t xml:space="preserve">2001-04-03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</si>
  <si>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</si>
  <si>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</si>
  <si>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</si>
  <si>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</si>
  <si>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</si>
  <si>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</si>
  <si>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</si>
  <si>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</si>
  <si>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</si>
  <si>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</si>
  <si>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</si>
  <si>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</si>
  <si>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</si>
  <si>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</si>
  <si>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</si>
  <si>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</si>
  <si>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2001-05-01</t>
  </si>
  <si>
    <t xml:space="preserve">2001-05-02</t>
  </si>
  <si>
    <t xml:space="preserve">2001-05-03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</si>
  <si>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</si>
  <si>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</si>
  <si>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</si>
  <si>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</si>
  <si>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</si>
  <si>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</si>
  <si>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</si>
  <si>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</si>
  <si>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</si>
  <si>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</si>
  <si>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</si>
  <si>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2001-05-23</t>
  </si>
  <si>
    <t xml:space="preserve">2001-05-24</t>
  </si>
  <si>
    <t xml:space="preserve">2001-05-25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</si>
  <si>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</si>
  <si>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</si>
  <si>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</si>
  <si>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</si>
  <si>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</si>
  <si>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</si>
  <si>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</si>
  <si>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</si>
  <si>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</si>
  <si>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</si>
  <si>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</si>
  <si>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</si>
  <si>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</si>
  <si>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</si>
  <si>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</si>
  <si>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</si>
  <si>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</si>
  <si>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</si>
  <si>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</si>
  <si>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</si>
  <si>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</si>
  <si>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</si>
  <si>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</si>
  <si>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</si>
  <si>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</si>
  <si>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</si>
  <si>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</si>
  <si>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</si>
  <si>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</si>
  <si>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</si>
  <si>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</si>
  <si>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</si>
  <si>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</si>
  <si>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</si>
  <si>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</si>
  <si>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</si>
  <si>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</si>
  <si>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</si>
  <si>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</si>
  <si>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</si>
  <si>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</si>
  <si>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</si>
  <si>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</si>
  <si>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</si>
  <si>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</si>
  <si>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</si>
  <si>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</si>
  <si>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</si>
  <si>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</si>
  <si>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</si>
  <si>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</si>
  <si>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</si>
  <si>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</si>
  <si>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</si>
  <si>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</si>
  <si>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</si>
  <si>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</si>
  <si>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</si>
  <si>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</si>
  <si>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</si>
  <si>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</si>
  <si>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</si>
  <si>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</si>
  <si>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</si>
  <si>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</si>
  <si>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</si>
  <si>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</si>
  <si>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</si>
  <si>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</si>
  <si>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</si>
  <si>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</si>
  <si>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</si>
  <si>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</si>
  <si>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</si>
  <si>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</si>
  <si>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</si>
  <si>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</si>
  <si>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</si>
  <si>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</si>
  <si>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</si>
  <si>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</si>
  <si>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</si>
  <si>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</si>
  <si>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</si>
  <si>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</si>
  <si>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</si>
  <si>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</si>
  <si>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</si>
  <si>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</si>
  <si>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</si>
  <si>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</si>
  <si>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</si>
  <si>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</si>
  <si>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</si>
  <si>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</si>
  <si>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</si>
  <si>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</si>
  <si>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</si>
  <si>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</si>
  <si>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</si>
  <si>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</si>
  <si>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</si>
  <si>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</si>
  <si>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</si>
  <si>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</si>
  <si>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</si>
  <si>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</si>
  <si>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</si>
  <si>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</si>
  <si>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</si>
  <si>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</si>
  <si>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</si>
  <si>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</si>
  <si>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</si>
  <si>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</si>
  <si>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</si>
  <si>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</si>
  <si>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</si>
  <si>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</si>
  <si>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</si>
  <si>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</si>
  <si>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</si>
  <si>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</si>
  <si>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</si>
  <si>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</si>
  <si>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</si>
  <si>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</si>
  <si>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</si>
  <si>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</si>
  <si>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</si>
  <si>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</si>
  <si>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</si>
  <si>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</si>
  <si>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</si>
  <si>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</si>
  <si>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</si>
  <si>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2001-12-24</t>
  </si>
  <si>
    <t xml:space="preserve">2001-12-26</t>
  </si>
  <si>
    <t xml:space="preserve">2001-12-27</t>
  </si>
  <si>
    <t xml:space="preserve">2001-12-28</t>
  </si>
  <si>
    <t xml:space="preserve">2002-01-02</t>
  </si>
  <si>
    <t xml:space="preserve">2002-01-03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</si>
  <si>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</si>
  <si>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</si>
  <si>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</si>
  <si>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</si>
  <si>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2002-01-14</t>
  </si>
  <si>
    <t xml:space="preserve">2002-01-15</t>
  </si>
  <si>
    <t xml:space="preserve">2002-01-17</t>
  </si>
  <si>
    <t xml:space="preserve">2002-01-22</t>
  </si>
  <si>
    <t xml:space="preserve">2002-01-23</t>
  </si>
  <si>
    <t xml:space="preserve">2002-01-25</t>
  </si>
  <si>
    <t xml:space="preserve">2002-01-28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</si>
  <si>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</si>
  <si>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</si>
  <si>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</si>
  <si>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</si>
  <si>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</si>
  <si>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</si>
  <si>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</si>
  <si>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</si>
  <si>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</si>
  <si>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</si>
  <si>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</si>
  <si>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</si>
  <si>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</si>
  <si>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</si>
  <si>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</si>
  <si>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</si>
  <si>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</si>
  <si>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</si>
  <si>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</si>
  <si>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</si>
  <si>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</si>
  <si>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</si>
  <si>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</si>
  <si>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</si>
  <si>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</si>
  <si>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2002-03-11</t>
  </si>
  <si>
    <t xml:space="preserve">2002-03-13</t>
  </si>
  <si>
    <t xml:space="preserve">2002-03-14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</si>
  <si>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</si>
  <si>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</si>
  <si>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</si>
  <si>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</si>
  <si>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</si>
  <si>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</si>
  <si>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</si>
  <si>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</si>
  <si>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</si>
  <si>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</si>
  <si>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</si>
  <si>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</si>
  <si>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</si>
  <si>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</si>
  <si>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</si>
  <si>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</si>
  <si>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</si>
  <si>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</si>
  <si>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</si>
  <si>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</si>
  <si>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</si>
  <si>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</si>
  <si>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</si>
  <si>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</si>
  <si>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</si>
  <si>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</si>
  <si>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2002-04-25</t>
  </si>
  <si>
    <t xml:space="preserve">2002-04-26</t>
  </si>
  <si>
    <t xml:space="preserve">2002-04-29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</si>
  <si>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</si>
  <si>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</si>
  <si>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</si>
  <si>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</si>
  <si>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</si>
  <si>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</si>
  <si>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</si>
  <si>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</si>
  <si>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</si>
  <si>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</si>
  <si>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</si>
  <si>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</si>
  <si>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</si>
  <si>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</si>
  <si>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</si>
  <si>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</si>
  <si>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</si>
  <si>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</si>
  <si>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</si>
  <si>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</si>
  <si>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</si>
  <si>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</si>
  <si>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2002-06-04</t>
  </si>
  <si>
    <t xml:space="preserve">2002-06-05</t>
  </si>
  <si>
    <t xml:space="preserve">2002-06-12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</si>
  <si>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</si>
  <si>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</si>
  <si>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</si>
  <si>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</si>
  <si>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</si>
  <si>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</si>
  <si>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</si>
  <si>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</si>
  <si>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</si>
  <si>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</si>
  <si>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</si>
  <si>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2002-07-02</t>
  </si>
  <si>
    <t xml:space="preserve">2002-07-03</t>
  </si>
  <si>
    <t xml:space="preserve">2002-07-05</t>
  </si>
  <si>
    <t xml:space="preserve">2002-07-08</t>
  </si>
  <si>
    <t xml:space="preserve">2002-07-09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</si>
  <si>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</si>
  <si>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</si>
  <si>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</si>
  <si>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</si>
  <si>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</si>
  <si>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</si>
  <si>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</si>
  <si>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</si>
  <si>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</si>
  <si>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</si>
  <si>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</si>
  <si>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</si>
  <si>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2002-08-01</t>
  </si>
  <si>
    <t xml:space="preserve">2002-08-02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</si>
  <si>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</si>
  <si>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</si>
  <si>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</si>
  <si>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</si>
  <si>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</si>
  <si>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</si>
  <si>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</si>
  <si>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</si>
  <si>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</si>
  <si>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</si>
  <si>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</si>
  <si>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</si>
  <si>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</si>
  <si>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</si>
  <si>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</si>
  <si>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</si>
  <si>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</si>
  <si>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</si>
  <si>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</si>
  <si>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</si>
  <si>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</si>
  <si>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</si>
  <si>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</si>
  <si>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</si>
  <si>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</si>
  <si>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</si>
  <si>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</si>
  <si>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</si>
  <si>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</si>
  <si>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</si>
  <si>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</si>
  <si>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</si>
  <si>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</si>
  <si>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</si>
  <si>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</si>
  <si>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</si>
  <si>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2002-10-04</t>
  </si>
  <si>
    <t xml:space="preserve">2002-10-07</t>
  </si>
  <si>
    <t xml:space="preserve">2002-10-08</t>
  </si>
  <si>
    <t xml:space="preserve">2002-10-10</t>
  </si>
  <si>
    <t xml:space="preserve">2002-10-11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</si>
  <si>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</si>
  <si>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</si>
  <si>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</si>
  <si>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</si>
  <si>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</si>
  <si>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</si>
  <si>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</si>
  <si>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</si>
  <si>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</si>
  <si>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</si>
  <si>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</si>
  <si>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</si>
  <si>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</si>
  <si>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</si>
  <si>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</si>
  <si>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</si>
  <si>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</si>
  <si>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</si>
  <si>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</si>
  <si>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</si>
  <si>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</si>
  <si>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</si>
  <si>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</si>
  <si>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</si>
  <si>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</si>
  <si>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</si>
  <si>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</si>
  <si>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</si>
  <si>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</si>
  <si>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</si>
  <si>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</si>
  <si>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</si>
  <si>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</si>
  <si>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</si>
  <si>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</si>
  <si>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</si>
  <si>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</si>
  <si>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</si>
  <si>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</si>
  <si>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</si>
  <si>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</si>
  <si>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</si>
  <si>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</si>
  <si>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</si>
  <si>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</si>
  <si>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</si>
  <si>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</si>
  <si>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</si>
  <si>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</si>
  <si>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</si>
  <si>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</si>
  <si>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</si>
  <si>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</si>
  <si>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</si>
  <si>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</si>
  <si>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</si>
  <si>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</si>
  <si>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</si>
  <si>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</si>
  <si>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</si>
  <si>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</si>
  <si>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</si>
  <si>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</si>
  <si>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2003-01-17</t>
  </si>
  <si>
    <t xml:space="preserve">2003-01-21</t>
  </si>
  <si>
    <t xml:space="preserve">2003-01-22</t>
  </si>
  <si>
    <t xml:space="preserve">2003-01-23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</si>
  <si>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</si>
  <si>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</si>
  <si>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</si>
  <si>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</si>
  <si>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</si>
  <si>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</si>
  <si>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</si>
  <si>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</si>
  <si>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</si>
  <si>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</si>
  <si>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</si>
  <si>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</si>
  <si>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</si>
  <si>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</si>
  <si>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</si>
  <si>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</si>
  <si>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</si>
  <si>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</si>
  <si>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</si>
  <si>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</si>
  <si>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</si>
  <si>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</si>
  <si>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</si>
  <si>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</si>
  <si>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</si>
  <si>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</si>
  <si>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</si>
  <si>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</si>
  <si>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</si>
  <si>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2003-03-12</t>
  </si>
  <si>
    <t xml:space="preserve">2003-03-13</t>
  </si>
  <si>
    <t xml:space="preserve">2003-03-14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</si>
  <si>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</si>
  <si>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</si>
  <si>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</si>
  <si>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</si>
  <si>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</si>
  <si>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</si>
  <si>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</si>
  <si>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</si>
  <si>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</si>
  <si>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2003-04-02</t>
  </si>
  <si>
    <t xml:space="preserve">2003-04-03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</si>
  <si>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</si>
  <si>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</si>
  <si>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</si>
  <si>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</si>
  <si>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</si>
  <si>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</si>
  <si>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</si>
  <si>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</si>
  <si>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</si>
  <si>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</si>
  <si>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</si>
  <si>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</si>
  <si>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</si>
  <si>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</si>
  <si>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</si>
  <si>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</si>
  <si>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</si>
  <si>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</si>
  <si>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</si>
  <si>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</si>
  <si>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</si>
  <si>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</si>
  <si>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</si>
  <si>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</si>
  <si>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</si>
  <si>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</si>
  <si>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</si>
  <si>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</si>
  <si>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</si>
  <si>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</si>
  <si>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</si>
  <si>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</si>
  <si>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</si>
  <si>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</si>
  <si>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</si>
  <si>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</si>
  <si>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</si>
  <si>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</si>
  <si>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</si>
  <si>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</si>
  <si>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</si>
  <si>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</si>
  <si>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</si>
  <si>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</si>
  <si>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</si>
  <si>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2003-06-19</t>
  </si>
  <si>
    <t xml:space="preserve">2003-06-20</t>
  </si>
  <si>
    <t xml:space="preserve">2003-06-23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</si>
  <si>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</si>
  <si>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</si>
  <si>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</si>
  <si>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</si>
  <si>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</si>
  <si>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2003-07-03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</si>
  <si>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</si>
  <si>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</si>
  <si>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</si>
  <si>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</si>
  <si>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</si>
  <si>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</si>
  <si>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</si>
  <si>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</si>
  <si>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</si>
  <si>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</si>
  <si>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</si>
  <si>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</si>
  <si>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</si>
  <si>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</si>
  <si>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</si>
  <si>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</si>
  <si>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2003-08-04</t>
  </si>
  <si>
    <t xml:space="preserve">2003-08-06</t>
  </si>
  <si>
    <t xml:space="preserve">2003-08-07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</si>
  <si>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</si>
  <si>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</si>
  <si>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</si>
  <si>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</si>
  <si>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</si>
  <si>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</si>
  <si>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</si>
  <si>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</si>
  <si>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</si>
  <si>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</si>
  <si>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</si>
  <si>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2003-08-28</t>
  </si>
  <si>
    <t xml:space="preserve">2003-08-29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</si>
  <si>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</si>
  <si>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</si>
  <si>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</si>
  <si>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</si>
  <si>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</si>
  <si>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</si>
  <si>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2003-09-11</t>
  </si>
  <si>
    <t xml:space="preserve">2003-09-12</t>
  </si>
  <si>
    <t xml:space="preserve">2003-09-16</t>
  </si>
  <si>
    <t xml:space="preserve">2003-09-17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</si>
  <si>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</si>
  <si>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</si>
  <si>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</si>
  <si>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</si>
  <si>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</si>
  <si>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</si>
  <si>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</si>
  <si>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</si>
  <si>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</si>
  <si>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2003-10-15</t>
  </si>
  <si>
    <t xml:space="preserve">2003-10-17</t>
  </si>
  <si>
    <t xml:space="preserve">2003-10-20</t>
  </si>
  <si>
    <t xml:space="preserve">2003-10-21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</si>
  <si>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</si>
  <si>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</si>
  <si>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</si>
  <si>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</si>
  <si>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</si>
  <si>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</si>
  <si>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</si>
  <si>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</si>
  <si>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</si>
  <si>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</si>
  <si>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</si>
  <si>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</si>
  <si>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</si>
  <si>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</si>
  <si>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2003-11-14</t>
  </si>
  <si>
    <t xml:space="preserve">2003-11-17</t>
  </si>
  <si>
    <t xml:space="preserve">2003-11-19</t>
  </si>
  <si>
    <t xml:space="preserve">2003-11-24</t>
  </si>
  <si>
    <t xml:space="preserve">2003-11-25</t>
  </si>
  <si>
    <t xml:space="preserve">2003-11-26</t>
  </si>
  <si>
    <t xml:space="preserve">2003-11-28</t>
  </si>
  <si>
    <t xml:space="preserve">2003-12-02</t>
  </si>
  <si>
    <t xml:space="preserve">2003-12-04</t>
  </si>
  <si>
    <t xml:space="preserve">2003-12-05</t>
  </si>
  <si>
    <t xml:space="preserve">2003-12-08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</si>
  <si>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</si>
  <si>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</si>
  <si>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</si>
  <si>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</si>
  <si>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</si>
  <si>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</si>
  <si>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</si>
  <si>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</si>
  <si>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</si>
  <si>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</si>
  <si>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</si>
  <si>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2003-12-26</t>
  </si>
  <si>
    <t xml:space="preserve">2003-12-30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</si>
  <si>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</si>
  <si>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</si>
  <si>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</si>
  <si>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</si>
  <si>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</si>
  <si>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</si>
  <si>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</si>
  <si>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</si>
  <si>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</si>
  <si>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</si>
  <si>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</si>
  <si>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</si>
  <si>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</si>
  <si>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</si>
  <si>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</si>
  <si>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</si>
  <si>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</si>
  <si>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</si>
  <si>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</si>
  <si>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2004-02-05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</si>
  <si>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</si>
  <si>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</si>
  <si>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</si>
  <si>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</si>
  <si>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</si>
  <si>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</si>
  <si>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</si>
  <si>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</si>
  <si>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</si>
  <si>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</si>
  <si>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</si>
  <si>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</si>
  <si>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2004-03-02</t>
  </si>
  <si>
    <t xml:space="preserve">2004-03-03</t>
  </si>
  <si>
    <t xml:space="preserve">2004-03-05</t>
  </si>
  <si>
    <t xml:space="preserve">2004-03-10</t>
  </si>
  <si>
    <t xml:space="preserve">2004-03-11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</si>
  <si>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</si>
  <si>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</si>
  <si>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</si>
  <si>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</si>
  <si>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</si>
  <si>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</si>
  <si>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</si>
  <si>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</si>
  <si>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</si>
  <si>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</si>
  <si>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2004-03-30</t>
  </si>
  <si>
    <t xml:space="preserve">2004-03-31</t>
  </si>
  <si>
    <t xml:space="preserve">2004-04-01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</si>
  <si>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</si>
  <si>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</si>
  <si>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</si>
  <si>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</si>
  <si>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2004-04-12</t>
  </si>
  <si>
    <t xml:space="preserve">2004-04-13</t>
  </si>
  <si>
    <t xml:space="preserve">2004-04-14</t>
  </si>
  <si>
    <t xml:space="preserve">2004-04-16</t>
  </si>
  <si>
    <t xml:space="preserve">2004-04-19</t>
  </si>
  <si>
    <t xml:space="preserve">2004-04-20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</si>
  <si>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</si>
  <si>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</si>
  <si>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</si>
  <si>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</si>
  <si>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2004-04-29</t>
  </si>
  <si>
    <t xml:space="preserve">2004-05-04</t>
  </si>
  <si>
    <t xml:space="preserve">2004-05-05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</si>
  <si>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</si>
  <si>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</si>
  <si>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</si>
  <si>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</si>
  <si>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</si>
  <si>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</si>
  <si>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</si>
  <si>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</si>
  <si>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</si>
  <si>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</si>
  <si>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</si>
  <si>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</si>
  <si>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2004-05-26</t>
  </si>
  <si>
    <t xml:space="preserve">2004-05-28</t>
  </si>
  <si>
    <t xml:space="preserve">2004-06-01</t>
  </si>
  <si>
    <t xml:space="preserve">2004-06-02</t>
  </si>
  <si>
    <t xml:space="preserve">2004-06-07</t>
  </si>
  <si>
    <t xml:space="preserve">2004-06-08</t>
  </si>
  <si>
    <t xml:space="preserve">2004-06-14</t>
  </si>
  <si>
    <t xml:space="preserve">2004-06-16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</si>
  <si>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</si>
  <si>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</si>
  <si>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</si>
  <si>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</si>
  <si>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</si>
  <si>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</si>
  <si>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2004-06-29</t>
  </si>
  <si>
    <t xml:space="preserve">2004-07-02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</si>
  <si>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</si>
  <si>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</si>
  <si>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</si>
  <si>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</si>
  <si>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</si>
  <si>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</si>
  <si>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</si>
  <si>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</si>
  <si>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</si>
  <si>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</si>
  <si>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</si>
  <si>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</si>
  <si>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</si>
  <si>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</si>
  <si>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</si>
  <si>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</si>
  <si>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</si>
  <si>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</si>
  <si>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</si>
  <si>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</si>
  <si>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</si>
  <si>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2004-08-09</t>
  </si>
  <si>
    <t xml:space="preserve">2004-08-10</t>
  </si>
  <si>
    <t xml:space="preserve">2004-08-11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</si>
  <si>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</si>
  <si>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</si>
  <si>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</si>
  <si>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</si>
  <si>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</si>
  <si>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</si>
  <si>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</si>
  <si>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</si>
  <si>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</si>
  <si>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</si>
  <si>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</si>
  <si>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</si>
  <si>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</si>
  <si>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</si>
  <si>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</si>
  <si>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</si>
  <si>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</si>
  <si>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</si>
  <si>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</si>
  <si>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</si>
  <si>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</si>
  <si>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</si>
  <si>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</si>
  <si>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</si>
  <si>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</si>
  <si>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</si>
  <si>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</si>
  <si>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</si>
  <si>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</si>
  <si>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</si>
  <si>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</si>
  <si>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</si>
  <si>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2004-10-05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</si>
  <si>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</si>
  <si>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</si>
  <si>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</si>
  <si>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</si>
  <si>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</si>
  <si>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</si>
  <si>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</si>
  <si>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</si>
  <si>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</si>
  <si>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2004-10-22</t>
  </si>
  <si>
    <t xml:space="preserve">2004-10-25</t>
  </si>
  <si>
    <t xml:space="preserve">2004-10-26</t>
  </si>
  <si>
    <t xml:space="preserve">2004-10-29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</si>
  <si>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</si>
  <si>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</si>
  <si>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</si>
  <si>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</si>
  <si>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</si>
  <si>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</si>
  <si>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</si>
  <si>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</si>
  <si>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</si>
  <si>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</si>
  <si>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</si>
  <si>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</si>
  <si>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2004-11-22</t>
  </si>
  <si>
    <t xml:space="preserve">2004-11-23</t>
  </si>
  <si>
    <t xml:space="preserve">2004-11-24</t>
  </si>
  <si>
    <t xml:space="preserve">2004-11-30</t>
  </si>
  <si>
    <t xml:space="preserve">2004-12-02</t>
  </si>
  <si>
    <t xml:space="preserve">2004-12-03</t>
  </si>
  <si>
    <t xml:space="preserve">2004-12-06</t>
  </si>
  <si>
    <t xml:space="preserve">2004-12-08</t>
  </si>
  <si>
    <t xml:space="preserve">2004-12-09</t>
  </si>
  <si>
    <t xml:space="preserve">2004-12-10</t>
  </si>
  <si>
    <t xml:space="preserve">2004-12-14</t>
  </si>
  <si>
    <t xml:space="preserve">2004-12-16</t>
  </si>
  <si>
    <t xml:space="preserve">2004-12-20</t>
  </si>
  <si>
    <t xml:space="preserve">2004-12-21</t>
  </si>
  <si>
    <t xml:space="preserve">2004-12-23</t>
  </si>
  <si>
    <t xml:space="preserve">2004-12-29</t>
  </si>
  <si>
    <t xml:space="preserve">2004-12-31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</si>
  <si>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</si>
  <si>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</si>
  <si>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</si>
  <si>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</si>
  <si>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</si>
  <si>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</si>
  <si>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</si>
  <si>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</si>
  <si>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2005-01-19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</si>
  <si>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</si>
  <si>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</si>
  <si>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</si>
  <si>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</si>
  <si>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</si>
  <si>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2005-01-31</t>
  </si>
  <si>
    <t xml:space="preserve">2005-02-01</t>
  </si>
  <si>
    <t xml:space="preserve">2005-02-03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</si>
  <si>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</si>
  <si>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</si>
  <si>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</si>
  <si>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</si>
  <si>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</si>
  <si>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</si>
  <si>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</si>
  <si>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</si>
  <si>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</si>
  <si>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</si>
  <si>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</si>
  <si>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</si>
  <si>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2005-03-02</t>
  </si>
  <si>
    <t xml:space="preserve">2005-03-03</t>
  </si>
  <si>
    <t xml:space="preserve">2005-03-07</t>
  </si>
  <si>
    <t xml:space="preserve">2005-03-09</t>
  </si>
  <si>
    <t xml:space="preserve">2005-03-10</t>
  </si>
  <si>
    <t xml:space="preserve">2005-03-14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</si>
  <si>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</si>
  <si>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</si>
  <si>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</si>
  <si>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</si>
  <si>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2005-03-23</t>
  </si>
  <si>
    <t xml:space="preserve">2005-03-24</t>
  </si>
  <si>
    <t xml:space="preserve">2005-03-28</t>
  </si>
  <si>
    <t xml:space="preserve">2005-03-29</t>
  </si>
  <si>
    <t xml:space="preserve">2005-03-31</t>
  </si>
  <si>
    <t xml:space="preserve">2005-04-04</t>
  </si>
  <si>
    <t xml:space="preserve">2005-04-06</t>
  </si>
  <si>
    <t xml:space="preserve">2005-04-08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</si>
  <si>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</si>
  <si>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</si>
  <si>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</si>
  <si>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</si>
  <si>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</si>
  <si>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</si>
  <si>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</si>
  <si>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2005-04-27</t>
  </si>
  <si>
    <t xml:space="preserve">2005-05-02</t>
  </si>
  <si>
    <t xml:space="preserve">2005-05-03</t>
  </si>
  <si>
    <t xml:space="preserve">2005-05-04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</si>
  <si>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</si>
  <si>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</si>
  <si>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</si>
  <si>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</si>
  <si>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</si>
  <si>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</si>
  <si>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</si>
  <si>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</si>
  <si>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</si>
  <si>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</si>
  <si>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</si>
  <si>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</si>
  <si>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</si>
  <si>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</si>
  <si>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</si>
  <si>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</si>
  <si>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</si>
  <si>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</si>
  <si>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</si>
  <si>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</si>
  <si>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</si>
  <si>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</si>
  <si>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</si>
  <si>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</si>
  <si>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</si>
  <si>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</si>
  <si>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</si>
  <si>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</si>
  <si>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</si>
  <si>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</si>
  <si>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</si>
  <si>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</si>
  <si>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</si>
  <si>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2005-06-28</t>
  </si>
  <si>
    <t xml:space="preserve">2005-06-29</t>
  </si>
  <si>
    <t xml:space="preserve">2005-07-01</t>
  </si>
  <si>
    <t xml:space="preserve">2005-07-05</t>
  </si>
  <si>
    <t xml:space="preserve">2005-07-06</t>
  </si>
  <si>
    <t xml:space="preserve">2005-07-07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</si>
  <si>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</si>
  <si>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</si>
  <si>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</si>
  <si>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</si>
  <si>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</si>
  <si>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</si>
  <si>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</si>
  <si>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</si>
  <si>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</si>
  <si>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</si>
  <si>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</si>
  <si>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</si>
  <si>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</si>
  <si>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</si>
  <si>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</si>
  <si>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</si>
  <si>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</si>
  <si>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2005-08-05</t>
  </si>
  <si>
    <t xml:space="preserve">2005-08-08</t>
  </si>
  <si>
    <t xml:space="preserve">2005-08-10</t>
  </si>
  <si>
    <t xml:space="preserve">2005-08-11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</si>
  <si>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</si>
  <si>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</si>
  <si>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</si>
  <si>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</si>
  <si>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</si>
  <si>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</si>
  <si>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</si>
  <si>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</si>
  <si>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</si>
  <si>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</si>
  <si>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</si>
  <si>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</si>
  <si>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</si>
  <si>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</si>
  <si>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</si>
  <si>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</si>
  <si>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</si>
  <si>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</si>
  <si>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</si>
  <si>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</si>
  <si>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2005-09-14</t>
  </si>
  <si>
    <t xml:space="preserve">2005-09-15</t>
  </si>
  <si>
    <t xml:space="preserve">2005-09-19</t>
  </si>
  <si>
    <t xml:space="preserve">2005-09-21</t>
  </si>
  <si>
    <t xml:space="preserve">2005-09-22</t>
  </si>
  <si>
    <t xml:space="preserve">2005-09-26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</si>
  <si>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</si>
  <si>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</si>
  <si>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</si>
  <si>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</si>
  <si>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2005-10-05</t>
  </si>
  <si>
    <t xml:space="preserve">2005-10-12</t>
  </si>
  <si>
    <t xml:space="preserve">2005-10-14</t>
  </si>
  <si>
    <t xml:space="preserve">2005-10-17</t>
  </si>
  <si>
    <t xml:space="preserve">2005-10-18</t>
  </si>
  <si>
    <t xml:space="preserve">2005-10-25</t>
  </si>
  <si>
    <t xml:space="preserve">2005-10-26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</si>
  <si>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</si>
  <si>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</si>
  <si>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</si>
  <si>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</si>
  <si>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</si>
  <si>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</si>
  <si>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</si>
  <si>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</si>
  <si>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2005-11-14</t>
  </si>
  <si>
    <t xml:space="preserve">2005-11-15</t>
  </si>
  <si>
    <t xml:space="preserve">2005-11-16</t>
  </si>
  <si>
    <t xml:space="preserve">2005-11-21</t>
  </si>
  <si>
    <t xml:space="preserve">2005-11-22</t>
  </si>
  <si>
    <t xml:space="preserve">2005-11-23</t>
  </si>
  <si>
    <t xml:space="preserve">2005-11-25</t>
  </si>
  <si>
    <t xml:space="preserve">2005-11-28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</si>
  <si>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</si>
  <si>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</si>
  <si>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</si>
  <si>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</si>
  <si>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</si>
  <si>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</si>
  <si>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</si>
  <si>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</si>
  <si>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</si>
  <si>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2005-12-14</t>
  </si>
  <si>
    <t xml:space="preserve">2005-12-15</t>
  </si>
  <si>
    <t xml:space="preserve">2005-12-16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</si>
  <si>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</si>
  <si>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</si>
  <si>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</si>
  <si>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</si>
  <si>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</si>
  <si>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</si>
  <si>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</si>
  <si>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2006-01-04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</si>
  <si>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</si>
  <si>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</si>
  <si>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</si>
  <si>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</si>
  <si>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</si>
  <si>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2006-01-17</t>
  </si>
  <si>
    <t xml:space="preserve">2006-01-18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</si>
  <si>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</si>
  <si>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</si>
  <si>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</si>
  <si>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</si>
  <si>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</si>
  <si>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</si>
  <si>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</si>
  <si>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</si>
  <si>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</si>
  <si>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</si>
  <si>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</si>
  <si>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2006-02-07</t>
  </si>
  <si>
    <t xml:space="preserve">2006-02-08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</si>
  <si>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</si>
  <si>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</si>
  <si>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</si>
  <si>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</si>
  <si>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</si>
  <si>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</si>
  <si>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</si>
  <si>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</si>
  <si>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</si>
  <si>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</si>
  <si>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2006-03-01</t>
  </si>
  <si>
    <t xml:space="preserve">2006-03-02</t>
  </si>
  <si>
    <t xml:space="preserve">2006-03-06</t>
  </si>
  <si>
    <t xml:space="preserve">2006-03-07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</si>
  <si>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</si>
  <si>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</si>
  <si>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</si>
  <si>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</si>
  <si>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</si>
  <si>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</si>
  <si>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</si>
  <si>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</si>
  <si>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</si>
  <si>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</si>
  <si>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</si>
  <si>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</si>
  <si>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2006-03-28</t>
  </si>
  <si>
    <t xml:space="preserve">2006-03-31</t>
  </si>
  <si>
    <t xml:space="preserve">2006-04-03</t>
  </si>
  <si>
    <t xml:space="preserve">2006-04-07</t>
  </si>
  <si>
    <t xml:space="preserve">2006-04-10</t>
  </si>
  <si>
    <t xml:space="preserve">2006-04-11</t>
  </si>
  <si>
    <t xml:space="preserve">2006-04-13</t>
  </si>
  <si>
    <t xml:space="preserve">2006-04-17</t>
  </si>
  <si>
    <t xml:space="preserve">2006-04-19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</si>
  <si>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</si>
  <si>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</si>
  <si>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</si>
  <si>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</si>
  <si>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</si>
  <si>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</si>
  <si>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</si>
  <si>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</si>
  <si>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</si>
  <si>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</si>
  <si>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</si>
  <si>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</si>
  <si>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</si>
  <si>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</si>
  <si>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2006-05-18</t>
  </si>
  <si>
    <t xml:space="preserve">2006-05-22</t>
  </si>
  <si>
    <t xml:space="preserve">2006-05-23</t>
  </si>
  <si>
    <t xml:space="preserve">2006-05-24</t>
  </si>
  <si>
    <t xml:space="preserve">2006-05-26</t>
  </si>
  <si>
    <t xml:space="preserve">2006-05-30</t>
  </si>
  <si>
    <t xml:space="preserve">2006-06-02</t>
  </si>
  <si>
    <t xml:space="preserve">2006-06-05</t>
  </si>
  <si>
    <t xml:space="preserve">2006-06-06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</si>
  <si>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</si>
  <si>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</si>
  <si>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</si>
  <si>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</si>
  <si>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</si>
  <si>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</si>
  <si>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2006-06-22</t>
  </si>
  <si>
    <t xml:space="preserve">2006-06-26</t>
  </si>
  <si>
    <t xml:space="preserve">2006-06-27</t>
  </si>
  <si>
    <t xml:space="preserve">2006-06-28</t>
  </si>
  <si>
    <t xml:space="preserve">2006-06-30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</si>
  <si>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</si>
  <si>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</si>
  <si>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</si>
  <si>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</si>
  <si>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</si>
  <si>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</si>
  <si>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</si>
  <si>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</si>
  <si>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</si>
  <si>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</si>
  <si>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2006-07-24</t>
  </si>
  <si>
    <t xml:space="preserve">2006-07-26</t>
  </si>
  <si>
    <t xml:space="preserve">2006-07-27</t>
  </si>
  <si>
    <t xml:space="preserve">2006-07-28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</si>
  <si>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</si>
  <si>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</si>
  <si>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</si>
  <si>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</si>
  <si>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</si>
  <si>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</si>
  <si>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</si>
  <si>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</si>
  <si>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</si>
  <si>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</si>
  <si>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</si>
  <si>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</si>
  <si>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</si>
  <si>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</si>
  <si>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</si>
  <si>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</si>
  <si>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</si>
  <si>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</si>
  <si>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2006-08-29</t>
  </si>
  <si>
    <t xml:space="preserve">2006-08-31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</si>
  <si>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</si>
  <si>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</si>
  <si>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</si>
  <si>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</si>
  <si>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</si>
  <si>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</si>
  <si>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2006-09-14</t>
  </si>
  <si>
    <t xml:space="preserve">2006-09-15</t>
  </si>
  <si>
    <t xml:space="preserve">2006-09-18</t>
  </si>
  <si>
    <t xml:space="preserve">2006-09-21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</si>
  <si>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</si>
  <si>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</si>
  <si>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</si>
  <si>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</si>
  <si>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</si>
  <si>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</si>
  <si>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2006-10-05</t>
  </si>
  <si>
    <t xml:space="preserve">2006-10-06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</si>
  <si>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</si>
  <si>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</si>
  <si>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</si>
  <si>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</si>
  <si>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</si>
  <si>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</si>
  <si>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</si>
  <si>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</si>
  <si>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2006-10-23</t>
  </si>
  <si>
    <t xml:space="preserve">2006-10-24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</si>
  <si>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</si>
  <si>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</si>
  <si>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</si>
  <si>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</si>
  <si>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2006-11-03</t>
  </si>
  <si>
    <t xml:space="preserve">2006-11-06</t>
  </si>
  <si>
    <t xml:space="preserve">2006-11-07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</si>
  <si>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</si>
  <si>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</si>
  <si>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</si>
  <si>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</si>
  <si>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</si>
  <si>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</si>
  <si>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2006-11-24</t>
  </si>
  <si>
    <t xml:space="preserve">2006-11-27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</si>
  <si>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</si>
  <si>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</si>
  <si>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</si>
  <si>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</si>
  <si>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</si>
  <si>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</si>
  <si>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</si>
  <si>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</si>
  <si>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</si>
  <si>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</si>
  <si>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</si>
  <si>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</si>
  <si>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</si>
  <si>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</si>
  <si>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</si>
  <si>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2006-12-22</t>
  </si>
  <si>
    <t xml:space="preserve">2006-12-26</t>
  </si>
  <si>
    <t xml:space="preserve">2006-12-27</t>
  </si>
  <si>
    <t xml:space="preserve">2006-12-28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</si>
  <si>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</si>
  <si>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</si>
  <si>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</si>
  <si>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</si>
  <si>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</si>
  <si>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</si>
  <si>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2007-01-16</t>
  </si>
  <si>
    <t xml:space="preserve">2007-01-17</t>
  </si>
  <si>
    <t xml:space="preserve">2007-01-19</t>
  </si>
  <si>
    <t xml:space="preserve">2007-01-23</t>
  </si>
  <si>
    <t xml:space="preserve">2007-01-24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</si>
  <si>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</si>
  <si>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</si>
  <si>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</si>
  <si>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</si>
  <si>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</si>
  <si>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</si>
  <si>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</si>
  <si>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</si>
  <si>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</si>
  <si>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</si>
  <si>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2007-02-12</t>
  </si>
  <si>
    <t xml:space="preserve">2007-02-14</t>
  </si>
  <si>
    <t xml:space="preserve">2007-02-15</t>
  </si>
  <si>
    <t xml:space="preserve">2007-02-16</t>
  </si>
  <si>
    <t xml:space="preserve">2007-02-22</t>
  </si>
  <si>
    <t xml:space="preserve">2007-02-23</t>
  </si>
  <si>
    <t xml:space="preserve">2007-02-26</t>
  </si>
  <si>
    <t xml:space="preserve">2007-03-01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</si>
  <si>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</si>
  <si>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</si>
  <si>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</si>
  <si>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</si>
  <si>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</si>
  <si>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2007-03-14</t>
  </si>
  <si>
    <t xml:space="preserve">2007-03-15</t>
  </si>
  <si>
    <t xml:space="preserve">2007-03-19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</si>
  <si>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</si>
  <si>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</si>
  <si>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</si>
  <si>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</si>
  <si>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</si>
  <si>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2007-03-29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</si>
  <si>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</si>
  <si>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</si>
  <si>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</si>
  <si>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</si>
  <si>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</si>
  <si>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</si>
  <si>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</si>
  <si>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</si>
  <si>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</si>
  <si>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</si>
  <si>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</si>
  <si>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</si>
  <si>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</si>
  <si>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</si>
  <si>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</si>
  <si>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</si>
  <si>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</si>
  <si>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</si>
  <si>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</si>
  <si>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</si>
  <si>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</si>
  <si>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</si>
  <si>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</si>
  <si>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</si>
  <si>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</si>
  <si>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</si>
  <si>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</si>
  <si>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2007-05-11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</si>
  <si>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</si>
  <si>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</si>
  <si>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</si>
  <si>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</si>
  <si>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</si>
  <si>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</si>
  <si>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</si>
  <si>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</si>
  <si>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2007-06-05</t>
  </si>
  <si>
    <t xml:space="preserve">2007-06-06</t>
  </si>
  <si>
    <t xml:space="preserve">2007-06-07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</si>
  <si>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</si>
  <si>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</si>
  <si>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</si>
  <si>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</si>
  <si>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2007-06-18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</si>
  <si>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</si>
  <si>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</si>
  <si>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</si>
  <si>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</si>
  <si>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2007-06-27</t>
  </si>
  <si>
    <t xml:space="preserve">2007-06-28</t>
  </si>
  <si>
    <t xml:space="preserve">2007-06-29</t>
  </si>
  <si>
    <t xml:space="preserve">2007-07-05</t>
  </si>
  <si>
    <t xml:space="preserve">2007-07-06</t>
  </si>
  <si>
    <t xml:space="preserve">2007-07-09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</si>
  <si>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</si>
  <si>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</si>
  <si>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</si>
  <si>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</si>
  <si>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</si>
  <si>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</si>
  <si>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</si>
  <si>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2007-07-23</t>
  </si>
  <si>
    <t xml:space="preserve">2007-07-25</t>
  </si>
  <si>
    <t xml:space="preserve">2007-07-26</t>
  </si>
  <si>
    <t xml:space="preserve">2007-07-30</t>
  </si>
  <si>
    <t xml:space="preserve">2007-08-01</t>
  </si>
  <si>
    <t xml:space="preserve">2007-08-02</t>
  </si>
  <si>
    <t xml:space="preserve">2007-08-06</t>
  </si>
  <si>
    <t xml:space="preserve">2007-08-07</t>
  </si>
  <si>
    <t xml:space="preserve">2007-08-10</t>
  </si>
  <si>
    <t xml:space="preserve">2007-08-13</t>
  </si>
  <si>
    <t xml:space="preserve">2007-08-14</t>
  </si>
  <si>
    <t xml:space="preserve">2007-08-16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</si>
  <si>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</si>
  <si>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</si>
  <si>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</si>
  <si>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</si>
  <si>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</si>
  <si>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</si>
  <si>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2007-08-30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</si>
  <si>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</si>
  <si>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</si>
  <si>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</si>
  <si>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</si>
  <si>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</si>
  <si>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2007-09-13</t>
  </si>
  <si>
    <t xml:space="preserve">2007-09-14</t>
  </si>
  <si>
    <t xml:space="preserve">2007-09-17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</si>
  <si>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</si>
  <si>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</si>
  <si>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</si>
  <si>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</si>
  <si>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</si>
  <si>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</si>
  <si>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</si>
  <si>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</si>
  <si>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</si>
  <si>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</si>
  <si>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</si>
  <si>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</si>
  <si>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</si>
  <si>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</si>
  <si>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</si>
  <si>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</si>
  <si>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</si>
  <si>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</si>
  <si>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2007-10-18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</si>
  <si>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</si>
  <si>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</si>
  <si>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</si>
  <si>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</si>
  <si>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</si>
  <si>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2007-10-30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</si>
  <si>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</si>
  <si>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</si>
  <si>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</si>
  <si>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</si>
  <si>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2007-11-08</t>
  </si>
  <si>
    <t xml:space="preserve">2007-11-12</t>
  </si>
  <si>
    <t xml:space="preserve">2007-11-14</t>
  </si>
  <si>
    <t xml:space="preserve">2007-11-15</t>
  </si>
  <si>
    <t xml:space="preserve">2007-11-19</t>
  </si>
  <si>
    <t xml:space="preserve">2007-11-20</t>
  </si>
  <si>
    <t xml:space="preserve">2007-11-27</t>
  </si>
  <si>
    <t xml:space="preserve">2007-11-29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</si>
  <si>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</si>
  <si>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</si>
  <si>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</si>
  <si>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</si>
  <si>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</si>
  <si>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2007-12-12</t>
  </si>
  <si>
    <t xml:space="preserve">2007-12-13</t>
  </si>
  <si>
    <t xml:space="preserve">2007-12-14</t>
  </si>
  <si>
    <t xml:space="preserve">2007-12-18</t>
  </si>
  <si>
    <t xml:space="preserve">2007-12-19</t>
  </si>
  <si>
    <t xml:space="preserve">2007-12-21</t>
  </si>
  <si>
    <t xml:space="preserve">2007-12-24</t>
  </si>
  <si>
    <t xml:space="preserve">2007-12-28</t>
  </si>
  <si>
    <t xml:space="preserve">2008-01-03</t>
  </si>
  <si>
    <t xml:space="preserve">2008-01-04</t>
  </si>
  <si>
    <t xml:space="preserve">2008-01-07</t>
  </si>
  <si>
    <t xml:space="preserve">2008-01-09</t>
  </si>
  <si>
    <t xml:space="preserve">2008-01-10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</si>
  <si>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</si>
  <si>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</si>
  <si>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</si>
  <si>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</si>
  <si>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</si>
  <si>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</si>
  <si>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</si>
  <si>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</si>
  <si>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</si>
  <si>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</si>
  <si>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2008-02-01</t>
  </si>
  <si>
    <t xml:space="preserve">2008-02-04</t>
  </si>
  <si>
    <t xml:space="preserve">2008-02-05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</si>
  <si>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</si>
  <si>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</si>
  <si>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</si>
  <si>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</si>
  <si>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</si>
  <si>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</si>
  <si>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</si>
  <si>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</si>
  <si>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</si>
  <si>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</si>
  <si>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</si>
  <si>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</si>
  <si>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</si>
  <si>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</si>
  <si>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</si>
  <si>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</si>
  <si>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</si>
  <si>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</si>
  <si>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</si>
  <si>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</si>
  <si>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</si>
  <si>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2008-03-18</t>
  </si>
  <si>
    <t xml:space="preserve">2008-03-19</t>
  </si>
  <si>
    <t xml:space="preserve">2008-03-20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</si>
  <si>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</si>
  <si>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</si>
  <si>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</si>
  <si>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</si>
  <si>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</si>
  <si>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</si>
  <si>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</si>
  <si>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</si>
  <si>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</si>
  <si>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</si>
  <si>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</si>
  <si>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</si>
  <si>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</si>
  <si>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</si>
  <si>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</si>
  <si>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</si>
  <si>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</si>
  <si>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</si>
  <si>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</si>
  <si>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</si>
  <si>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</si>
  <si>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</si>
  <si>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</si>
  <si>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</si>
  <si>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</si>
  <si>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</si>
  <si>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</si>
  <si>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</si>
  <si>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</si>
  <si>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</si>
  <si>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</si>
  <si>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</si>
  <si>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2008-05-13</t>
  </si>
  <si>
    <t xml:space="preserve">2008-05-14</t>
  </si>
  <si>
    <t xml:space="preserve">2008-05-16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</si>
  <si>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</si>
  <si>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</si>
  <si>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</si>
  <si>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</si>
  <si>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2008-05-27</t>
  </si>
  <si>
    <t xml:space="preserve">2008-05-28</t>
  </si>
  <si>
    <t xml:space="preserve">2008-05-29</t>
  </si>
  <si>
    <t xml:space="preserve">2008-06-03</t>
  </si>
  <si>
    <t xml:space="preserve">2008-06-04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</si>
  <si>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</si>
  <si>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</si>
  <si>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</si>
  <si>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</si>
  <si>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</si>
  <si>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</si>
  <si>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</si>
  <si>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</si>
  <si>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</si>
  <si>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</si>
  <si>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</si>
  <si>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</si>
  <si>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</si>
  <si>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</si>
  <si>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</si>
  <si>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</si>
  <si>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</si>
  <si>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</si>
  <si>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</si>
  <si>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</si>
  <si>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</si>
  <si>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</si>
  <si>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</si>
  <si>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</si>
  <si>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</si>
  <si>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</si>
  <si>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</si>
  <si>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</si>
  <si>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</si>
  <si>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</si>
  <si>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</si>
  <si>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</si>
  <si>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</si>
  <si>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</si>
  <si>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</si>
  <si>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</si>
  <si>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</si>
  <si>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</si>
  <si>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</si>
  <si>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</si>
  <si>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</si>
  <si>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2008-08-13</t>
  </si>
  <si>
    <t xml:space="preserve">2008-08-15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</si>
  <si>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</si>
  <si>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</si>
  <si>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</si>
  <si>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</si>
  <si>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</si>
  <si>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</si>
  <si>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</si>
  <si>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</si>
  <si>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</si>
  <si>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</si>
  <si>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</si>
  <si>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</si>
  <si>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</si>
  <si>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</si>
  <si>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</si>
  <si>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</si>
  <si>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</si>
  <si>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</si>
  <si>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</si>
  <si>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</si>
  <si>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</si>
  <si>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</si>
  <si>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</si>
  <si>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</si>
  <si>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</si>
  <si>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</si>
  <si>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2008-09-26</t>
  </si>
  <si>
    <t xml:space="preserve">2008-09-30</t>
  </si>
  <si>
    <t xml:space="preserve">2008-10-01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</si>
  <si>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</si>
  <si>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</si>
  <si>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</si>
  <si>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</si>
  <si>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</si>
  <si>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</si>
  <si>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</si>
  <si>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</si>
  <si>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</si>
  <si>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2008-10-20</t>
  </si>
  <si>
    <t xml:space="preserve">2008-10-21</t>
  </si>
  <si>
    <t xml:space="preserve">2008-10-28</t>
  </si>
  <si>
    <t xml:space="preserve">2008-10-29</t>
  </si>
  <si>
    <t xml:space="preserve">2008-10-30</t>
  </si>
  <si>
    <t xml:space="preserve">2008-11-03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</si>
  <si>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</si>
  <si>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</si>
  <si>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</si>
  <si>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</si>
  <si>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</si>
  <si>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2008-11-13</t>
  </si>
  <si>
    <t xml:space="preserve">2008-11-14</t>
  </si>
  <si>
    <t xml:space="preserve">2008-11-18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</si>
  <si>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</si>
  <si>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</si>
  <si>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</si>
  <si>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</si>
  <si>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</si>
  <si>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</si>
  <si>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</si>
  <si>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</si>
  <si>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</si>
  <si>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</si>
  <si>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</si>
  <si>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</si>
  <si>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</si>
  <si>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</si>
  <si>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</si>
  <si>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</si>
  <si>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</si>
  <si>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</si>
  <si>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</si>
  <si>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</si>
  <si>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</si>
  <si>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</si>
  <si>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</si>
  <si>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</si>
  <si>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</si>
  <si>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2009-01-02</t>
  </si>
  <si>
    <t xml:space="preserve">2009-01-05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</si>
  <si>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</si>
  <si>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</si>
  <si>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</si>
  <si>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</si>
  <si>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</si>
  <si>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</si>
  <si>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</si>
  <si>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</si>
  <si>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</si>
  <si>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</si>
  <si>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</si>
  <si>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</si>
  <si>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</si>
  <si>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</si>
  <si>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</si>
  <si>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</si>
  <si>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</si>
  <si>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</si>
  <si>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</si>
  <si>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</si>
  <si>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</si>
  <si>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</si>
  <si>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</si>
  <si>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</si>
  <si>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</si>
  <si>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</si>
  <si>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</si>
  <si>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</si>
  <si>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</si>
  <si>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</si>
  <si>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</si>
  <si>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</si>
  <si>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</si>
  <si>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</si>
  <si>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</si>
  <si>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</si>
  <si>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</si>
  <si>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</si>
  <si>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</si>
  <si>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2009-03-06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</si>
  <si>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</si>
  <si>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</si>
  <si>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</si>
  <si>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</si>
  <si>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</si>
  <si>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</si>
  <si>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</si>
  <si>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</si>
  <si>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</si>
  <si>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</si>
  <si>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</si>
  <si>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</si>
  <si>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</si>
  <si>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</si>
  <si>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</si>
  <si>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</si>
  <si>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</si>
  <si>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</si>
  <si>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</si>
  <si>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</si>
  <si>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</si>
  <si>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</si>
  <si>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</si>
  <si>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</si>
  <si>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</si>
  <si>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</si>
  <si>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</si>
  <si>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</si>
  <si>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</si>
  <si>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</si>
  <si>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</si>
  <si>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</si>
  <si>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</si>
  <si>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</si>
  <si>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</si>
  <si>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</si>
  <si>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2009-05-05</t>
  </si>
  <si>
    <t xml:space="preserve">2009-05-06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</si>
  <si>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</si>
  <si>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</si>
  <si>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</si>
  <si>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</si>
  <si>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</si>
  <si>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</si>
  <si>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2009-05-19</t>
  </si>
  <si>
    <t xml:space="preserve">2009-05-20</t>
  </si>
  <si>
    <t xml:space="preserve">2009-05-22</t>
  </si>
  <si>
    <t xml:space="preserve">2009-05-27</t>
  </si>
  <si>
    <t xml:space="preserve">2009-05-28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</si>
  <si>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</si>
  <si>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</si>
  <si>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</si>
  <si>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</si>
  <si>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</si>
  <si>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</si>
  <si>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</si>
  <si>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</si>
  <si>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</si>
  <si>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</si>
  <si>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</si>
  <si>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</si>
  <si>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</si>
  <si>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</si>
  <si>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</si>
  <si>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</si>
  <si>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</si>
  <si>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</si>
  <si>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</si>
  <si>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</si>
  <si>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</si>
  <si>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</si>
  <si>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</si>
  <si>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</si>
  <si>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</si>
  <si>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</si>
  <si>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</si>
  <si>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</si>
  <si>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</si>
  <si>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</si>
  <si>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</si>
  <si>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</si>
  <si>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</si>
  <si>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</si>
  <si>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</si>
  <si>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</si>
  <si>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</si>
  <si>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</si>
  <si>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</si>
  <si>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</si>
  <si>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</si>
  <si>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</si>
  <si>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</si>
  <si>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</si>
  <si>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</si>
  <si>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</si>
  <si>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</si>
  <si>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</si>
  <si>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</si>
  <si>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</si>
  <si>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</si>
  <si>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</si>
  <si>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</si>
  <si>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</si>
  <si>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2009-08-24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</si>
  <si>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</si>
  <si>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</si>
  <si>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</si>
  <si>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</si>
  <si>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</si>
  <si>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</si>
  <si>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</si>
  <si>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</si>
  <si>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</si>
  <si>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</si>
  <si>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</si>
  <si>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</si>
  <si>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</si>
  <si>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</si>
  <si>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</si>
  <si>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</si>
  <si>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</si>
  <si>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</si>
  <si>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2009-09-29</t>
  </si>
  <si>
    <t xml:space="preserve">2009-09-30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</si>
  <si>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</si>
  <si>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</si>
  <si>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</si>
  <si>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</si>
  <si>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</si>
  <si>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</si>
  <si>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</si>
  <si>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</si>
  <si>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2009-10-16</t>
  </si>
  <si>
    <t xml:space="preserve">2009-10-20</t>
  </si>
  <si>
    <t xml:space="preserve">2009-10-22</t>
  </si>
  <si>
    <t xml:space="preserve">2009-10-23</t>
  </si>
  <si>
    <t xml:space="preserve">2009-10-28</t>
  </si>
  <si>
    <t xml:space="preserve">2009-11-02</t>
  </si>
  <si>
    <t xml:space="preserve">2009-11-03</t>
  </si>
  <si>
    <t xml:space="preserve">2009-11-04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</si>
  <si>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</si>
  <si>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</si>
  <si>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</si>
  <si>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</si>
  <si>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</si>
  <si>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</si>
  <si>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</si>
  <si>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</si>
  <si>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</si>
  <si>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2009-11-25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</si>
  <si>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</si>
  <si>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</si>
  <si>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</si>
  <si>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</si>
  <si>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</si>
  <si>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</si>
  <si>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</si>
  <si>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</si>
  <si>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</si>
  <si>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</si>
  <si>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</si>
  <si>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</si>
  <si>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</si>
  <si>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</si>
  <si>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</si>
  <si>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2009-12-23</t>
  </si>
  <si>
    <t xml:space="preserve">2009-12-24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</si>
  <si>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</si>
  <si>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</si>
  <si>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</si>
  <si>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</si>
  <si>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</si>
  <si>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</si>
  <si>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</si>
  <si>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</si>
  <si>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</si>
  <si>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</si>
  <si>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</si>
  <si>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</si>
  <si>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</si>
  <si>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2010-01-20</t>
  </si>
  <si>
    <t xml:space="preserve">2010-01-25</t>
  </si>
  <si>
    <t xml:space="preserve">2010-01-26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</si>
  <si>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</si>
  <si>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</si>
  <si>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</si>
  <si>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</si>
  <si>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2010-02-08</t>
  </si>
  <si>
    <t xml:space="preserve">2010-02-10</t>
  </si>
  <si>
    <t xml:space="preserve">2010-02-11</t>
  </si>
  <si>
    <t xml:space="preserve">2010-02-12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</si>
  <si>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</si>
  <si>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</si>
  <si>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</si>
  <si>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</si>
  <si>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</si>
  <si>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</si>
  <si>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</si>
  <si>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</si>
  <si>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</si>
  <si>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</si>
  <si>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</si>
  <si>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</si>
  <si>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</si>
  <si>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</si>
  <si>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</si>
  <si>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</si>
  <si>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</si>
  <si>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</si>
  <si>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</si>
  <si>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</si>
  <si>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</si>
  <si>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</si>
  <si>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</si>
  <si>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</si>
  <si>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</si>
  <si>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</si>
  <si>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</si>
  <si>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</si>
  <si>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</si>
  <si>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</si>
  <si>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</si>
  <si>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</si>
  <si>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</si>
  <si>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</si>
  <si>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</si>
  <si>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</si>
  <si>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</si>
  <si>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</si>
  <si>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</si>
  <si>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</si>
  <si>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</si>
  <si>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</si>
  <si>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</si>
  <si>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</si>
  <si>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2010-04-26</t>
  </si>
  <si>
    <t xml:space="preserve">2010-04-28</t>
  </si>
  <si>
    <t xml:space="preserve">2010-04-29</t>
  </si>
  <si>
    <t xml:space="preserve">2010-05-03</t>
  </si>
  <si>
    <t xml:space="preserve">2010-05-04</t>
  </si>
  <si>
    <t xml:space="preserve">2010-05-05</t>
  </si>
  <si>
    <t xml:space="preserve">2010-05-07</t>
  </si>
  <si>
    <t xml:space="preserve">2010-05-13</t>
  </si>
  <si>
    <t xml:space="preserve">2010-05-17</t>
  </si>
  <si>
    <t xml:space="preserve">2010-05-18</t>
  </si>
  <si>
    <t xml:space="preserve">2010-05-19</t>
  </si>
  <si>
    <t xml:space="preserve">2010-05-25</t>
  </si>
  <si>
    <t xml:space="preserve">2010-05-26</t>
  </si>
  <si>
    <t xml:space="preserve">2010-05-28</t>
  </si>
  <si>
    <t xml:space="preserve">2010-06-03</t>
  </si>
  <si>
    <t xml:space="preserve">2010-06-10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</si>
  <si>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</si>
  <si>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</si>
  <si>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</si>
  <si>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</si>
  <si>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</si>
  <si>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</si>
  <si>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</si>
  <si>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</si>
  <si>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2010-06-25</t>
  </si>
  <si>
    <t xml:space="preserve">2010-06-28</t>
  </si>
  <si>
    <t xml:space="preserve">2010-07-01</t>
  </si>
  <si>
    <t xml:space="preserve">2010-07-06</t>
  </si>
  <si>
    <t xml:space="preserve">2010-07-07</t>
  </si>
  <si>
    <t xml:space="preserve">2010-07-08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</si>
  <si>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</si>
  <si>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</si>
  <si>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</si>
  <si>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</si>
  <si>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</si>
  <si>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</si>
  <si>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</si>
  <si>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</si>
  <si>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</si>
  <si>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2010-07-26</t>
  </si>
  <si>
    <t xml:space="preserve">2010-07-27</t>
  </si>
  <si>
    <t xml:space="preserve">2010-07-28</t>
  </si>
  <si>
    <t xml:space="preserve">2010-07-30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</si>
  <si>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</si>
  <si>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</si>
  <si>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</si>
  <si>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</si>
  <si>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</si>
  <si>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</si>
  <si>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</si>
  <si>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</si>
  <si>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</si>
  <si>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</si>
  <si>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</si>
  <si>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</si>
  <si>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</si>
  <si>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</si>
  <si>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</si>
  <si>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</si>
  <si>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</si>
  <si>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</si>
  <si>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</si>
  <si>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2010-09-01</t>
  </si>
  <si>
    <t xml:space="preserve">2010-09-03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</si>
  <si>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</si>
  <si>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</si>
  <si>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</si>
  <si>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</si>
  <si>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2010-09-14</t>
  </si>
  <si>
    <t xml:space="preserve">2010-09-15</t>
  </si>
  <si>
    <t xml:space="preserve">2010-09-16</t>
  </si>
  <si>
    <t xml:space="preserve">2010-09-20</t>
  </si>
  <si>
    <t xml:space="preserve">2010-09-21</t>
  </si>
  <si>
    <t xml:space="preserve">2010-09-23</t>
  </si>
  <si>
    <t xml:space="preserve">2010-09-24</t>
  </si>
  <si>
    <t xml:space="preserve">2010-09-28</t>
  </si>
  <si>
    <t xml:space="preserve">2010-09-30</t>
  </si>
  <si>
    <t xml:space="preserve">2010-10-01</t>
  </si>
  <si>
    <t xml:space="preserve">2010-10-04</t>
  </si>
  <si>
    <t xml:space="preserve">2010-10-06</t>
  </si>
  <si>
    <t xml:space="preserve">2010-10-07</t>
  </si>
  <si>
    <t xml:space="preserve">2010-10-13</t>
  </si>
  <si>
    <t xml:space="preserve">2010-10-14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</si>
  <si>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</si>
  <si>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</si>
  <si>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</si>
  <si>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</si>
  <si>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</si>
  <si>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</si>
  <si>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</si>
  <si>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</si>
  <si>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</si>
  <si>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</si>
  <si>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</si>
  <si>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</si>
  <si>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</si>
  <si>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</si>
  <si>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</si>
  <si>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</si>
  <si>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</si>
  <si>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</si>
  <si>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</si>
  <si>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</si>
  <si>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2010-11-16</t>
  </si>
  <si>
    <t xml:space="preserve">2010-11-17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</si>
  <si>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</si>
  <si>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</si>
  <si>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</si>
  <si>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</si>
  <si>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2010-11-26</t>
  </si>
  <si>
    <t xml:space="preserve">2010-11-29</t>
  </si>
  <si>
    <t xml:space="preserve">2010-12-01</t>
  </si>
  <si>
    <t xml:space="preserve">2010-12-02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</si>
  <si>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</si>
  <si>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</si>
  <si>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</si>
  <si>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</si>
  <si>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</si>
  <si>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</si>
  <si>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</si>
  <si>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2010-12-23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</si>
  <si>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</si>
  <si>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</si>
  <si>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</si>
  <si>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</si>
  <si>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</si>
  <si>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</si>
  <si>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</si>
  <si>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</si>
  <si>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</si>
  <si>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</si>
  <si>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</si>
  <si>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</si>
  <si>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</si>
  <si>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</si>
  <si>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</si>
  <si>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</si>
  <si>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</si>
  <si>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</si>
  <si>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</si>
  <si>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</si>
  <si>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</si>
  <si>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</si>
  <si>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</si>
  <si>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</si>
  <si>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</si>
  <si>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</si>
  <si>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2011-02-09</t>
  </si>
  <si>
    <t xml:space="preserve">2011-02-10</t>
  </si>
  <si>
    <t xml:space="preserve">2011-02-15</t>
  </si>
  <si>
    <t xml:space="preserve">2011-02-18</t>
  </si>
  <si>
    <t xml:space="preserve">2011-02-24</t>
  </si>
  <si>
    <t xml:space="preserve">2011-02-25</t>
  </si>
  <si>
    <t xml:space="preserve">2011-02-28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</si>
  <si>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</si>
  <si>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</si>
  <si>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</si>
  <si>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</si>
  <si>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</si>
  <si>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</si>
  <si>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2011-03-14</t>
  </si>
  <si>
    <t xml:space="preserve">2011-03-15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</si>
  <si>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</si>
  <si>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</si>
  <si>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</si>
  <si>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</si>
  <si>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</si>
  <si>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</si>
  <si>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</si>
  <si>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</si>
  <si>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</si>
  <si>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</si>
  <si>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</si>
  <si>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</si>
  <si>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</si>
  <si>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</si>
  <si>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</si>
  <si>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</si>
  <si>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</si>
  <si>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</si>
  <si>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</si>
  <si>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</si>
  <si>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</si>
  <si>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</si>
  <si>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</si>
  <si>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</si>
  <si>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2011-04-25</t>
  </si>
  <si>
    <t xml:space="preserve">2011-04-27</t>
  </si>
  <si>
    <t xml:space="preserve">2011-04-28</t>
  </si>
  <si>
    <t xml:space="preserve">2011-05-02</t>
  </si>
  <si>
    <t xml:space="preserve">2011-05-03</t>
  </si>
  <si>
    <t xml:space="preserve">2011-05-04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</si>
  <si>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</si>
  <si>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</si>
  <si>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</si>
  <si>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</si>
  <si>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</si>
  <si>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2011-05-18</t>
  </si>
  <si>
    <t xml:space="preserve">2011-05-19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</si>
  <si>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</si>
  <si>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</si>
  <si>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</si>
  <si>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</si>
  <si>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</si>
  <si>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</si>
  <si>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</si>
  <si>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</si>
  <si>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</si>
  <si>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</si>
  <si>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</si>
  <si>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2011-06-09</t>
  </si>
  <si>
    <t xml:space="preserve">2011-06-10</t>
  </si>
  <si>
    <t xml:space="preserve">2011-06-13</t>
  </si>
  <si>
    <t xml:space="preserve">2011-06-16</t>
  </si>
  <si>
    <t xml:space="preserve">2011-06-20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</si>
  <si>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</si>
  <si>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</si>
  <si>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</si>
  <si>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</si>
  <si>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</si>
  <si>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2011-06-30</t>
  </si>
  <si>
    <t xml:space="preserve">2011-07-01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</si>
  <si>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</si>
  <si>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</si>
  <si>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</si>
  <si>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</si>
  <si>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</si>
  <si>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</si>
  <si>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</si>
  <si>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</si>
  <si>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</si>
  <si>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</si>
  <si>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</si>
  <si>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</si>
  <si>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</si>
  <si>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</si>
  <si>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</si>
  <si>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</si>
  <si>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</si>
  <si>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2011-08-01</t>
  </si>
  <si>
    <t xml:space="preserve">2011-08-03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</si>
  <si>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</si>
  <si>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</si>
  <si>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</si>
  <si>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</si>
  <si>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</si>
  <si>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2011-08-16</t>
  </si>
  <si>
    <t xml:space="preserve">2011-08-17</t>
  </si>
  <si>
    <t xml:space="preserve">2011-08-18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</si>
  <si>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</si>
  <si>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</si>
  <si>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</si>
  <si>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</si>
  <si>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2011-08-29</t>
  </si>
  <si>
    <t xml:space="preserve">2011-08-30</t>
  </si>
  <si>
    <t xml:space="preserve">2011-09-01</t>
  </si>
  <si>
    <t xml:space="preserve">2011-09-02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</si>
  <si>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</si>
  <si>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</si>
  <si>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</si>
  <si>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</si>
  <si>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</si>
  <si>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</si>
  <si>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</si>
  <si>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</si>
  <si>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</si>
  <si>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</si>
  <si>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</si>
  <si>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</si>
  <si>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</si>
  <si>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</si>
  <si>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</si>
  <si>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</si>
  <si>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</si>
  <si>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</si>
  <si>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</si>
  <si>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</si>
  <si>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</si>
  <si>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</si>
  <si>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</si>
  <si>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</si>
  <si>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</si>
  <si>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</si>
  <si>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</si>
  <si>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</si>
  <si>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2011-10-19</t>
  </si>
  <si>
    <t xml:space="preserve">2011-10-20</t>
  </si>
  <si>
    <t xml:space="preserve">2011-10-28</t>
  </si>
  <si>
    <t xml:space="preserve">2011-11-01</t>
  </si>
  <si>
    <t xml:space="preserve">2011-11-02</t>
  </si>
  <si>
    <t xml:space="preserve">2011-11-08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</si>
  <si>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</si>
  <si>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</si>
  <si>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</si>
  <si>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</si>
  <si>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</si>
  <si>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</si>
  <si>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</si>
  <si>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</si>
  <si>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</si>
  <si>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</si>
  <si>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</si>
  <si>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</si>
  <si>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</si>
  <si>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</si>
  <si>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</si>
  <si>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</si>
  <si>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</si>
  <si>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</si>
  <si>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</si>
  <si>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</si>
  <si>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</si>
  <si>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</si>
  <si>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</si>
  <si>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</si>
  <si>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</si>
  <si>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</si>
  <si>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</si>
  <si>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</si>
  <si>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</si>
  <si>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</si>
  <si>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</si>
  <si>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</si>
  <si>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</si>
  <si>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</si>
  <si>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</si>
  <si>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2012-01-04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</si>
  <si>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</si>
  <si>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</si>
  <si>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</si>
  <si>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</si>
  <si>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</si>
  <si>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</si>
  <si>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</si>
  <si>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</si>
  <si>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</si>
  <si>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</si>
  <si>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</si>
  <si>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</si>
  <si>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</si>
  <si>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</si>
  <si>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</si>
  <si>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</si>
  <si>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</si>
  <si>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</si>
  <si>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</si>
  <si>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</si>
  <si>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</si>
  <si>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</si>
  <si>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</si>
  <si>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</si>
  <si>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</si>
  <si>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</si>
  <si>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</si>
  <si>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</si>
  <si>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</si>
  <si>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2012-02-21</t>
  </si>
  <si>
    <t xml:space="preserve">2012-02-23</t>
  </si>
  <si>
    <t xml:space="preserve">2012-02-28</t>
  </si>
  <si>
    <t xml:space="preserve">2012-03-02</t>
  </si>
  <si>
    <t xml:space="preserve">2012-03-05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</si>
  <si>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</si>
  <si>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</si>
  <si>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</si>
  <si>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</si>
  <si>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</si>
  <si>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</si>
  <si>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</si>
  <si>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</si>
  <si>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</si>
  <si>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</si>
  <si>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</si>
  <si>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</si>
  <si>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</si>
  <si>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</si>
  <si>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</si>
  <si>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</si>
  <si>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</si>
  <si>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</si>
  <si>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</si>
  <si>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</si>
  <si>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</si>
  <si>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</si>
  <si>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</si>
  <si>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</si>
  <si>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</si>
  <si>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</si>
  <si>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</si>
  <si>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</si>
  <si>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</si>
  <si>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</si>
  <si>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</si>
  <si>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</si>
  <si>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</si>
  <si>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</si>
  <si>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</si>
  <si>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</si>
  <si>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2012-05-07</t>
  </si>
  <si>
    <t xml:space="preserve">2012-05-08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</si>
  <si>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</si>
  <si>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</si>
  <si>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</si>
  <si>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</si>
  <si>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</si>
  <si>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</si>
  <si>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</si>
  <si>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</si>
  <si>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</si>
  <si>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</si>
  <si>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</si>
  <si>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</si>
  <si>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2012-05-29</t>
  </si>
  <si>
    <t xml:space="preserve">2012-05-30</t>
  </si>
  <si>
    <t xml:space="preserve">2012-05-31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</si>
  <si>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</si>
  <si>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</si>
  <si>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</si>
  <si>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</si>
  <si>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</si>
  <si>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</si>
  <si>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</si>
  <si>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</si>
  <si>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</si>
  <si>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</si>
  <si>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</si>
  <si>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</si>
  <si>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</si>
  <si>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</si>
  <si>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</si>
  <si>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</si>
  <si>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2012-07-02</t>
  </si>
  <si>
    <t xml:space="preserve">2012-07-05</t>
  </si>
  <si>
    <t xml:space="preserve">2012-07-06</t>
  </si>
  <si>
    <t xml:space="preserve">2012-07-11</t>
  </si>
  <si>
    <t xml:space="preserve">2012-07-12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</si>
  <si>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</si>
  <si>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</si>
  <si>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</si>
  <si>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</si>
  <si>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2012-07-23</t>
  </si>
  <si>
    <t xml:space="preserve">2012-07-24</t>
  </si>
  <si>
    <t xml:space="preserve">2012-07-25</t>
  </si>
  <si>
    <t xml:space="preserve">2012-07-27</t>
  </si>
  <si>
    <t xml:space="preserve">2012-07-30</t>
  </si>
  <si>
    <t xml:space="preserve">2012-07-31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</si>
  <si>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</si>
  <si>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</si>
  <si>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</si>
  <si>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</si>
  <si>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</si>
  <si>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</si>
  <si>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</si>
  <si>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</si>
  <si>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</si>
  <si>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</si>
  <si>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</si>
  <si>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</si>
  <si>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</si>
  <si>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</si>
  <si>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</si>
  <si>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</si>
  <si>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2012-08-30</t>
  </si>
  <si>
    <t xml:space="preserve">2012-08-31</t>
  </si>
  <si>
    <t xml:space="preserve">2012-09-04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</si>
  <si>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</si>
  <si>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</si>
  <si>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</si>
  <si>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</si>
  <si>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</si>
  <si>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</si>
  <si>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</si>
  <si>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</si>
  <si>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</si>
  <si>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</si>
  <si>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</si>
  <si>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</si>
  <si>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</si>
  <si>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</si>
  <si>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</si>
  <si>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</si>
  <si>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</si>
  <si>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</si>
  <si>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</si>
  <si>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</si>
  <si>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</si>
  <si>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</si>
  <si>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</si>
  <si>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</si>
  <si>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</si>
  <si>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</si>
  <si>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</si>
  <si>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2012-10-22</t>
  </si>
  <si>
    <t xml:space="preserve">2012-10-24</t>
  </si>
  <si>
    <t xml:space="preserve">2012-10-25</t>
  </si>
  <si>
    <t xml:space="preserve">2012-10-26</t>
  </si>
  <si>
    <t xml:space="preserve">2012-10-31</t>
  </si>
  <si>
    <t xml:space="preserve">2012-11-01</t>
  </si>
  <si>
    <t xml:space="preserve">2012-11-05</t>
  </si>
  <si>
    <t xml:space="preserve">2012-11-06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</si>
  <si>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</si>
  <si>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</si>
  <si>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</si>
  <si>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</si>
  <si>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</si>
  <si>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</si>
  <si>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</si>
  <si>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</si>
  <si>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</si>
  <si>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</si>
  <si>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2012-11-26</t>
  </si>
  <si>
    <t xml:space="preserve">2012-11-27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</si>
  <si>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</si>
  <si>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</si>
  <si>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</si>
  <si>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</si>
  <si>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2012-12-10</t>
  </si>
  <si>
    <t xml:space="preserve">2012-12-12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</si>
  <si>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</si>
  <si>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</si>
  <si>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</si>
  <si>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</si>
  <si>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</si>
  <si>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2012-12-27</t>
  </si>
  <si>
    <t xml:space="preserve">2012-12-28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</si>
  <si>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</si>
  <si>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</si>
  <si>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</si>
  <si>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</si>
  <si>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</si>
  <si>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</si>
  <si>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</si>
  <si>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</si>
  <si>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</si>
  <si>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</si>
  <si>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</si>
  <si>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2013-01-22</t>
  </si>
  <si>
    <t xml:space="preserve">2013-01-23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</si>
  <si>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</si>
  <si>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</si>
  <si>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</si>
  <si>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</si>
  <si>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</si>
  <si>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2013-02-05</t>
  </si>
  <si>
    <t xml:space="preserve">2013-02-06</t>
  </si>
  <si>
    <t xml:space="preserve">2013-02-07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</si>
  <si>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</si>
  <si>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</si>
  <si>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</si>
  <si>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</si>
  <si>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</si>
  <si>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2013-02-20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</si>
  <si>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</si>
  <si>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</si>
  <si>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</si>
  <si>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</si>
  <si>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</si>
  <si>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</si>
  <si>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</si>
  <si>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2013-03-06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</si>
  <si>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</si>
  <si>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</si>
  <si>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</si>
  <si>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</si>
  <si>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</si>
  <si>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</si>
  <si>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</si>
  <si>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2013-03-20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</si>
  <si>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</si>
  <si>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</si>
  <si>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</si>
  <si>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</si>
  <si>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2013-04-01</t>
  </si>
  <si>
    <t xml:space="preserve">2013-04-02</t>
  </si>
  <si>
    <t xml:space="preserve">2013-04-03</t>
  </si>
  <si>
    <t xml:space="preserve">2013-04-08</t>
  </si>
  <si>
    <t xml:space="preserve">2013-04-09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</si>
  <si>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</si>
  <si>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</si>
  <si>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</si>
  <si>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</si>
  <si>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</si>
  <si>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</si>
  <si>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</si>
  <si>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</si>
  <si>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</si>
  <si>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</si>
  <si>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2013-04-30</t>
  </si>
  <si>
    <t xml:space="preserve">2013-05-01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</si>
  <si>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</si>
  <si>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</si>
  <si>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</si>
  <si>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</si>
  <si>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</si>
  <si>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</si>
  <si>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</si>
  <si>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</si>
  <si>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</si>
  <si>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</si>
  <si>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</si>
  <si>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</si>
  <si>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</si>
  <si>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</si>
  <si>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</si>
  <si>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</si>
  <si>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</si>
  <si>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</si>
  <si>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</si>
  <si>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</si>
  <si>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</si>
  <si>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</si>
  <si>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</si>
  <si>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</si>
  <si>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</si>
  <si>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</si>
  <si>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2013-06-17</t>
  </si>
  <si>
    <t xml:space="preserve">2013-06-18</t>
  </si>
  <si>
    <t xml:space="preserve">2013-06-19</t>
  </si>
  <si>
    <t xml:space="preserve">2013-06-21</t>
  </si>
  <si>
    <t xml:space="preserve">2013-06-24</t>
  </si>
  <si>
    <t xml:space="preserve">2013-06-26</t>
  </si>
  <si>
    <t xml:space="preserve">2013-06-27</t>
  </si>
  <si>
    <t xml:space="preserve">2013-07-01</t>
  </si>
  <si>
    <t xml:space="preserve">2013-07-02</t>
  </si>
  <si>
    <t xml:space="preserve">2013-07-03</t>
  </si>
  <si>
    <t xml:space="preserve">2013-07-05</t>
  </si>
  <si>
    <t xml:space="preserve">2013-07-08</t>
  </si>
  <si>
    <t xml:space="preserve">2013-07-16</t>
  </si>
  <si>
    <t xml:space="preserve">2013-07-19</t>
  </si>
  <si>
    <t xml:space="preserve">2013-07-22</t>
  </si>
  <si>
    <t xml:space="preserve">2013-07-23</t>
  </si>
  <si>
    <t xml:space="preserve">2013-07-25</t>
  </si>
  <si>
    <t xml:space="preserve">2013-07-29</t>
  </si>
  <si>
    <t xml:space="preserve">2013-08-01</t>
  </si>
  <si>
    <t xml:space="preserve">2013-08-02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</si>
  <si>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</si>
  <si>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</si>
  <si>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</si>
  <si>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</si>
  <si>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</si>
  <si>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2013-08-14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</si>
  <si>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</si>
  <si>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</si>
  <si>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</si>
  <si>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</si>
  <si>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</si>
  <si>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</si>
  <si>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</si>
  <si>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</si>
  <si>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</si>
  <si>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</si>
  <si>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</si>
  <si>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</si>
  <si>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</si>
  <si>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</si>
  <si>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</si>
  <si>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</si>
  <si>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</si>
  <si>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</si>
  <si>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</si>
  <si>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</si>
  <si>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</si>
  <si>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</si>
  <si>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</si>
  <si>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</si>
  <si>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</si>
  <si>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</si>
  <si>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</si>
  <si>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</si>
  <si>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</si>
  <si>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</si>
  <si>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</si>
  <si>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</si>
  <si>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</si>
  <si>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</si>
  <si>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</si>
  <si>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</si>
  <si>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</si>
  <si>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</si>
  <si>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</si>
  <si>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</si>
  <si>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</si>
  <si>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</si>
  <si>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</si>
  <si>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</si>
  <si>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</si>
  <si>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</si>
  <si>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</si>
  <si>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</si>
  <si>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</si>
  <si>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</si>
  <si>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</si>
  <si>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</si>
  <si>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</si>
  <si>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</si>
  <si>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</si>
  <si>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</si>
  <si>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</si>
  <si>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</si>
  <si>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</si>
  <si>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</si>
  <si>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</si>
  <si>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</si>
  <si>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2013-12-13</t>
  </si>
  <si>
    <t xml:space="preserve">2013-12-16</t>
  </si>
  <si>
    <t xml:space="preserve">2013-12-17</t>
  </si>
  <si>
    <t xml:space="preserve">2013-12-19</t>
  </si>
  <si>
    <t xml:space="preserve">2013-12-20</t>
  </si>
  <si>
    <t xml:space="preserve">2013-12-23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</si>
  <si>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</si>
  <si>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</si>
  <si>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</si>
  <si>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</si>
  <si>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</si>
  <si>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</si>
  <si>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2014-01-08</t>
  </si>
  <si>
    <t xml:space="preserve">2014-01-09</t>
  </si>
  <si>
    <t xml:space="preserve">2014-01-10</t>
  </si>
  <si>
    <t xml:space="preserve">2014-01-17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</si>
  <si>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</si>
  <si>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</si>
  <si>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</si>
  <si>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</si>
  <si>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</si>
  <si>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2014-02-05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</si>
  <si>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</si>
  <si>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</si>
  <si>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</si>
  <si>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</si>
  <si>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</si>
  <si>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</si>
  <si>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</si>
  <si>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</si>
  <si>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</si>
  <si>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</si>
  <si>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</si>
  <si>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</si>
  <si>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</si>
  <si>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</si>
  <si>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</si>
  <si>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</si>
  <si>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</si>
  <si>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</si>
  <si>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</si>
  <si>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</si>
  <si>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</si>
  <si>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2014-03-18</t>
  </si>
  <si>
    <t xml:space="preserve">2014-03-20</t>
  </si>
  <si>
    <t xml:space="preserve">2014-03-21</t>
  </si>
  <si>
    <t xml:space="preserve">2014-03-24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</si>
  <si>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</si>
  <si>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</si>
  <si>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</si>
  <si>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</si>
  <si>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</si>
  <si>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</si>
  <si>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</si>
  <si>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</si>
  <si>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2014-04-08</t>
  </si>
  <si>
    <t xml:space="preserve">2014-04-11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</si>
  <si>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</si>
  <si>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</si>
  <si>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</si>
  <si>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</si>
  <si>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2014-04-23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</si>
  <si>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</si>
  <si>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</si>
  <si>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</si>
  <si>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</si>
  <si>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</si>
  <si>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</si>
  <si>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2014-05-07</t>
  </si>
  <si>
    <t xml:space="preserve">2014-05-08</t>
  </si>
  <si>
    <t xml:space="preserve">2014-05-09</t>
  </si>
  <si>
    <t xml:space="preserve">2014-05-13</t>
  </si>
  <si>
    <t xml:space="preserve">2014-05-14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</si>
  <si>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</si>
  <si>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</si>
  <si>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</si>
  <si>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</si>
  <si>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2014-05-23</t>
  </si>
  <si>
    <t xml:space="preserve">2014-05-28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</si>
  <si>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</si>
  <si>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</si>
  <si>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</si>
  <si>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</si>
  <si>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</si>
  <si>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</si>
  <si>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</si>
  <si>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</si>
  <si>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</si>
  <si>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</si>
  <si>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</si>
  <si>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</si>
  <si>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</si>
  <si>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</si>
  <si>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</si>
  <si>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</si>
  <si>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</si>
  <si>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</si>
  <si>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</si>
  <si>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</si>
  <si>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</si>
  <si>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</si>
  <si>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</si>
  <si>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2014-07-07</t>
  </si>
  <si>
    <t xml:space="preserve">2014-07-09</t>
  </si>
  <si>
    <t xml:space="preserve">2014-07-10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</si>
  <si>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</si>
  <si>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</si>
  <si>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</si>
  <si>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</si>
  <si>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</si>
  <si>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</si>
  <si>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</si>
  <si>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</si>
  <si>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</si>
  <si>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</si>
  <si>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</si>
  <si>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</si>
  <si>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2014-08-04</t>
  </si>
  <si>
    <t xml:space="preserve">2014-08-05</t>
  </si>
  <si>
    <t xml:space="preserve">2014-08-06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</si>
  <si>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</si>
  <si>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</si>
  <si>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</si>
  <si>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</si>
  <si>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</si>
  <si>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</si>
  <si>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2014-08-20</t>
  </si>
  <si>
    <t xml:space="preserve">2014-08-27</t>
  </si>
  <si>
    <t xml:space="preserve">2014-08-28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</si>
  <si>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</si>
  <si>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</si>
  <si>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</si>
  <si>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</si>
  <si>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</si>
  <si>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2014-09-10</t>
  </si>
  <si>
    <t xml:space="preserve">2014-09-11</t>
  </si>
  <si>
    <t xml:space="preserve">2014-09-16</t>
  </si>
  <si>
    <t xml:space="preserve">2014-09-17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</si>
  <si>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</si>
  <si>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</si>
  <si>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</si>
  <si>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</si>
  <si>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</si>
  <si>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</si>
  <si>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</si>
  <si>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</si>
  <si>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</si>
  <si>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2014-10-06</t>
  </si>
  <si>
    <t xml:space="preserve">2014-10-08</t>
  </si>
  <si>
    <t xml:space="preserve">2014-10-09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</si>
  <si>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</si>
  <si>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</si>
  <si>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</si>
  <si>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</si>
  <si>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</si>
  <si>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</si>
  <si>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</si>
  <si>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</si>
  <si>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</si>
  <si>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</si>
  <si>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</si>
  <si>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</si>
  <si>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</si>
  <si>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</si>
  <si>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</si>
  <si>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</si>
  <si>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</si>
  <si>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</si>
  <si>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</si>
  <si>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</si>
  <si>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</si>
  <si>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</si>
  <si>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</si>
  <si>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</si>
  <si>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</si>
  <si>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</si>
  <si>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</si>
  <si>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</si>
  <si>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</si>
  <si>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</si>
  <si>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</si>
  <si>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2014-12-11</t>
  </si>
  <si>
    <t xml:space="preserve">2014-12-15</t>
  </si>
  <si>
    <t xml:space="preserve">2014-12-16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</si>
  <si>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</si>
  <si>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</si>
  <si>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</si>
  <si>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</si>
  <si>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</si>
  <si>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2014-12-31</t>
  </si>
  <si>
    <t xml:space="preserve">2015-01-02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</si>
  <si>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</si>
  <si>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</si>
  <si>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</si>
  <si>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</si>
  <si>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</si>
  <si>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</si>
  <si>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</si>
  <si>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</si>
  <si>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</si>
  <si>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</si>
  <si>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</si>
  <si>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</si>
  <si>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2015-01-28</t>
  </si>
  <si>
    <t xml:space="preserve">2015-01-29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</si>
  <si>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</si>
  <si>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</si>
  <si>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</si>
  <si>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</si>
  <si>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</si>
  <si>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</si>
  <si>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</si>
  <si>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</si>
  <si>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2015-02-13</t>
  </si>
  <si>
    <t xml:space="preserve">2015-02-17</t>
  </si>
  <si>
    <t xml:space="preserve">2015-02-18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</si>
  <si>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</si>
  <si>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</si>
  <si>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</si>
  <si>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</si>
  <si>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</si>
  <si>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2015-03-02</t>
  </si>
  <si>
    <t xml:space="preserve">2015-03-04</t>
  </si>
  <si>
    <t xml:space="preserve">2015-03-05</t>
  </si>
  <si>
    <t xml:space="preserve">2015-03-06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</si>
  <si>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</si>
  <si>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</si>
  <si>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</si>
  <si>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</si>
  <si>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</si>
  <si>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2015-03-19</t>
  </si>
  <si>
    <t xml:space="preserve">2015-03-23</t>
  </si>
  <si>
    <t xml:space="preserve">2015-03-24</t>
  </si>
  <si>
    <t xml:space="preserve">2015-03-26</t>
  </si>
  <si>
    <t xml:space="preserve">2015-03-30</t>
  </si>
  <si>
    <t xml:space="preserve">2015-03-31</t>
  </si>
  <si>
    <t xml:space="preserve">2015-04-01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</si>
  <si>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</si>
  <si>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</si>
  <si>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</si>
  <si>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</si>
  <si>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</si>
  <si>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</si>
  <si>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2015-04-15</t>
  </si>
  <si>
    <t xml:space="preserve">2015-04-16</t>
  </si>
  <si>
    <t xml:space="preserve">2015-04-20</t>
  </si>
  <si>
    <t xml:space="preserve">2015-04-21</t>
  </si>
  <si>
    <t xml:space="preserve">2015-04-24</t>
  </si>
  <si>
    <t xml:space="preserve">2015-04-28</t>
  </si>
  <si>
    <t xml:space="preserve">2015-04-29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</si>
  <si>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</si>
  <si>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</si>
  <si>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</si>
  <si>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</si>
  <si>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</si>
  <si>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</si>
  <si>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</si>
  <si>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</si>
  <si>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</si>
  <si>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</si>
  <si>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</si>
  <si>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</si>
  <si>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</si>
  <si>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</si>
  <si>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2015-05-26</t>
  </si>
  <si>
    <t xml:space="preserve">2015-05-28</t>
  </si>
  <si>
    <t xml:space="preserve">2015-06-02</t>
  </si>
  <si>
    <t xml:space="preserve">2015-06-03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</si>
  <si>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</si>
  <si>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</si>
  <si>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</si>
  <si>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</si>
  <si>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</si>
  <si>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</si>
  <si>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</si>
  <si>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</si>
  <si>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</si>
  <si>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</si>
  <si>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2015-06-23</t>
  </si>
  <si>
    <t xml:space="preserve">2015-06-24</t>
  </si>
  <si>
    <t xml:space="preserve">2015-06-25</t>
  </si>
  <si>
    <t xml:space="preserve">2015-06-30</t>
  </si>
  <si>
    <t xml:space="preserve">2015-07-01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</si>
  <si>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</si>
  <si>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</si>
  <si>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</si>
  <si>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</si>
  <si>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</si>
  <si>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</si>
  <si>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</si>
  <si>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</si>
  <si>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2015-07-17</t>
  </si>
  <si>
    <t xml:space="preserve">2015-07-21</t>
  </si>
  <si>
    <t xml:space="preserve">2015-07-22</t>
  </si>
  <si>
    <t xml:space="preserve">2015-07-23</t>
  </si>
  <si>
    <t xml:space="preserve">2015-07-28</t>
  </si>
  <si>
    <t xml:space="preserve">2015-07-29</t>
  </si>
  <si>
    <t xml:space="preserve">2015-07-30</t>
  </si>
  <si>
    <t xml:space="preserve">2015-08-03</t>
  </si>
  <si>
    <t xml:space="preserve">2015-08-04</t>
  </si>
  <si>
    <t xml:space="preserve">2015-08-05</t>
  </si>
  <si>
    <t xml:space="preserve">2015-08-10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</si>
  <si>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</si>
  <si>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</si>
  <si>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</si>
  <si>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</si>
  <si>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</si>
  <si>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</si>
  <si>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2015-08-21</t>
  </si>
  <si>
    <t xml:space="preserve">2015-08-24</t>
  </si>
  <si>
    <t xml:space="preserve">2015-08-25</t>
  </si>
  <si>
    <t xml:space="preserve">2015-09-02</t>
  </si>
  <si>
    <t xml:space="preserve">2015-09-03</t>
  </si>
  <si>
    <t xml:space="preserve">2015-09-04</t>
  </si>
  <si>
    <t xml:space="preserve">2015-09-09</t>
  </si>
  <si>
    <t xml:space="preserve">2015-09-10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</si>
  <si>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</si>
  <si>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</si>
  <si>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</si>
  <si>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</si>
  <si>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</si>
  <si>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</si>
  <si>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</si>
  <si>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</si>
  <si>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</si>
  <si>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</si>
  <si>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</si>
  <si>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</si>
  <si>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</si>
  <si>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</si>
  <si>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</si>
  <si>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</si>
  <si>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</si>
  <si>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</si>
  <si>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</si>
  <si>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</si>
  <si>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</si>
  <si>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</si>
  <si>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</si>
  <si>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</si>
  <si>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</si>
  <si>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</si>
  <si>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</si>
  <si>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</si>
  <si>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</si>
  <si>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</si>
  <si>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</si>
  <si>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</si>
  <si>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</si>
  <si>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</si>
  <si>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</si>
  <si>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</si>
  <si>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</si>
  <si>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2015-11-12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</si>
  <si>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</si>
  <si>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</si>
  <si>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</si>
  <si>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</si>
  <si>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</si>
  <si>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</si>
  <si>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</si>
  <si>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2015-11-27</t>
  </si>
  <si>
    <t xml:space="preserve">2015-11-30</t>
  </si>
  <si>
    <t xml:space="preserve">2015-12-03</t>
  </si>
  <si>
    <t xml:space="preserve">2015-12-07</t>
  </si>
  <si>
    <t xml:space="preserve">2015-12-09</t>
  </si>
  <si>
    <t xml:space="preserve">2015-12-10</t>
  </si>
  <si>
    <t xml:space="preserve">2015-12-14</t>
  </si>
  <si>
    <t xml:space="preserve">2015-12-16</t>
  </si>
  <si>
    <t xml:space="preserve">2015-12-17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</si>
  <si>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</si>
  <si>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</si>
  <si>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</si>
  <si>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</si>
  <si>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</si>
  <si>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</si>
  <si>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</si>
  <si>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</si>
  <si>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2016-01-12</t>
  </si>
  <si>
    <t xml:space="preserve">2016-01-13</t>
  </si>
  <si>
    <t xml:space="preserve">2016-01-14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</si>
  <si>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</si>
  <si>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</si>
  <si>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</si>
  <si>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</si>
  <si>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</si>
  <si>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</si>
  <si>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</si>
  <si>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</si>
  <si>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</si>
  <si>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</si>
  <si>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2016-02-08</t>
  </si>
  <si>
    <t xml:space="preserve">2016-02-09</t>
  </si>
  <si>
    <t xml:space="preserve">2016-02-10</t>
  </si>
  <si>
    <t xml:space="preserve">2016-02-12</t>
  </si>
  <si>
    <t xml:space="preserve">2016-02-16</t>
  </si>
  <si>
    <t xml:space="preserve">2016-02-17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</si>
  <si>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</si>
  <si>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</si>
  <si>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</si>
  <si>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</si>
  <si>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</si>
  <si>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</si>
  <si>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</si>
  <si>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</si>
  <si>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</si>
  <si>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</si>
  <si>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</si>
  <si>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</si>
  <si>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</si>
  <si>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</si>
  <si>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</si>
  <si>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</si>
  <si>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</si>
  <si>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2016-03-16</t>
  </si>
  <si>
    <t xml:space="preserve">2016-03-17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</si>
  <si>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</si>
  <si>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</si>
  <si>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</si>
  <si>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</si>
  <si>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</si>
  <si>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</si>
  <si>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2016-04-01</t>
  </si>
  <si>
    <t xml:space="preserve">2016-04-08</t>
  </si>
  <si>
    <t xml:space="preserve">2016-04-11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</si>
  <si>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</si>
  <si>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</si>
  <si>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</si>
  <si>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</si>
  <si>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</si>
  <si>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</si>
  <si>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</si>
  <si>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</si>
  <si>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2016-04-26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</si>
  <si>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</si>
  <si>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</si>
  <si>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</si>
  <si>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</si>
  <si>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</si>
  <si>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</si>
  <si>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2016-05-11</t>
  </si>
  <si>
    <t xml:space="preserve">2016-05-12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</si>
  <si>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</si>
  <si>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</si>
  <si>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</si>
  <si>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</si>
  <si>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</si>
  <si>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</si>
  <si>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2016-05-25</t>
  </si>
  <si>
    <t xml:space="preserve">2016-05-26</t>
  </si>
  <si>
    <t xml:space="preserve">2016-05-27</t>
  </si>
  <si>
    <t xml:space="preserve">2016-05-31</t>
  </si>
  <si>
    <t xml:space="preserve">2016-06-01</t>
  </si>
  <si>
    <t xml:space="preserve">2016-06-03</t>
  </si>
  <si>
    <t xml:space="preserve">2016-06-07</t>
  </si>
  <si>
    <t xml:space="preserve">2016-06-08</t>
  </si>
  <si>
    <t xml:space="preserve">2016-06-09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</si>
  <si>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</si>
  <si>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</si>
  <si>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</si>
  <si>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</si>
  <si>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2016-06-21</t>
  </si>
  <si>
    <t xml:space="preserve">2016-06-22</t>
  </si>
  <si>
    <t xml:space="preserve">2016-06-23</t>
  </si>
  <si>
    <t xml:space="preserve">2016-06-27</t>
  </si>
  <si>
    <t xml:space="preserve">2016-06-28</t>
  </si>
  <si>
    <t xml:space="preserve">2016-06-29</t>
  </si>
  <si>
    <t xml:space="preserve">2016-07-05</t>
  </si>
  <si>
    <t xml:space="preserve">2016-07-06</t>
  </si>
  <si>
    <t xml:space="preserve">2016-07-07</t>
  </si>
  <si>
    <t xml:space="preserve">NDX_workbook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</si>
  <si>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</si>
  <si>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</si>
  <si>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</si>
  <si>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</si>
  <si>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</si>
  <si>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</si>
  <si>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</si>
  <si>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</si>
  <si>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</si>
  <si>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</si>
  <si>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</si>
  <si>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</si>
  <si>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</si>
  <si>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</si>
  <si>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</si>
  <si>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</si>
  <si>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</si>
  <si>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</si>
  <si>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</si>
  <si>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</si>
  <si>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</si>
  <si>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</si>
  <si>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</si>
  <si>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</si>
  <si>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</si>
  <si>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</si>
  <si>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</si>
  <si>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</si>
  <si>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</si>
  <si>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</si>
  <si>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</si>
  <si>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</si>
  <si>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</si>
  <si>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</si>
  <si>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</si>
  <si>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</si>
  <si>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2016-09-08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</si>
  <si>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</si>
  <si>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</si>
  <si>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</si>
  <si>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</si>
  <si>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</si>
  <si>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</si>
  <si>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</si>
  <si>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</si>
  <si>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</si>
  <si>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</si>
  <si>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</si>
  <si>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</si>
  <si>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</si>
  <si>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2016-10-06</t>
  </si>
  <si>
    <t xml:space="preserve">2016-10-07</t>
  </si>
  <si>
    <t xml:space="preserve">2016-10-11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</si>
  <si>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</si>
  <si>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</si>
  <si>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</si>
  <si>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</si>
  <si>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</si>
  <si>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</si>
  <si>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</si>
  <si>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</si>
  <si>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</si>
  <si>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</si>
  <si>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2016-11-03</t>
  </si>
  <si>
    <t xml:space="preserve">2016-11-04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</si>
  <si>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</si>
  <si>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</si>
  <si>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</si>
  <si>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</si>
  <si>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</si>
  <si>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</si>
  <si>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</si>
  <si>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</si>
  <si>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2016-11-22</t>
  </si>
  <si>
    <t xml:space="preserve">2016-11-23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</si>
  <si>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</si>
  <si>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</si>
  <si>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</si>
  <si>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</si>
  <si>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</si>
  <si>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</si>
  <si>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</si>
  <si>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</si>
  <si>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</si>
  <si>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</si>
  <si>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</si>
  <si>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</si>
  <si>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</si>
  <si>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</si>
  <si>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</si>
  <si>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</si>
  <si>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</si>
  <si>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</si>
  <si>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</si>
  <si>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</si>
  <si>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</si>
  <si>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2016-12-30</t>
  </si>
  <si>
    <t xml:space="preserve">2017-01-03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</si>
  <si>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</si>
  <si>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</si>
  <si>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</si>
  <si>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</si>
  <si>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</si>
  <si>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</si>
  <si>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</si>
  <si>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</si>
  <si>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</si>
  <si>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</si>
  <si>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</si>
  <si>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</si>
  <si>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</si>
  <si>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</si>
  <si>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</si>
  <si>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</si>
  <si>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</si>
  <si>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</si>
  <si>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</si>
  <si>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</si>
  <si>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</si>
  <si>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</si>
  <si>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</si>
  <si>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</si>
  <si>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</si>
  <si>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</si>
  <si>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</si>
  <si>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</si>
  <si>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</si>
  <si>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</si>
  <si>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</si>
  <si>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</si>
  <si>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</si>
  <si>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</si>
  <si>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</si>
  <si>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</si>
  <si>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</si>
  <si>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</si>
  <si>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</si>
  <si>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</si>
  <si>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</si>
  <si>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</si>
  <si>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</si>
  <si>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2017-03-14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</si>
  <si>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</si>
  <si>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</si>
  <si>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</si>
  <si>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</si>
  <si>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2017-03-23</t>
  </si>
  <si>
    <t xml:space="preserve">2017-03-27</t>
  </si>
  <si>
    <t xml:space="preserve">2017-03-28</t>
  </si>
  <si>
    <t xml:space="preserve">2017-03-31</t>
  </si>
  <si>
    <t xml:space="preserve">2017-04-03</t>
  </si>
  <si>
    <t xml:space="preserve">2017-04-05</t>
  </si>
  <si>
    <t xml:space="preserve">2017-04-06</t>
  </si>
  <si>
    <t xml:space="preserve">2017-04-07</t>
  </si>
  <si>
    <t xml:space="preserve">2017-04-11</t>
  </si>
  <si>
    <t xml:space="preserve">2017-04-17</t>
  </si>
  <si>
    <t xml:space="preserve">2017-04-18</t>
  </si>
  <si>
    <t xml:space="preserve">2017-04-19</t>
  </si>
  <si>
    <t xml:space="preserve">2017-04-21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</si>
  <si>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</si>
  <si>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</si>
  <si>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</si>
  <si>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</si>
  <si>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</si>
  <si>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</si>
  <si>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</si>
  <si>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</si>
  <si>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</si>
  <si>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</si>
  <si>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</si>
  <si>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</si>
  <si>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</si>
  <si>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</si>
  <si>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</si>
  <si>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</si>
  <si>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2017-05-19</t>
  </si>
  <si>
    <t xml:space="preserve">2017-05-22</t>
  </si>
  <si>
    <t xml:space="preserve">2017-05-23</t>
  </si>
  <si>
    <t xml:space="preserve">2017-05-31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</si>
  <si>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</si>
  <si>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</si>
  <si>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</si>
  <si>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</si>
  <si>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</si>
  <si>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</si>
  <si>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</si>
  <si>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</si>
  <si>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</si>
  <si>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</si>
  <si>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</si>
  <si>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</si>
  <si>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</si>
  <si>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</si>
  <si>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</si>
  <si>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</si>
  <si>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</si>
  <si>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2017-07-03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</si>
  <si>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</si>
  <si>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</si>
  <si>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</si>
  <si>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</si>
  <si>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</si>
  <si>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</si>
  <si>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</si>
  <si>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</si>
  <si>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</si>
  <si>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</si>
  <si>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2017-07-25</t>
  </si>
  <si>
    <t xml:space="preserve">2017-07-27</t>
  </si>
  <si>
    <t xml:space="preserve">2017-07-28</t>
  </si>
  <si>
    <t xml:space="preserve">2017-07-31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</si>
  <si>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</si>
  <si>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</si>
  <si>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</si>
  <si>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</si>
  <si>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</si>
  <si>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</si>
  <si>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2017-08-11</t>
  </si>
  <si>
    <t xml:space="preserve">2017-08-14</t>
  </si>
  <si>
    <t xml:space="preserve">2017-08-16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</si>
  <si>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</si>
  <si>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</si>
  <si>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</si>
  <si>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</si>
  <si>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</si>
  <si>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</si>
  <si>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</si>
  <si>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</si>
  <si>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</si>
  <si>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2017-09-01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</si>
  <si>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</si>
  <si>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</si>
  <si>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</si>
  <si>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</si>
  <si>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</si>
  <si>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</si>
  <si>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</si>
  <si>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</si>
  <si>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</si>
  <si>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</si>
  <si>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</si>
  <si>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</si>
  <si>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</si>
  <si>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</si>
  <si>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</si>
  <si>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</si>
  <si>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</si>
  <si>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</si>
  <si>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</si>
  <si>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</si>
  <si>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</si>
  <si>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</si>
  <si>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</si>
  <si>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</si>
  <si>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</si>
  <si>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</si>
  <si>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</si>
  <si>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</si>
  <si>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</si>
  <si>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</si>
  <si>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</si>
  <si>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</si>
  <si>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2017-10-25</t>
  </si>
  <si>
    <t xml:space="preserve">2017-10-26</t>
  </si>
  <si>
    <t xml:space="preserve">2017-10-30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</si>
  <si>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</si>
  <si>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</si>
  <si>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</si>
  <si>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</si>
  <si>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</si>
  <si>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</si>
  <si>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</si>
  <si>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</si>
  <si>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</si>
  <si>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</si>
  <si>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2017-11-16</t>
  </si>
  <si>
    <t xml:space="preserve">2017-11-20</t>
  </si>
  <si>
    <t xml:space="preserve">2017-11-27</t>
  </si>
  <si>
    <t xml:space="preserve">2017-11-29</t>
  </si>
  <si>
    <t xml:space="preserve">2017-11-30</t>
  </si>
  <si>
    <t xml:space="preserve">2017-12-01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</si>
  <si>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</si>
  <si>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</si>
  <si>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</si>
  <si>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</si>
  <si>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</si>
  <si>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</si>
  <si>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</si>
  <si>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</si>
  <si>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</si>
  <si>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</si>
  <si>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</si>
  <si>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</si>
  <si>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</si>
  <si>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</si>
  <si>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</si>
  <si>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</si>
  <si>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</si>
  <si>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</si>
  <si>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</si>
  <si>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</si>
  <si>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</si>
  <si>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</si>
  <si>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</si>
  <si>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</si>
  <si>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</si>
  <si>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</si>
  <si>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</si>
  <si>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</si>
  <si>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</si>
  <si>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</si>
  <si>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</si>
  <si>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</si>
  <si>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</si>
  <si>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</si>
  <si>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</si>
  <si>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</si>
  <si>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</si>
  <si>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2018-02-12</t>
  </si>
  <si>
    <t xml:space="preserve">2018-02-13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</si>
  <si>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</si>
  <si>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</si>
  <si>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</si>
  <si>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</si>
  <si>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</si>
  <si>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</si>
  <si>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</si>
  <si>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</si>
  <si>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</si>
  <si>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2018-03-05</t>
  </si>
  <si>
    <t xml:space="preserve">2018-03-07</t>
  </si>
  <si>
    <t xml:space="preserve">2018-03-08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</si>
  <si>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</si>
  <si>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</si>
  <si>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</si>
  <si>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</si>
  <si>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2018-03-21</t>
  </si>
  <si>
    <t xml:space="preserve">2018-03-23</t>
  </si>
  <si>
    <t xml:space="preserve">2018-03-26</t>
  </si>
  <si>
    <t xml:space="preserve">2018-03-28</t>
  </si>
  <si>
    <t xml:space="preserve">2018-03-29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</si>
  <si>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</si>
  <si>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</si>
  <si>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</si>
  <si>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</si>
  <si>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</si>
  <si>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</si>
  <si>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</si>
  <si>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</si>
  <si>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</si>
  <si>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</si>
  <si>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2018-04-18</t>
  </si>
  <si>
    <t xml:space="preserve">2018-04-19</t>
  </si>
  <si>
    <t xml:space="preserve">2018-04-23</t>
  </si>
  <si>
    <t xml:space="preserve">2018-04-25</t>
  </si>
  <si>
    <t xml:space="preserve">2018-04-26</t>
  </si>
  <si>
    <t xml:space="preserve">2018-04-27</t>
  </si>
  <si>
    <t xml:space="preserve">2018-05-01</t>
  </si>
  <si>
    <t xml:space="preserve">2018-05-02</t>
  </si>
  <si>
    <t xml:space="preserve">2018-05-04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</si>
  <si>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</si>
  <si>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</si>
  <si>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</si>
  <si>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</si>
  <si>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</si>
  <si>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</si>
  <si>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</si>
  <si>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</si>
  <si>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</si>
  <si>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</si>
  <si>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</si>
  <si>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</si>
  <si>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</si>
  <si>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</si>
  <si>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</si>
  <si>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</si>
  <si>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</si>
  <si>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</si>
  <si>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</si>
  <si>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</si>
  <si>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</si>
  <si>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</si>
  <si>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</si>
  <si>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</si>
  <si>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</si>
  <si>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</si>
  <si>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</si>
  <si>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2018-06-21</t>
  </si>
  <si>
    <t xml:space="preserve">2018-06-22</t>
  </si>
  <si>
    <t xml:space="preserve">2018-06-27</t>
  </si>
  <si>
    <t xml:space="preserve">2018-06-28</t>
  </si>
  <si>
    <t xml:space="preserve">2018-06-29</t>
  </si>
  <si>
    <t xml:space="preserve">2018-07-05</t>
  </si>
  <si>
    <t xml:space="preserve">2018-07-06</t>
  </si>
  <si>
    <t xml:space="preserve">2018-07-09</t>
  </si>
  <si>
    <t xml:space="preserve">2018-07-11</t>
  </si>
  <si>
    <t xml:space="preserve">2018-07-16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</si>
  <si>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</si>
  <si>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</si>
  <si>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</si>
  <si>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</si>
  <si>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</si>
  <si>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</si>
  <si>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</si>
  <si>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</si>
  <si>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</si>
  <si>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</si>
  <si>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</si>
  <si>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</si>
  <si>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</si>
  <si>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</si>
  <si>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</si>
  <si>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</si>
  <si>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</si>
  <si>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</si>
  <si>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</si>
  <si>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</si>
  <si>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</si>
  <si>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</si>
  <si>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</si>
  <si>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</si>
  <si>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</si>
  <si>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2018-08-30</t>
  </si>
  <si>
    <t xml:space="preserve">2018-08-31</t>
  </si>
  <si>
    <t xml:space="preserve">2018-09-04</t>
  </si>
  <si>
    <t xml:space="preserve">2018-09-05</t>
  </si>
  <si>
    <t xml:space="preserve">2018-09-06</t>
  </si>
  <si>
    <t xml:space="preserve">2018-09-12</t>
  </si>
  <si>
    <t xml:space="preserve">2018-09-13</t>
  </si>
  <si>
    <t xml:space="preserve">2018-09-18</t>
  </si>
  <si>
    <t xml:space="preserve">2018-09-19</t>
  </si>
  <si>
    <t xml:space="preserve">2018-09-20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</si>
  <si>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</si>
  <si>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</si>
  <si>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</si>
  <si>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</si>
  <si>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</si>
  <si>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</si>
  <si>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</si>
  <si>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</si>
  <si>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2018-10-08</t>
  </si>
  <si>
    <t xml:space="preserve">2018-10-09</t>
  </si>
  <si>
    <t xml:space="preserve">2018-10-15</t>
  </si>
  <si>
    <t xml:space="preserve">2018-10-16</t>
  </si>
  <si>
    <t xml:space="preserve">2018-10-19</t>
  </si>
  <si>
    <t xml:space="preserve">2018-10-22</t>
  </si>
  <si>
    <t xml:space="preserve">2018-10-25</t>
  </si>
  <si>
    <t xml:space="preserve">2018-10-26</t>
  </si>
  <si>
    <t xml:space="preserve">2018-10-30</t>
  </si>
  <si>
    <t xml:space="preserve">2018-10-31</t>
  </si>
  <si>
    <t xml:space="preserve">2018-11-06</t>
  </si>
  <si>
    <t xml:space="preserve">2018-11-12</t>
  </si>
  <si>
    <t xml:space="preserve">2018-11-13</t>
  </si>
  <si>
    <t xml:space="preserve">2018-11-15</t>
  </si>
  <si>
    <t xml:space="preserve">2018-11-16</t>
  </si>
  <si>
    <t xml:space="preserve">2018-11-20</t>
  </si>
  <si>
    <t xml:space="preserve">2018-11-21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</si>
  <si>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</si>
  <si>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</si>
  <si>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</si>
  <si>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</si>
  <si>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2018-12-03</t>
  </si>
  <si>
    <t xml:space="preserve">2018-12-04</t>
  </si>
  <si>
    <t xml:space="preserve">2018-12-06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</si>
  <si>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</si>
  <si>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</si>
  <si>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</si>
  <si>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</si>
  <si>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</si>
  <si>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2018-12-18</t>
  </si>
  <si>
    <t xml:space="preserve">2018-12-20</t>
  </si>
  <si>
    <t xml:space="preserve">2018-12-21</t>
  </si>
  <si>
    <t xml:space="preserve">2018-12-27</t>
  </si>
  <si>
    <t xml:space="preserve">2018-12-28</t>
  </si>
  <si>
    <t xml:space="preserve">2018-12-31</t>
  </si>
  <si>
    <t xml:space="preserve">2019-01-03</t>
  </si>
  <si>
    <t xml:space="preserve">2019-01-04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</si>
  <si>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</si>
  <si>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</si>
  <si>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</si>
  <si>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</si>
  <si>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</si>
  <si>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2019-01-16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</si>
  <si>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</si>
  <si>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</si>
  <si>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</si>
  <si>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</si>
  <si>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</si>
  <si>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</si>
  <si>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</si>
  <si>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</si>
  <si>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</si>
  <si>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</si>
  <si>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</si>
  <si>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</si>
  <si>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</si>
  <si>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</si>
  <si>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</si>
  <si>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2019-02-13</t>
  </si>
  <si>
    <t xml:space="preserve">2019-02-14</t>
  </si>
  <si>
    <t xml:space="preserve">2019-02-25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</si>
  <si>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</si>
  <si>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</si>
  <si>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</si>
  <si>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</si>
  <si>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</si>
  <si>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</si>
  <si>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2019-03-08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</si>
  <si>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</si>
  <si>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</si>
  <si>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</si>
  <si>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</si>
  <si>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</si>
  <si>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</si>
  <si>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</si>
  <si>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</si>
  <si>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</si>
  <si>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</si>
  <si>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</si>
  <si>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2019-04-01</t>
  </si>
  <si>
    <t xml:space="preserve">2019-04-04</t>
  </si>
  <si>
    <t xml:space="preserve">2019-04-09</t>
  </si>
  <si>
    <t xml:space="preserve">2019-04-11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</si>
  <si>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</si>
  <si>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</si>
  <si>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</si>
  <si>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</si>
  <si>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</si>
  <si>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</si>
  <si>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</si>
  <si>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</si>
  <si>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</si>
  <si>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</si>
  <si>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</si>
  <si>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</si>
  <si>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2019-05-06</t>
  </si>
  <si>
    <t xml:space="preserve">2019-05-07</t>
  </si>
  <si>
    <t xml:space="preserve">2019-05-08</t>
  </si>
  <si>
    <t xml:space="preserve">2019-05-10</t>
  </si>
  <si>
    <t xml:space="preserve">2019-05-14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</si>
  <si>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</si>
  <si>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</si>
  <si>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</si>
  <si>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</si>
  <si>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</si>
  <si>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2019-05-24</t>
  </si>
  <si>
    <t xml:space="preserve">2019-05-28</t>
  </si>
  <si>
    <t xml:space="preserve">2019-05-29</t>
  </si>
  <si>
    <t xml:space="preserve">2019-06-03</t>
  </si>
  <si>
    <t xml:space="preserve">2019-06-06</t>
  </si>
  <si>
    <t xml:space="preserve">2019-06-07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</si>
  <si>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</si>
  <si>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</si>
  <si>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</si>
  <si>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</si>
  <si>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</si>
  <si>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</si>
  <si>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</si>
  <si>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</si>
  <si>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</si>
  <si>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</si>
  <si>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2019-06-26</t>
  </si>
  <si>
    <t xml:space="preserve">2019-06-27</t>
  </si>
  <si>
    <t xml:space="preserve">2019-07-01</t>
  </si>
  <si>
    <t xml:space="preserve">2019-07-05</t>
  </si>
  <si>
    <t xml:space="preserve">2019-07-08</t>
  </si>
  <si>
    <t xml:space="preserve">2019-07-09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</si>
  <si>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</si>
  <si>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</si>
  <si>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</si>
  <si>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</si>
  <si>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</si>
  <si>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</si>
  <si>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</si>
  <si>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2019-07-23</t>
  </si>
  <si>
    <t xml:space="preserve">2019-07-24</t>
  </si>
  <si>
    <t xml:space="preserve">2019-07-25</t>
  </si>
  <si>
    <t xml:space="preserve">2019-07-29</t>
  </si>
  <si>
    <t xml:space="preserve">2019-07-30</t>
  </si>
  <si>
    <t xml:space="preserve">2019-07-31</t>
  </si>
  <si>
    <t xml:space="preserve">2019-08-15</t>
  </si>
  <si>
    <t xml:space="preserve">2019-08-21</t>
  </si>
  <si>
    <t xml:space="preserve">2019-08-26</t>
  </si>
  <si>
    <t xml:space="preserve">2019-08-27</t>
  </si>
  <si>
    <t xml:space="preserve">2019-08-28</t>
  </si>
  <si>
    <t xml:space="preserve">2019-08-30</t>
  </si>
  <si>
    <t xml:space="preserve">2019-09-03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</si>
  <si>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</si>
  <si>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</si>
  <si>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</si>
  <si>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</si>
  <si>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</si>
  <si>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</si>
  <si>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</si>
  <si>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</si>
  <si>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</si>
  <si>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</si>
  <si>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</si>
  <si>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</si>
  <si>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</si>
  <si>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</si>
  <si>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</si>
  <si>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</si>
  <si>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</si>
  <si>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</si>
  <si>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2019-10-04</t>
  </si>
  <si>
    <t xml:space="preserve">2019-10-07</t>
  </si>
  <si>
    <t xml:space="preserve">2019-10-10</t>
  </si>
  <si>
    <t xml:space="preserve">2019-10-11</t>
  </si>
  <si>
    <t xml:space="preserve">2019-10-14</t>
  </si>
  <si>
    <t xml:space="preserve">2019-10-16</t>
  </si>
  <si>
    <t xml:space="preserve">2019-10-17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</si>
  <si>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</si>
  <si>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</si>
  <si>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</si>
  <si>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</si>
  <si>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</si>
  <si>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</si>
  <si>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</si>
  <si>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</si>
  <si>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</si>
  <si>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</si>
  <si>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</si>
  <si>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</si>
  <si>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</si>
  <si>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</si>
  <si>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</si>
  <si>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</si>
  <si>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</si>
  <si>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</si>
  <si>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</si>
  <si>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</si>
  <si>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</si>
  <si>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</si>
  <si>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</si>
  <si>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</si>
  <si>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</si>
  <si>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</si>
  <si>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</si>
  <si>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</si>
  <si>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</si>
  <si>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</si>
  <si>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2019-12-09</t>
  </si>
  <si>
    <t xml:space="preserve">2019-12-11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</si>
  <si>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</si>
  <si>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</si>
  <si>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</si>
  <si>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</si>
  <si>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</si>
  <si>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</si>
  <si>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</si>
  <si>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</si>
  <si>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2020-01-03</t>
  </si>
  <si>
    <t xml:space="preserve">2020-01-06</t>
  </si>
  <si>
    <t xml:space="preserve">2020-01-07</t>
  </si>
  <si>
    <t xml:space="preserve">2020-01-09</t>
  </si>
  <si>
    <t xml:space="preserve">2020-01-10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</si>
  <si>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</si>
  <si>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</si>
  <si>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</si>
  <si>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</si>
  <si>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</si>
  <si>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</si>
  <si>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</si>
  <si>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</si>
  <si>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2020-01-28</t>
  </si>
  <si>
    <t xml:space="preserve">2020-01-30</t>
  </si>
  <si>
    <t xml:space="preserve">2020-02-03</t>
  </si>
  <si>
    <t xml:space="preserve">2020-02-07</t>
  </si>
  <si>
    <t xml:space="preserve">2020-02-13</t>
  </si>
  <si>
    <t xml:space="preserve">2020-02-20</t>
  </si>
  <si>
    <t xml:space="preserve">2020-02-21</t>
  </si>
  <si>
    <t xml:space="preserve">2020-02-25</t>
  </si>
  <si>
    <t xml:space="preserve">2020-02-28</t>
  </si>
  <si>
    <t xml:space="preserve">2020-03-03</t>
  </si>
  <si>
    <t xml:space="preserve">2020-03-05</t>
  </si>
  <si>
    <t xml:space="preserve">2020-03-06</t>
  </si>
  <si>
    <t xml:space="preserve">2020-03-12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</si>
  <si>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</si>
  <si>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</si>
  <si>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</si>
  <si>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</si>
  <si>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2020-03-24</t>
  </si>
  <si>
    <t xml:space="preserve">2020-03-25</t>
  </si>
  <si>
    <t xml:space="preserve">2020-03-30</t>
  </si>
  <si>
    <t xml:space="preserve">2020-04-01</t>
  </si>
  <si>
    <t xml:space="preserve">2020-04-02</t>
  </si>
  <si>
    <t xml:space="preserve">2020-04-07</t>
  </si>
  <si>
    <t xml:space="preserve">2020-04-09</t>
  </si>
  <si>
    <t xml:space="preserve">2020-04-13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</si>
  <si>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</si>
  <si>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</si>
  <si>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</si>
  <si>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</si>
  <si>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</si>
  <si>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2020-04-23</t>
  </si>
  <si>
    <t xml:space="preserve">2020-04-27</t>
  </si>
  <si>
    <t xml:space="preserve">2020-04-28</t>
  </si>
  <si>
    <t xml:space="preserve">2020-04-29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</si>
  <si>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</si>
  <si>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</si>
  <si>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</si>
  <si>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</si>
  <si>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</si>
  <si>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</si>
  <si>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2020-05-13</t>
  </si>
  <si>
    <t xml:space="preserve">2020-05-14</t>
  </si>
  <si>
    <t xml:space="preserve">2020-05-15</t>
  </si>
  <si>
    <t xml:space="preserve">2020-05-26</t>
  </si>
  <si>
    <t xml:space="preserve">2020-05-27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</si>
  <si>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</si>
  <si>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</si>
  <si>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</si>
  <si>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</si>
  <si>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</si>
  <si>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2020-06-10</t>
  </si>
  <si>
    <t xml:space="preserve">2020-06-16</t>
  </si>
  <si>
    <t xml:space="preserve">2020-06-18</t>
  </si>
  <si>
    <t xml:space="preserve">2020-06-19</t>
  </si>
  <si>
    <t xml:space="preserve">2020-06-25</t>
  </si>
  <si>
    <t xml:space="preserve">2020-06-29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</si>
  <si>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</si>
  <si>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</si>
  <si>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</si>
  <si>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</si>
  <si>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2020-07-14</t>
  </si>
  <si>
    <t xml:space="preserve">2020-07-20</t>
  </si>
  <si>
    <t xml:space="preserve">2020-07-21</t>
  </si>
  <si>
    <t xml:space="preserve">2020-07-22</t>
  </si>
  <si>
    <t xml:space="preserve">2020-07-24</t>
  </si>
  <si>
    <t xml:space="preserve">2020-07-29</t>
  </si>
  <si>
    <t xml:space="preserve">2020-07-30</t>
  </si>
  <si>
    <t xml:space="preserve">2020-07-31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</si>
  <si>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</si>
  <si>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</si>
  <si>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</si>
  <si>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</si>
  <si>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</si>
  <si>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</si>
  <si>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</si>
  <si>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</si>
  <si>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</si>
  <si>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</si>
  <si>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</si>
  <si>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</si>
  <si>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</si>
  <si>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</si>
  <si>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</si>
  <si>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</si>
  <si>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</si>
  <si>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</si>
  <si>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</si>
  <si>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</si>
  <si>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</si>
  <si>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</si>
  <si>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</si>
  <si>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</si>
  <si>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</si>
  <si>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</si>
  <si>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</si>
  <si>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</si>
  <si>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</si>
  <si>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</si>
  <si>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</si>
  <si>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</si>
  <si>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</si>
  <si>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</si>
  <si>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</si>
  <si>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</si>
  <si>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</si>
  <si>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</si>
  <si>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</si>
  <si>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</si>
  <si>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</si>
  <si>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</si>
  <si>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</si>
  <si>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2020-10-20</t>
  </si>
  <si>
    <t xml:space="preserve">2020-10-22</t>
  </si>
  <si>
    <t xml:space="preserve">2020-10-23</t>
  </si>
  <si>
    <t xml:space="preserve">2020-10-27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</si>
  <si>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</si>
  <si>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</si>
  <si>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</si>
  <si>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</si>
  <si>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2020-11-06</t>
  </si>
  <si>
    <t xml:space="preserve">2020-11-09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</si>
  <si>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</si>
  <si>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</si>
  <si>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</si>
  <si>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</si>
  <si>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</si>
  <si>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</si>
  <si>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</si>
  <si>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</si>
  <si>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</si>
  <si>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</si>
  <si>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</si>
  <si>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2020-12-09</t>
  </si>
  <si>
    <t xml:space="preserve">2020-12-10</t>
  </si>
  <si>
    <t xml:space="preserve">2020-12-11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</si>
  <si>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</si>
  <si>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</si>
  <si>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</si>
  <si>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</si>
  <si>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</si>
  <si>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</si>
  <si>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</si>
  <si>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</si>
  <si>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2020-12-31</t>
  </si>
  <si>
    <t xml:space="preserve">2021-01-04</t>
  </si>
  <si>
    <t xml:space="preserve">2021-01-06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</si>
  <si>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</si>
  <si>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</si>
  <si>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</si>
  <si>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</si>
  <si>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</si>
  <si>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</si>
  <si>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</si>
  <si>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</si>
  <si>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</si>
  <si>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</si>
  <si>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</si>
  <si>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</si>
  <si>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2021-02-02</t>
  </si>
  <si>
    <t xml:space="preserve">2021-02-03</t>
  </si>
  <si>
    <t xml:space="preserve">2021-02-09</t>
  </si>
  <si>
    <t xml:space="preserve">2021-02-10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</si>
  <si>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</si>
  <si>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</si>
  <si>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</si>
  <si>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</si>
  <si>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2021-02-23</t>
  </si>
  <si>
    <t xml:space="preserve">2021-02-24</t>
  </si>
  <si>
    <t xml:space="preserve">2021-03-02</t>
  </si>
  <si>
    <t xml:space="preserve">2021-03-04</t>
  </si>
  <si>
    <t xml:space="preserve">2021-03-05</t>
  </si>
  <si>
    <t xml:space="preserve">2021-03-09</t>
  </si>
  <si>
    <t xml:space="preserve">2021-03-10</t>
  </si>
  <si>
    <t xml:space="preserve">2021-03-11</t>
  </si>
  <si>
    <t xml:space="preserve">2021-03-15</t>
  </si>
  <si>
    <t xml:space="preserve">2021-03-17</t>
  </si>
  <si>
    <t xml:space="preserve">2021-03-19</t>
  </si>
  <si>
    <t xml:space="preserve">2021-03-23</t>
  </si>
  <si>
    <t xml:space="preserve">2021-03-25</t>
  </si>
  <si>
    <t xml:space="preserve">2021-03-26</t>
  </si>
  <si>
    <t xml:space="preserve">2021-03-30</t>
  </si>
  <si>
    <t xml:space="preserve">2021-03-31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</si>
  <si>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</si>
  <si>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</si>
  <si>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</si>
  <si>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</si>
  <si>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2021-04-12</t>
  </si>
  <si>
    <t xml:space="preserve">2021-04-14</t>
  </si>
  <si>
    <t xml:space="preserve">2021-04-16</t>
  </si>
  <si>
    <t xml:space="preserve">2021-04-20</t>
  </si>
  <si>
    <t xml:space="preserve">2021-04-21</t>
  </si>
  <si>
    <t xml:space="preserve">2021-04-23</t>
  </si>
  <si>
    <t xml:space="preserve">2021-04-26</t>
  </si>
  <si>
    <t xml:space="preserve">2021-04-27</t>
  </si>
  <si>
    <t xml:space="preserve">2021-04-29</t>
  </si>
  <si>
    <t xml:space="preserve">2021-05-03</t>
  </si>
  <si>
    <t xml:space="preserve">2021-05-05</t>
  </si>
  <si>
    <t xml:space="preserve">2021-05-06</t>
  </si>
  <si>
    <t xml:space="preserve">2021-05-07</t>
  </si>
  <si>
    <t xml:space="preserve">2021-05-13</t>
  </si>
  <si>
    <t xml:space="preserve">2021-05-17</t>
  </si>
  <si>
    <t xml:space="preserve">2021-05-18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</si>
  <si>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</si>
  <si>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</si>
  <si>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</si>
  <si>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</si>
  <si>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</si>
  <si>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</si>
  <si>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</si>
  <si>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</si>
  <si>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</si>
  <si>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</si>
  <si>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</si>
  <si>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</si>
  <si>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</si>
  <si>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</si>
  <si>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</si>
  <si>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</si>
  <si>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</si>
  <si>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</si>
  <si>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</si>
  <si>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</si>
  <si>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</si>
  <si>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</si>
  <si>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</si>
  <si>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</si>
  <si>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</si>
  <si>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2021-07-01</t>
  </si>
  <si>
    <t xml:space="preserve">2021-07-02</t>
  </si>
  <si>
    <t xml:space="preserve">2021-07-07</t>
  </si>
  <si>
    <t xml:space="preserve">2021-07-08</t>
  </si>
  <si>
    <t xml:space="preserve">2021-07-12</t>
  </si>
  <si>
    <t xml:space="preserve">2021-07-13</t>
  </si>
  <si>
    <t xml:space="preserve">2021-07-15</t>
  </si>
  <si>
    <t xml:space="preserve">2021-07-16</t>
  </si>
  <si>
    <t xml:space="preserve">2021-07-20</t>
  </si>
  <si>
    <t xml:space="preserve">2021-07-28</t>
  </si>
  <si>
    <t xml:space="preserve">2021-07-30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</si>
  <si>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</si>
  <si>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</si>
  <si>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</si>
  <si>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</si>
  <si>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</si>
  <si>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</si>
  <si>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</si>
  <si>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2021-08-17</t>
  </si>
  <si>
    <t xml:space="preserve">2021-08-19</t>
  </si>
  <si>
    <t xml:space="preserve">2021-08-20</t>
  </si>
  <si>
    <t xml:space="preserve">2021-08-24</t>
  </si>
  <si>
    <t xml:space="preserve">2021-08-25</t>
  </si>
  <si>
    <t xml:space="preserve">2021-08-26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</si>
  <si>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</si>
  <si>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</si>
  <si>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</si>
  <si>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</si>
  <si>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</si>
  <si>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</si>
  <si>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</si>
  <si>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</si>
  <si>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</si>
  <si>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</si>
  <si>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</si>
  <si>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</si>
  <si>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2021-09-21</t>
  </si>
  <si>
    <t xml:space="preserve">2021-09-23</t>
  </si>
  <si>
    <t xml:space="preserve">2021-09-27</t>
  </si>
  <si>
    <t xml:space="preserve">2021-09-29</t>
  </si>
  <si>
    <t xml:space="preserve">2021-10-01</t>
  </si>
  <si>
    <t xml:space="preserve">2021-10-05</t>
  </si>
  <si>
    <t xml:space="preserve">2021-10-08</t>
  </si>
  <si>
    <t xml:space="preserve">2021-10-12</t>
  </si>
  <si>
    <t xml:space="preserve">2021-10-13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</si>
  <si>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</si>
  <si>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</si>
  <si>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</si>
  <si>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</si>
  <si>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</si>
  <si>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2021-10-25</t>
  </si>
  <si>
    <t xml:space="preserve">2021-10-26</t>
  </si>
  <si>
    <t xml:space="preserve">2021-10-27</t>
  </si>
  <si>
    <t xml:space="preserve">2021-10-29</t>
  </si>
  <si>
    <t xml:space="preserve">2021-11-02</t>
  </si>
  <si>
    <t xml:space="preserve">2021-11-03</t>
  </si>
  <si>
    <t xml:space="preserve">2021-11-05</t>
  </si>
  <si>
    <t xml:space="preserve">2021-11-08</t>
  </si>
  <si>
    <t xml:space="preserve">2021-11-09</t>
  </si>
  <si>
    <t xml:space="preserve">2021-11-11</t>
  </si>
  <si>
    <t xml:space="preserve">2021-11-12</t>
  </si>
  <si>
    <t xml:space="preserve">2021-11-16</t>
  </si>
  <si>
    <t xml:space="preserve">2021-11-17</t>
  </si>
  <si>
    <t xml:space="preserve">2021-11-23</t>
  </si>
  <si>
    <t xml:space="preserve">2021-12-01</t>
  </si>
  <si>
    <t xml:space="preserve">2021-12-02</t>
  </si>
  <si>
    <t xml:space="preserve">2021-12-08</t>
  </si>
  <si>
    <t xml:space="preserve">2021-12-09</t>
  </si>
  <si>
    <t xml:space="preserve">2021-12-10</t>
  </si>
  <si>
    <t xml:space="preserve">2021-12-14</t>
  </si>
  <si>
    <t xml:space="preserve">2021-12-15</t>
  </si>
  <si>
    <t xml:space="preserve">2021-12-20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</si>
  <si>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</si>
  <si>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</si>
  <si>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</si>
  <si>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</si>
  <si>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</si>
  <si>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</si>
  <si>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2022-01-03</t>
  </si>
  <si>
    <t xml:space="preserve">2022-01-04</t>
  </si>
  <si>
    <t xml:space="preserve">2022-01-06</t>
  </si>
  <si>
    <t xml:space="preserve">2022-01-07</t>
  </si>
  <si>
    <t xml:space="preserve">2022-01-10</t>
  </si>
  <si>
    <t xml:space="preserve">2022-01-12</t>
  </si>
  <si>
    <t xml:space="preserve">2022-01-14</t>
  </si>
  <si>
    <t xml:space="preserve">2022-01-19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</si>
  <si>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</si>
  <si>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</si>
  <si>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</si>
  <si>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</si>
  <si>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</si>
  <si>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</si>
  <si>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2022-02-01</t>
  </si>
  <si>
    <t xml:space="preserve">2022-02-08</t>
  </si>
  <si>
    <t xml:space="preserve">2022-02-11</t>
  </si>
  <si>
    <t xml:space="preserve">2022-02-14</t>
  </si>
  <si>
    <t xml:space="preserve">2022-02-16</t>
  </si>
  <si>
    <t xml:space="preserve">2022-02-17</t>
  </si>
  <si>
    <t xml:space="preserve">2022-02-18</t>
  </si>
  <si>
    <t xml:space="preserve">2022-02-28</t>
  </si>
  <si>
    <t xml:space="preserve">2022-03-02</t>
  </si>
  <si>
    <t xml:space="preserve">2022-03-03</t>
  </si>
  <si>
    <t xml:space="preserve">2022-03-04</t>
  </si>
  <si>
    <t xml:space="preserve">2022-03-08</t>
  </si>
  <si>
    <t xml:space="preserve">2022-03-09</t>
  </si>
  <si>
    <t xml:space="preserve">2022-03-11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</si>
  <si>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</si>
  <si>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</si>
  <si>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</si>
  <si>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</si>
  <si>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</si>
  <si>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</si>
  <si>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2022-04-01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</si>
  <si>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</si>
  <si>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</si>
  <si>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</si>
  <si>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</si>
  <si>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</si>
  <si>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</si>
  <si>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</si>
  <si>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</si>
  <si>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</si>
  <si>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</si>
  <si>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</si>
  <si>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</si>
  <si>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</si>
  <si>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</si>
  <si>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</si>
  <si>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</si>
  <si>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</si>
  <si>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</si>
  <si>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</si>
  <si>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</si>
  <si>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</si>
  <si>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2022-05-16</t>
  </si>
  <si>
    <t xml:space="preserve">2022-05-17</t>
  </si>
  <si>
    <t xml:space="preserve">2022-05-18</t>
  </si>
  <si>
    <t xml:space="preserve">2022-05-20</t>
  </si>
  <si>
    <t xml:space="preserve">2022-05-26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</si>
  <si>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</si>
  <si>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</si>
  <si>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</si>
  <si>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</si>
  <si>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</si>
  <si>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</si>
  <si>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</si>
  <si>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</si>
  <si>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</si>
  <si>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</si>
  <si>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</si>
  <si>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</si>
  <si>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</si>
  <si>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</si>
  <si>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</si>
  <si>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</si>
  <si>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</si>
  <si>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</si>
  <si>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</si>
  <si>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</si>
  <si>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2022-07-05</t>
  </si>
  <si>
    <t xml:space="preserve">2022-07-06</t>
  </si>
  <si>
    <t xml:space="preserve">2022-07-07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</si>
  <si>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</si>
  <si>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</si>
  <si>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</si>
  <si>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</si>
  <si>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</si>
  <si>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</si>
  <si>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</si>
  <si>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2022-07-21</t>
  </si>
  <si>
    <t xml:space="preserve">2022-07-25</t>
  </si>
  <si>
    <t xml:space="preserve">2022-07-26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</si>
  <si>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</si>
  <si>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</si>
  <si>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</si>
  <si>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</si>
  <si>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</si>
  <si>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</si>
  <si>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</si>
  <si>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</si>
  <si>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</si>
  <si>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</si>
  <si>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</si>
  <si>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</si>
  <si>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</si>
  <si>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</si>
  <si>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</si>
  <si>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</si>
  <si>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</si>
  <si>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</si>
  <si>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</si>
  <si>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</si>
  <si>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</si>
  <si>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</si>
  <si>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</si>
  <si>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2022-09-06</t>
  </si>
  <si>
    <t xml:space="preserve">2022-09-07</t>
  </si>
  <si>
    <t xml:space="preserve">2022-09-08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</si>
  <si>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</si>
  <si>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</si>
  <si>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</si>
  <si>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</si>
  <si>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</si>
  <si>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</si>
  <si>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</si>
  <si>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</si>
  <si>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2022-09-26</t>
  </si>
  <si>
    <t xml:space="preserve">2022-09-27</t>
  </si>
  <si>
    <t xml:space="preserve">2022-09-28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</si>
  <si>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</si>
  <si>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</si>
  <si>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</si>
  <si>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</si>
  <si>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2022-10-07</t>
  </si>
  <si>
    <t xml:space="preserve">2022-10-13</t>
  </si>
  <si>
    <t xml:space="preserve">2022-10-17</t>
  </si>
  <si>
    <t xml:space="preserve">2022-10-18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</si>
  <si>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</si>
  <si>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</si>
  <si>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</si>
  <si>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</si>
  <si>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2022-10-27</t>
  </si>
  <si>
    <t xml:space="preserve">2022-10-28</t>
  </si>
  <si>
    <t xml:space="preserve">2022-11-01</t>
  </si>
  <si>
    <t xml:space="preserve">2022-11-02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</si>
  <si>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</si>
  <si>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</si>
  <si>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</si>
  <si>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</si>
  <si>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</si>
  <si>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</si>
  <si>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</si>
  <si>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</si>
  <si>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</si>
  <si>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</si>
  <si>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</si>
  <si>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</si>
  <si>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</si>
  <si>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</si>
  <si>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</si>
  <si>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</si>
  <si>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</si>
  <si>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</si>
  <si>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</si>
  <si>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</si>
  <si>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</si>
  <si>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</si>
  <si>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</si>
  <si>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</si>
  <si>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</si>
  <si>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</si>
  <si>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</si>
  <si>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</si>
  <si>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</si>
  <si>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2022-12-22</t>
  </si>
  <si>
    <t xml:space="preserve">2022-12-23</t>
  </si>
  <si>
    <t xml:space="preserve">2022-12-27</t>
  </si>
  <si>
    <t xml:space="preserve">2022-12-29</t>
  </si>
  <si>
    <t xml:space="preserve">2022-12-30</t>
  </si>
  <si>
    <t xml:space="preserve">2023-01-04</t>
  </si>
  <si>
    <t xml:space="preserve">2023-01-05</t>
  </si>
  <si>
    <t xml:space="preserve">2023-01-09</t>
  </si>
  <si>
    <t xml:space="preserve">2023-01-10</t>
  </si>
  <si>
    <t xml:space="preserve">2023-01-11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</si>
  <si>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</si>
  <si>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</si>
  <si>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</si>
  <si>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</si>
  <si>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</si>
  <si>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</si>
  <si>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</si>
  <si>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2023-01-27</t>
  </si>
  <si>
    <t xml:space="preserve">2023-02-02</t>
  </si>
  <si>
    <t xml:space="preserve">2023-02-06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</si>
  <si>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</si>
  <si>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</si>
  <si>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</si>
  <si>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</si>
  <si>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</si>
  <si>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</si>
  <si>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</si>
  <si>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</si>
  <si>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</si>
  <si>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</si>
  <si>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</si>
  <si>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</si>
  <si>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</si>
  <si>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</si>
  <si>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</si>
  <si>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</si>
  <si>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</si>
  <si>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</si>
  <si>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</si>
  <si>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</si>
  <si>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2023-03-14</t>
  </si>
  <si>
    <t xml:space="preserve">2023-03-16</t>
  </si>
  <si>
    <t xml:space="preserve">2023-03-17</t>
  </si>
  <si>
    <t xml:space="preserve">2023-03-20</t>
  </si>
  <si>
    <t xml:space="preserve">2023-03-22</t>
  </si>
  <si>
    <t xml:space="preserve">2023-03-23</t>
  </si>
  <si>
    <t xml:space="preserve">2023-03-27</t>
  </si>
  <si>
    <t xml:space="preserve">2023-03-28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</si>
  <si>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</si>
  <si>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</si>
  <si>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</si>
  <si>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</si>
  <si>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</si>
  <si>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</si>
  <si>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</si>
  <si>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</si>
  <si>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</si>
  <si>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</si>
  <si>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</si>
  <si>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</si>
  <si>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</si>
  <si>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</si>
  <si>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2023-04-26</t>
  </si>
  <si>
    <t xml:space="preserve">2023-04-27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</si>
  <si>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</si>
  <si>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</si>
  <si>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</si>
  <si>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</si>
  <si>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2023-05-09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</si>
  <si>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</si>
  <si>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</si>
  <si>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</si>
  <si>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</si>
  <si>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</si>
  <si>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</si>
  <si>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</si>
  <si>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</si>
  <si>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</si>
  <si>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2023-05-30</t>
  </si>
  <si>
    <t xml:space="preserve">2023-05-31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</si>
  <si>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</si>
  <si>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</si>
  <si>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</si>
  <si>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</si>
  <si>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</si>
  <si>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</si>
  <si>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</si>
  <si>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</si>
  <si>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</si>
  <si>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</si>
  <si>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</si>
  <si>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</si>
  <si>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</si>
  <si>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</si>
  <si>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</si>
  <si>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</si>
  <si>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</si>
  <si>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</si>
  <si>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</si>
  <si>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</si>
  <si>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</si>
  <si>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</si>
  <si>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</si>
  <si>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2023-07-14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</si>
  <si>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</si>
  <si>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</si>
  <si>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</si>
  <si>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</si>
  <si>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</si>
  <si>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</si>
  <si>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</si>
  <si>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</si>
  <si>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</si>
  <si>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</si>
  <si>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</si>
  <si>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</si>
  <si>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</si>
  <si>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</si>
  <si>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</si>
  <si>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</si>
  <si>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</si>
  <si>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2023-08-15</t>
  </si>
  <si>
    <t xml:space="preserve">2023-08-17</t>
  </si>
  <si>
    <t xml:space="preserve">2023-08-21</t>
  </si>
  <si>
    <t xml:space="preserve">2023-08-22</t>
  </si>
  <si>
    <t xml:space="preserve">2023-08-23</t>
  </si>
  <si>
    <t xml:space="preserve">2023-08-25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</si>
  <si>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</si>
  <si>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</si>
  <si>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</si>
  <si>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</si>
  <si>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</si>
  <si>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</si>
  <si>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2023-09-08</t>
  </si>
  <si>
    <t xml:space="preserve">2023-09-12</t>
  </si>
  <si>
    <t xml:space="preserve">2023-09-13</t>
  </si>
  <si>
    <t xml:space="preserve">2023-09-14</t>
  </si>
  <si>
    <t xml:space="preserve">2023-09-18</t>
  </si>
  <si>
    <t xml:space="preserve">2023-09-19</t>
  </si>
  <si>
    <t xml:space="preserve">2023-09-20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</si>
  <si>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</si>
  <si>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</si>
  <si>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</si>
  <si>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</si>
  <si>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</si>
  <si>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</si>
  <si>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</si>
  <si>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2023-10-05</t>
  </si>
  <si>
    <t xml:space="preserve">2023-10-06</t>
  </si>
  <si>
    <t xml:space="preserve">2023-10-10</t>
  </si>
  <si>
    <t xml:space="preserve">2023-10-16</t>
  </si>
  <si>
    <t xml:space="preserve">2023-10-17</t>
  </si>
  <si>
    <t xml:space="preserve">2023-10-20</t>
  </si>
  <si>
    <t xml:space="preserve">2023-10-24</t>
  </si>
  <si>
    <t xml:space="preserve">2023-10-26</t>
  </si>
  <si>
    <t xml:space="preserve">2023-10-30</t>
  </si>
  <si>
    <t xml:space="preserve">2023-10-31</t>
  </si>
  <si>
    <t xml:space="preserve">2023-11-01</t>
  </si>
  <si>
    <t xml:space="preserve">2023-11-06</t>
  </si>
  <si>
    <t xml:space="preserve">2023-11-08</t>
  </si>
  <si>
    <t xml:space="preserve">2023-11-09</t>
  </si>
  <si>
    <t xml:space="preserve">2023-11-13</t>
  </si>
  <si>
    <t xml:space="preserve">2023-11-14</t>
  </si>
  <si>
    <t xml:space="preserve">2023-11-15</t>
  </si>
  <si>
    <t xml:space="preserve">2023-11-17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</si>
  <si>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</si>
  <si>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</si>
  <si>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</si>
  <si>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</si>
  <si>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</si>
  <si>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</si>
  <si>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</si>
  <si>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</si>
  <si>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2023-12-05</t>
  </si>
  <si>
    <t xml:space="preserve">2023-12-06</t>
  </si>
  <si>
    <t xml:space="preserve">2023-12-07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</si>
  <si>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</si>
  <si>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</si>
  <si>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</si>
  <si>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</si>
  <si>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</si>
  <si>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</si>
  <si>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</si>
  <si>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</si>
  <si>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</si>
  <si>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</si>
  <si>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</si>
  <si>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</si>
  <si>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</si>
  <si>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</si>
  <si>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</si>
  <si>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</si>
  <si>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</si>
  <si>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</si>
  <si>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</si>
  <si>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</si>
  <si>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</si>
  <si>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</si>
  <si>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</si>
  <si>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</si>
  <si>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</si>
  <si>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</si>
  <si>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</si>
  <si>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</si>
  <si>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</si>
  <si>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</si>
  <si>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2024-02-06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</si>
  <si>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</si>
  <si>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</si>
  <si>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</si>
  <si>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</si>
  <si>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</si>
  <si>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2024-02-21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</si>
  <si>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</si>
  <si>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</si>
  <si>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</si>
  <si>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</si>
  <si>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</si>
  <si>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</si>
  <si>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</si>
  <si>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</si>
  <si>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</si>
  <si>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2024-03-12</t>
  </si>
  <si>
    <t xml:space="preserve">2024-03-13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</si>
  <si>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</si>
  <si>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</si>
  <si>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</si>
  <si>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</si>
  <si>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</si>
  <si>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</si>
  <si>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</si>
  <si>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</si>
  <si>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</si>
  <si>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2024-04-03</t>
  </si>
  <si>
    <t xml:space="preserve">2024-04-04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</si>
  <si>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</si>
  <si>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</si>
  <si>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</si>
  <si>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</si>
  <si>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2024-04-16</t>
  </si>
  <si>
    <t xml:space="preserve">2024-04-18</t>
  </si>
  <si>
    <t xml:space="preserve">2024-04-22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</si>
  <si>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</si>
  <si>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</si>
  <si>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</si>
  <si>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</si>
  <si>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</si>
  <si>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</si>
  <si>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</si>
  <si>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</si>
  <si>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</si>
  <si>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</si>
  <si>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</si>
  <si>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</si>
  <si>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</si>
  <si>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</si>
  <si>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</si>
  <si>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</si>
  <si>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</si>
  <si>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</si>
  <si>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</si>
  <si>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</si>
  <si>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</si>
  <si>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</si>
  <si>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</si>
  <si>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</si>
  <si>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</si>
  <si>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</si>
  <si>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2024-06-04</t>
  </si>
  <si>
    <t xml:space="preserve">2024-06-05</t>
  </si>
  <si>
    <t xml:space="preserve">2024-06-06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</si>
  <si>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</si>
  <si>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</si>
  <si>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</si>
  <si>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</si>
  <si>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</si>
  <si>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</si>
  <si>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</si>
  <si>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</si>
  <si>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</si>
  <si>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</si>
  <si>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2024-06-27</t>
  </si>
  <si>
    <t xml:space="preserve">2024-06-28</t>
  </si>
  <si>
    <t xml:space="preserve">2024-07-01</t>
  </si>
  <si>
    <t xml:space="preserve">2024-07-10</t>
  </si>
  <si>
    <t xml:space="preserve">2024-07-12</t>
  </si>
  <si>
    <t xml:space="preserve">2024-07-15</t>
  </si>
  <si>
    <t xml:space="preserve">2024-07-16</t>
  </si>
  <si>
    <t xml:space="preserve">2024-07-18</t>
  </si>
  <si>
    <t xml:space="preserve">2024-07-19</t>
  </si>
  <si>
    <t xml:space="preserve">2024-07-23</t>
  </si>
  <si>
    <t xml:space="preserve">2024-07-25</t>
  </si>
  <si>
    <t xml:space="preserve">2024-07-29</t>
  </si>
  <si>
    <t xml:space="preserve">2024-07-30</t>
  </si>
  <si>
    <t xml:space="preserve">2024-08-01</t>
  </si>
  <si>
    <t xml:space="preserve">2024-08-05</t>
  </si>
  <si>
    <t xml:space="preserve">2024-08-07</t>
  </si>
  <si>
    <t xml:space="preserve">2024-08-08</t>
  </si>
  <si>
    <t xml:space="preserve">2024-08-09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</si>
  <si>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</si>
  <si>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</si>
  <si>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</si>
  <si>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</si>
  <si>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2024-08-20</t>
  </si>
  <si>
    <t xml:space="preserve">2024-08-21</t>
  </si>
  <si>
    <t xml:space="preserve">2024-08-22</t>
  </si>
  <si>
    <t xml:space="preserve">2024-08-26</t>
  </si>
  <si>
    <t xml:space="preserve">2024-08-27</t>
  </si>
  <si>
    <t xml:space="preserve">2024-08-29</t>
  </si>
  <si>
    <t xml:space="preserve">2024-08-30</t>
  </si>
  <si>
    <t xml:space="preserve">2024-09-04</t>
  </si>
  <si>
    <t xml:space="preserve">2024-09-05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</si>
  <si>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</si>
  <si>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</si>
  <si>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</si>
  <si>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</si>
  <si>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</si>
  <si>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2024-09-17</t>
  </si>
  <si>
    <t xml:space="preserve">2024-09-18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</si>
  <si>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</si>
  <si>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</si>
  <si>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</si>
  <si>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</si>
  <si>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</si>
  <si>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2024-10-01</t>
  </si>
  <si>
    <t xml:space="preserve">2024-10-02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</si>
  <si>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</si>
  <si>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</si>
  <si>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</si>
  <si>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</si>
  <si>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</si>
  <si>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</si>
  <si>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</si>
  <si>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</si>
  <si>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2024-10-17</t>
  </si>
  <si>
    <t xml:space="preserve">2024-10-18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</si>
  <si>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</si>
  <si>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</si>
  <si>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</si>
  <si>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</si>
  <si>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</si>
  <si>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2024-11-04</t>
  </si>
  <si>
    <t xml:space="preserve">2024-11-05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</si>
  <si>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</si>
  <si>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</si>
  <si>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</si>
  <si>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</si>
  <si>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</si>
  <si>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</si>
  <si>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</si>
  <si>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</si>
  <si>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</si>
  <si>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</si>
  <si>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</si>
  <si>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</si>
  <si>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</si>
  <si>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</si>
  <si>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</si>
  <si>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</si>
  <si>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</si>
  <si>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</si>
  <si>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</si>
  <si>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</si>
  <si>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</si>
  <si>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</si>
  <si>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2024-12-17</t>
  </si>
  <si>
    <t xml:space="preserve">2024-12-19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</si>
  <si>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</si>
  <si>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</si>
  <si>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</si>
  <si>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</si>
  <si>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</si>
  <si>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</si>
  <si>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2025-01-06</t>
  </si>
  <si>
    <t xml:space="preserve">2025-01-07</t>
  </si>
  <si>
    <t xml:space="preserve">2025-01-08</t>
  </si>
  <si>
    <t xml:space="preserve">2025-01-13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</si>
  <si>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</si>
  <si>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</si>
  <si>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</si>
  <si>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</si>
  <si>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</si>
  <si>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</si>
  <si>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2025-01-28</t>
  </si>
  <si>
    <t xml:space="preserve">2025-01-29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</si>
  <si>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</si>
  <si>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</si>
  <si>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</si>
  <si>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</si>
  <si>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</si>
  <si>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</si>
  <si>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</si>
  <si>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</si>
  <si>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</si>
  <si>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2025-02-20</t>
  </si>
  <si>
    <t xml:space="preserve">2025-02-21</t>
  </si>
  <si>
    <t xml:space="preserve">2025-02-26</t>
  </si>
  <si>
    <t xml:space="preserve">2025-03-04</t>
  </si>
  <si>
    <t xml:space="preserve">2025-03-05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</si>
  <si>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</si>
  <si>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</si>
  <si>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</si>
  <si>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</si>
  <si>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</si>
  <si>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</si>
  <si>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</si>
  <si>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</si>
  <si>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2025-03-21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</si>
  <si>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</si>
  <si>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</si>
  <si>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</si>
  <si>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</si>
  <si>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2025-04-01</t>
  </si>
  <si>
    <t xml:space="preserve">2025-04-02</t>
  </si>
  <si>
    <t xml:space="preserve">2025-04-04</t>
  </si>
  <si>
    <t xml:space="preserve">2025-04-07</t>
  </si>
  <si>
    <t xml:space="preserve">2025-04-10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</si>
  <si>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</si>
  <si>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</si>
  <si>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</si>
  <si>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</si>
  <si>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</si>
  <si>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</si>
  <si>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</si>
  <si>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</si>
  <si>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2025-04-30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</si>
  <si>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</si>
  <si>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</si>
  <si>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</si>
  <si>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</si>
  <si>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</si>
  <si>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</si>
  <si>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</si>
  <si>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</si>
  <si>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</si>
  <si>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</si>
  <si>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</si>
  <si>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</si>
  <si>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</si>
  <si>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</si>
  <si>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</si>
  <si>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</si>
  <si>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</si>
  <si>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</si>
  <si>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</si>
  <si>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</si>
  <si>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</si>
  <si>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</si>
  <si>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</si>
  <si>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</si>
  <si>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</si>
  <si>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</si>
  <si>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2025-06-16</t>
  </si>
  <si>
    <t xml:space="preserve">2025-06-17</t>
  </si>
  <si>
    <t xml:space="preserve">2025-06-18</t>
  </si>
  <si>
    <t xml:space="preserve">2025-06-23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</si>
  <si>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</si>
  <si>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</si>
  <si>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</si>
  <si>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</si>
  <si>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</si>
  <si>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</si>
  <si>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</si>
  <si>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</si>
  <si>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</si>
  <si>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</si>
  <si>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</si>
  <si>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</si>
  <si>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</si>
  <si>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</si>
  <si>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</si>
  <si>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</si>
  <si>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</si>
  <si>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</si>
  <si>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</si>
  <si>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</si>
  <si>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</si>
  <si>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</si>
  <si>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2025-08-05</t>
  </si>
  <si>
    <t xml:space="preserve">2025-08-06</t>
  </si>
  <si>
    <t xml:space="preserve">2025-08-11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</si>
  <si>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</si>
  <si>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</si>
  <si>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</si>
  <si>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</si>
  <si>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</si>
  <si>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</si>
  <si>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</si>
  <si>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</si>
  <si>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</si>
  <si>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</si>
  <si>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</si>
  <si>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</si>
  <si>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</si>
  <si>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</si>
  <si>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2025-09-08</t>
  </si>
  <si>
    <t xml:space="preserve">2025-09-09</t>
  </si>
  <si>
    <t xml:space="preserve">2025-09-16</t>
  </si>
  <si>
    <t xml:space="preserve">2025-09-17</t>
  </si>
  <si>
    <t xml:space="preserve">2025-09-19</t>
  </si>
  <si>
    <t xml:space="preserve">2025-09-22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</si>
  <si>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</si>
  <si>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</si>
  <si>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</si>
  <si>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</si>
  <si>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2025-10-01</t>
  </si>
  <si>
    <t xml:space="preserve">2025-10-02</t>
  </si>
  <si>
    <t xml:space="preserve">2025-10-07</t>
  </si>
  <si>
    <t xml:space="preserve">2025-10-09</t>
  </si>
  <si>
    <t xml:space="preserve">2025-10-14</t>
  </si>
  <si>
    <t xml:space="preserve">2025-10-15</t>
  </si>
  <si>
    <t xml:space="preserve">2025-10-17</t>
  </si>
  <si>
    <t xml:space="preserve">2025-10-21</t>
  </si>
  <si>
    <t xml:space="preserve">2025-10-22</t>
  </si>
  <si>
    <t xml:space="preserve">2025-10-23</t>
  </si>
  <si>
    <t xml:space="preserve">2025-10-28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</si>
  <si>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</si>
  <si>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</si>
  <si>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</si>
  <si>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</si>
  <si>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</si>
  <si>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</si>
  <si>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</si>
  <si>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</si>
  <si>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</si>
  <si>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</si>
  <si>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</si>
  <si>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</si>
  <si>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2025-11-19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</si>
  <si>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</si>
  <si>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</si>
  <si>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</si>
  <si>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</si>
  <si>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</si>
  <si>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</si>
  <si>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</si>
  <si>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</si>
  <si>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</si>
  <si>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</si>
  <si>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</si>
  <si>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</si>
  <si>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</si>
  <si>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2025-12-16</t>
  </si>
  <si>
    <t xml:space="preserve">2025-12-17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</si>
  <si>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</si>
  <si>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</si>
  <si>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</si>
  <si>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</si>
  <si>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</si>
  <si>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</si>
  <si>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</si>
  <si>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</si>
  <si>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</si>
  <si>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</si>
  <si>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</si>
  <si>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</si>
  <si>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</si>
  <si>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</si>
  <si>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</si>
  <si>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</si>
  <si>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</si>
  <si>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</si>
  <si>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</si>
  <si>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</si>
  <si>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</si>
  <si>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</si>
  <si>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</si>
  <si>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</si>
  <si>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</si>
  <si>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2026-02-02</t>
  </si>
  <si>
    <t xml:space="preserve">2026-02-03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</si>
  <si>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</si>
  <si>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</si>
  <si>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</si>
  <si>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</si>
  <si>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</si>
  <si>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2026-02-17</t>
  </si>
  <si>
    <t xml:space="preserve">2026-02-19</t>
  </si>
  <si>
    <t xml:space="preserve">2026-02-23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</si>
  <si>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</si>
  <si>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</si>
  <si>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</si>
  <si>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</si>
  <si>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</si>
  <si>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2026-03-05</t>
  </si>
  <si>
    <t xml:space="preserve">2026-03-06</t>
  </si>
  <si>
    <t xml:space="preserve">2026-03-10</t>
  </si>
  <si>
    <t xml:space="preserve">2026-03-11</t>
  </si>
  <si>
    <t xml:space="preserve">2026-03-16</t>
  </si>
  <si>
    <t xml:space="preserve">2026-03-17</t>
  </si>
  <si>
    <t xml:space="preserve">2026-03-19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</si>
  <si>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</si>
  <si>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</si>
  <si>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</si>
  <si>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</si>
  <si>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</si>
  <si>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</si>
  <si>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</si>
  <si>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</si>
  <si>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2026-04-06</t>
  </si>
  <si>
    <t xml:space="preserve">2026-04-07</t>
  </si>
  <si>
    <t xml:space="preserve">2026-04-09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</si>
  <si>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</si>
  <si>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</si>
  <si>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</si>
  <si>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</si>
  <si>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</si>
  <si>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</si>
  <si>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</si>
  <si>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</si>
  <si>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</si>
  <si>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</si>
  <si>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</si>
  <si>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</si>
  <si>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</si>
  <si>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</si>
  <si>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</si>
  <si>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</si>
  <si>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</si>
  <si>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</si>
  <si>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</si>
  <si>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</si>
  <si>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</si>
  <si>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</si>
  <si>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</si>
  <si>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2026-05-18</t>
  </si>
  <si>
    <t xml:space="preserve">2026-05-19</t>
  </si>
  <si>
    <t xml:space="preserve">2026-05-20</t>
  </si>
  <si>
    <t xml:space="preserve">2026-05-22</t>
  </si>
  <si>
    <t xml:space="preserve">2026-05-27</t>
  </si>
  <si>
    <t xml:space="preserve">2026-06-03</t>
  </si>
  <si>
    <t xml:space="preserve">2026-06-05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</si>
  <si>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</si>
  <si>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</si>
  <si>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</si>
  <si>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</si>
  <si>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</si>
  <si>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2026-06-22</t>
  </si>
  <si>
    <t xml:space="preserve">2026-06-24</t>
  </si>
  <si>
    <t xml:space="preserve">2026-07-01</t>
  </si>
  <si>
    <t xml:space="preserve">2026-07-02</t>
  </si>
  <si>
    <t xml:space="preserve">2026-07-06</t>
  </si>
  <si>
    <t xml:space="preserve">2026-07-07</t>
  </si>
  <si>
    <t xml:space="preserve">2026-07-09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</si>
</sst>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\+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sz val="9"/>
      <name val="Arial"/>
      <family val="0"/>
      <charset val="1"/>
    </font>
    <font>
      <b val="true"/>
      <sz val="9"/>
      <name val="WenQuanYi Zen Hei"/>
      <family val="2"/>
    </font>
    <font>
      <sz val="9"/>
      <name val="WenQuanYi Zen Hei"/>
      <family val="2"/>
    </font>
    <font>
      <b val="true"/>
      <sz val="9"/>
      <name val="Arial"/>
      <family val="0"/>
      <charset val="1"/>
    </font>
    <font>
      <sz val="9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0"/>
  </cols>
  <sheetData>
    <row r="1" customFormat="false" ht="16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25.3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 t="s">
        <v>9</v>
      </c>
      <c r="B6" s="4" t="s">
        <v>10</v>
      </c>
    </row>
    <row r="7" customFormat="false" ht="15" hidden="false" customHeight="false" outlineLevel="0" collapsed="false">
      <c r="A7" s="3" t="s">
        <v>11</v>
      </c>
      <c r="B7" s="2" t="s">
        <v>12</v>
      </c>
    </row>
    <row r="8" customFormat="false" ht="37.3" hidden="false" customHeight="false" outlineLevel="0" collapsed="false">
      <c r="A8" s="3" t="s">
        <v>13</v>
      </c>
      <c r="B8" s="4" t="s">
        <v>14</v>
      </c>
    </row>
    <row r="9" customFormat="false" ht="15" hidden="false" customHeight="false" outlineLevel="0" collapsed="false">
      <c r="A9" s="3" t="s">
        <v>15</v>
      </c>
      <c r="B9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"/>
  </cols>
  <sheetData>
    <row r="1" customFormat="false" ht="16.4" hidden="false" customHeight="false" outlineLevel="0" collapsed="false">
      <c r="A1" s="5" t="s">
        <v>17</v>
      </c>
    </row>
    <row r="2" customFormat="false" ht="15" hidden="false" customHeight="false" outlineLevel="0" collapsed="false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</row>
    <row r="3" customFormat="false" ht="15" hidden="false" customHeight="false" outlineLevel="0" collapsed="false">
      <c r="A3" s="7" t="n">
        <v>1</v>
      </c>
      <c r="B3" s="7" t="s">
        <v>27</v>
      </c>
      <c r="C3" s="8" t="s">
        <v>28</v>
      </c>
      <c r="D3" s="7" t="s">
        <v>29</v>
      </c>
      <c r="E3" s="7" t="s">
        <v>30</v>
      </c>
      <c r="F3" s="7" t="n">
        <v>-83</v>
      </c>
      <c r="G3" s="7" t="s">
        <v>31</v>
      </c>
      <c r="H3" s="9" t="n">
        <v>0.5</v>
      </c>
      <c r="I3" s="7"/>
    </row>
    <row r="4" customFormat="false" ht="15" hidden="false" customHeight="false" outlineLevel="0" collapsed="false">
      <c r="A4" s="7" t="n">
        <v>2</v>
      </c>
      <c r="B4" s="7" t="s">
        <v>32</v>
      </c>
      <c r="C4" s="8" t="s">
        <v>33</v>
      </c>
      <c r="D4" s="7" t="s">
        <v>29</v>
      </c>
      <c r="E4" s="10" t="s">
        <v>34</v>
      </c>
      <c r="F4" s="7" t="n">
        <v>-82</v>
      </c>
      <c r="G4" s="7" t="s">
        <v>35</v>
      </c>
      <c r="H4" s="9" t="n">
        <v>0.24</v>
      </c>
      <c r="I4" s="7" t="s">
        <v>36</v>
      </c>
    </row>
    <row r="5" customFormat="false" ht="15" hidden="false" customHeight="false" outlineLevel="0" collapsed="false">
      <c r="A5" s="7" t="n">
        <v>3</v>
      </c>
      <c r="B5" s="7" t="s">
        <v>37</v>
      </c>
      <c r="C5" s="8" t="s">
        <v>38</v>
      </c>
      <c r="D5" s="7" t="s">
        <v>29</v>
      </c>
      <c r="E5" s="10" t="s">
        <v>34</v>
      </c>
      <c r="F5" s="7" t="n">
        <v>-80</v>
      </c>
      <c r="G5" s="7" t="s">
        <v>39</v>
      </c>
      <c r="H5" s="9" t="n">
        <v>0.431</v>
      </c>
      <c r="I5" s="7" t="s">
        <v>36</v>
      </c>
    </row>
    <row r="6" customFormat="false" ht="15" hidden="false" customHeight="false" outlineLevel="0" collapsed="false">
      <c r="A6" s="7" t="n">
        <v>4</v>
      </c>
      <c r="B6" s="7" t="s">
        <v>40</v>
      </c>
      <c r="C6" s="8" t="s">
        <v>33</v>
      </c>
      <c r="D6" s="7" t="s">
        <v>29</v>
      </c>
      <c r="E6" s="7" t="s">
        <v>30</v>
      </c>
      <c r="F6" s="7" t="n">
        <v>-80</v>
      </c>
      <c r="G6" s="7" t="s">
        <v>35</v>
      </c>
      <c r="H6" s="9" t="n">
        <v>0.377</v>
      </c>
      <c r="I6" s="7"/>
    </row>
    <row r="7" customFormat="false" ht="15" hidden="false" customHeight="false" outlineLevel="0" collapsed="false">
      <c r="A7" s="7" t="n">
        <v>5</v>
      </c>
      <c r="B7" s="7" t="s">
        <v>41</v>
      </c>
      <c r="C7" s="8" t="s">
        <v>28</v>
      </c>
      <c r="D7" s="7" t="s">
        <v>29</v>
      </c>
      <c r="E7" s="7" t="s">
        <v>30</v>
      </c>
      <c r="F7" s="7" t="n">
        <v>-80</v>
      </c>
      <c r="G7" s="7" t="s">
        <v>42</v>
      </c>
      <c r="H7" s="9" t="n">
        <v>0.383</v>
      </c>
      <c r="I7" s="7"/>
    </row>
    <row r="8" customFormat="false" ht="15" hidden="false" customHeight="false" outlineLevel="0" collapsed="false">
      <c r="A8" s="7" t="n">
        <v>6</v>
      </c>
      <c r="B8" s="7" t="s">
        <v>43</v>
      </c>
      <c r="C8" s="8" t="s">
        <v>38</v>
      </c>
      <c r="D8" s="7" t="s">
        <v>29</v>
      </c>
      <c r="E8" s="7" t="s">
        <v>30</v>
      </c>
      <c r="F8" s="7" t="n">
        <v>-74.5</v>
      </c>
      <c r="G8" s="7" t="s">
        <v>44</v>
      </c>
      <c r="H8" s="9" t="n">
        <v>0.467</v>
      </c>
      <c r="I8" s="7"/>
    </row>
    <row r="9" customFormat="false" ht="15" hidden="false" customHeight="false" outlineLevel="0" collapsed="false">
      <c r="A9" s="7" t="n">
        <v>7</v>
      </c>
      <c r="B9" s="7" t="s">
        <v>45</v>
      </c>
      <c r="C9" s="8" t="s">
        <v>46</v>
      </c>
      <c r="D9" s="7" t="s">
        <v>29</v>
      </c>
      <c r="E9" s="7" t="s">
        <v>30</v>
      </c>
      <c r="F9" s="7" t="n">
        <v>-74</v>
      </c>
      <c r="G9" s="7" t="s">
        <v>44</v>
      </c>
      <c r="H9" s="9" t="n">
        <v>0.571</v>
      </c>
      <c r="I9" s="7"/>
    </row>
    <row r="10" customFormat="false" ht="15" hidden="false" customHeight="false" outlineLevel="0" collapsed="false">
      <c r="A10" s="7" t="n">
        <v>8</v>
      </c>
      <c r="B10" s="7" t="s">
        <v>47</v>
      </c>
      <c r="C10" s="8" t="s">
        <v>46</v>
      </c>
      <c r="D10" s="7" t="s">
        <v>29</v>
      </c>
      <c r="E10" s="10" t="s">
        <v>34</v>
      </c>
      <c r="F10" s="7" t="n">
        <v>-73</v>
      </c>
      <c r="G10" s="7" t="s">
        <v>48</v>
      </c>
      <c r="H10" s="9" t="n">
        <v>0.34</v>
      </c>
      <c r="I10" s="7" t="s">
        <v>36</v>
      </c>
    </row>
    <row r="11" customFormat="false" ht="15" hidden="false" customHeight="false" outlineLevel="0" collapsed="false">
      <c r="A11" s="7" t="n">
        <v>9</v>
      </c>
      <c r="B11" s="7" t="s">
        <v>49</v>
      </c>
      <c r="C11" s="8" t="s">
        <v>33</v>
      </c>
      <c r="D11" s="7" t="s">
        <v>29</v>
      </c>
      <c r="E11" s="10" t="s">
        <v>34</v>
      </c>
      <c r="F11" s="7" t="n">
        <v>-69</v>
      </c>
      <c r="G11" s="7" t="s">
        <v>50</v>
      </c>
      <c r="H11" s="9" t="n">
        <v>0.125</v>
      </c>
      <c r="I11" s="7" t="s">
        <v>36</v>
      </c>
    </row>
    <row r="12" customFormat="false" ht="15" hidden="false" customHeight="false" outlineLevel="0" collapsed="false">
      <c r="A12" s="7" t="n">
        <v>10</v>
      </c>
      <c r="B12" s="7" t="s">
        <v>51</v>
      </c>
      <c r="C12" s="8" t="s">
        <v>33</v>
      </c>
      <c r="D12" s="7" t="s">
        <v>29</v>
      </c>
      <c r="E12" s="7" t="s">
        <v>30</v>
      </c>
      <c r="F12" s="7" t="n">
        <v>-64</v>
      </c>
      <c r="G12" s="7" t="s">
        <v>52</v>
      </c>
      <c r="H12" s="9" t="n">
        <v>0.6087</v>
      </c>
      <c r="I12" s="7"/>
    </row>
    <row r="13" customFormat="false" ht="15" hidden="false" customHeight="false" outlineLevel="0" collapsed="false">
      <c r="A13" s="7" t="n">
        <v>11</v>
      </c>
      <c r="B13" s="7" t="s">
        <v>53</v>
      </c>
      <c r="C13" s="8" t="s">
        <v>28</v>
      </c>
      <c r="D13" s="7" t="s">
        <v>29</v>
      </c>
      <c r="E13" s="7" t="s">
        <v>30</v>
      </c>
      <c r="F13" s="7" t="n">
        <v>-63.5</v>
      </c>
      <c r="G13" s="7" t="s">
        <v>54</v>
      </c>
      <c r="H13" s="9" t="n">
        <v>0.341</v>
      </c>
      <c r="I13" s="7"/>
    </row>
    <row r="14" customFormat="false" ht="15" hidden="false" customHeight="false" outlineLevel="0" collapsed="false">
      <c r="A14" s="7" t="n">
        <v>12</v>
      </c>
      <c r="B14" s="7" t="s">
        <v>55</v>
      </c>
      <c r="C14" s="8" t="s">
        <v>46</v>
      </c>
      <c r="D14" s="7" t="s">
        <v>56</v>
      </c>
      <c r="E14" s="10" t="s">
        <v>34</v>
      </c>
      <c r="F14" s="7" t="n">
        <v>-60</v>
      </c>
      <c r="G14" s="7" t="s">
        <v>57</v>
      </c>
      <c r="H14" s="9" t="n">
        <v>0.432</v>
      </c>
      <c r="I14" s="7"/>
    </row>
    <row r="15" customFormat="false" ht="15" hidden="false" customHeight="false" outlineLevel="0" collapsed="false">
      <c r="A15" s="7" t="n">
        <v>13</v>
      </c>
      <c r="B15" s="7" t="s">
        <v>58</v>
      </c>
      <c r="C15" s="8" t="s">
        <v>46</v>
      </c>
      <c r="D15" s="7" t="s">
        <v>56</v>
      </c>
      <c r="E15" s="10" t="s">
        <v>34</v>
      </c>
      <c r="F15" s="7" t="n">
        <v>-56.5</v>
      </c>
      <c r="G15" s="7" t="s">
        <v>59</v>
      </c>
      <c r="H15" s="9" t="n">
        <v>0.425</v>
      </c>
      <c r="I15" s="7"/>
    </row>
    <row r="16" customFormat="false" ht="15" hidden="false" customHeight="false" outlineLevel="0" collapsed="false">
      <c r="A16" s="7" t="n">
        <v>14</v>
      </c>
      <c r="B16" s="7" t="s">
        <v>60</v>
      </c>
      <c r="C16" s="8" t="s">
        <v>46</v>
      </c>
      <c r="D16" s="7" t="s">
        <v>56</v>
      </c>
      <c r="E16" s="7" t="s">
        <v>30</v>
      </c>
      <c r="F16" s="7" t="n">
        <v>-55</v>
      </c>
      <c r="G16" s="7" t="s">
        <v>61</v>
      </c>
      <c r="H16" s="9" t="n">
        <v>0.49</v>
      </c>
      <c r="I16" s="7"/>
    </row>
    <row r="17" customFormat="false" ht="15" hidden="false" customHeight="false" outlineLevel="0" collapsed="false">
      <c r="A17" s="7" t="n">
        <v>15</v>
      </c>
      <c r="B17" s="7" t="s">
        <v>62</v>
      </c>
      <c r="C17" s="8" t="s">
        <v>46</v>
      </c>
      <c r="D17" s="7" t="s">
        <v>29</v>
      </c>
      <c r="E17" s="10" t="s">
        <v>34</v>
      </c>
      <c r="F17" s="7" t="n">
        <v>-51</v>
      </c>
      <c r="G17" s="7" t="s">
        <v>63</v>
      </c>
      <c r="H17" s="9" t="n">
        <v>0.525</v>
      </c>
      <c r="I17" s="7"/>
    </row>
    <row r="18" customFormat="false" ht="15" hidden="false" customHeight="false" outlineLevel="0" collapsed="false">
      <c r="A18" s="7" t="n">
        <v>16</v>
      </c>
      <c r="B18" s="7" t="s">
        <v>64</v>
      </c>
      <c r="C18" s="8" t="s">
        <v>38</v>
      </c>
      <c r="D18" s="7" t="s">
        <v>29</v>
      </c>
      <c r="E18" s="10" t="s">
        <v>34</v>
      </c>
      <c r="F18" s="7" t="n">
        <v>-44</v>
      </c>
      <c r="G18" s="7" t="s">
        <v>65</v>
      </c>
      <c r="H18" s="9" t="n">
        <v>0.4</v>
      </c>
      <c r="I18" s="7" t="s">
        <v>36</v>
      </c>
    </row>
    <row r="19" customFormat="false" ht="15" hidden="false" customHeight="false" outlineLevel="0" collapsed="false">
      <c r="A19" s="7" t="n">
        <v>17</v>
      </c>
      <c r="B19" s="7" t="s">
        <v>66</v>
      </c>
      <c r="C19" s="8" t="s">
        <v>33</v>
      </c>
      <c r="D19" s="7" t="s">
        <v>67</v>
      </c>
      <c r="E19" s="10" t="s">
        <v>34</v>
      </c>
      <c r="F19" s="7" t="n">
        <v>-44</v>
      </c>
      <c r="G19" s="7" t="s">
        <v>68</v>
      </c>
      <c r="H19" s="9" t="n">
        <v>0.3333</v>
      </c>
      <c r="I19" s="7" t="s">
        <v>36</v>
      </c>
    </row>
    <row r="20" customFormat="false" ht="15" hidden="false" customHeight="false" outlineLevel="0" collapsed="false">
      <c r="A20" s="7" t="n">
        <v>18</v>
      </c>
      <c r="B20" s="7" t="s">
        <v>69</v>
      </c>
      <c r="C20" s="8" t="s">
        <v>33</v>
      </c>
      <c r="D20" s="7" t="s">
        <v>29</v>
      </c>
      <c r="E20" s="7" t="s">
        <v>30</v>
      </c>
      <c r="F20" s="7" t="n">
        <v>-44</v>
      </c>
      <c r="G20" s="7" t="s">
        <v>70</v>
      </c>
      <c r="H20" s="9" t="n">
        <v>0.4355</v>
      </c>
      <c r="I20" s="7"/>
    </row>
    <row r="21" customFormat="false" ht="15" hidden="false" customHeight="false" outlineLevel="0" collapsed="false">
      <c r="A21" s="7" t="n">
        <v>19</v>
      </c>
      <c r="B21" s="7" t="s">
        <v>71</v>
      </c>
      <c r="C21" s="8" t="s">
        <v>33</v>
      </c>
      <c r="D21" s="7" t="s">
        <v>67</v>
      </c>
      <c r="E21" s="10" t="s">
        <v>34</v>
      </c>
      <c r="F21" s="7" t="n">
        <v>-43</v>
      </c>
      <c r="G21" s="7" t="s">
        <v>72</v>
      </c>
      <c r="H21" s="9" t="n">
        <v>0.4769</v>
      </c>
      <c r="I21" s="7" t="s">
        <v>36</v>
      </c>
    </row>
    <row r="22" customFormat="false" ht="15" hidden="false" customHeight="false" outlineLevel="0" collapsed="false">
      <c r="A22" s="7" t="n">
        <v>20</v>
      </c>
      <c r="B22" s="7" t="s">
        <v>73</v>
      </c>
      <c r="C22" s="8" t="s">
        <v>28</v>
      </c>
      <c r="D22" s="7" t="s">
        <v>67</v>
      </c>
      <c r="E22" s="7" t="s">
        <v>30</v>
      </c>
      <c r="F22" s="7" t="n">
        <v>-35.5</v>
      </c>
      <c r="G22" s="7" t="s">
        <v>74</v>
      </c>
      <c r="H22" s="9" t="n">
        <v>0.5</v>
      </c>
      <c r="I22" s="7"/>
    </row>
    <row r="23" customFormat="false" ht="15" hidden="false" customHeight="false" outlineLevel="0" collapsed="false">
      <c r="A23" s="7" t="n">
        <v>21</v>
      </c>
      <c r="B23" s="7" t="s">
        <v>75</v>
      </c>
      <c r="C23" s="8" t="s">
        <v>28</v>
      </c>
      <c r="D23" s="7" t="s">
        <v>67</v>
      </c>
      <c r="E23" s="10" t="s">
        <v>34</v>
      </c>
      <c r="F23" s="7" t="n">
        <v>-34</v>
      </c>
      <c r="G23" s="7" t="s">
        <v>76</v>
      </c>
      <c r="H23" s="9" t="n">
        <v>0</v>
      </c>
      <c r="I23" s="7" t="s">
        <v>36</v>
      </c>
    </row>
    <row r="24" customFormat="false" ht="15" hidden="false" customHeight="false" outlineLevel="0" collapsed="false">
      <c r="A24" s="7" t="n">
        <v>22</v>
      </c>
      <c r="B24" s="7" t="s">
        <v>77</v>
      </c>
      <c r="C24" s="8" t="s">
        <v>46</v>
      </c>
      <c r="D24" s="7" t="s">
        <v>67</v>
      </c>
      <c r="E24" s="10" t="s">
        <v>34</v>
      </c>
      <c r="F24" s="7" t="n">
        <v>-32</v>
      </c>
      <c r="G24" s="7" t="s">
        <v>78</v>
      </c>
      <c r="H24" s="9" t="n">
        <v>0</v>
      </c>
      <c r="I24" s="7" t="s">
        <v>36</v>
      </c>
    </row>
    <row r="25" customFormat="false" ht="15" hidden="false" customHeight="false" outlineLevel="0" collapsed="false">
      <c r="A25" s="7" t="n">
        <v>23</v>
      </c>
      <c r="B25" s="7" t="s">
        <v>79</v>
      </c>
      <c r="C25" s="8" t="s">
        <v>33</v>
      </c>
      <c r="D25" s="7" t="s">
        <v>67</v>
      </c>
      <c r="E25" s="10" t="s">
        <v>34</v>
      </c>
      <c r="F25" s="7" t="n">
        <v>-29</v>
      </c>
      <c r="G25" s="7" t="s">
        <v>72</v>
      </c>
      <c r="H25" s="9" t="n">
        <v>0.4667</v>
      </c>
      <c r="I25" s="7" t="s">
        <v>36</v>
      </c>
    </row>
    <row r="26" customFormat="false" ht="15" hidden="false" customHeight="false" outlineLevel="0" collapsed="false">
      <c r="A26" s="7" t="n">
        <v>24</v>
      </c>
      <c r="B26" s="7" t="s">
        <v>80</v>
      </c>
      <c r="C26" s="8" t="s">
        <v>38</v>
      </c>
      <c r="D26" s="7" t="s">
        <v>67</v>
      </c>
      <c r="E26" s="7" t="s">
        <v>30</v>
      </c>
      <c r="F26" s="7" t="n">
        <v>-27.5</v>
      </c>
      <c r="G26" s="7" t="s">
        <v>81</v>
      </c>
      <c r="H26" s="9" t="n">
        <v>0.125</v>
      </c>
      <c r="I26" s="7"/>
    </row>
    <row r="27" customFormat="false" ht="15" hidden="false" customHeight="false" outlineLevel="0" collapsed="false">
      <c r="A27" s="7" t="n">
        <v>25</v>
      </c>
      <c r="B27" s="7" t="s">
        <v>82</v>
      </c>
      <c r="C27" s="8" t="s">
        <v>46</v>
      </c>
      <c r="D27" s="7" t="s">
        <v>56</v>
      </c>
      <c r="E27" s="7" t="s">
        <v>30</v>
      </c>
      <c r="F27" s="7" t="n">
        <v>-25</v>
      </c>
      <c r="G27" s="7" t="s">
        <v>83</v>
      </c>
      <c r="H27" s="9" t="n">
        <v>0.529</v>
      </c>
      <c r="I27" s="7"/>
    </row>
    <row r="28" customFormat="false" ht="15" hidden="false" customHeight="false" outlineLevel="0" collapsed="false">
      <c r="A28" s="7" t="n">
        <v>26</v>
      </c>
      <c r="B28" s="7" t="s">
        <v>84</v>
      </c>
      <c r="C28" s="8" t="s">
        <v>38</v>
      </c>
      <c r="D28" s="7" t="s">
        <v>29</v>
      </c>
      <c r="E28" s="7" t="s">
        <v>30</v>
      </c>
      <c r="F28" s="7" t="n">
        <v>-16</v>
      </c>
      <c r="G28" s="7" t="s">
        <v>85</v>
      </c>
      <c r="H28" s="9" t="n">
        <v>0.429</v>
      </c>
      <c r="I28" s="7"/>
    </row>
    <row r="29" customFormat="false" ht="15" hidden="false" customHeight="false" outlineLevel="0" collapsed="false">
      <c r="A29" s="7" t="n">
        <v>27</v>
      </c>
      <c r="B29" s="7" t="s">
        <v>86</v>
      </c>
      <c r="C29" s="8" t="s">
        <v>87</v>
      </c>
      <c r="D29" s="7" t="s">
        <v>56</v>
      </c>
      <c r="E29" s="7" t="s">
        <v>30</v>
      </c>
      <c r="F29" s="7" t="n">
        <v>-12.5</v>
      </c>
      <c r="G29" s="7" t="s">
        <v>88</v>
      </c>
      <c r="H29" s="9" t="n">
        <v>0.262</v>
      </c>
      <c r="I29" s="7"/>
    </row>
    <row r="30" customFormat="false" ht="15" hidden="false" customHeight="false" outlineLevel="0" collapsed="false">
      <c r="A30" s="7" t="n">
        <v>28</v>
      </c>
      <c r="B30" s="7" t="s">
        <v>89</v>
      </c>
      <c r="C30" s="8" t="s">
        <v>87</v>
      </c>
      <c r="D30" s="7" t="s">
        <v>56</v>
      </c>
      <c r="E30" s="10" t="s">
        <v>34</v>
      </c>
      <c r="F30" s="7" t="n">
        <v>-8</v>
      </c>
      <c r="G30" s="7" t="s">
        <v>90</v>
      </c>
      <c r="H30" s="9" t="n">
        <v>0.232</v>
      </c>
      <c r="I30" s="7" t="s">
        <v>36</v>
      </c>
    </row>
    <row r="31" customFormat="false" ht="15" hidden="false" customHeight="false" outlineLevel="0" collapsed="false">
      <c r="A31" s="7" t="n">
        <v>29</v>
      </c>
      <c r="B31" s="7" t="s">
        <v>91</v>
      </c>
      <c r="C31" s="8" t="s">
        <v>87</v>
      </c>
      <c r="D31" s="7" t="s">
        <v>56</v>
      </c>
      <c r="E31" s="10" t="s">
        <v>34</v>
      </c>
      <c r="F31" s="7" t="n">
        <v>-7</v>
      </c>
      <c r="G31" s="7" t="s">
        <v>92</v>
      </c>
      <c r="H31" s="9" t="n">
        <v>0.333</v>
      </c>
      <c r="I31" s="7"/>
    </row>
    <row r="32" customFormat="false" ht="15" hidden="false" customHeight="false" outlineLevel="0" collapsed="false">
      <c r="A32" s="7" t="n">
        <v>30</v>
      </c>
      <c r="B32" s="7" t="s">
        <v>93</v>
      </c>
      <c r="C32" s="8" t="s">
        <v>87</v>
      </c>
      <c r="D32" s="7" t="s">
        <v>29</v>
      </c>
      <c r="E32" s="10" t="s">
        <v>34</v>
      </c>
      <c r="F32" s="7" t="n">
        <v>-7</v>
      </c>
      <c r="G32" s="7" t="s">
        <v>94</v>
      </c>
      <c r="H32" s="9" t="n">
        <v>0</v>
      </c>
      <c r="I32" s="7"/>
    </row>
    <row r="33" customFormat="false" ht="15" hidden="false" customHeight="false" outlineLevel="0" collapsed="false">
      <c r="A33" s="7" t="n">
        <v>31</v>
      </c>
      <c r="B33" s="7" t="s">
        <v>95</v>
      </c>
      <c r="C33" s="8" t="s">
        <v>87</v>
      </c>
      <c r="D33" s="7" t="s">
        <v>29</v>
      </c>
      <c r="E33" s="7" t="s">
        <v>30</v>
      </c>
      <c r="F33" s="7" t="n">
        <v>-7</v>
      </c>
      <c r="G33" s="7" t="s">
        <v>96</v>
      </c>
      <c r="H33" s="9" t="n">
        <v>0.111</v>
      </c>
      <c r="I33" s="7"/>
    </row>
    <row r="34" customFormat="false" ht="15" hidden="false" customHeight="false" outlineLevel="0" collapsed="false">
      <c r="A34" s="7" t="n">
        <v>32</v>
      </c>
      <c r="B34" s="7" t="s">
        <v>97</v>
      </c>
      <c r="C34" s="8" t="s">
        <v>87</v>
      </c>
      <c r="D34" s="7" t="s">
        <v>29</v>
      </c>
      <c r="E34" s="11" t="s">
        <v>98</v>
      </c>
      <c r="F34" s="7" t="n">
        <v>-6.5</v>
      </c>
      <c r="G34" s="7" t="s">
        <v>99</v>
      </c>
      <c r="H34" s="9" t="n">
        <v>0.083</v>
      </c>
      <c r="I34" s="7"/>
    </row>
    <row r="35" customFormat="false" ht="15" hidden="false" customHeight="false" outlineLevel="0" collapsed="false">
      <c r="A35" s="7" t="n">
        <v>33</v>
      </c>
      <c r="B35" s="7" t="s">
        <v>100</v>
      </c>
      <c r="C35" s="8" t="s">
        <v>38</v>
      </c>
      <c r="D35" s="7" t="s">
        <v>67</v>
      </c>
      <c r="E35" s="7" t="s">
        <v>101</v>
      </c>
      <c r="F35" s="7" t="n">
        <v>-2</v>
      </c>
      <c r="G35" s="7" t="s">
        <v>102</v>
      </c>
      <c r="H35" s="9" t="n">
        <v>0.167</v>
      </c>
      <c r="I35" s="7" t="s">
        <v>36</v>
      </c>
    </row>
    <row r="36" customFormat="false" ht="15" hidden="false" customHeight="false" outlineLevel="0" collapsed="false">
      <c r="A36" s="7" t="n">
        <v>34</v>
      </c>
      <c r="B36" s="7" t="s">
        <v>103</v>
      </c>
      <c r="C36" s="8" t="s">
        <v>28</v>
      </c>
      <c r="D36" s="7" t="s">
        <v>67</v>
      </c>
      <c r="E36" s="7" t="s">
        <v>30</v>
      </c>
      <c r="F36" s="7" t="n">
        <v>0</v>
      </c>
      <c r="G36" s="7" t="s">
        <v>104</v>
      </c>
      <c r="H36" s="9" t="n">
        <v>0</v>
      </c>
      <c r="I36" s="7"/>
    </row>
    <row r="38" customFormat="false" ht="15" hidden="false" customHeight="false" outlineLevel="0" collapsed="false">
      <c r="B38" s="12" t="s">
        <v>105</v>
      </c>
      <c r="F38" s="13" t="n">
        <f aca="false">COUNTIF(E3:E36,"LEADING")</f>
        <v>16</v>
      </c>
    </row>
    <row r="39" customFormat="false" ht="15" hidden="false" customHeight="false" outlineLevel="0" collapsed="false">
      <c r="B39" s="12" t="s">
        <v>106</v>
      </c>
      <c r="F39" s="13" t="n">
        <f aca="false">COUNTIF(E3:E36,"CONFIRMING")</f>
        <v>1</v>
      </c>
    </row>
    <row r="40" customFormat="false" ht="15" hidden="false" customHeight="false" outlineLevel="0" collapsed="false">
      <c r="B40" s="12" t="s">
        <v>107</v>
      </c>
      <c r="F40" s="13" t="n">
        <f aca="false">AVERAGEIF(E3:E36,"LEADING",F3:F36)</f>
        <v>-44.96875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6.4" hidden="false" customHeight="false" outlineLevel="0" collapsed="false">
      <c r="A1" s="5" t="s">
        <v>108</v>
      </c>
    </row>
    <row r="2" customFormat="false" ht="15" hidden="false" customHeight="false" outlineLevel="0" collapsed="false">
      <c r="A2" s="6" t="s">
        <v>109</v>
      </c>
      <c r="B2" s="6" t="s">
        <v>110</v>
      </c>
      <c r="C2" s="6" t="s">
        <v>111</v>
      </c>
      <c r="D2" s="6" t="s">
        <v>112</v>
      </c>
      <c r="E2" s="6" t="s">
        <v>113</v>
      </c>
    </row>
    <row r="3" customFormat="false" ht="15" hidden="false" customHeight="false" outlineLevel="0" collapsed="false">
      <c r="A3" s="7" t="s">
        <v>114</v>
      </c>
      <c r="B3" s="14" t="s">
        <v>29</v>
      </c>
      <c r="C3" s="7" t="n">
        <v>4612.28</v>
      </c>
      <c r="D3" s="15" t="n">
        <v>-0.3421</v>
      </c>
      <c r="E3" s="7" t="s">
        <v>115</v>
      </c>
    </row>
    <row r="4" customFormat="false" ht="15" hidden="false" customHeight="false" outlineLevel="0" collapsed="false">
      <c r="A4" s="7" t="s">
        <v>115</v>
      </c>
      <c r="B4" s="10" t="s">
        <v>67</v>
      </c>
      <c r="C4" s="7" t="n">
        <v>3034.24</v>
      </c>
      <c r="D4" s="15" t="n">
        <v>0.1917</v>
      </c>
      <c r="E4" s="7" t="s">
        <v>116</v>
      </c>
    </row>
    <row r="5" customFormat="false" ht="15" hidden="false" customHeight="false" outlineLevel="0" collapsed="false">
      <c r="A5" s="7" t="s">
        <v>116</v>
      </c>
      <c r="B5" s="14" t="s">
        <v>29</v>
      </c>
      <c r="C5" s="7" t="n">
        <v>3615.99</v>
      </c>
      <c r="D5" s="15" t="n">
        <v>-0.2005</v>
      </c>
      <c r="E5" s="7" t="s">
        <v>117</v>
      </c>
    </row>
    <row r="6" customFormat="false" ht="15" hidden="false" customHeight="false" outlineLevel="0" collapsed="false">
      <c r="A6" s="7" t="s">
        <v>117</v>
      </c>
      <c r="B6" s="10" t="s">
        <v>67</v>
      </c>
      <c r="C6" s="7" t="n">
        <v>2891.05</v>
      </c>
      <c r="D6" s="15" t="n">
        <v>0.3508</v>
      </c>
      <c r="E6" s="7" t="s">
        <v>118</v>
      </c>
    </row>
    <row r="7" customFormat="false" ht="15" hidden="false" customHeight="false" outlineLevel="0" collapsed="false">
      <c r="A7" s="7" t="s">
        <v>118</v>
      </c>
      <c r="B7" s="14" t="s">
        <v>29</v>
      </c>
      <c r="C7" s="7" t="n">
        <v>3905.22</v>
      </c>
      <c r="D7" s="15" t="n">
        <v>-0.3923</v>
      </c>
      <c r="E7" s="7" t="s">
        <v>119</v>
      </c>
    </row>
    <row r="8" customFormat="false" ht="15" hidden="false" customHeight="false" outlineLevel="0" collapsed="false">
      <c r="A8" s="7" t="s">
        <v>119</v>
      </c>
      <c r="B8" s="10" t="s">
        <v>67</v>
      </c>
      <c r="C8" s="7" t="n">
        <v>2373.4</v>
      </c>
      <c r="D8" s="15" t="n">
        <v>0.1606</v>
      </c>
      <c r="E8" s="7" t="s">
        <v>120</v>
      </c>
    </row>
    <row r="9" customFormat="false" ht="15" hidden="false" customHeight="false" outlineLevel="0" collapsed="false">
      <c r="A9" s="7" t="s">
        <v>120</v>
      </c>
      <c r="B9" s="14" t="s">
        <v>29</v>
      </c>
      <c r="C9" s="7" t="n">
        <v>2754.51</v>
      </c>
      <c r="D9" s="15" t="n">
        <v>-0.2399</v>
      </c>
      <c r="E9" s="7" t="s">
        <v>121</v>
      </c>
    </row>
    <row r="10" customFormat="false" ht="15" hidden="false" customHeight="false" outlineLevel="0" collapsed="false">
      <c r="A10" s="7" t="s">
        <v>121</v>
      </c>
      <c r="B10" s="10" t="s">
        <v>67</v>
      </c>
      <c r="C10" s="7" t="n">
        <v>2093.78</v>
      </c>
      <c r="D10" s="15" t="n">
        <v>0.2475</v>
      </c>
      <c r="E10" s="7" t="s">
        <v>122</v>
      </c>
    </row>
    <row r="11" customFormat="false" ht="15" hidden="false" customHeight="false" outlineLevel="0" collapsed="false">
      <c r="A11" s="7" t="s">
        <v>122</v>
      </c>
      <c r="B11" s="14" t="s">
        <v>29</v>
      </c>
      <c r="C11" s="7" t="n">
        <v>2612.04</v>
      </c>
      <c r="D11" s="15" t="n">
        <v>-0.4268</v>
      </c>
      <c r="E11" s="7" t="s">
        <v>123</v>
      </c>
    </row>
    <row r="12" customFormat="false" ht="15" hidden="false" customHeight="false" outlineLevel="0" collapsed="false">
      <c r="A12" s="7" t="s">
        <v>123</v>
      </c>
      <c r="B12" s="10" t="s">
        <v>67</v>
      </c>
      <c r="C12" s="7" t="n">
        <v>1497.16</v>
      </c>
      <c r="D12" s="15" t="n">
        <v>0.4119</v>
      </c>
      <c r="E12" s="7" t="s">
        <v>124</v>
      </c>
    </row>
    <row r="13" customFormat="false" ht="15" hidden="false" customHeight="false" outlineLevel="0" collapsed="false">
      <c r="A13" s="7" t="s">
        <v>124</v>
      </c>
      <c r="B13" s="14" t="s">
        <v>29</v>
      </c>
      <c r="C13" s="7" t="n">
        <v>2113.87</v>
      </c>
      <c r="D13" s="15" t="n">
        <v>-0.3849</v>
      </c>
      <c r="E13" s="7" t="s">
        <v>125</v>
      </c>
    </row>
    <row r="14" customFormat="false" ht="15" hidden="false" customHeight="false" outlineLevel="0" collapsed="false">
      <c r="A14" s="7" t="s">
        <v>125</v>
      </c>
      <c r="B14" s="10" t="s">
        <v>67</v>
      </c>
      <c r="C14" s="7" t="n">
        <v>1300.19</v>
      </c>
      <c r="D14" s="15" t="n">
        <v>0.447</v>
      </c>
      <c r="E14" s="7" t="s">
        <v>126</v>
      </c>
    </row>
    <row r="15" customFormat="false" ht="15" hidden="false" customHeight="false" outlineLevel="0" collapsed="false">
      <c r="A15" s="7" t="s">
        <v>126</v>
      </c>
      <c r="B15" s="14" t="s">
        <v>29</v>
      </c>
      <c r="C15" s="7" t="n">
        <v>1881.39</v>
      </c>
      <c r="D15" s="15" t="n">
        <v>-0.4144</v>
      </c>
      <c r="E15" s="7" t="s">
        <v>127</v>
      </c>
    </row>
    <row r="16" customFormat="false" ht="15" hidden="false" customHeight="false" outlineLevel="0" collapsed="false">
      <c r="A16" s="7" t="s">
        <v>127</v>
      </c>
      <c r="B16" s="10" t="s">
        <v>67</v>
      </c>
      <c r="C16" s="7" t="n">
        <v>1101.78</v>
      </c>
      <c r="D16" s="15" t="n">
        <v>0.1799</v>
      </c>
      <c r="E16" s="7" t="s">
        <v>128</v>
      </c>
    </row>
    <row r="17" customFormat="false" ht="15" hidden="false" customHeight="false" outlineLevel="0" collapsed="false">
      <c r="A17" s="7" t="s">
        <v>128</v>
      </c>
      <c r="B17" s="14" t="s">
        <v>29</v>
      </c>
      <c r="C17" s="7" t="n">
        <v>1299.97</v>
      </c>
      <c r="D17" s="15" t="n">
        <v>-0.217</v>
      </c>
      <c r="E17" s="7" t="s">
        <v>129</v>
      </c>
    </row>
    <row r="18" customFormat="false" ht="15" hidden="false" customHeight="false" outlineLevel="0" collapsed="false">
      <c r="A18" s="7" t="s">
        <v>129</v>
      </c>
      <c r="B18" s="10" t="s">
        <v>67</v>
      </c>
      <c r="C18" s="7" t="n">
        <v>1017.82</v>
      </c>
      <c r="D18" s="15" t="n">
        <v>0.9332</v>
      </c>
      <c r="E18" s="7" t="s">
        <v>130</v>
      </c>
    </row>
    <row r="19" customFormat="false" ht="15" hidden="false" customHeight="false" outlineLevel="0" collapsed="false">
      <c r="A19" s="7" t="s">
        <v>130</v>
      </c>
      <c r="B19" s="14" t="s">
        <v>29</v>
      </c>
      <c r="C19" s="7" t="n">
        <v>1967.68</v>
      </c>
      <c r="D19" s="15" t="n">
        <v>-0.1863</v>
      </c>
      <c r="E19" s="7" t="s">
        <v>131</v>
      </c>
    </row>
    <row r="20" customFormat="false" ht="15" hidden="false" customHeight="false" outlineLevel="0" collapsed="false">
      <c r="A20" s="7" t="s">
        <v>131</v>
      </c>
      <c r="B20" s="10" t="s">
        <v>67</v>
      </c>
      <c r="C20" s="7" t="n">
        <v>1601.03</v>
      </c>
      <c r="D20" s="15" t="n">
        <v>0.6315</v>
      </c>
      <c r="E20" s="7" t="s">
        <v>132</v>
      </c>
    </row>
    <row r="21" customFormat="false" ht="15" hidden="false" customHeight="false" outlineLevel="0" collapsed="false">
      <c r="A21" s="7" t="s">
        <v>132</v>
      </c>
      <c r="B21" s="14" t="s">
        <v>29</v>
      </c>
      <c r="C21" s="7" t="n">
        <v>2612.01</v>
      </c>
      <c r="D21" s="15" t="n">
        <v>-0.2413</v>
      </c>
      <c r="E21" s="7" t="s">
        <v>133</v>
      </c>
    </row>
    <row r="22" customFormat="false" ht="15" hidden="false" customHeight="false" outlineLevel="0" collapsed="false">
      <c r="A22" s="7" t="s">
        <v>133</v>
      </c>
      <c r="B22" s="10" t="s">
        <v>67</v>
      </c>
      <c r="C22" s="7" t="n">
        <v>1981.85</v>
      </c>
      <c r="D22" s="15" t="n">
        <v>0.1754</v>
      </c>
      <c r="E22" s="7" t="s">
        <v>134</v>
      </c>
    </row>
    <row r="23" customFormat="false" ht="15" hidden="false" customHeight="false" outlineLevel="0" collapsed="false">
      <c r="A23" s="7" t="s">
        <v>134</v>
      </c>
      <c r="B23" s="14" t="s">
        <v>29</v>
      </c>
      <c r="C23" s="7" t="n">
        <v>2329.56</v>
      </c>
      <c r="D23" s="15" t="n">
        <v>-0.4094</v>
      </c>
      <c r="E23" s="7" t="s">
        <v>135</v>
      </c>
    </row>
    <row r="24" customFormat="false" ht="15" hidden="false" customHeight="false" outlineLevel="0" collapsed="false">
      <c r="A24" s="7" t="s">
        <v>135</v>
      </c>
      <c r="B24" s="10" t="s">
        <v>67</v>
      </c>
      <c r="C24" s="7" t="n">
        <v>1375.75</v>
      </c>
      <c r="D24" s="15" t="n">
        <v>0.1821</v>
      </c>
      <c r="E24" s="7" t="s">
        <v>136</v>
      </c>
    </row>
    <row r="25" customFormat="false" ht="15" hidden="false" customHeight="false" outlineLevel="0" collapsed="false">
      <c r="A25" s="7" t="s">
        <v>136</v>
      </c>
      <c r="B25" s="14" t="s">
        <v>29</v>
      </c>
      <c r="C25" s="7" t="n">
        <v>1626.27</v>
      </c>
      <c r="D25" s="15" t="n">
        <v>-0.2607</v>
      </c>
      <c r="E25" s="7" t="s">
        <v>137</v>
      </c>
    </row>
    <row r="26" customFormat="false" ht="15" hidden="false" customHeight="false" outlineLevel="0" collapsed="false">
      <c r="A26" s="7" t="s">
        <v>137</v>
      </c>
      <c r="B26" s="10" t="s">
        <v>67</v>
      </c>
      <c r="C26" s="7" t="n">
        <v>1202.37</v>
      </c>
      <c r="D26" s="15" t="n">
        <v>0.2555</v>
      </c>
      <c r="E26" s="7" t="s">
        <v>138</v>
      </c>
    </row>
    <row r="27" customFormat="false" ht="15" hidden="false" customHeight="false" outlineLevel="0" collapsed="false">
      <c r="A27" s="7" t="s">
        <v>138</v>
      </c>
      <c r="B27" s="14" t="s">
        <v>29</v>
      </c>
      <c r="C27" s="7" t="n">
        <v>1509.57</v>
      </c>
      <c r="D27" s="15" t="n">
        <v>-0.2322</v>
      </c>
      <c r="E27" s="7" t="s">
        <v>139</v>
      </c>
    </row>
    <row r="28" customFormat="false" ht="15" hidden="false" customHeight="false" outlineLevel="0" collapsed="false">
      <c r="A28" s="7" t="s">
        <v>139</v>
      </c>
      <c r="B28" s="10" t="s">
        <v>67</v>
      </c>
      <c r="C28" s="7" t="n">
        <v>1158.99</v>
      </c>
      <c r="D28" s="15" t="n">
        <v>0.9944</v>
      </c>
      <c r="E28" s="7" t="s">
        <v>140</v>
      </c>
    </row>
    <row r="29" customFormat="false" ht="15" hidden="false" customHeight="false" outlineLevel="0" collapsed="false">
      <c r="A29" s="7" t="s">
        <v>140</v>
      </c>
      <c r="B29" s="14" t="s">
        <v>29</v>
      </c>
      <c r="C29" s="7" t="n">
        <v>2311.48</v>
      </c>
      <c r="D29" s="15" t="n">
        <v>-0.1733</v>
      </c>
      <c r="E29" s="7" t="s">
        <v>141</v>
      </c>
    </row>
    <row r="30" customFormat="false" ht="15" hidden="false" customHeight="false" outlineLevel="0" collapsed="false">
      <c r="A30" s="7" t="s">
        <v>141</v>
      </c>
      <c r="B30" s="10" t="s">
        <v>67</v>
      </c>
      <c r="C30" s="7" t="n">
        <v>1911</v>
      </c>
      <c r="D30" s="15" t="n">
        <v>0.3737</v>
      </c>
      <c r="E30" s="7" t="s">
        <v>142</v>
      </c>
    </row>
    <row r="31" customFormat="false" ht="15" hidden="false" customHeight="false" outlineLevel="0" collapsed="false">
      <c r="A31" s="7" t="s">
        <v>142</v>
      </c>
      <c r="B31" s="14" t="s">
        <v>29</v>
      </c>
      <c r="C31" s="7" t="n">
        <v>2625.19</v>
      </c>
      <c r="D31" s="15" t="n">
        <v>-0.1871</v>
      </c>
      <c r="E31" s="7" t="s">
        <v>143</v>
      </c>
    </row>
    <row r="32" customFormat="false" ht="15" hidden="false" customHeight="false" outlineLevel="0" collapsed="false">
      <c r="A32" s="7" t="s">
        <v>143</v>
      </c>
      <c r="B32" s="10" t="s">
        <v>67</v>
      </c>
      <c r="C32" s="7" t="n">
        <v>2133.95</v>
      </c>
      <c r="D32" s="15" t="n">
        <v>1.2343</v>
      </c>
      <c r="E32" s="7" t="s">
        <v>144</v>
      </c>
    </row>
    <row r="33" customFormat="false" ht="15" hidden="false" customHeight="false" outlineLevel="0" collapsed="false">
      <c r="A33" s="7" t="s">
        <v>144</v>
      </c>
      <c r="B33" s="14" t="s">
        <v>29</v>
      </c>
      <c r="C33" s="7" t="n">
        <v>4767.81</v>
      </c>
      <c r="D33" s="15" t="n">
        <v>-0.1824</v>
      </c>
      <c r="E33" s="7" t="s">
        <v>145</v>
      </c>
    </row>
    <row r="34" customFormat="false" ht="15" hidden="false" customHeight="false" outlineLevel="0" collapsed="false">
      <c r="A34" s="7" t="s">
        <v>145</v>
      </c>
      <c r="B34" s="10" t="s">
        <v>67</v>
      </c>
      <c r="C34" s="7" t="n">
        <v>3898.07</v>
      </c>
      <c r="D34" s="15" t="n">
        <v>0.9651</v>
      </c>
      <c r="E34" s="7" t="s">
        <v>146</v>
      </c>
    </row>
    <row r="35" customFormat="false" ht="15" hidden="false" customHeight="false" outlineLevel="0" collapsed="false">
      <c r="A35" s="7" t="s">
        <v>146</v>
      </c>
      <c r="B35" s="14" t="s">
        <v>29</v>
      </c>
      <c r="C35" s="7" t="n">
        <v>7660.18</v>
      </c>
      <c r="D35" s="15" t="n">
        <v>-0.2299</v>
      </c>
      <c r="E35" s="7" t="s">
        <v>147</v>
      </c>
    </row>
    <row r="36" customFormat="false" ht="15" hidden="false" customHeight="false" outlineLevel="0" collapsed="false">
      <c r="A36" s="7" t="s">
        <v>147</v>
      </c>
      <c r="B36" s="10" t="s">
        <v>67</v>
      </c>
      <c r="C36" s="7" t="n">
        <v>5899.35</v>
      </c>
      <c r="D36" s="15" t="n">
        <v>0.6474</v>
      </c>
      <c r="E36" s="7" t="s">
        <v>148</v>
      </c>
    </row>
    <row r="37" customFormat="false" ht="15" hidden="false" customHeight="false" outlineLevel="0" collapsed="false">
      <c r="A37" s="7" t="s">
        <v>148</v>
      </c>
      <c r="B37" s="14" t="s">
        <v>29</v>
      </c>
      <c r="C37" s="7" t="n">
        <v>9718.73</v>
      </c>
      <c r="D37" s="15" t="n">
        <v>-0.2803</v>
      </c>
      <c r="E37" s="7" t="s">
        <v>149</v>
      </c>
    </row>
    <row r="38" customFormat="false" ht="15" hidden="false" customHeight="false" outlineLevel="0" collapsed="false">
      <c r="A38" s="7" t="s">
        <v>149</v>
      </c>
      <c r="B38" s="10" t="s">
        <v>67</v>
      </c>
      <c r="C38" s="7" t="n">
        <v>6994.29</v>
      </c>
      <c r="D38" s="15" t="n">
        <v>1.3696</v>
      </c>
      <c r="E38" s="7" t="s">
        <v>150</v>
      </c>
    </row>
    <row r="39" customFormat="false" ht="15" hidden="false" customHeight="false" outlineLevel="0" collapsed="false">
      <c r="A39" s="7" t="s">
        <v>150</v>
      </c>
      <c r="B39" s="14" t="s">
        <v>29</v>
      </c>
      <c r="C39" s="7" t="n">
        <v>16573.34</v>
      </c>
      <c r="D39" s="15" t="n">
        <v>-0.2128</v>
      </c>
      <c r="E39" s="7" t="s">
        <v>151</v>
      </c>
    </row>
    <row r="40" customFormat="false" ht="15" hidden="false" customHeight="false" outlineLevel="0" collapsed="false">
      <c r="A40" s="7" t="s">
        <v>151</v>
      </c>
      <c r="B40" s="10" t="s">
        <v>67</v>
      </c>
      <c r="C40" s="7" t="n">
        <v>13046.64</v>
      </c>
      <c r="D40" s="15" t="n">
        <v>0.1681</v>
      </c>
      <c r="E40" s="7" t="s">
        <v>152</v>
      </c>
    </row>
    <row r="41" customFormat="false" ht="15" hidden="false" customHeight="false" outlineLevel="0" collapsed="false">
      <c r="A41" s="7" t="s">
        <v>152</v>
      </c>
      <c r="B41" s="14" t="s">
        <v>29</v>
      </c>
      <c r="C41" s="7" t="n">
        <v>15239.32</v>
      </c>
      <c r="D41" s="15" t="n">
        <v>-0.2698</v>
      </c>
      <c r="E41" s="7" t="s">
        <v>153</v>
      </c>
    </row>
    <row r="42" customFormat="false" ht="15" hidden="false" customHeight="false" outlineLevel="0" collapsed="false">
      <c r="A42" s="7" t="s">
        <v>153</v>
      </c>
      <c r="B42" s="10" t="s">
        <v>67</v>
      </c>
      <c r="C42" s="7" t="n">
        <v>11127.57</v>
      </c>
      <c r="D42" s="15" t="n">
        <v>0.2282</v>
      </c>
      <c r="E42" s="7" t="s">
        <v>154</v>
      </c>
    </row>
    <row r="43" customFormat="false" ht="15" hidden="false" customHeight="false" outlineLevel="0" collapsed="false">
      <c r="A43" s="7" t="s">
        <v>154</v>
      </c>
      <c r="B43" s="14" t="s">
        <v>29</v>
      </c>
      <c r="C43" s="7" t="n">
        <v>13667.18</v>
      </c>
      <c r="D43" s="15" t="n">
        <v>-0.2186</v>
      </c>
      <c r="E43" s="7" t="s">
        <v>155</v>
      </c>
    </row>
    <row r="44" customFormat="false" ht="15" hidden="false" customHeight="false" outlineLevel="0" collapsed="false">
      <c r="A44" s="7" t="s">
        <v>155</v>
      </c>
      <c r="B44" s="10" t="s">
        <v>67</v>
      </c>
      <c r="C44" s="7" t="n">
        <v>10679.34</v>
      </c>
      <c r="D44" s="15" t="n">
        <v>1.0765</v>
      </c>
      <c r="E44" s="7" t="s">
        <v>156</v>
      </c>
    </row>
    <row r="45" customFormat="false" ht="15" hidden="false" customHeight="false" outlineLevel="0" collapsed="false">
      <c r="A45" s="7" t="s">
        <v>156</v>
      </c>
      <c r="B45" s="14" t="s">
        <v>29</v>
      </c>
      <c r="C45" s="7" t="n">
        <v>22175.6</v>
      </c>
      <c r="D45" s="15" t="n">
        <v>-0.2293</v>
      </c>
      <c r="E45" s="7" t="s">
        <v>157</v>
      </c>
    </row>
    <row r="46" customFormat="false" ht="15" hidden="false" customHeight="false" outlineLevel="0" collapsed="false">
      <c r="A46" s="7" t="s">
        <v>157</v>
      </c>
      <c r="B46" s="10" t="s">
        <v>67</v>
      </c>
      <c r="C46" s="7" t="n">
        <v>17090.4</v>
      </c>
      <c r="D46" s="15" t="n">
        <v>0.7451</v>
      </c>
      <c r="E46" s="7" t="s">
        <v>158</v>
      </c>
    </row>
    <row r="48" customFormat="false" ht="15" hidden="false" customHeight="false" outlineLevel="0" collapsed="false">
      <c r="A48" s="12" t="s">
        <v>159</v>
      </c>
      <c r="C48" s="13" t="n">
        <f aca="false">COUNTIF(B3:B46,"TOP")</f>
        <v>22</v>
      </c>
    </row>
    <row r="49" customFormat="false" ht="15" hidden="false" customHeight="false" outlineLevel="0" collapsed="false">
      <c r="A49" s="12" t="s">
        <v>160</v>
      </c>
      <c r="C49" s="13" t="n">
        <f aca="false">COUNTIF(B3:B46,"BOTTOM")</f>
        <v>22</v>
      </c>
    </row>
    <row r="50" customFormat="false" ht="15" hidden="false" customHeight="false" outlineLevel="0" collapsed="false">
      <c r="A50" s="12" t="s">
        <v>161</v>
      </c>
      <c r="C50" s="16" t="n">
        <f aca="false">AVERAGEIF(B3:B46,"TOP",D3:D46)</f>
        <v>-0.269604545454546</v>
      </c>
    </row>
    <row r="51" customFormat="false" ht="15" hidden="false" customHeight="false" outlineLevel="0" collapsed="false">
      <c r="A51" s="12" t="s">
        <v>162</v>
      </c>
      <c r="C51" s="16" t="n">
        <f aca="false">AVERAGEIF(B3:B46,"BOTTOM",D3:D46)</f>
        <v>0.544068181818182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11" min="7" style="0" width="8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34"/>
  </cols>
  <sheetData>
    <row r="1" customFormat="false" ht="16.4" hidden="false" customHeight="false" outlineLevel="0" collapsed="false">
      <c r="A1" s="5" t="s">
        <v>163</v>
      </c>
    </row>
    <row r="2" customFormat="false" ht="15" hidden="false" customHeight="false" outlineLevel="0" collapsed="false">
      <c r="A2" s="6" t="s">
        <v>20</v>
      </c>
      <c r="B2" s="6" t="s">
        <v>19</v>
      </c>
      <c r="C2" s="6" t="s">
        <v>21</v>
      </c>
      <c r="D2" s="6" t="s">
        <v>164</v>
      </c>
      <c r="E2" s="6" t="s">
        <v>165</v>
      </c>
      <c r="F2" s="6" t="s">
        <v>166</v>
      </c>
      <c r="G2" s="17" t="s">
        <v>167</v>
      </c>
      <c r="H2" s="17" t="s">
        <v>168</v>
      </c>
      <c r="I2" s="6" t="s">
        <v>23</v>
      </c>
      <c r="J2" s="6" t="s">
        <v>169</v>
      </c>
      <c r="K2" s="6" t="s">
        <v>25</v>
      </c>
      <c r="L2" s="6" t="s">
        <v>22</v>
      </c>
      <c r="M2" s="6" t="s">
        <v>170</v>
      </c>
      <c r="N2" s="6" t="s">
        <v>171</v>
      </c>
    </row>
    <row r="3" customFormat="false" ht="97" hidden="false" customHeight="false" outlineLevel="0" collapsed="false">
      <c r="A3" s="4" t="s">
        <v>46</v>
      </c>
      <c r="B3" s="2" t="s">
        <v>47</v>
      </c>
      <c r="C3" s="2" t="s">
        <v>29</v>
      </c>
      <c r="D3" s="2" t="s">
        <v>172</v>
      </c>
      <c r="E3" s="2" t="s">
        <v>173</v>
      </c>
      <c r="F3" s="2" t="n">
        <v>325</v>
      </c>
      <c r="G3" s="2" t="s">
        <v>174</v>
      </c>
      <c r="H3" s="2" t="s">
        <v>175</v>
      </c>
      <c r="I3" s="2" t="n">
        <v>-73</v>
      </c>
      <c r="J3" s="2" t="n">
        <v>-61.1</v>
      </c>
      <c r="K3" s="18" t="n">
        <v>0.34</v>
      </c>
      <c r="L3" s="19" t="s">
        <v>34</v>
      </c>
      <c r="M3" s="2" t="s">
        <v>176</v>
      </c>
      <c r="N3" s="4" t="s">
        <v>177</v>
      </c>
    </row>
    <row r="4" customFormat="false" ht="73.1" hidden="false" customHeight="false" outlineLevel="0" collapsed="false">
      <c r="A4" s="4" t="s">
        <v>46</v>
      </c>
      <c r="B4" s="2" t="s">
        <v>77</v>
      </c>
      <c r="C4" s="2" t="s">
        <v>67</v>
      </c>
      <c r="D4" s="2" t="s">
        <v>178</v>
      </c>
      <c r="E4" s="2" t="s">
        <v>173</v>
      </c>
      <c r="F4" s="2" t="n">
        <v>73</v>
      </c>
      <c r="G4" s="2" t="s">
        <v>179</v>
      </c>
      <c r="H4" s="2" t="s">
        <v>180</v>
      </c>
      <c r="I4" s="2" t="n">
        <v>-32</v>
      </c>
      <c r="J4" s="2" t="n">
        <v>-40.1</v>
      </c>
      <c r="K4" s="18" t="n">
        <v>0</v>
      </c>
      <c r="L4" s="19" t="s">
        <v>34</v>
      </c>
      <c r="M4" s="2" t="s">
        <v>176</v>
      </c>
      <c r="N4" s="4" t="s">
        <v>181</v>
      </c>
    </row>
    <row r="5" customFormat="false" ht="61.15" hidden="false" customHeight="false" outlineLevel="0" collapsed="false">
      <c r="A5" s="4" t="s">
        <v>46</v>
      </c>
      <c r="B5" s="2" t="s">
        <v>60</v>
      </c>
      <c r="C5" s="2" t="s">
        <v>56</v>
      </c>
      <c r="D5" s="2" t="s">
        <v>182</v>
      </c>
      <c r="E5" s="2" t="s">
        <v>183</v>
      </c>
      <c r="F5" s="2" t="n">
        <v>49</v>
      </c>
      <c r="G5" s="2" t="s">
        <v>184</v>
      </c>
      <c r="H5" s="2" t="s">
        <v>185</v>
      </c>
      <c r="I5" s="2" t="n">
        <v>-55</v>
      </c>
      <c r="J5" s="2" t="n">
        <v>-51.7</v>
      </c>
      <c r="K5" s="18" t="n">
        <v>0.49</v>
      </c>
      <c r="L5" s="2" t="s">
        <v>30</v>
      </c>
      <c r="M5" s="2" t="s">
        <v>176</v>
      </c>
      <c r="N5" s="4" t="s">
        <v>186</v>
      </c>
    </row>
    <row r="6" customFormat="false" ht="73.1" hidden="false" customHeight="false" outlineLevel="0" collapsed="false">
      <c r="A6" s="4" t="s">
        <v>46</v>
      </c>
      <c r="B6" s="2" t="s">
        <v>55</v>
      </c>
      <c r="C6" s="2" t="s">
        <v>56</v>
      </c>
      <c r="D6" s="2" t="s">
        <v>187</v>
      </c>
      <c r="E6" s="2" t="s">
        <v>183</v>
      </c>
      <c r="F6" s="2" t="n">
        <v>248</v>
      </c>
      <c r="G6" s="2" t="s">
        <v>188</v>
      </c>
      <c r="H6" s="2" t="s">
        <v>189</v>
      </c>
      <c r="I6" s="2" t="n">
        <v>-60</v>
      </c>
      <c r="J6" s="2" t="n">
        <v>-47</v>
      </c>
      <c r="K6" s="18" t="n">
        <v>0.432</v>
      </c>
      <c r="L6" s="19" t="s">
        <v>34</v>
      </c>
      <c r="M6" s="2" t="s">
        <v>176</v>
      </c>
      <c r="N6" s="4" t="s">
        <v>190</v>
      </c>
    </row>
    <row r="7" customFormat="false" ht="85.05" hidden="false" customHeight="false" outlineLevel="0" collapsed="false">
      <c r="A7" s="4" t="s">
        <v>46</v>
      </c>
      <c r="B7" s="2" t="s">
        <v>58</v>
      </c>
      <c r="C7" s="2" t="s">
        <v>56</v>
      </c>
      <c r="D7" s="2" t="s">
        <v>191</v>
      </c>
      <c r="E7" s="2" t="s">
        <v>192</v>
      </c>
      <c r="F7" s="2" t="n">
        <v>176</v>
      </c>
      <c r="G7" s="2" t="s">
        <v>193</v>
      </c>
      <c r="H7" s="2" t="s">
        <v>194</v>
      </c>
      <c r="I7" s="2" t="n">
        <v>-56.5</v>
      </c>
      <c r="J7" s="2" t="n">
        <v>-50.3</v>
      </c>
      <c r="K7" s="18" t="n">
        <v>0.425</v>
      </c>
      <c r="L7" s="19" t="s">
        <v>34</v>
      </c>
      <c r="M7" s="2" t="s">
        <v>176</v>
      </c>
      <c r="N7" s="4" t="s">
        <v>195</v>
      </c>
    </row>
    <row r="8" customFormat="false" ht="61.15" hidden="false" customHeight="false" outlineLevel="0" collapsed="false">
      <c r="A8" s="4" t="s">
        <v>46</v>
      </c>
      <c r="B8" s="2" t="s">
        <v>45</v>
      </c>
      <c r="C8" s="2" t="s">
        <v>29</v>
      </c>
      <c r="D8" s="2" t="s">
        <v>196</v>
      </c>
      <c r="E8" s="2" t="s">
        <v>197</v>
      </c>
      <c r="F8" s="2" t="n">
        <v>14</v>
      </c>
      <c r="G8" s="2" t="s">
        <v>198</v>
      </c>
      <c r="H8" s="2" t="s">
        <v>175</v>
      </c>
      <c r="I8" s="2" t="n">
        <v>-74</v>
      </c>
      <c r="J8" s="2" t="n">
        <v>-69.8</v>
      </c>
      <c r="K8" s="18" t="n">
        <v>0.571</v>
      </c>
      <c r="L8" s="2" t="s">
        <v>30</v>
      </c>
      <c r="M8" s="2" t="s">
        <v>176</v>
      </c>
      <c r="N8" s="4" t="s">
        <v>199</v>
      </c>
    </row>
    <row r="9" customFormat="false" ht="85.05" hidden="false" customHeight="false" outlineLevel="0" collapsed="false">
      <c r="A9" s="4" t="s">
        <v>46</v>
      </c>
      <c r="B9" s="2" t="s">
        <v>82</v>
      </c>
      <c r="C9" s="2" t="s">
        <v>56</v>
      </c>
      <c r="D9" s="2" t="s">
        <v>200</v>
      </c>
      <c r="E9" s="2" t="s">
        <v>201</v>
      </c>
      <c r="F9" s="2" t="n">
        <v>36</v>
      </c>
      <c r="G9" s="2" t="s">
        <v>202</v>
      </c>
      <c r="H9" s="2" t="s">
        <v>203</v>
      </c>
      <c r="I9" s="2" t="n">
        <v>-25</v>
      </c>
      <c r="J9" s="2" t="n">
        <v>-31</v>
      </c>
      <c r="K9" s="18" t="n">
        <v>0.529</v>
      </c>
      <c r="L9" s="2" t="s">
        <v>30</v>
      </c>
      <c r="M9" s="2" t="s">
        <v>176</v>
      </c>
      <c r="N9" s="4" t="s">
        <v>204</v>
      </c>
    </row>
    <row r="10" customFormat="false" ht="97" hidden="false" customHeight="false" outlineLevel="0" collapsed="false">
      <c r="A10" s="4" t="s">
        <v>46</v>
      </c>
      <c r="B10" s="2" t="s">
        <v>62</v>
      </c>
      <c r="C10" s="2" t="s">
        <v>29</v>
      </c>
      <c r="D10" s="2" t="s">
        <v>205</v>
      </c>
      <c r="E10" s="2" t="s">
        <v>206</v>
      </c>
      <c r="F10" s="2" t="n">
        <v>123</v>
      </c>
      <c r="G10" s="2" t="s">
        <v>207</v>
      </c>
      <c r="H10" s="2" t="s">
        <v>175</v>
      </c>
      <c r="I10" s="2" t="n">
        <v>-51</v>
      </c>
      <c r="J10" s="2" t="n">
        <v>-50.5</v>
      </c>
      <c r="K10" s="18" t="n">
        <v>0.525</v>
      </c>
      <c r="L10" s="19" t="s">
        <v>34</v>
      </c>
      <c r="M10" s="2" t="s">
        <v>176</v>
      </c>
      <c r="N10" s="4" t="s">
        <v>208</v>
      </c>
    </row>
    <row r="11" customFormat="false" ht="85.05" hidden="false" customHeight="false" outlineLevel="0" collapsed="false">
      <c r="A11" s="4" t="s">
        <v>38</v>
      </c>
      <c r="B11" s="2" t="s">
        <v>37</v>
      </c>
      <c r="C11" s="2" t="s">
        <v>29</v>
      </c>
      <c r="D11" s="2" t="s">
        <v>209</v>
      </c>
      <c r="E11" s="2" t="s">
        <v>210</v>
      </c>
      <c r="F11" s="2" t="n">
        <v>202</v>
      </c>
      <c r="G11" s="2" t="s">
        <v>211</v>
      </c>
      <c r="H11" s="2" t="s">
        <v>175</v>
      </c>
      <c r="I11" s="2" t="n">
        <v>-80</v>
      </c>
      <c r="J11" s="2" t="n">
        <v>-72.8</v>
      </c>
      <c r="K11" s="18" t="n">
        <v>0.431</v>
      </c>
      <c r="L11" s="19" t="s">
        <v>34</v>
      </c>
      <c r="M11" s="2" t="s">
        <v>212</v>
      </c>
      <c r="N11" s="4" t="s">
        <v>213</v>
      </c>
    </row>
    <row r="12" customFormat="false" ht="73.1" hidden="false" customHeight="false" outlineLevel="0" collapsed="false">
      <c r="A12" s="4" t="s">
        <v>38</v>
      </c>
      <c r="B12" s="2" t="s">
        <v>80</v>
      </c>
      <c r="C12" s="2" t="s">
        <v>67</v>
      </c>
      <c r="D12" s="4" t="s">
        <v>214</v>
      </c>
      <c r="E12" s="2" t="s">
        <v>215</v>
      </c>
      <c r="F12" s="2" t="n">
        <v>8</v>
      </c>
      <c r="G12" s="2" t="s">
        <v>179</v>
      </c>
      <c r="H12" s="2" t="s">
        <v>216</v>
      </c>
      <c r="I12" s="2" t="n">
        <v>-27.5</v>
      </c>
      <c r="J12" s="2" t="n">
        <v>-34.8</v>
      </c>
      <c r="K12" s="18" t="n">
        <v>0.125</v>
      </c>
      <c r="L12" s="2" t="s">
        <v>30</v>
      </c>
      <c r="M12" s="2" t="s">
        <v>212</v>
      </c>
      <c r="N12" s="4" t="s">
        <v>217</v>
      </c>
    </row>
    <row r="13" customFormat="false" ht="73.1" hidden="false" customHeight="false" outlineLevel="0" collapsed="false">
      <c r="A13" s="4" t="s">
        <v>38</v>
      </c>
      <c r="B13" s="2" t="s">
        <v>64</v>
      </c>
      <c r="C13" s="2" t="s">
        <v>29</v>
      </c>
      <c r="D13" s="4" t="s">
        <v>218</v>
      </c>
      <c r="E13" s="2" t="s">
        <v>219</v>
      </c>
      <c r="F13" s="2" t="n">
        <v>35</v>
      </c>
      <c r="G13" s="2" t="s">
        <v>220</v>
      </c>
      <c r="H13" s="2" t="s">
        <v>175</v>
      </c>
      <c r="I13" s="2" t="n">
        <v>-44</v>
      </c>
      <c r="J13" s="2" t="n">
        <v>-50.2</v>
      </c>
      <c r="K13" s="18" t="n">
        <v>0.4</v>
      </c>
      <c r="L13" s="19" t="s">
        <v>34</v>
      </c>
      <c r="M13" s="2" t="s">
        <v>212</v>
      </c>
      <c r="N13" s="4" t="s">
        <v>221</v>
      </c>
    </row>
    <row r="14" customFormat="false" ht="73.1" hidden="false" customHeight="false" outlineLevel="0" collapsed="false">
      <c r="A14" s="4" t="s">
        <v>38</v>
      </c>
      <c r="B14" s="2" t="s">
        <v>100</v>
      </c>
      <c r="C14" s="2" t="s">
        <v>67</v>
      </c>
      <c r="D14" s="4" t="s">
        <v>222</v>
      </c>
      <c r="E14" s="2" t="s">
        <v>223</v>
      </c>
      <c r="F14" s="2" t="n">
        <v>18</v>
      </c>
      <c r="G14" s="2" t="s">
        <v>179</v>
      </c>
      <c r="H14" s="2" t="s">
        <v>224</v>
      </c>
      <c r="I14" s="2" t="n">
        <v>-2</v>
      </c>
      <c r="J14" s="2" t="n">
        <v>-16.4</v>
      </c>
      <c r="K14" s="18" t="n">
        <v>0.167</v>
      </c>
      <c r="L14" s="2" t="s">
        <v>101</v>
      </c>
      <c r="M14" s="2" t="s">
        <v>212</v>
      </c>
      <c r="N14" s="4" t="s">
        <v>225</v>
      </c>
    </row>
    <row r="15" customFormat="false" ht="61.15" hidden="false" customHeight="false" outlineLevel="0" collapsed="false">
      <c r="A15" s="4" t="s">
        <v>38</v>
      </c>
      <c r="B15" s="2" t="s">
        <v>84</v>
      </c>
      <c r="C15" s="2" t="s">
        <v>29</v>
      </c>
      <c r="D15" s="4" t="s">
        <v>226</v>
      </c>
      <c r="E15" s="2" t="s">
        <v>227</v>
      </c>
      <c r="F15" s="2" t="n">
        <v>7</v>
      </c>
      <c r="G15" s="2" t="s">
        <v>228</v>
      </c>
      <c r="H15" s="2" t="s">
        <v>175</v>
      </c>
      <c r="I15" s="2" t="n">
        <v>-16</v>
      </c>
      <c r="J15" s="2" t="n">
        <v>-16</v>
      </c>
      <c r="K15" s="18" t="n">
        <v>0.429</v>
      </c>
      <c r="L15" s="2" t="s">
        <v>30</v>
      </c>
      <c r="M15" s="2" t="s">
        <v>212</v>
      </c>
      <c r="N15" s="4" t="s">
        <v>229</v>
      </c>
    </row>
    <row r="16" customFormat="false" ht="73.1" hidden="false" customHeight="false" outlineLevel="0" collapsed="false">
      <c r="A16" s="4" t="s">
        <v>38</v>
      </c>
      <c r="B16" s="2" t="s">
        <v>43</v>
      </c>
      <c r="C16" s="2" t="s">
        <v>29</v>
      </c>
      <c r="D16" s="2" t="s">
        <v>230</v>
      </c>
      <c r="E16" s="2" t="s">
        <v>231</v>
      </c>
      <c r="F16" s="2" t="n">
        <v>30</v>
      </c>
      <c r="G16" s="2" t="s">
        <v>198</v>
      </c>
      <c r="H16" s="2" t="s">
        <v>175</v>
      </c>
      <c r="I16" s="2" t="n">
        <v>-74.5</v>
      </c>
      <c r="J16" s="2" t="n">
        <v>-73.5</v>
      </c>
      <c r="K16" s="18" t="n">
        <v>0.467</v>
      </c>
      <c r="L16" s="2" t="s">
        <v>30</v>
      </c>
      <c r="M16" s="2" t="s">
        <v>212</v>
      </c>
      <c r="N16" s="4" t="s">
        <v>232</v>
      </c>
    </row>
    <row r="17" customFormat="false" ht="85.05" hidden="false" customHeight="false" outlineLevel="0" collapsed="false">
      <c r="A17" s="4" t="s">
        <v>33</v>
      </c>
      <c r="B17" s="2" t="s">
        <v>51</v>
      </c>
      <c r="C17" s="2" t="s">
        <v>29</v>
      </c>
      <c r="D17" s="2" t="s">
        <v>233</v>
      </c>
      <c r="E17" s="2" t="s">
        <v>234</v>
      </c>
      <c r="F17" s="2" t="n">
        <v>23</v>
      </c>
      <c r="G17" s="2" t="s">
        <v>235</v>
      </c>
      <c r="H17" s="2" t="s">
        <v>175</v>
      </c>
      <c r="I17" s="2" t="n">
        <v>-64</v>
      </c>
      <c r="J17" s="2" t="n">
        <v>-64</v>
      </c>
      <c r="K17" s="18" t="n">
        <v>0.6087</v>
      </c>
      <c r="L17" s="2" t="s">
        <v>30</v>
      </c>
      <c r="M17" s="2" t="s">
        <v>212</v>
      </c>
      <c r="N17" s="2" t="s">
        <v>236</v>
      </c>
    </row>
    <row r="18" customFormat="false" ht="85.05" hidden="false" customHeight="false" outlineLevel="0" collapsed="false">
      <c r="A18" s="4" t="s">
        <v>33</v>
      </c>
      <c r="B18" s="2" t="s">
        <v>71</v>
      </c>
      <c r="C18" s="2" t="s">
        <v>67</v>
      </c>
      <c r="D18" s="2" t="s">
        <v>237</v>
      </c>
      <c r="E18" s="2" t="s">
        <v>238</v>
      </c>
      <c r="F18" s="2" t="n">
        <v>65</v>
      </c>
      <c r="G18" s="2" t="s">
        <v>179</v>
      </c>
      <c r="H18" s="2" t="s">
        <v>239</v>
      </c>
      <c r="I18" s="2" t="n">
        <v>-43</v>
      </c>
      <c r="J18" s="2" t="n">
        <v>-41.4</v>
      </c>
      <c r="K18" s="18" t="n">
        <v>0.4769</v>
      </c>
      <c r="L18" s="19" t="s">
        <v>34</v>
      </c>
      <c r="M18" s="2" t="s">
        <v>212</v>
      </c>
      <c r="N18" s="4" t="s">
        <v>240</v>
      </c>
    </row>
    <row r="19" customFormat="false" ht="85.05" hidden="false" customHeight="false" outlineLevel="0" collapsed="false">
      <c r="A19" s="4" t="s">
        <v>33</v>
      </c>
      <c r="B19" s="2" t="s">
        <v>49</v>
      </c>
      <c r="C19" s="2" t="s">
        <v>29</v>
      </c>
      <c r="D19" s="2" t="s">
        <v>241</v>
      </c>
      <c r="E19" s="2" t="s">
        <v>242</v>
      </c>
      <c r="F19" s="2" t="n">
        <v>25</v>
      </c>
      <c r="G19" s="2" t="s">
        <v>243</v>
      </c>
      <c r="H19" s="2" t="s">
        <v>175</v>
      </c>
      <c r="I19" s="2" t="n">
        <v>-69</v>
      </c>
      <c r="J19" s="2" t="n">
        <v>-62.2</v>
      </c>
      <c r="K19" s="18" t="n">
        <v>0.125</v>
      </c>
      <c r="L19" s="19" t="s">
        <v>34</v>
      </c>
      <c r="M19" s="2" t="s">
        <v>212</v>
      </c>
      <c r="N19" s="4" t="s">
        <v>244</v>
      </c>
    </row>
    <row r="20" customFormat="false" ht="97" hidden="false" customHeight="false" outlineLevel="0" collapsed="false">
      <c r="A20" s="4" t="s">
        <v>33</v>
      </c>
      <c r="B20" s="2" t="s">
        <v>66</v>
      </c>
      <c r="C20" s="2" t="s">
        <v>67</v>
      </c>
      <c r="D20" s="2" t="s">
        <v>245</v>
      </c>
      <c r="E20" s="2" t="s">
        <v>242</v>
      </c>
      <c r="F20" s="2" t="n">
        <v>9</v>
      </c>
      <c r="G20" s="2" t="s">
        <v>179</v>
      </c>
      <c r="H20" s="2" t="s">
        <v>246</v>
      </c>
      <c r="I20" s="2" t="n">
        <v>-44</v>
      </c>
      <c r="J20" s="2" t="n">
        <v>-44.3</v>
      </c>
      <c r="K20" s="18" t="n">
        <v>0.3333</v>
      </c>
      <c r="L20" s="19" t="s">
        <v>34</v>
      </c>
      <c r="M20" s="2" t="s">
        <v>212</v>
      </c>
      <c r="N20" s="2" t="s">
        <v>247</v>
      </c>
    </row>
    <row r="21" customFormat="false" ht="85.05" hidden="false" customHeight="false" outlineLevel="0" collapsed="false">
      <c r="A21" s="4" t="s">
        <v>33</v>
      </c>
      <c r="B21" s="2" t="s">
        <v>32</v>
      </c>
      <c r="C21" s="2" t="s">
        <v>29</v>
      </c>
      <c r="D21" s="2" t="s">
        <v>248</v>
      </c>
      <c r="E21" s="2" t="s">
        <v>249</v>
      </c>
      <c r="F21" s="2" t="n">
        <v>50</v>
      </c>
      <c r="G21" s="2" t="s">
        <v>250</v>
      </c>
      <c r="H21" s="2" t="s">
        <v>175</v>
      </c>
      <c r="I21" s="2" t="n">
        <v>-82</v>
      </c>
      <c r="J21" s="2" t="n">
        <v>-74.5</v>
      </c>
      <c r="K21" s="18" t="n">
        <v>0.24</v>
      </c>
      <c r="L21" s="19" t="s">
        <v>34</v>
      </c>
      <c r="M21" s="2" t="s">
        <v>212</v>
      </c>
      <c r="N21" s="2" t="s">
        <v>251</v>
      </c>
    </row>
    <row r="22" customFormat="false" ht="73.1" hidden="false" customHeight="false" outlineLevel="0" collapsed="false">
      <c r="A22" s="4" t="s">
        <v>33</v>
      </c>
      <c r="B22" s="2" t="s">
        <v>69</v>
      </c>
      <c r="C22" s="2" t="s">
        <v>29</v>
      </c>
      <c r="D22" s="2" t="s">
        <v>252</v>
      </c>
      <c r="E22" s="2" t="s">
        <v>253</v>
      </c>
      <c r="F22" s="2" t="n">
        <v>70</v>
      </c>
      <c r="G22" s="2" t="s">
        <v>254</v>
      </c>
      <c r="H22" s="2" t="s">
        <v>175</v>
      </c>
      <c r="I22" s="2" t="n">
        <v>-44</v>
      </c>
      <c r="J22" s="2" t="n">
        <v>-50.8</v>
      </c>
      <c r="K22" s="18" t="n">
        <v>0.4355</v>
      </c>
      <c r="L22" s="2" t="s">
        <v>30</v>
      </c>
      <c r="M22" s="2" t="s">
        <v>212</v>
      </c>
      <c r="N22" s="4" t="s">
        <v>255</v>
      </c>
    </row>
    <row r="23" customFormat="false" ht="85.05" hidden="false" customHeight="false" outlineLevel="0" collapsed="false">
      <c r="A23" s="4" t="s">
        <v>33</v>
      </c>
      <c r="B23" s="2" t="s">
        <v>79</v>
      </c>
      <c r="C23" s="2" t="s">
        <v>67</v>
      </c>
      <c r="D23" s="2" t="s">
        <v>256</v>
      </c>
      <c r="E23" s="2" t="s">
        <v>242</v>
      </c>
      <c r="F23" s="2" t="n">
        <v>16</v>
      </c>
      <c r="G23" s="2" t="s">
        <v>179</v>
      </c>
      <c r="H23" s="2" t="s">
        <v>239</v>
      </c>
      <c r="I23" s="2" t="n">
        <v>-29</v>
      </c>
      <c r="J23" s="2" t="n">
        <v>-28.2</v>
      </c>
      <c r="K23" s="18" t="n">
        <v>0.4667</v>
      </c>
      <c r="L23" s="19" t="s">
        <v>34</v>
      </c>
      <c r="M23" s="2" t="s">
        <v>212</v>
      </c>
      <c r="N23" s="4" t="s">
        <v>257</v>
      </c>
    </row>
    <row r="24" customFormat="false" ht="97" hidden="false" customHeight="false" outlineLevel="0" collapsed="false">
      <c r="A24" s="4" t="s">
        <v>33</v>
      </c>
      <c r="B24" s="2" t="s">
        <v>40</v>
      </c>
      <c r="C24" s="2" t="s">
        <v>29</v>
      </c>
      <c r="D24" s="2" t="s">
        <v>258</v>
      </c>
      <c r="E24" s="2" t="s">
        <v>234</v>
      </c>
      <c r="F24" s="2" t="n">
        <v>66</v>
      </c>
      <c r="G24" s="2" t="s">
        <v>250</v>
      </c>
      <c r="H24" s="2" t="s">
        <v>175</v>
      </c>
      <c r="I24" s="2" t="n">
        <v>-80</v>
      </c>
      <c r="J24" s="2" t="n">
        <v>-65.8</v>
      </c>
      <c r="K24" s="18" t="n">
        <v>0.377</v>
      </c>
      <c r="L24" s="2" t="s">
        <v>30</v>
      </c>
      <c r="M24" s="2" t="s">
        <v>212</v>
      </c>
      <c r="N24" s="4" t="s">
        <v>259</v>
      </c>
    </row>
    <row r="25" customFormat="false" ht="61.15" hidden="false" customHeight="false" outlineLevel="0" collapsed="false">
      <c r="A25" s="4" t="s">
        <v>28</v>
      </c>
      <c r="B25" s="2" t="s">
        <v>53</v>
      </c>
      <c r="C25" s="2" t="s">
        <v>29</v>
      </c>
      <c r="D25" s="2" t="s">
        <v>260</v>
      </c>
      <c r="E25" s="2" t="s">
        <v>261</v>
      </c>
      <c r="F25" s="2" t="n">
        <v>41</v>
      </c>
      <c r="G25" s="2" t="s">
        <v>262</v>
      </c>
      <c r="H25" s="2" t="s">
        <v>175</v>
      </c>
      <c r="I25" s="2" t="n">
        <v>-63.5</v>
      </c>
      <c r="J25" s="2" t="n">
        <v>-56.3</v>
      </c>
      <c r="K25" s="18" t="n">
        <v>0.341</v>
      </c>
      <c r="L25" s="2" t="s">
        <v>30</v>
      </c>
      <c r="M25" s="2" t="s">
        <v>212</v>
      </c>
      <c r="N25" s="2" t="s">
        <v>263</v>
      </c>
    </row>
    <row r="26" customFormat="false" ht="73.1" hidden="false" customHeight="false" outlineLevel="0" collapsed="false">
      <c r="A26" s="4" t="s">
        <v>28</v>
      </c>
      <c r="B26" s="2" t="s">
        <v>75</v>
      </c>
      <c r="C26" s="2" t="s">
        <v>67</v>
      </c>
      <c r="D26" s="2" t="s">
        <v>264</v>
      </c>
      <c r="E26" s="2" t="s">
        <v>265</v>
      </c>
      <c r="F26" s="2" t="n">
        <v>18</v>
      </c>
      <c r="G26" s="2" t="s">
        <v>179</v>
      </c>
      <c r="H26" s="2" t="s">
        <v>266</v>
      </c>
      <c r="I26" s="2" t="n">
        <v>-34</v>
      </c>
      <c r="J26" s="2" t="n">
        <v>-38.7</v>
      </c>
      <c r="K26" s="18" t="n">
        <v>0</v>
      </c>
      <c r="L26" s="19" t="s">
        <v>34</v>
      </c>
      <c r="M26" s="2" t="s">
        <v>212</v>
      </c>
      <c r="N26" s="4" t="s">
        <v>267</v>
      </c>
    </row>
    <row r="27" customFormat="false" ht="61.15" hidden="false" customHeight="false" outlineLevel="0" collapsed="false">
      <c r="A27" s="4" t="s">
        <v>28</v>
      </c>
      <c r="B27" s="2" t="s">
        <v>41</v>
      </c>
      <c r="C27" s="2" t="s">
        <v>29</v>
      </c>
      <c r="D27" s="4" t="s">
        <v>268</v>
      </c>
      <c r="E27" s="2" t="s">
        <v>269</v>
      </c>
      <c r="F27" s="2" t="n">
        <v>120</v>
      </c>
      <c r="G27" s="2" t="s">
        <v>270</v>
      </c>
      <c r="H27" s="2" t="s">
        <v>175</v>
      </c>
      <c r="I27" s="2" t="n">
        <v>-80</v>
      </c>
      <c r="J27" s="2" t="n">
        <v>-68</v>
      </c>
      <c r="K27" s="18" t="n">
        <v>0.383</v>
      </c>
      <c r="L27" s="2" t="s">
        <v>30</v>
      </c>
      <c r="M27" s="2" t="s">
        <v>212</v>
      </c>
      <c r="N27" s="2" t="s">
        <v>271</v>
      </c>
    </row>
    <row r="28" customFormat="false" ht="61.15" hidden="false" customHeight="false" outlineLevel="0" collapsed="false">
      <c r="A28" s="4" t="s">
        <v>28</v>
      </c>
      <c r="B28" s="2" t="s">
        <v>103</v>
      </c>
      <c r="C28" s="2" t="s">
        <v>67</v>
      </c>
      <c r="D28" s="4" t="s">
        <v>272</v>
      </c>
      <c r="E28" s="2" t="s">
        <v>273</v>
      </c>
      <c r="F28" s="2" t="n">
        <v>0</v>
      </c>
      <c r="G28" s="2" t="s">
        <v>179</v>
      </c>
      <c r="H28" s="2" t="s">
        <v>274</v>
      </c>
      <c r="I28" s="2" t="n">
        <v>0</v>
      </c>
      <c r="J28" s="2" t="n">
        <v>0</v>
      </c>
      <c r="K28" s="18" t="n">
        <v>0</v>
      </c>
      <c r="L28" s="2" t="s">
        <v>30</v>
      </c>
      <c r="M28" s="2" t="s">
        <v>212</v>
      </c>
      <c r="N28" s="4" t="s">
        <v>275</v>
      </c>
    </row>
    <row r="29" customFormat="false" ht="49.25" hidden="false" customHeight="false" outlineLevel="0" collapsed="false">
      <c r="A29" s="4" t="s">
        <v>28</v>
      </c>
      <c r="B29" s="2" t="s">
        <v>73</v>
      </c>
      <c r="C29" s="2" t="s">
        <v>67</v>
      </c>
      <c r="D29" s="4" t="s">
        <v>276</v>
      </c>
      <c r="E29" s="2" t="s">
        <v>273</v>
      </c>
      <c r="F29" s="2" t="n">
        <v>4</v>
      </c>
      <c r="G29" s="2" t="s">
        <v>179</v>
      </c>
      <c r="H29" s="2" t="s">
        <v>277</v>
      </c>
      <c r="I29" s="2" t="n">
        <v>-35.5</v>
      </c>
      <c r="J29" s="2" t="n">
        <v>-35.5</v>
      </c>
      <c r="K29" s="18" t="n">
        <v>0.5</v>
      </c>
      <c r="L29" s="2" t="s">
        <v>30</v>
      </c>
      <c r="M29" s="2" t="s">
        <v>212</v>
      </c>
      <c r="N29" s="4" t="s">
        <v>278</v>
      </c>
    </row>
    <row r="30" customFormat="false" ht="61.15" hidden="false" customHeight="false" outlineLevel="0" collapsed="false">
      <c r="A30" s="4" t="s">
        <v>28</v>
      </c>
      <c r="B30" s="2" t="s">
        <v>27</v>
      </c>
      <c r="C30" s="2" t="s">
        <v>29</v>
      </c>
      <c r="D30" s="2" t="s">
        <v>279</v>
      </c>
      <c r="E30" s="2" t="s">
        <v>273</v>
      </c>
      <c r="F30" s="2" t="n">
        <v>32</v>
      </c>
      <c r="G30" s="2" t="s">
        <v>280</v>
      </c>
      <c r="H30" s="2" t="s">
        <v>175</v>
      </c>
      <c r="I30" s="2" t="n">
        <v>-83</v>
      </c>
      <c r="J30" s="2" t="n">
        <v>-63.9</v>
      </c>
      <c r="K30" s="18" t="n">
        <v>0.5</v>
      </c>
      <c r="L30" s="2" t="s">
        <v>30</v>
      </c>
      <c r="M30" s="2" t="s">
        <v>212</v>
      </c>
      <c r="N30" s="2" t="s">
        <v>281</v>
      </c>
    </row>
    <row r="31" customFormat="false" ht="108.95" hidden="false" customHeight="false" outlineLevel="0" collapsed="false">
      <c r="A31" s="4" t="s">
        <v>87</v>
      </c>
      <c r="B31" s="2" t="s">
        <v>86</v>
      </c>
      <c r="C31" s="2" t="s">
        <v>56</v>
      </c>
      <c r="D31" s="2" t="s">
        <v>282</v>
      </c>
      <c r="E31" s="2" t="s">
        <v>283</v>
      </c>
      <c r="F31" s="2" t="n">
        <v>44</v>
      </c>
      <c r="G31" s="2" t="s">
        <v>284</v>
      </c>
      <c r="H31" s="2" t="s">
        <v>285</v>
      </c>
      <c r="I31" s="2" t="n">
        <v>-12.5</v>
      </c>
      <c r="J31" s="2" t="n">
        <v>-12.2</v>
      </c>
      <c r="K31" s="18" t="n">
        <v>0.262</v>
      </c>
      <c r="L31" s="2" t="s">
        <v>30</v>
      </c>
      <c r="M31" s="2" t="s">
        <v>212</v>
      </c>
      <c r="N31" s="2" t="s">
        <v>286</v>
      </c>
    </row>
    <row r="32" customFormat="false" ht="85.05" hidden="false" customHeight="false" outlineLevel="0" collapsed="false">
      <c r="A32" s="4" t="s">
        <v>87</v>
      </c>
      <c r="B32" s="2" t="s">
        <v>91</v>
      </c>
      <c r="C32" s="2" t="s">
        <v>56</v>
      </c>
      <c r="D32" s="2" t="s">
        <v>287</v>
      </c>
      <c r="E32" s="2" t="s">
        <v>288</v>
      </c>
      <c r="F32" s="2" t="n">
        <v>24</v>
      </c>
      <c r="G32" s="2" t="s">
        <v>284</v>
      </c>
      <c r="H32" s="2" t="s">
        <v>289</v>
      </c>
      <c r="I32" s="2" t="n">
        <v>-7</v>
      </c>
      <c r="J32" s="2" t="n">
        <v>-7.9</v>
      </c>
      <c r="K32" s="18" t="n">
        <v>0.333</v>
      </c>
      <c r="L32" s="19" t="s">
        <v>34</v>
      </c>
      <c r="M32" s="2" t="s">
        <v>212</v>
      </c>
      <c r="N32" s="2" t="s">
        <v>290</v>
      </c>
    </row>
    <row r="33" customFormat="false" ht="107.45" hidden="false" customHeight="false" outlineLevel="0" collapsed="false">
      <c r="A33" s="4" t="s">
        <v>87</v>
      </c>
      <c r="B33" s="2" t="s">
        <v>93</v>
      </c>
      <c r="C33" s="2" t="s">
        <v>29</v>
      </c>
      <c r="D33" s="2" t="s">
        <v>291</v>
      </c>
      <c r="E33" s="2" t="s">
        <v>292</v>
      </c>
      <c r="F33" s="2" t="n">
        <v>7</v>
      </c>
      <c r="G33" s="2" t="s">
        <v>293</v>
      </c>
      <c r="H33" s="2" t="s">
        <v>175</v>
      </c>
      <c r="I33" s="2" t="n">
        <v>-7</v>
      </c>
      <c r="J33" s="2" t="n">
        <v>-8.8</v>
      </c>
      <c r="K33" s="18" t="n">
        <v>0</v>
      </c>
      <c r="L33" s="19" t="s">
        <v>34</v>
      </c>
      <c r="M33" s="2" t="s">
        <v>212</v>
      </c>
      <c r="N33" s="2" t="s">
        <v>294</v>
      </c>
    </row>
    <row r="34" customFormat="false" ht="85.05" hidden="false" customHeight="false" outlineLevel="0" collapsed="false">
      <c r="A34" s="4" t="s">
        <v>87</v>
      </c>
      <c r="B34" s="2" t="s">
        <v>95</v>
      </c>
      <c r="C34" s="2" t="s">
        <v>29</v>
      </c>
      <c r="D34" s="2" t="s">
        <v>295</v>
      </c>
      <c r="E34" s="2" t="s">
        <v>296</v>
      </c>
      <c r="F34" s="2" t="n">
        <v>9</v>
      </c>
      <c r="G34" s="2" t="s">
        <v>284</v>
      </c>
      <c r="H34" s="2" t="s">
        <v>175</v>
      </c>
      <c r="I34" s="2" t="n">
        <v>-7</v>
      </c>
      <c r="J34" s="2" t="n">
        <v>-8.3</v>
      </c>
      <c r="K34" s="18" t="n">
        <v>0.111</v>
      </c>
      <c r="L34" s="2" t="s">
        <v>30</v>
      </c>
      <c r="M34" s="2" t="s">
        <v>212</v>
      </c>
      <c r="N34" s="2" t="s">
        <v>297</v>
      </c>
    </row>
    <row r="35" customFormat="false" ht="120.85" hidden="false" customHeight="false" outlineLevel="0" collapsed="false">
      <c r="A35" s="4" t="s">
        <v>87</v>
      </c>
      <c r="B35" s="2" t="s">
        <v>97</v>
      </c>
      <c r="C35" s="2" t="s">
        <v>29</v>
      </c>
      <c r="D35" s="4" t="s">
        <v>298</v>
      </c>
      <c r="E35" s="2" t="s">
        <v>299</v>
      </c>
      <c r="F35" s="2" t="n">
        <v>13</v>
      </c>
      <c r="G35" s="2" t="s">
        <v>300</v>
      </c>
      <c r="H35" s="2" t="s">
        <v>175</v>
      </c>
      <c r="I35" s="2" t="n">
        <v>-6.5</v>
      </c>
      <c r="J35" s="2" t="n">
        <v>-4.8</v>
      </c>
      <c r="K35" s="18" t="n">
        <v>0.083</v>
      </c>
      <c r="L35" s="20" t="s">
        <v>98</v>
      </c>
      <c r="M35" s="2" t="s">
        <v>212</v>
      </c>
      <c r="N35" s="2" t="s">
        <v>301</v>
      </c>
    </row>
    <row r="36" customFormat="false" ht="97" hidden="false" customHeight="false" outlineLevel="0" collapsed="false">
      <c r="A36" s="4" t="s">
        <v>87</v>
      </c>
      <c r="B36" s="2" t="s">
        <v>89</v>
      </c>
      <c r="C36" s="2" t="s">
        <v>56</v>
      </c>
      <c r="D36" s="2" t="s">
        <v>302</v>
      </c>
      <c r="E36" s="2" t="s">
        <v>303</v>
      </c>
      <c r="F36" s="2" t="n">
        <v>57</v>
      </c>
      <c r="G36" s="2" t="s">
        <v>304</v>
      </c>
      <c r="H36" s="2" t="s">
        <v>285</v>
      </c>
      <c r="I36" s="2" t="n">
        <v>-8</v>
      </c>
      <c r="J36" s="2" t="n">
        <v>-6.6</v>
      </c>
      <c r="K36" s="18" t="n">
        <v>0.232</v>
      </c>
      <c r="L36" s="19" t="s">
        <v>34</v>
      </c>
      <c r="M36" s="2" t="s">
        <v>212</v>
      </c>
      <c r="N36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6" min="3" style="0" width="11"/>
  </cols>
  <sheetData>
    <row r="1" customFormat="false" ht="16.4" hidden="false" customHeight="false" outlineLevel="0" collapsed="false">
      <c r="A1" s="5" t="s">
        <v>306</v>
      </c>
    </row>
    <row r="2" customFormat="false" ht="22.35" hidden="false" customHeight="false" outlineLevel="0" collapsed="false">
      <c r="A2" s="6" t="s">
        <v>307</v>
      </c>
      <c r="B2" s="6" t="s">
        <v>110</v>
      </c>
      <c r="C2" s="21" t="s">
        <v>47</v>
      </c>
      <c r="D2" s="21" t="s">
        <v>77</v>
      </c>
      <c r="E2" s="21" t="s">
        <v>60</v>
      </c>
      <c r="F2" s="21" t="s">
        <v>55</v>
      </c>
      <c r="G2" s="21" t="s">
        <v>58</v>
      </c>
      <c r="H2" s="21" t="s">
        <v>45</v>
      </c>
      <c r="I2" s="21" t="s">
        <v>82</v>
      </c>
      <c r="J2" s="21" t="s">
        <v>62</v>
      </c>
      <c r="K2" s="21" t="s">
        <v>37</v>
      </c>
      <c r="L2" s="21" t="s">
        <v>80</v>
      </c>
      <c r="M2" s="21" t="s">
        <v>64</v>
      </c>
      <c r="N2" s="21" t="s">
        <v>100</v>
      </c>
      <c r="O2" s="21" t="s">
        <v>84</v>
      </c>
      <c r="P2" s="21" t="s">
        <v>43</v>
      </c>
      <c r="Q2" s="21" t="s">
        <v>51</v>
      </c>
      <c r="R2" s="21" t="s">
        <v>71</v>
      </c>
      <c r="S2" s="21" t="s">
        <v>49</v>
      </c>
      <c r="T2" s="21" t="s">
        <v>66</v>
      </c>
      <c r="U2" s="21" t="s">
        <v>32</v>
      </c>
      <c r="V2" s="21" t="s">
        <v>69</v>
      </c>
      <c r="W2" s="21" t="s">
        <v>79</v>
      </c>
      <c r="X2" s="21" t="s">
        <v>40</v>
      </c>
      <c r="Y2" s="21" t="s">
        <v>53</v>
      </c>
      <c r="Z2" s="21" t="s">
        <v>75</v>
      </c>
      <c r="AA2" s="21" t="s">
        <v>41</v>
      </c>
      <c r="AB2" s="21" t="s">
        <v>103</v>
      </c>
      <c r="AC2" s="21" t="s">
        <v>73</v>
      </c>
      <c r="AD2" s="21" t="s">
        <v>27</v>
      </c>
      <c r="AE2" s="21" t="s">
        <v>86</v>
      </c>
      <c r="AF2" s="21" t="s">
        <v>91</v>
      </c>
      <c r="AG2" s="21" t="s">
        <v>93</v>
      </c>
      <c r="AH2" s="21" t="s">
        <v>95</v>
      </c>
      <c r="AI2" s="21" t="s">
        <v>97</v>
      </c>
      <c r="AJ2" s="21" t="s">
        <v>89</v>
      </c>
    </row>
    <row r="3" customFormat="false" ht="15" hidden="false" customHeight="false" outlineLevel="0" collapsed="false">
      <c r="A3" s="7" t="s">
        <v>114</v>
      </c>
      <c r="B3" s="14" t="s">
        <v>29</v>
      </c>
      <c r="C3" s="10" t="n">
        <v>-68</v>
      </c>
      <c r="J3" s="10" t="n">
        <v>-45</v>
      </c>
      <c r="K3" s="10" t="n">
        <v>-42</v>
      </c>
      <c r="P3" s="10" t="n">
        <v>-55</v>
      </c>
      <c r="AD3" s="10" t="n">
        <v>-72</v>
      </c>
    </row>
    <row r="4" customFormat="false" ht="15" hidden="false" customHeight="false" outlineLevel="0" collapsed="false">
      <c r="A4" s="7" t="s">
        <v>115</v>
      </c>
      <c r="B4" s="10" t="s">
        <v>67</v>
      </c>
      <c r="G4" s="7" t="n">
        <v>1</v>
      </c>
    </row>
    <row r="5" customFormat="false" ht="15" hidden="false" customHeight="false" outlineLevel="0" collapsed="false">
      <c r="A5" s="7" t="s">
        <v>116</v>
      </c>
      <c r="B5" s="14" t="s">
        <v>29</v>
      </c>
      <c r="C5" s="10" t="n">
        <v>-71</v>
      </c>
      <c r="G5" s="10" t="n">
        <v>-10</v>
      </c>
      <c r="J5" s="10" t="n">
        <v>-80</v>
      </c>
      <c r="K5" s="10" t="n">
        <v>-77</v>
      </c>
      <c r="P5" s="10" t="n">
        <v>-90</v>
      </c>
      <c r="AD5" s="10" t="n">
        <v>-85</v>
      </c>
    </row>
    <row r="6" customFormat="false" ht="15" hidden="false" customHeight="false" outlineLevel="0" collapsed="false">
      <c r="A6" s="7" t="s">
        <v>117</v>
      </c>
      <c r="B6" s="10" t="s">
        <v>67</v>
      </c>
      <c r="D6" s="7" t="n">
        <v>0</v>
      </c>
      <c r="G6" s="10" t="n">
        <v>-25</v>
      </c>
      <c r="L6" s="10" t="n">
        <v>-6</v>
      </c>
    </row>
    <row r="7" customFormat="false" ht="15" hidden="false" customHeight="false" outlineLevel="0" collapsed="false">
      <c r="A7" s="7" t="s">
        <v>118</v>
      </c>
      <c r="B7" s="14" t="s">
        <v>29</v>
      </c>
      <c r="G7" s="10" t="n">
        <v>-63</v>
      </c>
      <c r="I7" s="10" t="n">
        <v>-25</v>
      </c>
      <c r="J7" s="10" t="n">
        <v>-86</v>
      </c>
      <c r="K7" s="10" t="n">
        <v>-83</v>
      </c>
    </row>
    <row r="8" customFormat="false" ht="15" hidden="false" customHeight="false" outlineLevel="0" collapsed="false">
      <c r="A8" s="7" t="s">
        <v>119</v>
      </c>
      <c r="B8" s="10" t="s">
        <v>67</v>
      </c>
      <c r="D8" s="10" t="n">
        <v>-13</v>
      </c>
      <c r="G8" s="10" t="n">
        <v>-69</v>
      </c>
    </row>
    <row r="9" customFormat="false" ht="15" hidden="false" customHeight="false" outlineLevel="0" collapsed="false">
      <c r="A9" s="7" t="s">
        <v>120</v>
      </c>
      <c r="B9" s="14" t="s">
        <v>29</v>
      </c>
      <c r="G9" s="10" t="n">
        <v>-65</v>
      </c>
      <c r="H9" s="10" t="n">
        <v>-42</v>
      </c>
    </row>
    <row r="10" customFormat="false" ht="15" hidden="false" customHeight="false" outlineLevel="0" collapsed="false">
      <c r="A10" s="7" t="s">
        <v>121</v>
      </c>
      <c r="B10" s="10" t="s">
        <v>67</v>
      </c>
      <c r="D10" s="10" t="n">
        <v>-34</v>
      </c>
      <c r="F10" s="7" t="n">
        <v>-1</v>
      </c>
      <c r="G10" s="10" t="n">
        <v>-90</v>
      </c>
    </row>
    <row r="11" customFormat="false" ht="15" hidden="false" customHeight="false" outlineLevel="0" collapsed="false">
      <c r="A11" s="7" t="s">
        <v>122</v>
      </c>
      <c r="B11" s="14" t="s">
        <v>29</v>
      </c>
      <c r="H11" s="10" t="n">
        <v>-71</v>
      </c>
    </row>
    <row r="12" customFormat="false" ht="15" hidden="false" customHeight="false" outlineLevel="0" collapsed="false">
      <c r="A12" s="7" t="s">
        <v>123</v>
      </c>
      <c r="B12" s="10" t="s">
        <v>67</v>
      </c>
      <c r="D12" s="10" t="n">
        <v>-90</v>
      </c>
      <c r="F12" s="10" t="n">
        <v>-65</v>
      </c>
      <c r="L12" s="10" t="n">
        <v>-49</v>
      </c>
      <c r="Z12" s="10" t="n">
        <v>-30</v>
      </c>
    </row>
    <row r="13" customFormat="false" ht="15" hidden="false" customHeight="false" outlineLevel="0" collapsed="false">
      <c r="A13" s="7" t="s">
        <v>124</v>
      </c>
      <c r="B13" s="14" t="s">
        <v>29</v>
      </c>
    </row>
    <row r="14" customFormat="false" ht="15" hidden="false" customHeight="false" outlineLevel="0" collapsed="false">
      <c r="A14" s="7" t="s">
        <v>125</v>
      </c>
      <c r="B14" s="10" t="s">
        <v>67</v>
      </c>
      <c r="Z14" s="10" t="n">
        <v>-25</v>
      </c>
    </row>
    <row r="15" customFormat="false" ht="15" hidden="false" customHeight="false" outlineLevel="0" collapsed="false">
      <c r="A15" s="7" t="s">
        <v>126</v>
      </c>
      <c r="B15" s="14" t="s">
        <v>29</v>
      </c>
      <c r="C15" s="10" t="n">
        <v>-21</v>
      </c>
      <c r="G15" s="10" t="n">
        <v>-9</v>
      </c>
      <c r="Y15" s="10" t="n">
        <v>-21</v>
      </c>
    </row>
    <row r="16" customFormat="false" ht="15" hidden="false" customHeight="false" outlineLevel="0" collapsed="false">
      <c r="A16" s="7" t="s">
        <v>127</v>
      </c>
      <c r="B16" s="10" t="s">
        <v>67</v>
      </c>
      <c r="D16" s="10" t="n">
        <v>-71</v>
      </c>
      <c r="F16" s="7" t="n">
        <v>-3</v>
      </c>
      <c r="Z16" s="10" t="n">
        <v>-44</v>
      </c>
    </row>
    <row r="17" customFormat="false" ht="15" hidden="false" customHeight="false" outlineLevel="0" collapsed="false">
      <c r="A17" s="7" t="s">
        <v>128</v>
      </c>
      <c r="B17" s="14" t="s">
        <v>29</v>
      </c>
    </row>
    <row r="18" customFormat="false" ht="15" hidden="false" customHeight="false" outlineLevel="0" collapsed="false">
      <c r="A18" s="7" t="s">
        <v>129</v>
      </c>
      <c r="B18" s="10" t="s">
        <v>67</v>
      </c>
      <c r="D18" s="10" t="n">
        <v>-90</v>
      </c>
      <c r="E18" s="10" t="n">
        <v>-18</v>
      </c>
      <c r="F18" s="10" t="n">
        <v>-49</v>
      </c>
      <c r="Z18" s="10" t="n">
        <v>-90</v>
      </c>
    </row>
    <row r="19" customFormat="false" ht="15" hidden="false" customHeight="false" outlineLevel="0" collapsed="false">
      <c r="A19" s="7" t="s">
        <v>130</v>
      </c>
      <c r="B19" s="14" t="s">
        <v>29</v>
      </c>
      <c r="C19" s="10" t="n">
        <v>-88</v>
      </c>
      <c r="E19" s="10" t="n">
        <v>-42</v>
      </c>
      <c r="F19" s="10" t="n">
        <v>-83</v>
      </c>
      <c r="J19" s="10" t="n">
        <v>-82</v>
      </c>
      <c r="K19" s="10" t="n">
        <v>-81</v>
      </c>
      <c r="P19" s="10" t="n">
        <v>-79</v>
      </c>
      <c r="Y19" s="10" t="n">
        <v>-88</v>
      </c>
      <c r="AA19" s="10" t="n">
        <v>-45</v>
      </c>
      <c r="AD19" s="10" t="n">
        <v>-18</v>
      </c>
    </row>
    <row r="20" customFormat="false" ht="15" hidden="false" customHeight="false" outlineLevel="0" collapsed="false">
      <c r="A20" s="7" t="s">
        <v>131</v>
      </c>
      <c r="B20" s="10" t="s">
        <v>67</v>
      </c>
      <c r="F20" s="7" t="n">
        <v>5</v>
      </c>
      <c r="G20" s="10" t="n">
        <v>-70</v>
      </c>
      <c r="Z20" s="10" t="n">
        <v>-16</v>
      </c>
    </row>
    <row r="21" customFormat="false" ht="15" hidden="false" customHeight="false" outlineLevel="0" collapsed="false">
      <c r="A21" s="7" t="s">
        <v>132</v>
      </c>
      <c r="B21" s="14" t="s">
        <v>29</v>
      </c>
      <c r="C21" s="7" t="n">
        <v>-2</v>
      </c>
      <c r="E21" s="10" t="n">
        <v>-67</v>
      </c>
      <c r="F21" s="10" t="n">
        <v>-89</v>
      </c>
      <c r="G21" s="10" t="n">
        <v>-54</v>
      </c>
      <c r="J21" s="10" t="n">
        <v>-65</v>
      </c>
      <c r="K21" s="10" t="n">
        <v>-59</v>
      </c>
      <c r="Y21" s="10" t="n">
        <v>-85</v>
      </c>
      <c r="AA21" s="10" t="n">
        <v>-80</v>
      </c>
      <c r="AD21" s="10" t="n">
        <v>-84</v>
      </c>
      <c r="AE21" s="10" t="n">
        <v>-7</v>
      </c>
      <c r="AG21" s="10" t="n">
        <v>-15</v>
      </c>
      <c r="AJ21" s="10" t="n">
        <v>-15</v>
      </c>
    </row>
    <row r="22" customFormat="false" ht="15" hidden="false" customHeight="false" outlineLevel="0" collapsed="false">
      <c r="A22" s="7" t="s">
        <v>133</v>
      </c>
      <c r="B22" s="10" t="s">
        <v>67</v>
      </c>
      <c r="D22" s="10" t="n">
        <v>-22</v>
      </c>
      <c r="F22" s="10" t="n">
        <v>-27</v>
      </c>
      <c r="G22" s="10" t="n">
        <v>-72</v>
      </c>
      <c r="Z22" s="10" t="n">
        <v>-42</v>
      </c>
    </row>
    <row r="23" customFormat="false" ht="15" hidden="false" customHeight="false" outlineLevel="0" collapsed="false">
      <c r="A23" s="7" t="s">
        <v>134</v>
      </c>
      <c r="B23" s="14" t="s">
        <v>29</v>
      </c>
      <c r="C23" s="7" t="n">
        <v>0</v>
      </c>
      <c r="G23" s="10" t="n">
        <v>-12</v>
      </c>
      <c r="H23" s="10" t="n">
        <v>-89</v>
      </c>
      <c r="Y23" s="10" t="n">
        <v>-17</v>
      </c>
      <c r="AD23" s="10" t="n">
        <v>-17</v>
      </c>
    </row>
    <row r="24" customFormat="false" ht="15" hidden="false" customHeight="false" outlineLevel="0" collapsed="false">
      <c r="A24" s="7" t="s">
        <v>135</v>
      </c>
      <c r="B24" s="10" t="s">
        <v>67</v>
      </c>
      <c r="D24" s="10" t="n">
        <v>-17</v>
      </c>
      <c r="E24" s="10" t="n">
        <v>-55</v>
      </c>
      <c r="F24" s="10" t="n">
        <v>-70</v>
      </c>
      <c r="G24" s="10" t="n">
        <v>-54</v>
      </c>
      <c r="Z24" s="10" t="n">
        <v>-20</v>
      </c>
    </row>
    <row r="25" customFormat="false" ht="15" hidden="false" customHeight="false" outlineLevel="0" collapsed="false">
      <c r="A25" s="7" t="s">
        <v>136</v>
      </c>
      <c r="B25" s="14" t="s">
        <v>29</v>
      </c>
      <c r="G25" s="10" t="n">
        <v>-59</v>
      </c>
    </row>
    <row r="26" customFormat="false" ht="15" hidden="false" customHeight="false" outlineLevel="0" collapsed="false">
      <c r="A26" s="7" t="s">
        <v>137</v>
      </c>
      <c r="B26" s="10" t="s">
        <v>67</v>
      </c>
      <c r="D26" s="10" t="n">
        <v>-35</v>
      </c>
      <c r="E26" s="10" t="n">
        <v>-73</v>
      </c>
      <c r="F26" s="10" t="n">
        <v>-88</v>
      </c>
      <c r="G26" s="10" t="n">
        <v>-72</v>
      </c>
      <c r="L26" s="10" t="n">
        <v>-6</v>
      </c>
      <c r="Z26" s="10" t="n">
        <v>-38</v>
      </c>
    </row>
    <row r="27" customFormat="false" ht="15" hidden="false" customHeight="false" outlineLevel="0" collapsed="false">
      <c r="A27" s="7" t="s">
        <v>138</v>
      </c>
      <c r="B27" s="14" t="s">
        <v>29</v>
      </c>
    </row>
    <row r="28" customFormat="false" ht="15" hidden="false" customHeight="false" outlineLevel="0" collapsed="false">
      <c r="A28" s="7" t="s">
        <v>139</v>
      </c>
      <c r="B28" s="10" t="s">
        <v>67</v>
      </c>
      <c r="D28" s="10" t="n">
        <v>-90</v>
      </c>
      <c r="L28" s="10" t="n">
        <v>-78</v>
      </c>
      <c r="Z28" s="10" t="n">
        <v>-78</v>
      </c>
    </row>
    <row r="29" customFormat="false" ht="15" hidden="false" customHeight="false" outlineLevel="0" collapsed="false">
      <c r="A29" s="7" t="s">
        <v>140</v>
      </c>
      <c r="B29" s="14" t="s">
        <v>29</v>
      </c>
      <c r="C29" s="10" t="n">
        <v>-89</v>
      </c>
      <c r="E29" s="10" t="n">
        <v>-63</v>
      </c>
      <c r="F29" s="10" t="n">
        <v>-67</v>
      </c>
      <c r="J29" s="10" t="n">
        <v>-59</v>
      </c>
      <c r="K29" s="10" t="n">
        <v>-67</v>
      </c>
      <c r="Y29" s="10" t="n">
        <v>-66</v>
      </c>
      <c r="AA29" s="10" t="n">
        <v>-88</v>
      </c>
      <c r="AD29" s="10" t="n">
        <v>-83</v>
      </c>
    </row>
    <row r="30" customFormat="false" ht="15" hidden="false" customHeight="false" outlineLevel="0" collapsed="false">
      <c r="A30" s="7" t="s">
        <v>141</v>
      </c>
      <c r="B30" s="10" t="s">
        <v>67</v>
      </c>
      <c r="D30" s="10" t="n">
        <v>-19</v>
      </c>
      <c r="G30" s="10" t="n">
        <v>-29</v>
      </c>
      <c r="Z30" s="7" t="n">
        <v>-3</v>
      </c>
      <c r="AC30" s="10" t="n">
        <v>-37</v>
      </c>
    </row>
    <row r="31" customFormat="false" ht="15" hidden="false" customHeight="false" outlineLevel="0" collapsed="false">
      <c r="A31" s="7" t="s">
        <v>142</v>
      </c>
      <c r="B31" s="14" t="s">
        <v>29</v>
      </c>
      <c r="C31" s="10" t="n">
        <v>-58</v>
      </c>
      <c r="E31" s="10" t="n">
        <v>-34</v>
      </c>
      <c r="F31" s="10" t="n">
        <v>-67</v>
      </c>
      <c r="J31" s="10" t="n">
        <v>-31</v>
      </c>
      <c r="K31" s="10" t="n">
        <v>-81</v>
      </c>
      <c r="AA31" s="10" t="n">
        <v>-47</v>
      </c>
      <c r="AD31" s="10" t="n">
        <v>-88</v>
      </c>
      <c r="AI31" s="10" t="n">
        <v>-6</v>
      </c>
      <c r="AJ31" s="10" t="n">
        <v>-10</v>
      </c>
    </row>
    <row r="32" customFormat="false" ht="15" hidden="false" customHeight="false" outlineLevel="0" collapsed="false">
      <c r="A32" s="7" t="s">
        <v>143</v>
      </c>
      <c r="B32" s="10" t="s">
        <v>67</v>
      </c>
      <c r="D32" s="10" t="n">
        <v>-30</v>
      </c>
      <c r="F32" s="7" t="n">
        <v>5</v>
      </c>
      <c r="G32" s="10" t="n">
        <v>-72</v>
      </c>
      <c r="Z32" s="10" t="n">
        <v>-74</v>
      </c>
      <c r="AC32" s="10" t="n">
        <v>-34</v>
      </c>
    </row>
    <row r="33" customFormat="false" ht="15" hidden="false" customHeight="false" outlineLevel="0" collapsed="false">
      <c r="A33" s="7" t="s">
        <v>144</v>
      </c>
      <c r="B33" s="14" t="s">
        <v>29</v>
      </c>
      <c r="C33" s="10" t="n">
        <v>-83</v>
      </c>
      <c r="E33" s="10" t="n">
        <v>-74</v>
      </c>
      <c r="F33" s="10" t="n">
        <v>-78</v>
      </c>
      <c r="K33" s="10" t="n">
        <v>-85</v>
      </c>
      <c r="M33" s="10" t="n">
        <v>-11</v>
      </c>
      <c r="Y33" s="10" t="n">
        <v>-61</v>
      </c>
      <c r="AA33" s="10" t="n">
        <v>-80</v>
      </c>
    </row>
    <row r="34" customFormat="false" ht="15" hidden="false" customHeight="false" outlineLevel="0" collapsed="false">
      <c r="A34" s="7" t="s">
        <v>145</v>
      </c>
      <c r="B34" s="10" t="s">
        <v>67</v>
      </c>
      <c r="D34" s="10" t="n">
        <v>-18</v>
      </c>
      <c r="E34" s="10" t="n">
        <v>-70</v>
      </c>
      <c r="F34" s="10" t="n">
        <v>-34</v>
      </c>
      <c r="G34" s="10" t="n">
        <v>-75</v>
      </c>
      <c r="I34" s="10" t="n">
        <v>-46</v>
      </c>
      <c r="Z34" s="7" t="n">
        <v>-4</v>
      </c>
    </row>
    <row r="35" customFormat="false" ht="15" hidden="false" customHeight="false" outlineLevel="0" collapsed="false">
      <c r="A35" s="7" t="s">
        <v>146</v>
      </c>
      <c r="B35" s="14" t="s">
        <v>29</v>
      </c>
      <c r="C35" s="10" t="n">
        <v>-49</v>
      </c>
      <c r="F35" s="10" t="n">
        <v>-70</v>
      </c>
      <c r="K35" s="10" t="n">
        <v>-80</v>
      </c>
      <c r="M35" s="10" t="n">
        <v>-41</v>
      </c>
      <c r="S35" s="10" t="n">
        <v>-61</v>
      </c>
      <c r="U35" s="10" t="n">
        <v>-80</v>
      </c>
      <c r="V35" s="10" t="n">
        <v>-89</v>
      </c>
    </row>
    <row r="36" customFormat="false" ht="15" hidden="false" customHeight="false" outlineLevel="0" collapsed="false">
      <c r="A36" s="7" t="s">
        <v>147</v>
      </c>
      <c r="B36" s="10" t="s">
        <v>67</v>
      </c>
      <c r="D36" s="10" t="n">
        <v>-41</v>
      </c>
      <c r="F36" s="10" t="n">
        <v>-33</v>
      </c>
      <c r="G36" s="10" t="n">
        <v>-49</v>
      </c>
      <c r="N36" s="7" t="n">
        <v>1</v>
      </c>
      <c r="W36" s="10" t="n">
        <v>-35</v>
      </c>
    </row>
    <row r="37" customFormat="false" ht="15" hidden="false" customHeight="false" outlineLevel="0" collapsed="false">
      <c r="A37" s="7" t="s">
        <v>148</v>
      </c>
      <c r="B37" s="14" t="s">
        <v>29</v>
      </c>
      <c r="C37" s="10" t="n">
        <v>-78</v>
      </c>
      <c r="F37" s="10" t="n">
        <v>-50</v>
      </c>
      <c r="J37" s="7" t="n">
        <v>3</v>
      </c>
      <c r="K37" s="10" t="n">
        <v>-90</v>
      </c>
      <c r="M37" s="10" t="n">
        <v>-47</v>
      </c>
      <c r="O37" s="10" t="n">
        <v>-16</v>
      </c>
      <c r="S37" s="10" t="n">
        <v>-78</v>
      </c>
      <c r="U37" s="10" t="n">
        <v>-90</v>
      </c>
      <c r="V37" s="7" t="n">
        <v>3</v>
      </c>
      <c r="X37" s="10" t="n">
        <v>-16</v>
      </c>
    </row>
    <row r="38" customFormat="false" ht="15" hidden="false" customHeight="false" outlineLevel="0" collapsed="false">
      <c r="A38" s="7" t="s">
        <v>149</v>
      </c>
      <c r="B38" s="10" t="s">
        <v>67</v>
      </c>
      <c r="F38" s="7" t="n">
        <v>5</v>
      </c>
      <c r="G38" s="10" t="n">
        <v>-8</v>
      </c>
      <c r="N38" s="10" t="n">
        <v>-14</v>
      </c>
      <c r="R38" s="7" t="n">
        <v>4</v>
      </c>
      <c r="W38" s="10" t="n">
        <v>-8</v>
      </c>
      <c r="AE38" s="10" t="n">
        <v>-9</v>
      </c>
      <c r="AF38" s="10" t="n">
        <v>-7</v>
      </c>
      <c r="AJ38" s="7" t="n">
        <v>2</v>
      </c>
    </row>
    <row r="39" customFormat="false" ht="15" hidden="false" customHeight="false" outlineLevel="0" collapsed="false">
      <c r="A39" s="7" t="s">
        <v>150</v>
      </c>
      <c r="B39" s="14" t="s">
        <v>29</v>
      </c>
      <c r="C39" s="10" t="n">
        <v>-85</v>
      </c>
      <c r="E39" s="10" t="n">
        <v>-40</v>
      </c>
      <c r="F39" s="10" t="n">
        <v>-88</v>
      </c>
      <c r="J39" s="10" t="n">
        <v>-36</v>
      </c>
      <c r="K39" s="10" t="n">
        <v>-44</v>
      </c>
      <c r="M39" s="10" t="n">
        <v>-80</v>
      </c>
      <c r="Q39" s="10" t="n">
        <v>-44</v>
      </c>
      <c r="S39" s="10" t="n">
        <v>-63</v>
      </c>
      <c r="U39" s="10" t="n">
        <v>-44</v>
      </c>
      <c r="V39" s="10" t="n">
        <v>-44</v>
      </c>
      <c r="X39" s="10" t="n">
        <v>-82</v>
      </c>
    </row>
    <row r="40" customFormat="false" ht="15" hidden="false" customHeight="false" outlineLevel="0" collapsed="false">
      <c r="A40" s="7" t="s">
        <v>151</v>
      </c>
      <c r="B40" s="10" t="s">
        <v>67</v>
      </c>
      <c r="D40" s="10" t="n">
        <v>-14</v>
      </c>
      <c r="F40" s="7" t="n">
        <v>3</v>
      </c>
      <c r="G40" s="10" t="n">
        <v>-27</v>
      </c>
      <c r="N40" s="7" t="n">
        <v>-2</v>
      </c>
      <c r="R40" s="10" t="n">
        <v>-88</v>
      </c>
      <c r="T40" s="10" t="n">
        <v>-12</v>
      </c>
      <c r="W40" s="10" t="n">
        <v>-29</v>
      </c>
    </row>
    <row r="41" customFormat="false" ht="15" hidden="false" customHeight="false" outlineLevel="0" collapsed="false">
      <c r="A41" s="7" t="s">
        <v>152</v>
      </c>
      <c r="B41" s="14" t="s">
        <v>29</v>
      </c>
      <c r="C41" s="10" t="n">
        <v>-89</v>
      </c>
      <c r="E41" s="10" t="n">
        <v>-79</v>
      </c>
      <c r="F41" s="10" t="n">
        <v>-83</v>
      </c>
      <c r="G41" s="10" t="n">
        <v>-47</v>
      </c>
      <c r="I41" s="10" t="n">
        <v>-22</v>
      </c>
      <c r="J41" s="10" t="n">
        <v>-51</v>
      </c>
      <c r="K41" s="10" t="n">
        <v>-84</v>
      </c>
      <c r="M41" s="10" t="n">
        <v>-85</v>
      </c>
      <c r="P41" s="10" t="n">
        <v>-70</v>
      </c>
      <c r="Q41" s="10" t="n">
        <v>-84</v>
      </c>
      <c r="S41" s="10" t="n">
        <v>-89</v>
      </c>
      <c r="V41" s="10" t="n">
        <v>-84</v>
      </c>
      <c r="X41" s="10" t="n">
        <v>-87</v>
      </c>
    </row>
    <row r="42" customFormat="false" ht="15" hidden="false" customHeight="false" outlineLevel="0" collapsed="false">
      <c r="A42" s="7" t="s">
        <v>153</v>
      </c>
      <c r="B42" s="10" t="s">
        <v>67</v>
      </c>
      <c r="D42" s="10" t="n">
        <v>-80</v>
      </c>
      <c r="F42" s="10" t="n">
        <v>-63</v>
      </c>
      <c r="G42" s="10" t="n">
        <v>-88</v>
      </c>
      <c r="N42" s="10" t="n">
        <v>-68</v>
      </c>
      <c r="R42" s="10" t="n">
        <v>-84</v>
      </c>
      <c r="T42" s="10" t="n">
        <v>-78</v>
      </c>
      <c r="W42" s="10" t="n">
        <v>-56</v>
      </c>
    </row>
    <row r="43" customFormat="false" ht="15" hidden="false" customHeight="false" outlineLevel="0" collapsed="false">
      <c r="A43" s="7" t="s">
        <v>154</v>
      </c>
      <c r="B43" s="14" t="s">
        <v>29</v>
      </c>
      <c r="G43" s="10" t="n">
        <v>-90</v>
      </c>
      <c r="H43" s="10" t="n">
        <v>-77</v>
      </c>
      <c r="S43" s="10" t="n">
        <v>-7</v>
      </c>
      <c r="X43" s="10" t="n">
        <v>-78</v>
      </c>
    </row>
    <row r="44" customFormat="false" ht="15" hidden="false" customHeight="false" outlineLevel="0" collapsed="false">
      <c r="A44" s="7" t="s">
        <v>155</v>
      </c>
      <c r="B44" s="10" t="s">
        <v>67</v>
      </c>
      <c r="D44" s="10" t="n">
        <v>-55</v>
      </c>
      <c r="E44" s="10" t="n">
        <v>-31</v>
      </c>
      <c r="F44" s="10" t="n">
        <v>-57</v>
      </c>
      <c r="R44" s="10" t="n">
        <v>-43</v>
      </c>
      <c r="T44" s="10" t="n">
        <v>-76</v>
      </c>
    </row>
    <row r="45" customFormat="false" ht="15" hidden="false" customHeight="false" outlineLevel="0" collapsed="false">
      <c r="A45" s="7" t="s">
        <v>156</v>
      </c>
      <c r="B45" s="14" t="s">
        <v>29</v>
      </c>
      <c r="C45" s="10" t="n">
        <v>-75</v>
      </c>
      <c r="E45" s="10" t="n">
        <v>-26</v>
      </c>
      <c r="F45" s="10" t="n">
        <v>-81</v>
      </c>
      <c r="J45" s="10" t="n">
        <v>-24</v>
      </c>
      <c r="K45" s="10" t="n">
        <v>-73</v>
      </c>
      <c r="M45" s="10" t="n">
        <v>-37</v>
      </c>
      <c r="S45" s="10" t="n">
        <v>-75</v>
      </c>
      <c r="U45" s="10" t="n">
        <v>-84</v>
      </c>
      <c r="V45" s="10" t="n">
        <v>-40</v>
      </c>
    </row>
    <row r="46" customFormat="false" ht="15" hidden="false" customHeight="false" outlineLevel="0" collapsed="false">
      <c r="A46" s="7" t="s">
        <v>157</v>
      </c>
      <c r="B46" s="10" t="s">
        <v>67</v>
      </c>
      <c r="D46" s="7" t="n">
        <v>-3</v>
      </c>
      <c r="F46" s="7" t="n">
        <v>5</v>
      </c>
      <c r="N46" s="7" t="n">
        <v>1</v>
      </c>
      <c r="R46" s="7" t="n">
        <v>4</v>
      </c>
      <c r="T46" s="10" t="n">
        <v>-11</v>
      </c>
      <c r="W46" s="10" t="n">
        <v>-13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6.4" hidden="false" customHeight="false" outlineLevel="0" collapsed="false">
      <c r="A1" s="5" t="s">
        <v>308</v>
      </c>
    </row>
    <row r="2" customFormat="false" ht="15" hidden="false" customHeight="false" outlineLevel="0" collapsed="false">
      <c r="A2" s="6" t="s">
        <v>109</v>
      </c>
      <c r="B2" s="6" t="s">
        <v>19</v>
      </c>
      <c r="C2" s="6" t="s">
        <v>21</v>
      </c>
      <c r="D2" s="6" t="s">
        <v>20</v>
      </c>
    </row>
    <row r="3" customFormat="false" ht="15" hidden="false" customHeight="false" outlineLevel="0" collapsed="false">
      <c r="A3" s="7" t="s">
        <v>309</v>
      </c>
      <c r="B3" s="7" t="s">
        <v>86</v>
      </c>
      <c r="C3" s="10" t="s">
        <v>67</v>
      </c>
      <c r="D3" s="8" t="s">
        <v>87</v>
      </c>
    </row>
    <row r="4" customFormat="false" ht="15" hidden="false" customHeight="false" outlineLevel="0" collapsed="false">
      <c r="A4" s="7" t="s">
        <v>310</v>
      </c>
      <c r="B4" s="7" t="s">
        <v>89</v>
      </c>
      <c r="C4" s="14" t="s">
        <v>29</v>
      </c>
      <c r="D4" s="8" t="s">
        <v>87</v>
      </c>
    </row>
    <row r="5" customFormat="false" ht="15" hidden="false" customHeight="false" outlineLevel="0" collapsed="false">
      <c r="A5" s="7" t="s">
        <v>311</v>
      </c>
      <c r="B5" s="7" t="s">
        <v>91</v>
      </c>
      <c r="C5" s="14" t="s">
        <v>29</v>
      </c>
      <c r="D5" s="8" t="s">
        <v>87</v>
      </c>
    </row>
    <row r="6" customFormat="false" ht="15" hidden="false" customHeight="false" outlineLevel="0" collapsed="false">
      <c r="A6" s="7" t="s">
        <v>312</v>
      </c>
      <c r="B6" s="7" t="s">
        <v>89</v>
      </c>
      <c r="C6" s="14" t="s">
        <v>29</v>
      </c>
      <c r="D6" s="8" t="s">
        <v>87</v>
      </c>
    </row>
    <row r="7" customFormat="false" ht="15" hidden="false" customHeight="false" outlineLevel="0" collapsed="false">
      <c r="A7" s="7" t="s">
        <v>313</v>
      </c>
      <c r="B7" s="7" t="s">
        <v>95</v>
      </c>
      <c r="C7" s="14" t="s">
        <v>29</v>
      </c>
      <c r="D7" s="8" t="s">
        <v>87</v>
      </c>
    </row>
    <row r="8" customFormat="false" ht="15" hidden="false" customHeight="false" outlineLevel="0" collapsed="false">
      <c r="A8" s="7" t="s">
        <v>314</v>
      </c>
      <c r="B8" s="7" t="s">
        <v>89</v>
      </c>
      <c r="C8" s="10" t="s">
        <v>67</v>
      </c>
      <c r="D8" s="8" t="s">
        <v>87</v>
      </c>
    </row>
    <row r="9" customFormat="false" ht="15" hidden="false" customHeight="false" outlineLevel="0" collapsed="false">
      <c r="A9" s="7" t="s">
        <v>315</v>
      </c>
      <c r="B9" s="7" t="s">
        <v>89</v>
      </c>
      <c r="C9" s="14" t="s">
        <v>29</v>
      </c>
      <c r="D9" s="8" t="s">
        <v>87</v>
      </c>
    </row>
    <row r="10" customFormat="false" ht="15" hidden="false" customHeight="false" outlineLevel="0" collapsed="false">
      <c r="A10" s="7" t="s">
        <v>316</v>
      </c>
      <c r="B10" s="7" t="s">
        <v>89</v>
      </c>
      <c r="C10" s="14" t="s">
        <v>29</v>
      </c>
      <c r="D10" s="8" t="s">
        <v>87</v>
      </c>
    </row>
    <row r="11" customFormat="false" ht="15" hidden="false" customHeight="false" outlineLevel="0" collapsed="false">
      <c r="A11" s="7" t="s">
        <v>317</v>
      </c>
      <c r="B11" s="7" t="s">
        <v>93</v>
      </c>
      <c r="C11" s="14" t="s">
        <v>29</v>
      </c>
      <c r="D11" s="8" t="s">
        <v>87</v>
      </c>
    </row>
    <row r="12" customFormat="false" ht="15" hidden="false" customHeight="false" outlineLevel="0" collapsed="false">
      <c r="A12" s="7" t="s">
        <v>318</v>
      </c>
      <c r="B12" s="7" t="s">
        <v>86</v>
      </c>
      <c r="C12" s="14" t="s">
        <v>29</v>
      </c>
      <c r="D12" s="8" t="s">
        <v>87</v>
      </c>
    </row>
    <row r="13" customFormat="false" ht="15" hidden="false" customHeight="false" outlineLevel="0" collapsed="false">
      <c r="A13" s="7" t="s">
        <v>319</v>
      </c>
      <c r="B13" s="7" t="s">
        <v>89</v>
      </c>
      <c r="C13" s="10" t="s">
        <v>67</v>
      </c>
      <c r="D13" s="8" t="s">
        <v>87</v>
      </c>
    </row>
    <row r="14" customFormat="false" ht="15" hidden="false" customHeight="false" outlineLevel="0" collapsed="false">
      <c r="A14" s="7" t="s">
        <v>320</v>
      </c>
      <c r="B14" s="7" t="s">
        <v>97</v>
      </c>
      <c r="C14" s="14" t="s">
        <v>29</v>
      </c>
      <c r="D14" s="8" t="s">
        <v>87</v>
      </c>
    </row>
    <row r="15" customFormat="false" ht="15" hidden="false" customHeight="false" outlineLevel="0" collapsed="false">
      <c r="A15" s="7" t="s">
        <v>321</v>
      </c>
      <c r="B15" s="7" t="s">
        <v>91</v>
      </c>
      <c r="C15" s="10" t="s">
        <v>67</v>
      </c>
      <c r="D15" s="8" t="s">
        <v>87</v>
      </c>
    </row>
    <row r="16" customFormat="false" ht="15" hidden="false" customHeight="false" outlineLevel="0" collapsed="false">
      <c r="A16" s="7" t="s">
        <v>321</v>
      </c>
      <c r="B16" s="7" t="s">
        <v>89</v>
      </c>
      <c r="C16" s="10" t="s">
        <v>67</v>
      </c>
      <c r="D16" s="8" t="s">
        <v>87</v>
      </c>
    </row>
    <row r="17" customFormat="false" ht="15" hidden="false" customHeight="false" outlineLevel="0" collapsed="false">
      <c r="A17" s="7" t="s">
        <v>322</v>
      </c>
      <c r="B17" s="7" t="s">
        <v>91</v>
      </c>
      <c r="C17" s="14" t="s">
        <v>29</v>
      </c>
      <c r="D17" s="8" t="s">
        <v>87</v>
      </c>
    </row>
    <row r="18" customFormat="false" ht="15" hidden="false" customHeight="false" outlineLevel="0" collapsed="false">
      <c r="A18" s="7" t="s">
        <v>323</v>
      </c>
      <c r="B18" s="7" t="s">
        <v>93</v>
      </c>
      <c r="C18" s="14" t="s">
        <v>29</v>
      </c>
      <c r="D18" s="8" t="s">
        <v>87</v>
      </c>
    </row>
    <row r="19" customFormat="false" ht="15" hidden="false" customHeight="false" outlineLevel="0" collapsed="false">
      <c r="A19" s="7" t="s">
        <v>324</v>
      </c>
      <c r="B19" s="7" t="s">
        <v>91</v>
      </c>
      <c r="C19" s="10" t="s">
        <v>67</v>
      </c>
      <c r="D19" s="8" t="s">
        <v>87</v>
      </c>
    </row>
    <row r="20" customFormat="false" ht="15" hidden="false" customHeight="false" outlineLevel="0" collapsed="false">
      <c r="A20" s="7" t="s">
        <v>325</v>
      </c>
      <c r="B20" s="7" t="s">
        <v>89</v>
      </c>
      <c r="C20" s="10" t="s">
        <v>67</v>
      </c>
      <c r="D20" s="8" t="s">
        <v>87</v>
      </c>
    </row>
    <row r="21" customFormat="false" ht="15" hidden="false" customHeight="false" outlineLevel="0" collapsed="false">
      <c r="A21" s="7" t="s">
        <v>326</v>
      </c>
      <c r="B21" s="7" t="s">
        <v>89</v>
      </c>
      <c r="C21" s="10" t="s">
        <v>67</v>
      </c>
      <c r="D21" s="8" t="s">
        <v>87</v>
      </c>
    </row>
    <row r="22" customFormat="false" ht="15" hidden="false" customHeight="false" outlineLevel="0" collapsed="false">
      <c r="A22" s="7" t="s">
        <v>327</v>
      </c>
      <c r="B22" s="7" t="s">
        <v>89</v>
      </c>
      <c r="C22" s="10" t="s">
        <v>67</v>
      </c>
      <c r="D22" s="8" t="s">
        <v>87</v>
      </c>
    </row>
    <row r="23" customFormat="false" ht="15" hidden="false" customHeight="false" outlineLevel="0" collapsed="false">
      <c r="A23" s="7" t="s">
        <v>328</v>
      </c>
      <c r="B23" s="7" t="s">
        <v>89</v>
      </c>
      <c r="C23" s="14" t="s">
        <v>29</v>
      </c>
      <c r="D23" s="8" t="s">
        <v>87</v>
      </c>
    </row>
    <row r="24" customFormat="false" ht="15" hidden="false" customHeight="false" outlineLevel="0" collapsed="false">
      <c r="A24" s="7" t="s">
        <v>328</v>
      </c>
      <c r="B24" s="7" t="s">
        <v>91</v>
      </c>
      <c r="C24" s="14" t="s">
        <v>29</v>
      </c>
      <c r="D24" s="8" t="s">
        <v>87</v>
      </c>
    </row>
    <row r="25" customFormat="false" ht="15" hidden="false" customHeight="false" outlineLevel="0" collapsed="false">
      <c r="A25" s="7" t="s">
        <v>329</v>
      </c>
      <c r="B25" s="7" t="s">
        <v>86</v>
      </c>
      <c r="C25" s="10" t="s">
        <v>67</v>
      </c>
      <c r="D25" s="8" t="s">
        <v>87</v>
      </c>
    </row>
    <row r="26" customFormat="false" ht="15" hidden="false" customHeight="false" outlineLevel="0" collapsed="false">
      <c r="A26" s="7" t="s">
        <v>330</v>
      </c>
      <c r="B26" s="7" t="s">
        <v>95</v>
      </c>
      <c r="C26" s="14" t="s">
        <v>29</v>
      </c>
      <c r="D26" s="8" t="s">
        <v>87</v>
      </c>
    </row>
    <row r="27" customFormat="false" ht="15" hidden="false" customHeight="false" outlineLevel="0" collapsed="false">
      <c r="A27" s="7" t="s">
        <v>331</v>
      </c>
      <c r="B27" s="7" t="s">
        <v>89</v>
      </c>
      <c r="C27" s="14" t="s">
        <v>29</v>
      </c>
      <c r="D27" s="8" t="s">
        <v>87</v>
      </c>
    </row>
    <row r="28" customFormat="false" ht="15" hidden="false" customHeight="false" outlineLevel="0" collapsed="false">
      <c r="A28" s="7" t="s">
        <v>332</v>
      </c>
      <c r="B28" s="7" t="s">
        <v>89</v>
      </c>
      <c r="C28" s="10" t="s">
        <v>67</v>
      </c>
      <c r="D28" s="8" t="s">
        <v>87</v>
      </c>
    </row>
    <row r="29" customFormat="false" ht="15" hidden="false" customHeight="false" outlineLevel="0" collapsed="false">
      <c r="A29" s="7" t="s">
        <v>333</v>
      </c>
      <c r="B29" s="7" t="s">
        <v>86</v>
      </c>
      <c r="C29" s="10" t="s">
        <v>67</v>
      </c>
      <c r="D29" s="8" t="s">
        <v>87</v>
      </c>
    </row>
    <row r="30" customFormat="false" ht="15" hidden="false" customHeight="false" outlineLevel="0" collapsed="false">
      <c r="A30" s="7" t="s">
        <v>333</v>
      </c>
      <c r="B30" s="7" t="s">
        <v>91</v>
      </c>
      <c r="C30" s="10" t="s">
        <v>67</v>
      </c>
      <c r="D30" s="8" t="s">
        <v>87</v>
      </c>
    </row>
    <row r="31" customFormat="false" ht="15" hidden="false" customHeight="false" outlineLevel="0" collapsed="false">
      <c r="A31" s="7" t="s">
        <v>334</v>
      </c>
      <c r="B31" s="7" t="s">
        <v>95</v>
      </c>
      <c r="C31" s="14" t="s">
        <v>29</v>
      </c>
      <c r="D31" s="8" t="s">
        <v>87</v>
      </c>
    </row>
    <row r="32" customFormat="false" ht="15" hidden="false" customHeight="false" outlineLevel="0" collapsed="false">
      <c r="A32" s="7" t="s">
        <v>335</v>
      </c>
      <c r="B32" s="7" t="s">
        <v>89</v>
      </c>
      <c r="C32" s="14" t="s">
        <v>29</v>
      </c>
      <c r="D32" s="8" t="s">
        <v>87</v>
      </c>
    </row>
    <row r="33" customFormat="false" ht="15" hidden="false" customHeight="false" outlineLevel="0" collapsed="false">
      <c r="A33" s="7" t="s">
        <v>336</v>
      </c>
      <c r="B33" s="7" t="s">
        <v>86</v>
      </c>
      <c r="C33" s="10" t="s">
        <v>67</v>
      </c>
      <c r="D33" s="8" t="s">
        <v>87</v>
      </c>
    </row>
    <row r="34" customFormat="false" ht="15" hidden="false" customHeight="false" outlineLevel="0" collapsed="false">
      <c r="A34" s="7" t="s">
        <v>337</v>
      </c>
      <c r="B34" s="7" t="s">
        <v>95</v>
      </c>
      <c r="C34" s="14" t="s">
        <v>29</v>
      </c>
      <c r="D34" s="8" t="s">
        <v>87</v>
      </c>
    </row>
    <row r="35" customFormat="false" ht="15" hidden="false" customHeight="false" outlineLevel="0" collapsed="false">
      <c r="A35" s="7" t="s">
        <v>338</v>
      </c>
      <c r="B35" s="7" t="s">
        <v>86</v>
      </c>
      <c r="C35" s="10" t="s">
        <v>67</v>
      </c>
      <c r="D35" s="8" t="s">
        <v>87</v>
      </c>
    </row>
    <row r="36" customFormat="false" ht="15" hidden="false" customHeight="false" outlineLevel="0" collapsed="false">
      <c r="A36" s="7" t="s">
        <v>339</v>
      </c>
      <c r="B36" s="7" t="s">
        <v>95</v>
      </c>
      <c r="C36" s="14" t="s">
        <v>29</v>
      </c>
      <c r="D36" s="8" t="s">
        <v>87</v>
      </c>
    </row>
    <row r="37" customFormat="false" ht="15" hidden="false" customHeight="false" outlineLevel="0" collapsed="false">
      <c r="A37" s="7" t="s">
        <v>340</v>
      </c>
      <c r="B37" s="7" t="s">
        <v>89</v>
      </c>
      <c r="C37" s="14" t="s">
        <v>29</v>
      </c>
      <c r="D37" s="8" t="s">
        <v>87</v>
      </c>
    </row>
    <row r="38" customFormat="false" ht="15" hidden="false" customHeight="false" outlineLevel="0" collapsed="false">
      <c r="A38" s="7" t="s">
        <v>340</v>
      </c>
      <c r="B38" s="7" t="s">
        <v>86</v>
      </c>
      <c r="C38" s="10" t="s">
        <v>67</v>
      </c>
      <c r="D38" s="8" t="s">
        <v>87</v>
      </c>
    </row>
    <row r="39" customFormat="false" ht="15" hidden="false" customHeight="false" outlineLevel="0" collapsed="false">
      <c r="A39" s="7" t="s">
        <v>341</v>
      </c>
      <c r="B39" s="7" t="s">
        <v>89</v>
      </c>
      <c r="C39" s="14" t="s">
        <v>29</v>
      </c>
      <c r="D39" s="8" t="s">
        <v>87</v>
      </c>
    </row>
    <row r="40" customFormat="false" ht="15" hidden="false" customHeight="false" outlineLevel="0" collapsed="false">
      <c r="A40" s="7" t="s">
        <v>342</v>
      </c>
      <c r="B40" s="7" t="s">
        <v>97</v>
      </c>
      <c r="C40" s="14" t="s">
        <v>29</v>
      </c>
      <c r="D40" s="8" t="s">
        <v>87</v>
      </c>
    </row>
    <row r="41" customFormat="false" ht="15" hidden="false" customHeight="false" outlineLevel="0" collapsed="false">
      <c r="A41" s="7" t="s">
        <v>343</v>
      </c>
      <c r="B41" s="7" t="s">
        <v>86</v>
      </c>
      <c r="C41" s="10" t="s">
        <v>67</v>
      </c>
      <c r="D41" s="8" t="s">
        <v>87</v>
      </c>
    </row>
    <row r="42" customFormat="false" ht="15" hidden="false" customHeight="false" outlineLevel="0" collapsed="false">
      <c r="A42" s="7" t="s">
        <v>344</v>
      </c>
      <c r="B42" s="7" t="s">
        <v>91</v>
      </c>
      <c r="C42" s="14" t="s">
        <v>29</v>
      </c>
      <c r="D42" s="8" t="s">
        <v>87</v>
      </c>
    </row>
    <row r="43" customFormat="false" ht="15" hidden="false" customHeight="false" outlineLevel="0" collapsed="false">
      <c r="A43" s="7" t="s">
        <v>345</v>
      </c>
      <c r="B43" s="7" t="s">
        <v>95</v>
      </c>
      <c r="C43" s="14" t="s">
        <v>29</v>
      </c>
      <c r="D43" s="8" t="s">
        <v>87</v>
      </c>
    </row>
    <row r="44" customFormat="false" ht="15" hidden="false" customHeight="false" outlineLevel="0" collapsed="false">
      <c r="A44" s="7" t="s">
        <v>345</v>
      </c>
      <c r="B44" s="7" t="s">
        <v>89</v>
      </c>
      <c r="C44" s="14" t="s">
        <v>29</v>
      </c>
      <c r="D44" s="8" t="s">
        <v>87</v>
      </c>
    </row>
    <row r="45" customFormat="false" ht="15" hidden="false" customHeight="false" outlineLevel="0" collapsed="false">
      <c r="A45" s="7" t="s">
        <v>346</v>
      </c>
      <c r="B45" s="7" t="s">
        <v>95</v>
      </c>
      <c r="C45" s="14" t="s">
        <v>29</v>
      </c>
      <c r="D45" s="8" t="s">
        <v>87</v>
      </c>
    </row>
    <row r="46" customFormat="false" ht="15" hidden="false" customHeight="false" outlineLevel="0" collapsed="false">
      <c r="A46" s="7" t="s">
        <v>347</v>
      </c>
      <c r="B46" s="7" t="s">
        <v>89</v>
      </c>
      <c r="C46" s="14" t="s">
        <v>29</v>
      </c>
      <c r="D46" s="8" t="s">
        <v>87</v>
      </c>
    </row>
    <row r="47" customFormat="false" ht="15" hidden="false" customHeight="false" outlineLevel="0" collapsed="false">
      <c r="A47" s="7" t="s">
        <v>347</v>
      </c>
      <c r="B47" s="7" t="s">
        <v>97</v>
      </c>
      <c r="C47" s="14" t="s">
        <v>29</v>
      </c>
      <c r="D47" s="8" t="s">
        <v>87</v>
      </c>
    </row>
    <row r="48" customFormat="false" ht="15" hidden="false" customHeight="false" outlineLevel="0" collapsed="false">
      <c r="A48" s="7" t="s">
        <v>348</v>
      </c>
      <c r="B48" s="7" t="s">
        <v>91</v>
      </c>
      <c r="C48" s="10" t="s">
        <v>67</v>
      </c>
      <c r="D48" s="8" t="s">
        <v>87</v>
      </c>
    </row>
    <row r="49" customFormat="false" ht="15" hidden="false" customHeight="false" outlineLevel="0" collapsed="false">
      <c r="A49" s="7" t="s">
        <v>349</v>
      </c>
      <c r="B49" s="7" t="s">
        <v>89</v>
      </c>
      <c r="C49" s="10" t="s">
        <v>67</v>
      </c>
      <c r="D49" s="8" t="s">
        <v>87</v>
      </c>
    </row>
    <row r="50" customFormat="false" ht="15" hidden="false" customHeight="false" outlineLevel="0" collapsed="false">
      <c r="A50" s="7" t="s">
        <v>350</v>
      </c>
      <c r="B50" s="7" t="s">
        <v>91</v>
      </c>
      <c r="C50" s="14" t="s">
        <v>29</v>
      </c>
      <c r="D50" s="8" t="s">
        <v>87</v>
      </c>
    </row>
    <row r="51" customFormat="false" ht="15" hidden="false" customHeight="false" outlineLevel="0" collapsed="false">
      <c r="A51" s="7" t="s">
        <v>351</v>
      </c>
      <c r="B51" s="7" t="s">
        <v>89</v>
      </c>
      <c r="C51" s="10" t="s">
        <v>67</v>
      </c>
      <c r="D51" s="8" t="s">
        <v>87</v>
      </c>
    </row>
    <row r="52" customFormat="false" ht="15" hidden="false" customHeight="false" outlineLevel="0" collapsed="false">
      <c r="A52" s="7" t="s">
        <v>352</v>
      </c>
      <c r="B52" s="7" t="s">
        <v>86</v>
      </c>
      <c r="C52" s="14" t="s">
        <v>29</v>
      </c>
      <c r="D52" s="8" t="s">
        <v>87</v>
      </c>
    </row>
    <row r="53" customFormat="false" ht="15" hidden="false" customHeight="false" outlineLevel="0" collapsed="false">
      <c r="A53" s="7" t="s">
        <v>353</v>
      </c>
      <c r="B53" s="7" t="s">
        <v>89</v>
      </c>
      <c r="C53" s="14" t="s">
        <v>29</v>
      </c>
      <c r="D53" s="8" t="s">
        <v>87</v>
      </c>
    </row>
    <row r="54" customFormat="false" ht="15" hidden="false" customHeight="false" outlineLevel="0" collapsed="false">
      <c r="A54" s="7" t="s">
        <v>353</v>
      </c>
      <c r="B54" s="7" t="s">
        <v>93</v>
      </c>
      <c r="C54" s="14" t="s">
        <v>29</v>
      </c>
      <c r="D54" s="8" t="s">
        <v>87</v>
      </c>
    </row>
    <row r="55" customFormat="false" ht="15" hidden="false" customHeight="false" outlineLevel="0" collapsed="false">
      <c r="A55" s="7" t="s">
        <v>354</v>
      </c>
      <c r="B55" s="7" t="s">
        <v>91</v>
      </c>
      <c r="C55" s="10" t="s">
        <v>67</v>
      </c>
      <c r="D55" s="8" t="s">
        <v>87</v>
      </c>
    </row>
    <row r="56" customFormat="false" ht="15" hidden="false" customHeight="false" outlineLevel="0" collapsed="false">
      <c r="A56" s="7" t="s">
        <v>355</v>
      </c>
      <c r="B56" s="7" t="s">
        <v>95</v>
      </c>
      <c r="C56" s="14" t="s">
        <v>29</v>
      </c>
      <c r="D56" s="8" t="s">
        <v>87</v>
      </c>
    </row>
    <row r="57" customFormat="false" ht="15" hidden="false" customHeight="false" outlineLevel="0" collapsed="false">
      <c r="A57" s="7" t="s">
        <v>356</v>
      </c>
      <c r="B57" s="7" t="s">
        <v>86</v>
      </c>
      <c r="C57" s="14" t="s">
        <v>29</v>
      </c>
      <c r="D57" s="8" t="s">
        <v>87</v>
      </c>
    </row>
    <row r="58" customFormat="false" ht="15" hidden="false" customHeight="false" outlineLevel="0" collapsed="false">
      <c r="A58" s="7" t="s">
        <v>357</v>
      </c>
      <c r="B58" s="7" t="s">
        <v>89</v>
      </c>
      <c r="C58" s="14" t="s">
        <v>29</v>
      </c>
      <c r="D58" s="8" t="s">
        <v>87</v>
      </c>
    </row>
    <row r="59" customFormat="false" ht="15" hidden="false" customHeight="false" outlineLevel="0" collapsed="false">
      <c r="A59" s="7" t="s">
        <v>358</v>
      </c>
      <c r="B59" s="7" t="s">
        <v>89</v>
      </c>
      <c r="C59" s="14" t="s">
        <v>29</v>
      </c>
      <c r="D59" s="8" t="s">
        <v>87</v>
      </c>
    </row>
    <row r="60" customFormat="false" ht="15" hidden="false" customHeight="false" outlineLevel="0" collapsed="false">
      <c r="A60" s="7" t="s">
        <v>359</v>
      </c>
      <c r="B60" s="7" t="s">
        <v>86</v>
      </c>
      <c r="C60" s="14" t="s">
        <v>29</v>
      </c>
      <c r="D60" s="8" t="s">
        <v>87</v>
      </c>
    </row>
    <row r="61" customFormat="false" ht="15" hidden="false" customHeight="false" outlineLevel="0" collapsed="false">
      <c r="A61" s="7" t="s">
        <v>360</v>
      </c>
      <c r="B61" s="7" t="s">
        <v>89</v>
      </c>
      <c r="C61" s="14" t="s">
        <v>29</v>
      </c>
      <c r="D61" s="8" t="s">
        <v>87</v>
      </c>
    </row>
    <row r="62" customFormat="false" ht="15" hidden="false" customHeight="false" outlineLevel="0" collapsed="false">
      <c r="A62" s="7" t="s">
        <v>361</v>
      </c>
      <c r="B62" s="7" t="s">
        <v>86</v>
      </c>
      <c r="C62" s="10" t="s">
        <v>67</v>
      </c>
      <c r="D62" s="8" t="s">
        <v>87</v>
      </c>
    </row>
    <row r="63" customFormat="false" ht="15" hidden="false" customHeight="false" outlineLevel="0" collapsed="false">
      <c r="A63" s="7" t="s">
        <v>362</v>
      </c>
      <c r="B63" s="7" t="s">
        <v>86</v>
      </c>
      <c r="C63" s="14" t="s">
        <v>29</v>
      </c>
      <c r="D63" s="8" t="s">
        <v>87</v>
      </c>
    </row>
    <row r="64" customFormat="false" ht="15" hidden="false" customHeight="false" outlineLevel="0" collapsed="false">
      <c r="A64" s="7" t="s">
        <v>363</v>
      </c>
      <c r="B64" s="7" t="s">
        <v>91</v>
      </c>
      <c r="C64" s="14" t="s">
        <v>29</v>
      </c>
      <c r="D64" s="8" t="s">
        <v>87</v>
      </c>
    </row>
    <row r="65" customFormat="false" ht="15" hidden="false" customHeight="false" outlineLevel="0" collapsed="false">
      <c r="A65" s="7" t="s">
        <v>364</v>
      </c>
      <c r="B65" s="7" t="s">
        <v>89</v>
      </c>
      <c r="C65" s="14" t="s">
        <v>29</v>
      </c>
      <c r="D65" s="8" t="s">
        <v>87</v>
      </c>
    </row>
    <row r="66" customFormat="false" ht="15" hidden="false" customHeight="false" outlineLevel="0" collapsed="false">
      <c r="A66" s="7" t="s">
        <v>365</v>
      </c>
      <c r="B66" s="7" t="s">
        <v>89</v>
      </c>
      <c r="C66" s="14" t="s">
        <v>29</v>
      </c>
      <c r="D66" s="8" t="s">
        <v>87</v>
      </c>
    </row>
    <row r="67" customFormat="false" ht="15" hidden="false" customHeight="false" outlineLevel="0" collapsed="false">
      <c r="A67" s="7" t="s">
        <v>366</v>
      </c>
      <c r="B67" s="7" t="s">
        <v>89</v>
      </c>
      <c r="C67" s="14" t="s">
        <v>29</v>
      </c>
      <c r="D67" s="8" t="s">
        <v>87</v>
      </c>
    </row>
    <row r="68" customFormat="false" ht="15" hidden="false" customHeight="false" outlineLevel="0" collapsed="false">
      <c r="A68" s="7" t="s">
        <v>367</v>
      </c>
      <c r="B68" s="7" t="s">
        <v>89</v>
      </c>
      <c r="C68" s="14" t="s">
        <v>29</v>
      </c>
      <c r="D68" s="8" t="s">
        <v>87</v>
      </c>
    </row>
    <row r="69" customFormat="false" ht="15" hidden="false" customHeight="false" outlineLevel="0" collapsed="false">
      <c r="A69" s="7" t="s">
        <v>368</v>
      </c>
      <c r="B69" s="7" t="s">
        <v>91</v>
      </c>
      <c r="C69" s="10" t="s">
        <v>67</v>
      </c>
      <c r="D69" s="8" t="s">
        <v>87</v>
      </c>
    </row>
    <row r="70" customFormat="false" ht="15" hidden="false" customHeight="false" outlineLevel="0" collapsed="false">
      <c r="A70" s="7" t="s">
        <v>369</v>
      </c>
      <c r="B70" s="7" t="s">
        <v>89</v>
      </c>
      <c r="C70" s="14" t="s">
        <v>29</v>
      </c>
      <c r="D70" s="8" t="s">
        <v>87</v>
      </c>
    </row>
    <row r="71" customFormat="false" ht="15" hidden="false" customHeight="false" outlineLevel="0" collapsed="false">
      <c r="A71" s="7" t="s">
        <v>369</v>
      </c>
      <c r="B71" s="7" t="s">
        <v>97</v>
      </c>
      <c r="C71" s="14" t="s">
        <v>29</v>
      </c>
      <c r="D71" s="8" t="s">
        <v>87</v>
      </c>
    </row>
    <row r="72" customFormat="false" ht="15" hidden="false" customHeight="false" outlineLevel="0" collapsed="false">
      <c r="A72" s="7" t="s">
        <v>370</v>
      </c>
      <c r="B72" s="7" t="s">
        <v>91</v>
      </c>
      <c r="C72" s="10" t="s">
        <v>67</v>
      </c>
      <c r="D72" s="8" t="s">
        <v>87</v>
      </c>
    </row>
    <row r="73" customFormat="false" ht="15" hidden="false" customHeight="false" outlineLevel="0" collapsed="false">
      <c r="A73" s="7" t="s">
        <v>371</v>
      </c>
      <c r="B73" s="7" t="s">
        <v>86</v>
      </c>
      <c r="C73" s="14" t="s">
        <v>29</v>
      </c>
      <c r="D73" s="8" t="s">
        <v>87</v>
      </c>
    </row>
    <row r="74" customFormat="false" ht="15" hidden="false" customHeight="false" outlineLevel="0" collapsed="false">
      <c r="A74" s="7" t="s">
        <v>372</v>
      </c>
      <c r="B74" s="7" t="s">
        <v>86</v>
      </c>
      <c r="C74" s="10" t="s">
        <v>67</v>
      </c>
      <c r="D74" s="8" t="s">
        <v>87</v>
      </c>
    </row>
    <row r="75" customFormat="false" ht="15" hidden="false" customHeight="false" outlineLevel="0" collapsed="false">
      <c r="A75" s="7" t="s">
        <v>373</v>
      </c>
      <c r="B75" s="7" t="s">
        <v>47</v>
      </c>
      <c r="C75" s="14" t="s">
        <v>29</v>
      </c>
      <c r="D75" s="8" t="s">
        <v>46</v>
      </c>
    </row>
    <row r="76" customFormat="false" ht="15" hidden="false" customHeight="false" outlineLevel="0" collapsed="false">
      <c r="A76" s="7" t="s">
        <v>374</v>
      </c>
      <c r="B76" s="7" t="s">
        <v>91</v>
      </c>
      <c r="C76" s="14" t="s">
        <v>29</v>
      </c>
      <c r="D76" s="8" t="s">
        <v>87</v>
      </c>
    </row>
    <row r="77" customFormat="false" ht="15" hidden="false" customHeight="false" outlineLevel="0" collapsed="false">
      <c r="A77" s="7" t="s">
        <v>375</v>
      </c>
      <c r="B77" s="7" t="s">
        <v>47</v>
      </c>
      <c r="C77" s="14" t="s">
        <v>29</v>
      </c>
      <c r="D77" s="8" t="s">
        <v>46</v>
      </c>
    </row>
    <row r="78" customFormat="false" ht="15" hidden="false" customHeight="false" outlineLevel="0" collapsed="false">
      <c r="A78" s="7" t="s">
        <v>375</v>
      </c>
      <c r="B78" s="7" t="s">
        <v>53</v>
      </c>
      <c r="C78" s="14" t="s">
        <v>29</v>
      </c>
      <c r="D78" s="8" t="s">
        <v>28</v>
      </c>
    </row>
    <row r="79" customFormat="false" ht="15" hidden="false" customHeight="false" outlineLevel="0" collapsed="false">
      <c r="A79" s="7" t="s">
        <v>376</v>
      </c>
      <c r="B79" s="7" t="s">
        <v>43</v>
      </c>
      <c r="C79" s="14" t="s">
        <v>29</v>
      </c>
      <c r="D79" s="8" t="s">
        <v>38</v>
      </c>
    </row>
    <row r="80" customFormat="false" ht="15" hidden="false" customHeight="false" outlineLevel="0" collapsed="false">
      <c r="A80" s="7" t="s">
        <v>377</v>
      </c>
      <c r="B80" s="7" t="s">
        <v>43</v>
      </c>
      <c r="C80" s="14" t="s">
        <v>29</v>
      </c>
      <c r="D80" s="8" t="s">
        <v>38</v>
      </c>
    </row>
    <row r="81" customFormat="false" ht="15" hidden="false" customHeight="false" outlineLevel="0" collapsed="false">
      <c r="A81" s="7" t="s">
        <v>378</v>
      </c>
      <c r="B81" s="7" t="s">
        <v>53</v>
      </c>
      <c r="C81" s="14" t="s">
        <v>29</v>
      </c>
      <c r="D81" s="8" t="s">
        <v>28</v>
      </c>
    </row>
    <row r="82" customFormat="false" ht="15" hidden="false" customHeight="false" outlineLevel="0" collapsed="false">
      <c r="A82" s="7" t="s">
        <v>379</v>
      </c>
      <c r="B82" s="7" t="s">
        <v>27</v>
      </c>
      <c r="C82" s="14" t="s">
        <v>29</v>
      </c>
      <c r="D82" s="8" t="s">
        <v>28</v>
      </c>
    </row>
    <row r="83" customFormat="false" ht="15" hidden="false" customHeight="false" outlineLevel="0" collapsed="false">
      <c r="A83" s="7" t="s">
        <v>380</v>
      </c>
      <c r="B83" s="7" t="s">
        <v>47</v>
      </c>
      <c r="C83" s="14" t="s">
        <v>29</v>
      </c>
      <c r="D83" s="8" t="s">
        <v>46</v>
      </c>
    </row>
    <row r="84" customFormat="false" ht="15" hidden="false" customHeight="false" outlineLevel="0" collapsed="false">
      <c r="A84" s="7" t="s">
        <v>381</v>
      </c>
      <c r="B84" s="7" t="s">
        <v>47</v>
      </c>
      <c r="C84" s="14" t="s">
        <v>29</v>
      </c>
      <c r="D84" s="8" t="s">
        <v>46</v>
      </c>
    </row>
    <row r="85" customFormat="false" ht="15" hidden="false" customHeight="false" outlineLevel="0" collapsed="false">
      <c r="A85" s="7" t="s">
        <v>382</v>
      </c>
      <c r="B85" s="7" t="s">
        <v>47</v>
      </c>
      <c r="C85" s="14" t="s">
        <v>29</v>
      </c>
      <c r="D85" s="8" t="s">
        <v>46</v>
      </c>
    </row>
    <row r="86" customFormat="false" ht="15" hidden="false" customHeight="false" outlineLevel="0" collapsed="false">
      <c r="A86" s="7" t="s">
        <v>383</v>
      </c>
      <c r="B86" s="7" t="s">
        <v>47</v>
      </c>
      <c r="C86" s="14" t="s">
        <v>29</v>
      </c>
      <c r="D86" s="8" t="s">
        <v>46</v>
      </c>
    </row>
    <row r="87" customFormat="false" ht="15" hidden="false" customHeight="false" outlineLevel="0" collapsed="false">
      <c r="A87" s="7" t="s">
        <v>384</v>
      </c>
      <c r="B87" s="7" t="s">
        <v>43</v>
      </c>
      <c r="C87" s="14" t="s">
        <v>29</v>
      </c>
      <c r="D87" s="8" t="s">
        <v>38</v>
      </c>
    </row>
    <row r="88" customFormat="false" ht="15" hidden="false" customHeight="false" outlineLevel="0" collapsed="false">
      <c r="A88" s="7" t="s">
        <v>385</v>
      </c>
      <c r="B88" s="7" t="s">
        <v>27</v>
      </c>
      <c r="C88" s="14" t="s">
        <v>29</v>
      </c>
      <c r="D88" s="8" t="s">
        <v>28</v>
      </c>
    </row>
    <row r="89" customFormat="false" ht="15" hidden="false" customHeight="false" outlineLevel="0" collapsed="false">
      <c r="A89" s="7" t="s">
        <v>386</v>
      </c>
      <c r="B89" s="7" t="s">
        <v>43</v>
      </c>
      <c r="C89" s="14" t="s">
        <v>29</v>
      </c>
      <c r="D89" s="8" t="s">
        <v>38</v>
      </c>
    </row>
    <row r="90" customFormat="false" ht="15" hidden="false" customHeight="false" outlineLevel="0" collapsed="false">
      <c r="A90" s="7" t="s">
        <v>387</v>
      </c>
      <c r="B90" s="7" t="s">
        <v>62</v>
      </c>
      <c r="C90" s="14" t="s">
        <v>29</v>
      </c>
      <c r="D90" s="8" t="s">
        <v>46</v>
      </c>
    </row>
    <row r="91" customFormat="false" ht="15" hidden="false" customHeight="false" outlineLevel="0" collapsed="false">
      <c r="A91" s="7" t="s">
        <v>388</v>
      </c>
      <c r="B91" s="7" t="s">
        <v>37</v>
      </c>
      <c r="C91" s="14" t="s">
        <v>29</v>
      </c>
      <c r="D91" s="8" t="s">
        <v>38</v>
      </c>
    </row>
    <row r="92" customFormat="false" ht="15" hidden="false" customHeight="false" outlineLevel="0" collapsed="false">
      <c r="A92" s="7" t="s">
        <v>389</v>
      </c>
      <c r="B92" s="7" t="s">
        <v>62</v>
      </c>
      <c r="C92" s="14" t="s">
        <v>29</v>
      </c>
      <c r="D92" s="8" t="s">
        <v>46</v>
      </c>
    </row>
    <row r="93" customFormat="false" ht="15" hidden="false" customHeight="false" outlineLevel="0" collapsed="false">
      <c r="A93" s="7" t="s">
        <v>390</v>
      </c>
      <c r="B93" s="7" t="s">
        <v>37</v>
      </c>
      <c r="C93" s="14" t="s">
        <v>29</v>
      </c>
      <c r="D93" s="8" t="s">
        <v>38</v>
      </c>
    </row>
    <row r="94" customFormat="false" ht="15" hidden="false" customHeight="false" outlineLevel="0" collapsed="false">
      <c r="A94" s="7" t="s">
        <v>391</v>
      </c>
      <c r="B94" s="7" t="s">
        <v>47</v>
      </c>
      <c r="C94" s="14" t="s">
        <v>29</v>
      </c>
      <c r="D94" s="8" t="s">
        <v>46</v>
      </c>
    </row>
    <row r="95" customFormat="false" ht="15" hidden="false" customHeight="false" outlineLevel="0" collapsed="false">
      <c r="A95" s="7" t="s">
        <v>392</v>
      </c>
      <c r="B95" s="7" t="s">
        <v>47</v>
      </c>
      <c r="C95" s="14" t="s">
        <v>29</v>
      </c>
      <c r="D95" s="8" t="s">
        <v>46</v>
      </c>
    </row>
    <row r="96" customFormat="false" ht="15" hidden="false" customHeight="false" outlineLevel="0" collapsed="false">
      <c r="A96" s="7" t="s">
        <v>393</v>
      </c>
      <c r="B96" s="7" t="s">
        <v>47</v>
      </c>
      <c r="C96" s="14" t="s">
        <v>29</v>
      </c>
      <c r="D96" s="8" t="s">
        <v>46</v>
      </c>
    </row>
    <row r="97" customFormat="false" ht="15" hidden="false" customHeight="false" outlineLevel="0" collapsed="false">
      <c r="A97" s="7" t="s">
        <v>394</v>
      </c>
      <c r="B97" s="7" t="s">
        <v>62</v>
      </c>
      <c r="C97" s="14" t="s">
        <v>29</v>
      </c>
      <c r="D97" s="8" t="s">
        <v>46</v>
      </c>
    </row>
    <row r="98" customFormat="false" ht="15" hidden="false" customHeight="false" outlineLevel="0" collapsed="false">
      <c r="A98" s="7" t="s">
        <v>395</v>
      </c>
      <c r="B98" s="7" t="s">
        <v>37</v>
      </c>
      <c r="C98" s="14" t="s">
        <v>29</v>
      </c>
      <c r="D98" s="8" t="s">
        <v>38</v>
      </c>
    </row>
    <row r="99" customFormat="false" ht="15" hidden="false" customHeight="false" outlineLevel="0" collapsed="false">
      <c r="A99" s="7" t="s">
        <v>396</v>
      </c>
      <c r="B99" s="7" t="s">
        <v>47</v>
      </c>
      <c r="C99" s="14" t="s">
        <v>29</v>
      </c>
      <c r="D99" s="8" t="s">
        <v>46</v>
      </c>
    </row>
    <row r="100" customFormat="false" ht="15" hidden="false" customHeight="false" outlineLevel="0" collapsed="false">
      <c r="A100" s="7" t="s">
        <v>397</v>
      </c>
      <c r="B100" s="7" t="s">
        <v>47</v>
      </c>
      <c r="C100" s="14" t="s">
        <v>29</v>
      </c>
      <c r="D100" s="8" t="s">
        <v>46</v>
      </c>
    </row>
    <row r="101" customFormat="false" ht="15" hidden="false" customHeight="false" outlineLevel="0" collapsed="false">
      <c r="A101" s="7" t="s">
        <v>398</v>
      </c>
      <c r="B101" s="7" t="s">
        <v>47</v>
      </c>
      <c r="C101" s="14" t="s">
        <v>29</v>
      </c>
      <c r="D101" s="8" t="s">
        <v>46</v>
      </c>
    </row>
    <row r="102" customFormat="false" ht="15" hidden="false" customHeight="false" outlineLevel="0" collapsed="false">
      <c r="A102" s="7" t="s">
        <v>399</v>
      </c>
      <c r="B102" s="7" t="s">
        <v>62</v>
      </c>
      <c r="C102" s="14" t="s">
        <v>29</v>
      </c>
      <c r="D102" s="8" t="s">
        <v>46</v>
      </c>
    </row>
    <row r="103" customFormat="false" ht="15" hidden="false" customHeight="false" outlineLevel="0" collapsed="false">
      <c r="A103" s="7" t="s">
        <v>400</v>
      </c>
      <c r="B103" s="7" t="s">
        <v>37</v>
      </c>
      <c r="C103" s="14" t="s">
        <v>29</v>
      </c>
      <c r="D103" s="8" t="s">
        <v>38</v>
      </c>
    </row>
    <row r="104" customFormat="false" ht="15" hidden="false" customHeight="false" outlineLevel="0" collapsed="false">
      <c r="A104" s="7" t="s">
        <v>401</v>
      </c>
      <c r="B104" s="7" t="s">
        <v>62</v>
      </c>
      <c r="C104" s="14" t="s">
        <v>29</v>
      </c>
      <c r="D104" s="8" t="s">
        <v>46</v>
      </c>
    </row>
    <row r="105" customFormat="false" ht="15" hidden="false" customHeight="false" outlineLevel="0" collapsed="false">
      <c r="A105" s="7" t="s">
        <v>402</v>
      </c>
      <c r="B105" s="7" t="s">
        <v>37</v>
      </c>
      <c r="C105" s="14" t="s">
        <v>29</v>
      </c>
      <c r="D105" s="8" t="s">
        <v>38</v>
      </c>
    </row>
    <row r="106" customFormat="false" ht="15" hidden="false" customHeight="false" outlineLevel="0" collapsed="false">
      <c r="A106" s="7" t="s">
        <v>403</v>
      </c>
      <c r="B106" s="7" t="s">
        <v>62</v>
      </c>
      <c r="C106" s="14" t="s">
        <v>29</v>
      </c>
      <c r="D106" s="8" t="s">
        <v>46</v>
      </c>
    </row>
    <row r="107" customFormat="false" ht="15" hidden="false" customHeight="false" outlineLevel="0" collapsed="false">
      <c r="A107" s="7" t="s">
        <v>115</v>
      </c>
      <c r="B107" s="7" t="s">
        <v>58</v>
      </c>
      <c r="C107" s="14" t="s">
        <v>29</v>
      </c>
      <c r="D107" s="8" t="s">
        <v>46</v>
      </c>
    </row>
    <row r="108" customFormat="false" ht="15" hidden="false" customHeight="false" outlineLevel="0" collapsed="false">
      <c r="A108" s="7" t="s">
        <v>404</v>
      </c>
      <c r="B108" s="7" t="s">
        <v>58</v>
      </c>
      <c r="C108" s="10" t="s">
        <v>67</v>
      </c>
      <c r="D108" s="8" t="s">
        <v>46</v>
      </c>
    </row>
    <row r="109" customFormat="false" ht="15" hidden="false" customHeight="false" outlineLevel="0" collapsed="false">
      <c r="A109" s="7" t="s">
        <v>405</v>
      </c>
      <c r="B109" s="7" t="s">
        <v>58</v>
      </c>
      <c r="C109" s="14" t="s">
        <v>29</v>
      </c>
      <c r="D109" s="8" t="s">
        <v>46</v>
      </c>
    </row>
    <row r="110" customFormat="false" ht="15" hidden="false" customHeight="false" outlineLevel="0" collapsed="false">
      <c r="A110" s="7" t="s">
        <v>406</v>
      </c>
      <c r="B110" s="7" t="s">
        <v>58</v>
      </c>
      <c r="C110" s="10" t="s">
        <v>67</v>
      </c>
      <c r="D110" s="8" t="s">
        <v>46</v>
      </c>
    </row>
    <row r="111" customFormat="false" ht="15" hidden="false" customHeight="false" outlineLevel="0" collapsed="false">
      <c r="A111" s="7" t="s">
        <v>407</v>
      </c>
      <c r="B111" s="7" t="s">
        <v>93</v>
      </c>
      <c r="C111" s="14" t="s">
        <v>29</v>
      </c>
      <c r="D111" s="8" t="s">
        <v>87</v>
      </c>
    </row>
    <row r="112" customFormat="false" ht="15" hidden="false" customHeight="false" outlineLevel="0" collapsed="false">
      <c r="A112" s="7" t="s">
        <v>408</v>
      </c>
      <c r="B112" s="7" t="s">
        <v>58</v>
      </c>
      <c r="C112" s="14" t="s">
        <v>29</v>
      </c>
      <c r="D112" s="8" t="s">
        <v>46</v>
      </c>
    </row>
    <row r="113" customFormat="false" ht="15" hidden="false" customHeight="false" outlineLevel="0" collapsed="false">
      <c r="A113" s="7" t="s">
        <v>409</v>
      </c>
      <c r="B113" s="7" t="s">
        <v>80</v>
      </c>
      <c r="C113" s="10" t="s">
        <v>67</v>
      </c>
      <c r="D113" s="8" t="s">
        <v>38</v>
      </c>
    </row>
    <row r="114" customFormat="false" ht="15" hidden="false" customHeight="false" outlineLevel="0" collapsed="false">
      <c r="A114" s="7" t="s">
        <v>409</v>
      </c>
      <c r="B114" s="7" t="s">
        <v>58</v>
      </c>
      <c r="C114" s="10" t="s">
        <v>67</v>
      </c>
      <c r="D114" s="8" t="s">
        <v>46</v>
      </c>
    </row>
    <row r="115" customFormat="false" ht="15" hidden="false" customHeight="false" outlineLevel="0" collapsed="false">
      <c r="A115" s="7" t="s">
        <v>410</v>
      </c>
      <c r="B115" s="7" t="s">
        <v>58</v>
      </c>
      <c r="C115" s="14" t="s">
        <v>29</v>
      </c>
      <c r="D115" s="8" t="s">
        <v>46</v>
      </c>
    </row>
    <row r="116" customFormat="false" ht="15" hidden="false" customHeight="false" outlineLevel="0" collapsed="false">
      <c r="A116" s="7" t="s">
        <v>117</v>
      </c>
      <c r="B116" s="7" t="s">
        <v>77</v>
      </c>
      <c r="C116" s="10" t="s">
        <v>67</v>
      </c>
      <c r="D116" s="8" t="s">
        <v>46</v>
      </c>
    </row>
    <row r="117" customFormat="false" ht="15" hidden="false" customHeight="false" outlineLevel="0" collapsed="false">
      <c r="A117" s="7" t="s">
        <v>411</v>
      </c>
      <c r="B117" s="7" t="s">
        <v>89</v>
      </c>
      <c r="C117" s="14" t="s">
        <v>29</v>
      </c>
      <c r="D117" s="8" t="s">
        <v>87</v>
      </c>
    </row>
    <row r="118" customFormat="false" ht="15" hidden="false" customHeight="false" outlineLevel="0" collapsed="false">
      <c r="A118" s="7" t="s">
        <v>412</v>
      </c>
      <c r="B118" s="7" t="s">
        <v>58</v>
      </c>
      <c r="C118" s="10" t="s">
        <v>67</v>
      </c>
      <c r="D118" s="8" t="s">
        <v>46</v>
      </c>
    </row>
    <row r="119" customFormat="false" ht="15" hidden="false" customHeight="false" outlineLevel="0" collapsed="false">
      <c r="A119" s="7" t="s">
        <v>413</v>
      </c>
      <c r="B119" s="7" t="s">
        <v>82</v>
      </c>
      <c r="C119" s="14" t="s">
        <v>29</v>
      </c>
      <c r="D119" s="8" t="s">
        <v>46</v>
      </c>
    </row>
    <row r="120" customFormat="false" ht="15" hidden="false" customHeight="false" outlineLevel="0" collapsed="false">
      <c r="A120" s="7" t="s">
        <v>414</v>
      </c>
      <c r="B120" s="7" t="s">
        <v>80</v>
      </c>
      <c r="C120" s="10" t="s">
        <v>67</v>
      </c>
      <c r="D120" s="8" t="s">
        <v>38</v>
      </c>
    </row>
    <row r="121" customFormat="false" ht="15" hidden="false" customHeight="false" outlineLevel="0" collapsed="false">
      <c r="A121" s="7" t="s">
        <v>415</v>
      </c>
      <c r="B121" s="7" t="s">
        <v>58</v>
      </c>
      <c r="C121" s="14" t="s">
        <v>29</v>
      </c>
      <c r="D121" s="8" t="s">
        <v>46</v>
      </c>
    </row>
    <row r="122" customFormat="false" ht="15" hidden="false" customHeight="false" outlineLevel="0" collapsed="false">
      <c r="A122" s="7" t="s">
        <v>416</v>
      </c>
      <c r="B122" s="7" t="s">
        <v>89</v>
      </c>
      <c r="C122" s="14" t="s">
        <v>29</v>
      </c>
      <c r="D122" s="8" t="s">
        <v>87</v>
      </c>
    </row>
    <row r="123" customFormat="false" ht="15" hidden="false" customHeight="false" outlineLevel="0" collapsed="false">
      <c r="A123" s="7" t="s">
        <v>417</v>
      </c>
      <c r="B123" s="7" t="s">
        <v>58</v>
      </c>
      <c r="C123" s="10" t="s">
        <v>67</v>
      </c>
      <c r="D123" s="8" t="s">
        <v>46</v>
      </c>
    </row>
    <row r="124" customFormat="false" ht="15" hidden="false" customHeight="false" outlineLevel="0" collapsed="false">
      <c r="A124" s="7" t="s">
        <v>418</v>
      </c>
      <c r="B124" s="7" t="s">
        <v>58</v>
      </c>
      <c r="C124" s="14" t="s">
        <v>29</v>
      </c>
      <c r="D124" s="8" t="s">
        <v>46</v>
      </c>
    </row>
    <row r="125" customFormat="false" ht="15" hidden="false" customHeight="false" outlineLevel="0" collapsed="false">
      <c r="A125" s="7" t="s">
        <v>419</v>
      </c>
      <c r="B125" s="7" t="s">
        <v>89</v>
      </c>
      <c r="C125" s="14" t="s">
        <v>29</v>
      </c>
      <c r="D125" s="8" t="s">
        <v>87</v>
      </c>
    </row>
    <row r="126" customFormat="false" ht="15" hidden="false" customHeight="false" outlineLevel="0" collapsed="false">
      <c r="A126" s="7" t="s">
        <v>420</v>
      </c>
      <c r="B126" s="7" t="s">
        <v>45</v>
      </c>
      <c r="C126" s="14" t="s">
        <v>29</v>
      </c>
      <c r="D126" s="8" t="s">
        <v>46</v>
      </c>
    </row>
    <row r="127" customFormat="false" ht="15" hidden="false" customHeight="false" outlineLevel="0" collapsed="false">
      <c r="A127" s="7" t="s">
        <v>421</v>
      </c>
      <c r="B127" s="7" t="s">
        <v>77</v>
      </c>
      <c r="C127" s="10" t="s">
        <v>67</v>
      </c>
      <c r="D127" s="8" t="s">
        <v>46</v>
      </c>
    </row>
    <row r="128" customFormat="false" ht="15" hidden="false" customHeight="false" outlineLevel="0" collapsed="false">
      <c r="A128" s="7" t="s">
        <v>422</v>
      </c>
      <c r="B128" s="7" t="s">
        <v>77</v>
      </c>
      <c r="C128" s="10" t="s">
        <v>67</v>
      </c>
      <c r="D128" s="8" t="s">
        <v>46</v>
      </c>
    </row>
    <row r="129" customFormat="false" ht="15" hidden="false" customHeight="false" outlineLevel="0" collapsed="false">
      <c r="A129" s="7" t="s">
        <v>423</v>
      </c>
      <c r="B129" s="7" t="s">
        <v>77</v>
      </c>
      <c r="C129" s="10" t="s">
        <v>67</v>
      </c>
      <c r="D129" s="8" t="s">
        <v>46</v>
      </c>
    </row>
    <row r="130" customFormat="false" ht="15" hidden="false" customHeight="false" outlineLevel="0" collapsed="false">
      <c r="A130" s="7" t="s">
        <v>424</v>
      </c>
      <c r="B130" s="7" t="s">
        <v>77</v>
      </c>
      <c r="C130" s="10" t="s">
        <v>67</v>
      </c>
      <c r="D130" s="8" t="s">
        <v>46</v>
      </c>
    </row>
    <row r="131" customFormat="false" ht="15" hidden="false" customHeight="false" outlineLevel="0" collapsed="false">
      <c r="A131" s="7" t="s">
        <v>425</v>
      </c>
      <c r="B131" s="7" t="s">
        <v>77</v>
      </c>
      <c r="C131" s="10" t="s">
        <v>67</v>
      </c>
      <c r="D131" s="8" t="s">
        <v>46</v>
      </c>
    </row>
    <row r="132" customFormat="false" ht="15" hidden="false" customHeight="false" outlineLevel="0" collapsed="false">
      <c r="A132" s="7" t="s">
        <v>426</v>
      </c>
      <c r="B132" s="7" t="s">
        <v>77</v>
      </c>
      <c r="C132" s="10" t="s">
        <v>67</v>
      </c>
      <c r="D132" s="8" t="s">
        <v>46</v>
      </c>
    </row>
    <row r="133" customFormat="false" ht="15" hidden="false" customHeight="false" outlineLevel="0" collapsed="false">
      <c r="A133" s="7" t="s">
        <v>427</v>
      </c>
      <c r="B133" s="7" t="s">
        <v>55</v>
      </c>
      <c r="C133" s="10" t="s">
        <v>67</v>
      </c>
      <c r="D133" s="8" t="s">
        <v>46</v>
      </c>
    </row>
    <row r="134" customFormat="false" ht="15" hidden="false" customHeight="false" outlineLevel="0" collapsed="false">
      <c r="A134" s="7" t="s">
        <v>121</v>
      </c>
      <c r="B134" s="7" t="s">
        <v>77</v>
      </c>
      <c r="C134" s="10" t="s">
        <v>67</v>
      </c>
      <c r="D134" s="8" t="s">
        <v>46</v>
      </c>
    </row>
    <row r="135" customFormat="false" ht="15" hidden="false" customHeight="false" outlineLevel="0" collapsed="false">
      <c r="A135" s="7" t="s">
        <v>428</v>
      </c>
      <c r="B135" s="7" t="s">
        <v>55</v>
      </c>
      <c r="C135" s="10" t="s">
        <v>67</v>
      </c>
      <c r="D135" s="8" t="s">
        <v>46</v>
      </c>
    </row>
    <row r="136" customFormat="false" ht="15" hidden="false" customHeight="false" outlineLevel="0" collapsed="false">
      <c r="A136" s="7" t="s">
        <v>122</v>
      </c>
      <c r="B136" s="7" t="s">
        <v>80</v>
      </c>
      <c r="C136" s="10" t="s">
        <v>67</v>
      </c>
      <c r="D136" s="8" t="s">
        <v>38</v>
      </c>
    </row>
    <row r="137" customFormat="false" ht="15" hidden="false" customHeight="false" outlineLevel="0" collapsed="false">
      <c r="A137" s="7" t="s">
        <v>429</v>
      </c>
      <c r="B137" s="7" t="s">
        <v>89</v>
      </c>
      <c r="C137" s="10" t="s">
        <v>67</v>
      </c>
      <c r="D137" s="8" t="s">
        <v>87</v>
      </c>
    </row>
    <row r="138" customFormat="false" ht="15" hidden="false" customHeight="false" outlineLevel="0" collapsed="false">
      <c r="A138" s="7" t="s">
        <v>429</v>
      </c>
      <c r="B138" s="7" t="s">
        <v>91</v>
      </c>
      <c r="C138" s="10" t="s">
        <v>67</v>
      </c>
      <c r="D138" s="8" t="s">
        <v>87</v>
      </c>
    </row>
    <row r="139" customFormat="false" ht="15" hidden="false" customHeight="false" outlineLevel="0" collapsed="false">
      <c r="A139" s="7" t="s">
        <v>430</v>
      </c>
      <c r="B139" s="7" t="s">
        <v>80</v>
      </c>
      <c r="C139" s="10" t="s">
        <v>67</v>
      </c>
      <c r="D139" s="8" t="s">
        <v>38</v>
      </c>
    </row>
    <row r="140" customFormat="false" ht="15" hidden="false" customHeight="false" outlineLevel="0" collapsed="false">
      <c r="A140" s="7" t="s">
        <v>431</v>
      </c>
      <c r="B140" s="7" t="s">
        <v>75</v>
      </c>
      <c r="C140" s="10" t="s">
        <v>67</v>
      </c>
      <c r="D140" s="8" t="s">
        <v>28</v>
      </c>
    </row>
    <row r="141" customFormat="false" ht="15" hidden="false" customHeight="false" outlineLevel="0" collapsed="false">
      <c r="A141" s="7" t="s">
        <v>432</v>
      </c>
      <c r="B141" s="7" t="s">
        <v>75</v>
      </c>
      <c r="C141" s="10" t="s">
        <v>67</v>
      </c>
      <c r="D141" s="8" t="s">
        <v>28</v>
      </c>
    </row>
    <row r="142" customFormat="false" ht="15" hidden="false" customHeight="false" outlineLevel="0" collapsed="false">
      <c r="A142" s="7" t="s">
        <v>433</v>
      </c>
      <c r="B142" s="7" t="s">
        <v>55</v>
      </c>
      <c r="C142" s="10" t="s">
        <v>67</v>
      </c>
      <c r="D142" s="8" t="s">
        <v>46</v>
      </c>
    </row>
    <row r="143" customFormat="false" ht="15" hidden="false" customHeight="false" outlineLevel="0" collapsed="false">
      <c r="A143" s="7" t="s">
        <v>434</v>
      </c>
      <c r="B143" s="7" t="s">
        <v>77</v>
      </c>
      <c r="C143" s="10" t="s">
        <v>67</v>
      </c>
      <c r="D143" s="8" t="s">
        <v>46</v>
      </c>
    </row>
    <row r="144" customFormat="false" ht="15" hidden="false" customHeight="false" outlineLevel="0" collapsed="false">
      <c r="A144" s="7" t="s">
        <v>435</v>
      </c>
      <c r="B144" s="7" t="s">
        <v>77</v>
      </c>
      <c r="C144" s="10" t="s">
        <v>67</v>
      </c>
      <c r="D144" s="8" t="s">
        <v>46</v>
      </c>
    </row>
    <row r="145" customFormat="false" ht="15" hidden="false" customHeight="false" outlineLevel="0" collapsed="false">
      <c r="A145" s="7" t="s">
        <v>436</v>
      </c>
      <c r="B145" s="7" t="s">
        <v>97</v>
      </c>
      <c r="C145" s="14" t="s">
        <v>29</v>
      </c>
      <c r="D145" s="8" t="s">
        <v>87</v>
      </c>
    </row>
    <row r="146" customFormat="false" ht="15" hidden="false" customHeight="false" outlineLevel="0" collapsed="false">
      <c r="A146" s="7" t="s">
        <v>437</v>
      </c>
      <c r="B146" s="7" t="s">
        <v>80</v>
      </c>
      <c r="C146" s="10" t="s">
        <v>67</v>
      </c>
      <c r="D146" s="8" t="s">
        <v>38</v>
      </c>
    </row>
    <row r="147" customFormat="false" ht="15" hidden="false" customHeight="false" outlineLevel="0" collapsed="false">
      <c r="A147" s="7" t="s">
        <v>438</v>
      </c>
      <c r="B147" s="7" t="s">
        <v>75</v>
      </c>
      <c r="C147" s="10" t="s">
        <v>67</v>
      </c>
      <c r="D147" s="8" t="s">
        <v>28</v>
      </c>
    </row>
    <row r="148" customFormat="false" ht="15" hidden="false" customHeight="false" outlineLevel="0" collapsed="false">
      <c r="A148" s="7" t="s">
        <v>439</v>
      </c>
      <c r="B148" s="7" t="s">
        <v>55</v>
      </c>
      <c r="C148" s="10" t="s">
        <v>67</v>
      </c>
      <c r="D148" s="8" t="s">
        <v>46</v>
      </c>
    </row>
    <row r="149" customFormat="false" ht="15" hidden="false" customHeight="false" outlineLevel="0" collapsed="false">
      <c r="A149" s="7" t="s">
        <v>440</v>
      </c>
      <c r="B149" s="7" t="s">
        <v>47</v>
      </c>
      <c r="C149" s="14" t="s">
        <v>29</v>
      </c>
      <c r="D149" s="8" t="s">
        <v>46</v>
      </c>
    </row>
    <row r="150" customFormat="false" ht="15" hidden="false" customHeight="false" outlineLevel="0" collapsed="false">
      <c r="A150" s="7" t="s">
        <v>440</v>
      </c>
      <c r="B150" s="7" t="s">
        <v>58</v>
      </c>
      <c r="C150" s="10" t="s">
        <v>67</v>
      </c>
      <c r="D150" s="8" t="s">
        <v>46</v>
      </c>
    </row>
    <row r="151" customFormat="false" ht="15" hidden="false" customHeight="false" outlineLevel="0" collapsed="false">
      <c r="A151" s="7" t="s">
        <v>440</v>
      </c>
      <c r="B151" s="7" t="s">
        <v>53</v>
      </c>
      <c r="C151" s="14" t="s">
        <v>29</v>
      </c>
      <c r="D151" s="8" t="s">
        <v>28</v>
      </c>
    </row>
    <row r="152" customFormat="false" ht="15" hidden="false" customHeight="false" outlineLevel="0" collapsed="false">
      <c r="A152" s="7" t="s">
        <v>441</v>
      </c>
      <c r="B152" s="7" t="s">
        <v>58</v>
      </c>
      <c r="C152" s="14" t="s">
        <v>29</v>
      </c>
      <c r="D152" s="8" t="s">
        <v>46</v>
      </c>
    </row>
    <row r="153" customFormat="false" ht="15" hidden="false" customHeight="false" outlineLevel="0" collapsed="false">
      <c r="A153" s="7" t="s">
        <v>442</v>
      </c>
      <c r="B153" s="7" t="s">
        <v>58</v>
      </c>
      <c r="C153" s="10" t="s">
        <v>67</v>
      </c>
      <c r="D153" s="8" t="s">
        <v>46</v>
      </c>
    </row>
    <row r="154" customFormat="false" ht="15" hidden="false" customHeight="false" outlineLevel="0" collapsed="false">
      <c r="A154" s="7" t="s">
        <v>443</v>
      </c>
      <c r="B154" s="7" t="s">
        <v>86</v>
      </c>
      <c r="C154" s="14" t="s">
        <v>29</v>
      </c>
      <c r="D154" s="8" t="s">
        <v>87</v>
      </c>
    </row>
    <row r="155" customFormat="false" ht="15" hidden="false" customHeight="false" outlineLevel="0" collapsed="false">
      <c r="A155" s="7" t="s">
        <v>126</v>
      </c>
      <c r="B155" s="7" t="s">
        <v>47</v>
      </c>
      <c r="C155" s="14" t="s">
        <v>29</v>
      </c>
      <c r="D155" s="8" t="s">
        <v>46</v>
      </c>
    </row>
    <row r="156" customFormat="false" ht="15" hidden="false" customHeight="false" outlineLevel="0" collapsed="false">
      <c r="A156" s="7" t="s">
        <v>444</v>
      </c>
      <c r="B156" s="7" t="s">
        <v>82</v>
      </c>
      <c r="C156" s="10" t="s">
        <v>67</v>
      </c>
      <c r="D156" s="8" t="s">
        <v>46</v>
      </c>
    </row>
    <row r="157" customFormat="false" ht="15" hidden="false" customHeight="false" outlineLevel="0" collapsed="false">
      <c r="A157" s="7" t="s">
        <v>445</v>
      </c>
      <c r="B157" s="7" t="s">
        <v>43</v>
      </c>
      <c r="C157" s="14" t="s">
        <v>29</v>
      </c>
      <c r="D157" s="8" t="s">
        <v>38</v>
      </c>
    </row>
    <row r="158" customFormat="false" ht="15" hidden="false" customHeight="false" outlineLevel="0" collapsed="false">
      <c r="A158" s="7" t="s">
        <v>446</v>
      </c>
      <c r="B158" s="7" t="s">
        <v>58</v>
      </c>
      <c r="C158" s="14" t="s">
        <v>29</v>
      </c>
      <c r="D158" s="8" t="s">
        <v>46</v>
      </c>
    </row>
    <row r="159" customFormat="false" ht="15" hidden="false" customHeight="false" outlineLevel="0" collapsed="false">
      <c r="A159" s="7" t="s">
        <v>447</v>
      </c>
      <c r="B159" s="7" t="s">
        <v>58</v>
      </c>
      <c r="C159" s="10" t="s">
        <v>67</v>
      </c>
      <c r="D159" s="8" t="s">
        <v>46</v>
      </c>
    </row>
    <row r="160" customFormat="false" ht="15" hidden="false" customHeight="false" outlineLevel="0" collapsed="false">
      <c r="A160" s="7" t="s">
        <v>448</v>
      </c>
      <c r="B160" s="7" t="s">
        <v>58</v>
      </c>
      <c r="C160" s="14" t="s">
        <v>29</v>
      </c>
      <c r="D160" s="8" t="s">
        <v>46</v>
      </c>
    </row>
    <row r="161" customFormat="false" ht="15" hidden="false" customHeight="false" outlineLevel="0" collapsed="false">
      <c r="A161" s="7" t="s">
        <v>449</v>
      </c>
      <c r="B161" s="7" t="s">
        <v>45</v>
      </c>
      <c r="C161" s="14" t="s">
        <v>29</v>
      </c>
      <c r="D161" s="8" t="s">
        <v>46</v>
      </c>
    </row>
    <row r="162" customFormat="false" ht="15" hidden="false" customHeight="false" outlineLevel="0" collapsed="false">
      <c r="A162" s="7" t="s">
        <v>450</v>
      </c>
      <c r="B162" s="7" t="s">
        <v>58</v>
      </c>
      <c r="C162" s="10" t="s">
        <v>67</v>
      </c>
      <c r="D162" s="8" t="s">
        <v>46</v>
      </c>
    </row>
    <row r="163" customFormat="false" ht="15" hidden="false" customHeight="false" outlineLevel="0" collapsed="false">
      <c r="A163" s="7" t="s">
        <v>451</v>
      </c>
      <c r="B163" s="7" t="s">
        <v>58</v>
      </c>
      <c r="C163" s="14" t="s">
        <v>29</v>
      </c>
      <c r="D163" s="8" t="s">
        <v>46</v>
      </c>
    </row>
    <row r="164" customFormat="false" ht="15" hidden="false" customHeight="false" outlineLevel="0" collapsed="false">
      <c r="A164" s="7" t="s">
        <v>452</v>
      </c>
      <c r="B164" s="7" t="s">
        <v>82</v>
      </c>
      <c r="C164" s="14" t="s">
        <v>29</v>
      </c>
      <c r="D164" s="8" t="s">
        <v>46</v>
      </c>
    </row>
    <row r="165" customFormat="false" ht="15" hidden="false" customHeight="false" outlineLevel="0" collapsed="false">
      <c r="A165" s="7" t="s">
        <v>453</v>
      </c>
      <c r="B165" s="7" t="s">
        <v>89</v>
      </c>
      <c r="C165" s="10" t="s">
        <v>67</v>
      </c>
      <c r="D165" s="8" t="s">
        <v>87</v>
      </c>
    </row>
    <row r="166" customFormat="false" ht="15" hidden="false" customHeight="false" outlineLevel="0" collapsed="false">
      <c r="A166" s="7" t="s">
        <v>454</v>
      </c>
      <c r="B166" s="7" t="s">
        <v>77</v>
      </c>
      <c r="C166" s="10" t="s">
        <v>67</v>
      </c>
      <c r="D166" s="8" t="s">
        <v>46</v>
      </c>
    </row>
    <row r="167" customFormat="false" ht="15" hidden="false" customHeight="false" outlineLevel="0" collapsed="false">
      <c r="A167" s="7" t="s">
        <v>455</v>
      </c>
      <c r="B167" s="7" t="s">
        <v>86</v>
      </c>
      <c r="C167" s="10" t="s">
        <v>67</v>
      </c>
      <c r="D167" s="8" t="s">
        <v>87</v>
      </c>
    </row>
    <row r="168" customFormat="false" ht="15" hidden="false" customHeight="false" outlineLevel="0" collapsed="false">
      <c r="A168" s="7" t="s">
        <v>456</v>
      </c>
      <c r="B168" s="7" t="s">
        <v>75</v>
      </c>
      <c r="C168" s="10" t="s">
        <v>67</v>
      </c>
      <c r="D168" s="8" t="s">
        <v>28</v>
      </c>
    </row>
    <row r="169" customFormat="false" ht="15" hidden="false" customHeight="false" outlineLevel="0" collapsed="false">
      <c r="A169" s="7" t="s">
        <v>456</v>
      </c>
      <c r="B169" s="7" t="s">
        <v>77</v>
      </c>
      <c r="C169" s="10" t="s">
        <v>67</v>
      </c>
      <c r="D169" s="8" t="s">
        <v>46</v>
      </c>
    </row>
    <row r="170" customFormat="false" ht="15" hidden="false" customHeight="false" outlineLevel="0" collapsed="false">
      <c r="A170" s="7" t="s">
        <v>457</v>
      </c>
      <c r="B170" s="7" t="s">
        <v>77</v>
      </c>
      <c r="C170" s="10" t="s">
        <v>67</v>
      </c>
      <c r="D170" s="8" t="s">
        <v>46</v>
      </c>
    </row>
    <row r="171" customFormat="false" ht="15" hidden="false" customHeight="false" outlineLevel="0" collapsed="false">
      <c r="A171" s="7" t="s">
        <v>458</v>
      </c>
      <c r="B171" s="7" t="s">
        <v>77</v>
      </c>
      <c r="C171" s="10" t="s">
        <v>67</v>
      </c>
      <c r="D171" s="8" t="s">
        <v>46</v>
      </c>
    </row>
    <row r="172" customFormat="false" ht="15" hidden="false" customHeight="false" outlineLevel="0" collapsed="false">
      <c r="A172" s="7" t="s">
        <v>459</v>
      </c>
      <c r="B172" s="7" t="s">
        <v>77</v>
      </c>
      <c r="C172" s="10" t="s">
        <v>67</v>
      </c>
      <c r="D172" s="8" t="s">
        <v>46</v>
      </c>
    </row>
    <row r="173" customFormat="false" ht="15" hidden="false" customHeight="false" outlineLevel="0" collapsed="false">
      <c r="A173" s="7" t="s">
        <v>460</v>
      </c>
      <c r="B173" s="7" t="s">
        <v>77</v>
      </c>
      <c r="C173" s="10" t="s">
        <v>67</v>
      </c>
      <c r="D173" s="8" t="s">
        <v>46</v>
      </c>
    </row>
    <row r="174" customFormat="false" ht="15" hidden="false" customHeight="false" outlineLevel="0" collapsed="false">
      <c r="A174" s="7" t="s">
        <v>461</v>
      </c>
      <c r="B174" s="7" t="s">
        <v>77</v>
      </c>
      <c r="C174" s="10" t="s">
        <v>67</v>
      </c>
      <c r="D174" s="8" t="s">
        <v>46</v>
      </c>
    </row>
    <row r="175" customFormat="false" ht="15" hidden="false" customHeight="false" outlineLevel="0" collapsed="false">
      <c r="A175" s="7" t="s">
        <v>462</v>
      </c>
      <c r="B175" s="7" t="s">
        <v>86</v>
      </c>
      <c r="C175" s="10" t="s">
        <v>67</v>
      </c>
      <c r="D175" s="8" t="s">
        <v>87</v>
      </c>
    </row>
    <row r="176" customFormat="false" ht="15" hidden="false" customHeight="false" outlineLevel="0" collapsed="false">
      <c r="A176" s="7" t="s">
        <v>463</v>
      </c>
      <c r="B176" s="7" t="s">
        <v>75</v>
      </c>
      <c r="C176" s="10" t="s">
        <v>67</v>
      </c>
      <c r="D176" s="8" t="s">
        <v>28</v>
      </c>
    </row>
    <row r="177" customFormat="false" ht="15" hidden="false" customHeight="false" outlineLevel="0" collapsed="false">
      <c r="A177" s="7" t="s">
        <v>464</v>
      </c>
      <c r="B177" s="7" t="s">
        <v>77</v>
      </c>
      <c r="C177" s="10" t="s">
        <v>67</v>
      </c>
      <c r="D177" s="8" t="s">
        <v>46</v>
      </c>
    </row>
    <row r="178" customFormat="false" ht="15" hidden="false" customHeight="false" outlineLevel="0" collapsed="false">
      <c r="A178" s="7" t="s">
        <v>465</v>
      </c>
      <c r="B178" s="7" t="s">
        <v>77</v>
      </c>
      <c r="C178" s="10" t="s">
        <v>67</v>
      </c>
      <c r="D178" s="8" t="s">
        <v>46</v>
      </c>
    </row>
    <row r="179" customFormat="false" ht="15" hidden="false" customHeight="false" outlineLevel="0" collapsed="false">
      <c r="A179" s="7" t="s">
        <v>466</v>
      </c>
      <c r="B179" s="7" t="s">
        <v>77</v>
      </c>
      <c r="C179" s="10" t="s">
        <v>67</v>
      </c>
      <c r="D179" s="8" t="s">
        <v>46</v>
      </c>
    </row>
    <row r="180" customFormat="false" ht="15" hidden="false" customHeight="false" outlineLevel="0" collapsed="false">
      <c r="A180" s="7" t="s">
        <v>467</v>
      </c>
      <c r="B180" s="7" t="s">
        <v>55</v>
      </c>
      <c r="C180" s="10" t="s">
        <v>67</v>
      </c>
      <c r="D180" s="8" t="s">
        <v>46</v>
      </c>
    </row>
    <row r="181" customFormat="false" ht="15" hidden="false" customHeight="false" outlineLevel="0" collapsed="false">
      <c r="A181" s="7" t="s">
        <v>127</v>
      </c>
      <c r="B181" s="7" t="s">
        <v>77</v>
      </c>
      <c r="C181" s="10" t="s">
        <v>67</v>
      </c>
      <c r="D181" s="8" t="s">
        <v>46</v>
      </c>
    </row>
    <row r="182" customFormat="false" ht="15" hidden="false" customHeight="false" outlineLevel="0" collapsed="false">
      <c r="A182" s="7" t="s">
        <v>468</v>
      </c>
      <c r="B182" s="7" t="s">
        <v>55</v>
      </c>
      <c r="C182" s="10" t="s">
        <v>67</v>
      </c>
      <c r="D182" s="8" t="s">
        <v>46</v>
      </c>
    </row>
    <row r="183" customFormat="false" ht="15" hidden="false" customHeight="false" outlineLevel="0" collapsed="false">
      <c r="A183" s="7" t="s">
        <v>469</v>
      </c>
      <c r="B183" s="7" t="s">
        <v>86</v>
      </c>
      <c r="C183" s="10" t="s">
        <v>67</v>
      </c>
      <c r="D183" s="8" t="s">
        <v>87</v>
      </c>
    </row>
    <row r="184" customFormat="false" ht="15" hidden="false" customHeight="false" outlineLevel="0" collapsed="false">
      <c r="A184" s="7" t="s">
        <v>469</v>
      </c>
      <c r="B184" s="7" t="s">
        <v>89</v>
      </c>
      <c r="C184" s="10" t="s">
        <v>67</v>
      </c>
      <c r="D184" s="8" t="s">
        <v>87</v>
      </c>
    </row>
    <row r="185" customFormat="false" ht="15" hidden="false" customHeight="false" outlineLevel="0" collapsed="false">
      <c r="A185" s="7" t="s">
        <v>470</v>
      </c>
      <c r="B185" s="7" t="s">
        <v>55</v>
      </c>
      <c r="C185" s="10" t="s">
        <v>67</v>
      </c>
      <c r="D185" s="8" t="s">
        <v>46</v>
      </c>
    </row>
    <row r="186" customFormat="false" ht="15" hidden="false" customHeight="false" outlineLevel="0" collapsed="false">
      <c r="A186" s="7" t="s">
        <v>471</v>
      </c>
      <c r="B186" s="7" t="s">
        <v>60</v>
      </c>
      <c r="C186" s="10" t="s">
        <v>67</v>
      </c>
      <c r="D186" s="8" t="s">
        <v>46</v>
      </c>
    </row>
    <row r="187" customFormat="false" ht="15" hidden="false" customHeight="false" outlineLevel="0" collapsed="false">
      <c r="A187" s="7" t="s">
        <v>472</v>
      </c>
      <c r="B187" s="7" t="s">
        <v>75</v>
      </c>
      <c r="C187" s="10" t="s">
        <v>67</v>
      </c>
      <c r="D187" s="8" t="s">
        <v>28</v>
      </c>
    </row>
    <row r="188" customFormat="false" ht="15" hidden="false" customHeight="false" outlineLevel="0" collapsed="false">
      <c r="A188" s="7" t="s">
        <v>473</v>
      </c>
      <c r="B188" s="7" t="s">
        <v>77</v>
      </c>
      <c r="C188" s="10" t="s">
        <v>67</v>
      </c>
      <c r="D188" s="8" t="s">
        <v>46</v>
      </c>
    </row>
    <row r="189" customFormat="false" ht="15" hidden="false" customHeight="false" outlineLevel="0" collapsed="false">
      <c r="A189" s="7" t="s">
        <v>474</v>
      </c>
      <c r="B189" s="7" t="s">
        <v>55</v>
      </c>
      <c r="C189" s="10" t="s">
        <v>67</v>
      </c>
      <c r="D189" s="8" t="s">
        <v>46</v>
      </c>
    </row>
    <row r="190" customFormat="false" ht="15" hidden="false" customHeight="false" outlineLevel="0" collapsed="false">
      <c r="A190" s="7" t="s">
        <v>475</v>
      </c>
      <c r="B190" s="7" t="s">
        <v>89</v>
      </c>
      <c r="C190" s="10" t="s">
        <v>67</v>
      </c>
      <c r="D190" s="8" t="s">
        <v>87</v>
      </c>
    </row>
    <row r="191" customFormat="false" ht="15" hidden="false" customHeight="false" outlineLevel="0" collapsed="false">
      <c r="A191" s="7" t="s">
        <v>475</v>
      </c>
      <c r="B191" s="7" t="s">
        <v>86</v>
      </c>
      <c r="C191" s="10" t="s">
        <v>67</v>
      </c>
      <c r="D191" s="8" t="s">
        <v>87</v>
      </c>
    </row>
    <row r="192" customFormat="false" ht="15" hidden="false" customHeight="false" outlineLevel="0" collapsed="false">
      <c r="A192" s="7" t="s">
        <v>475</v>
      </c>
      <c r="B192" s="7" t="s">
        <v>97</v>
      </c>
      <c r="C192" s="14" t="s">
        <v>29</v>
      </c>
      <c r="D192" s="8" t="s">
        <v>87</v>
      </c>
    </row>
    <row r="193" customFormat="false" ht="15" hidden="false" customHeight="false" outlineLevel="0" collapsed="false">
      <c r="A193" s="7" t="s">
        <v>476</v>
      </c>
      <c r="B193" s="7" t="s">
        <v>58</v>
      </c>
      <c r="C193" s="10" t="s">
        <v>67</v>
      </c>
      <c r="D193" s="8" t="s">
        <v>46</v>
      </c>
    </row>
    <row r="194" customFormat="false" ht="15" hidden="false" customHeight="false" outlineLevel="0" collapsed="false">
      <c r="A194" s="7" t="s">
        <v>477</v>
      </c>
      <c r="B194" s="7" t="s">
        <v>58</v>
      </c>
      <c r="C194" s="14" t="s">
        <v>29</v>
      </c>
      <c r="D194" s="8" t="s">
        <v>46</v>
      </c>
    </row>
    <row r="195" customFormat="false" ht="15" hidden="false" customHeight="false" outlineLevel="0" collapsed="false">
      <c r="A195" s="7" t="s">
        <v>478</v>
      </c>
      <c r="B195" s="7" t="s">
        <v>82</v>
      </c>
      <c r="C195" s="10" t="s">
        <v>67</v>
      </c>
      <c r="D195" s="8" t="s">
        <v>46</v>
      </c>
    </row>
    <row r="196" customFormat="false" ht="15" hidden="false" customHeight="false" outlineLevel="0" collapsed="false">
      <c r="A196" s="7" t="s">
        <v>479</v>
      </c>
      <c r="B196" s="7" t="s">
        <v>82</v>
      </c>
      <c r="C196" s="14" t="s">
        <v>29</v>
      </c>
      <c r="D196" s="8" t="s">
        <v>46</v>
      </c>
    </row>
    <row r="197" customFormat="false" ht="15" hidden="false" customHeight="false" outlineLevel="0" collapsed="false">
      <c r="A197" s="7" t="s">
        <v>480</v>
      </c>
      <c r="B197" s="7" t="s">
        <v>77</v>
      </c>
      <c r="C197" s="10" t="s">
        <v>67</v>
      </c>
      <c r="D197" s="8" t="s">
        <v>46</v>
      </c>
    </row>
    <row r="198" customFormat="false" ht="15" hidden="false" customHeight="false" outlineLevel="0" collapsed="false">
      <c r="A198" s="7" t="s">
        <v>481</v>
      </c>
      <c r="B198" s="7" t="s">
        <v>58</v>
      </c>
      <c r="C198" s="10" t="s">
        <v>67</v>
      </c>
      <c r="D198" s="8" t="s">
        <v>46</v>
      </c>
    </row>
    <row r="199" customFormat="false" ht="15" hidden="false" customHeight="false" outlineLevel="0" collapsed="false">
      <c r="A199" s="7" t="s">
        <v>482</v>
      </c>
      <c r="B199" s="7" t="s">
        <v>58</v>
      </c>
      <c r="C199" s="14" t="s">
        <v>29</v>
      </c>
      <c r="D199" s="8" t="s">
        <v>46</v>
      </c>
    </row>
    <row r="200" customFormat="false" ht="15" hidden="false" customHeight="false" outlineLevel="0" collapsed="false">
      <c r="A200" s="7" t="s">
        <v>483</v>
      </c>
      <c r="B200" s="7" t="s">
        <v>58</v>
      </c>
      <c r="C200" s="10" t="s">
        <v>67</v>
      </c>
      <c r="D200" s="8" t="s">
        <v>46</v>
      </c>
    </row>
    <row r="201" customFormat="false" ht="15" hidden="false" customHeight="false" outlineLevel="0" collapsed="false">
      <c r="A201" s="7" t="s">
        <v>484</v>
      </c>
      <c r="B201" s="7" t="s">
        <v>82</v>
      </c>
      <c r="C201" s="10" t="s">
        <v>67</v>
      </c>
      <c r="D201" s="8" t="s">
        <v>46</v>
      </c>
    </row>
    <row r="202" customFormat="false" ht="15" hidden="false" customHeight="false" outlineLevel="0" collapsed="false">
      <c r="A202" s="7" t="s">
        <v>485</v>
      </c>
      <c r="B202" s="7" t="s">
        <v>43</v>
      </c>
      <c r="C202" s="14" t="s">
        <v>29</v>
      </c>
      <c r="D202" s="8" t="s">
        <v>38</v>
      </c>
    </row>
    <row r="203" customFormat="false" ht="15" hidden="false" customHeight="false" outlineLevel="0" collapsed="false">
      <c r="A203" s="7" t="s">
        <v>486</v>
      </c>
      <c r="B203" s="7" t="s">
        <v>53</v>
      </c>
      <c r="C203" s="14" t="s">
        <v>29</v>
      </c>
      <c r="D203" s="8" t="s">
        <v>28</v>
      </c>
    </row>
    <row r="204" customFormat="false" ht="15" hidden="false" customHeight="false" outlineLevel="0" collapsed="false">
      <c r="A204" s="7" t="s">
        <v>486</v>
      </c>
      <c r="B204" s="7" t="s">
        <v>47</v>
      </c>
      <c r="C204" s="14" t="s">
        <v>29</v>
      </c>
      <c r="D204" s="8" t="s">
        <v>46</v>
      </c>
    </row>
    <row r="205" customFormat="false" ht="15" hidden="false" customHeight="false" outlineLevel="0" collapsed="false">
      <c r="A205" s="7" t="s">
        <v>487</v>
      </c>
      <c r="B205" s="7" t="s">
        <v>47</v>
      </c>
      <c r="C205" s="14" t="s">
        <v>29</v>
      </c>
      <c r="D205" s="8" t="s">
        <v>46</v>
      </c>
    </row>
    <row r="206" customFormat="false" ht="15" hidden="false" customHeight="false" outlineLevel="0" collapsed="false">
      <c r="A206" s="7" t="s">
        <v>488</v>
      </c>
      <c r="B206" s="7" t="s">
        <v>37</v>
      </c>
      <c r="C206" s="14" t="s">
        <v>29</v>
      </c>
      <c r="D206" s="8" t="s">
        <v>38</v>
      </c>
    </row>
    <row r="207" customFormat="false" ht="15" hidden="false" customHeight="false" outlineLevel="0" collapsed="false">
      <c r="A207" s="7" t="s">
        <v>488</v>
      </c>
      <c r="B207" s="7" t="s">
        <v>47</v>
      </c>
      <c r="C207" s="14" t="s">
        <v>29</v>
      </c>
      <c r="D207" s="8" t="s">
        <v>46</v>
      </c>
    </row>
    <row r="208" customFormat="false" ht="15" hidden="false" customHeight="false" outlineLevel="0" collapsed="false">
      <c r="A208" s="7" t="s">
        <v>489</v>
      </c>
      <c r="B208" s="7" t="s">
        <v>47</v>
      </c>
      <c r="C208" s="14" t="s">
        <v>29</v>
      </c>
      <c r="D208" s="8" t="s">
        <v>46</v>
      </c>
    </row>
    <row r="209" customFormat="false" ht="15" hidden="false" customHeight="false" outlineLevel="0" collapsed="false">
      <c r="A209" s="7" t="s">
        <v>490</v>
      </c>
      <c r="B209" s="7" t="s">
        <v>47</v>
      </c>
      <c r="C209" s="14" t="s">
        <v>29</v>
      </c>
      <c r="D209" s="8" t="s">
        <v>46</v>
      </c>
    </row>
    <row r="210" customFormat="false" ht="15" hidden="false" customHeight="false" outlineLevel="0" collapsed="false">
      <c r="A210" s="7" t="s">
        <v>491</v>
      </c>
      <c r="B210" s="7" t="s">
        <v>55</v>
      </c>
      <c r="C210" s="14" t="s">
        <v>29</v>
      </c>
      <c r="D210" s="8" t="s">
        <v>46</v>
      </c>
    </row>
    <row r="211" customFormat="false" ht="15" hidden="false" customHeight="false" outlineLevel="0" collapsed="false">
      <c r="A211" s="7" t="s">
        <v>492</v>
      </c>
      <c r="B211" s="7" t="s">
        <v>53</v>
      </c>
      <c r="C211" s="14" t="s">
        <v>29</v>
      </c>
      <c r="D211" s="8" t="s">
        <v>28</v>
      </c>
    </row>
    <row r="212" customFormat="false" ht="15" hidden="false" customHeight="false" outlineLevel="0" collapsed="false">
      <c r="A212" s="7" t="s">
        <v>492</v>
      </c>
      <c r="B212" s="7" t="s">
        <v>47</v>
      </c>
      <c r="C212" s="14" t="s">
        <v>29</v>
      </c>
      <c r="D212" s="8" t="s">
        <v>46</v>
      </c>
    </row>
    <row r="213" customFormat="false" ht="15" hidden="false" customHeight="false" outlineLevel="0" collapsed="false">
      <c r="A213" s="7" t="s">
        <v>493</v>
      </c>
      <c r="B213" s="7" t="s">
        <v>37</v>
      </c>
      <c r="C213" s="14" t="s">
        <v>29</v>
      </c>
      <c r="D213" s="8" t="s">
        <v>38</v>
      </c>
    </row>
    <row r="214" customFormat="false" ht="15" hidden="false" customHeight="false" outlineLevel="0" collapsed="false">
      <c r="A214" s="7" t="s">
        <v>494</v>
      </c>
      <c r="B214" s="7" t="s">
        <v>37</v>
      </c>
      <c r="C214" s="14" t="s">
        <v>29</v>
      </c>
      <c r="D214" s="8" t="s">
        <v>38</v>
      </c>
    </row>
    <row r="215" customFormat="false" ht="15" hidden="false" customHeight="false" outlineLevel="0" collapsed="false">
      <c r="A215" s="7" t="s">
        <v>495</v>
      </c>
      <c r="B215" s="7" t="s">
        <v>55</v>
      </c>
      <c r="C215" s="14" t="s">
        <v>29</v>
      </c>
      <c r="D215" s="8" t="s">
        <v>46</v>
      </c>
    </row>
    <row r="216" customFormat="false" ht="15" hidden="false" customHeight="false" outlineLevel="0" collapsed="false">
      <c r="A216" s="7" t="s">
        <v>496</v>
      </c>
      <c r="B216" s="7" t="s">
        <v>37</v>
      </c>
      <c r="C216" s="14" t="s">
        <v>29</v>
      </c>
      <c r="D216" s="8" t="s">
        <v>38</v>
      </c>
    </row>
    <row r="217" customFormat="false" ht="15" hidden="false" customHeight="false" outlineLevel="0" collapsed="false">
      <c r="A217" s="7" t="s">
        <v>497</v>
      </c>
      <c r="B217" s="7" t="s">
        <v>55</v>
      </c>
      <c r="C217" s="14" t="s">
        <v>29</v>
      </c>
      <c r="D217" s="8" t="s">
        <v>46</v>
      </c>
    </row>
    <row r="218" customFormat="false" ht="15" hidden="false" customHeight="false" outlineLevel="0" collapsed="false">
      <c r="A218" s="7" t="s">
        <v>498</v>
      </c>
      <c r="B218" s="7" t="s">
        <v>62</v>
      </c>
      <c r="C218" s="14" t="s">
        <v>29</v>
      </c>
      <c r="D218" s="8" t="s">
        <v>46</v>
      </c>
    </row>
    <row r="219" customFormat="false" ht="15" hidden="false" customHeight="false" outlineLevel="0" collapsed="false">
      <c r="A219" s="7" t="s">
        <v>499</v>
      </c>
      <c r="B219" s="7" t="s">
        <v>47</v>
      </c>
      <c r="C219" s="14" t="s">
        <v>29</v>
      </c>
      <c r="D219" s="8" t="s">
        <v>46</v>
      </c>
    </row>
    <row r="220" customFormat="false" ht="15" hidden="false" customHeight="false" outlineLevel="0" collapsed="false">
      <c r="A220" s="7" t="s">
        <v>499</v>
      </c>
      <c r="B220" s="7" t="s">
        <v>53</v>
      </c>
      <c r="C220" s="14" t="s">
        <v>29</v>
      </c>
      <c r="D220" s="8" t="s">
        <v>28</v>
      </c>
    </row>
    <row r="221" customFormat="false" ht="15" hidden="false" customHeight="false" outlineLevel="0" collapsed="false">
      <c r="A221" s="7" t="s">
        <v>500</v>
      </c>
      <c r="B221" s="7" t="s">
        <v>27</v>
      </c>
      <c r="C221" s="14" t="s">
        <v>29</v>
      </c>
      <c r="D221" s="8" t="s">
        <v>28</v>
      </c>
    </row>
    <row r="222" customFormat="false" ht="15" hidden="false" customHeight="false" outlineLevel="0" collapsed="false">
      <c r="A222" s="7" t="s">
        <v>501</v>
      </c>
      <c r="B222" s="7" t="s">
        <v>37</v>
      </c>
      <c r="C222" s="14" t="s">
        <v>29</v>
      </c>
      <c r="D222" s="8" t="s">
        <v>38</v>
      </c>
    </row>
    <row r="223" customFormat="false" ht="15" hidden="false" customHeight="false" outlineLevel="0" collapsed="false">
      <c r="A223" s="7" t="s">
        <v>502</v>
      </c>
      <c r="B223" s="7" t="s">
        <v>55</v>
      </c>
      <c r="C223" s="14" t="s">
        <v>29</v>
      </c>
      <c r="D223" s="8" t="s">
        <v>46</v>
      </c>
    </row>
    <row r="224" customFormat="false" ht="15" hidden="false" customHeight="false" outlineLevel="0" collapsed="false">
      <c r="A224" s="7" t="s">
        <v>503</v>
      </c>
      <c r="B224" s="7" t="s">
        <v>47</v>
      </c>
      <c r="C224" s="14" t="s">
        <v>29</v>
      </c>
      <c r="D224" s="8" t="s">
        <v>46</v>
      </c>
    </row>
    <row r="225" customFormat="false" ht="15" hidden="false" customHeight="false" outlineLevel="0" collapsed="false">
      <c r="A225" s="7" t="s">
        <v>503</v>
      </c>
      <c r="B225" s="7" t="s">
        <v>53</v>
      </c>
      <c r="C225" s="14" t="s">
        <v>29</v>
      </c>
      <c r="D225" s="8" t="s">
        <v>28</v>
      </c>
    </row>
    <row r="226" customFormat="false" ht="15" hidden="false" customHeight="false" outlineLevel="0" collapsed="false">
      <c r="A226" s="7" t="s">
        <v>504</v>
      </c>
      <c r="B226" s="7" t="s">
        <v>55</v>
      </c>
      <c r="C226" s="14" t="s">
        <v>29</v>
      </c>
      <c r="D226" s="8" t="s">
        <v>46</v>
      </c>
    </row>
    <row r="227" customFormat="false" ht="15" hidden="false" customHeight="false" outlineLevel="0" collapsed="false">
      <c r="A227" s="7" t="s">
        <v>505</v>
      </c>
      <c r="B227" s="7" t="s">
        <v>62</v>
      </c>
      <c r="C227" s="14" t="s">
        <v>29</v>
      </c>
      <c r="D227" s="8" t="s">
        <v>46</v>
      </c>
    </row>
    <row r="228" customFormat="false" ht="15" hidden="false" customHeight="false" outlineLevel="0" collapsed="false">
      <c r="A228" s="7" t="s">
        <v>506</v>
      </c>
      <c r="B228" s="7" t="s">
        <v>37</v>
      </c>
      <c r="C228" s="14" t="s">
        <v>29</v>
      </c>
      <c r="D228" s="8" t="s">
        <v>38</v>
      </c>
    </row>
    <row r="229" customFormat="false" ht="15" hidden="false" customHeight="false" outlineLevel="0" collapsed="false">
      <c r="A229" s="7" t="s">
        <v>507</v>
      </c>
      <c r="B229" s="7" t="s">
        <v>62</v>
      </c>
      <c r="C229" s="14" t="s">
        <v>29</v>
      </c>
      <c r="D229" s="8" t="s">
        <v>46</v>
      </c>
    </row>
    <row r="230" customFormat="false" ht="15" hidden="false" customHeight="false" outlineLevel="0" collapsed="false">
      <c r="A230" s="7" t="s">
        <v>508</v>
      </c>
      <c r="B230" s="7" t="s">
        <v>43</v>
      </c>
      <c r="C230" s="14" t="s">
        <v>29</v>
      </c>
      <c r="D230" s="8" t="s">
        <v>38</v>
      </c>
    </row>
    <row r="231" customFormat="false" ht="15" hidden="false" customHeight="false" outlineLevel="0" collapsed="false">
      <c r="A231" s="7" t="s">
        <v>508</v>
      </c>
      <c r="B231" s="7" t="s">
        <v>37</v>
      </c>
      <c r="C231" s="14" t="s">
        <v>29</v>
      </c>
      <c r="D231" s="8" t="s">
        <v>38</v>
      </c>
    </row>
    <row r="232" customFormat="false" ht="15" hidden="false" customHeight="false" outlineLevel="0" collapsed="false">
      <c r="A232" s="7" t="s">
        <v>509</v>
      </c>
      <c r="B232" s="7" t="s">
        <v>47</v>
      </c>
      <c r="C232" s="14" t="s">
        <v>29</v>
      </c>
      <c r="D232" s="8" t="s">
        <v>46</v>
      </c>
    </row>
    <row r="233" customFormat="false" ht="15" hidden="false" customHeight="false" outlineLevel="0" collapsed="false">
      <c r="A233" s="7" t="s">
        <v>510</v>
      </c>
      <c r="B233" s="7" t="s">
        <v>47</v>
      </c>
      <c r="C233" s="14" t="s">
        <v>29</v>
      </c>
      <c r="D233" s="8" t="s">
        <v>46</v>
      </c>
    </row>
    <row r="234" customFormat="false" ht="15" hidden="false" customHeight="false" outlineLevel="0" collapsed="false">
      <c r="A234" s="7" t="s">
        <v>511</v>
      </c>
      <c r="B234" s="7" t="s">
        <v>47</v>
      </c>
      <c r="C234" s="14" t="s">
        <v>29</v>
      </c>
      <c r="D234" s="8" t="s">
        <v>46</v>
      </c>
    </row>
    <row r="235" customFormat="false" ht="15" hidden="false" customHeight="false" outlineLevel="0" collapsed="false">
      <c r="A235" s="7" t="s">
        <v>512</v>
      </c>
      <c r="B235" s="7" t="s">
        <v>47</v>
      </c>
      <c r="C235" s="14" t="s">
        <v>29</v>
      </c>
      <c r="D235" s="8" t="s">
        <v>46</v>
      </c>
    </row>
    <row r="236" customFormat="false" ht="15" hidden="false" customHeight="false" outlineLevel="0" collapsed="false">
      <c r="A236" s="7" t="s">
        <v>513</v>
      </c>
      <c r="B236" s="7" t="s">
        <v>47</v>
      </c>
      <c r="C236" s="14" t="s">
        <v>29</v>
      </c>
      <c r="D236" s="8" t="s">
        <v>46</v>
      </c>
    </row>
    <row r="237" customFormat="false" ht="15" hidden="false" customHeight="false" outlineLevel="0" collapsed="false">
      <c r="A237" s="7" t="s">
        <v>514</v>
      </c>
      <c r="B237" s="7" t="s">
        <v>55</v>
      </c>
      <c r="C237" s="14" t="s">
        <v>29</v>
      </c>
      <c r="D237" s="8" t="s">
        <v>46</v>
      </c>
    </row>
    <row r="238" customFormat="false" ht="15" hidden="false" customHeight="false" outlineLevel="0" collapsed="false">
      <c r="A238" s="7" t="s">
        <v>515</v>
      </c>
      <c r="B238" s="7" t="s">
        <v>47</v>
      </c>
      <c r="C238" s="14" t="s">
        <v>29</v>
      </c>
      <c r="D238" s="8" t="s">
        <v>46</v>
      </c>
    </row>
    <row r="239" customFormat="false" ht="15" hidden="false" customHeight="false" outlineLevel="0" collapsed="false">
      <c r="A239" s="7" t="s">
        <v>515</v>
      </c>
      <c r="B239" s="7" t="s">
        <v>53</v>
      </c>
      <c r="C239" s="14" t="s">
        <v>29</v>
      </c>
      <c r="D239" s="8" t="s">
        <v>28</v>
      </c>
    </row>
    <row r="240" customFormat="false" ht="15" hidden="false" customHeight="false" outlineLevel="0" collapsed="false">
      <c r="A240" s="7" t="s">
        <v>516</v>
      </c>
      <c r="B240" s="7" t="s">
        <v>55</v>
      </c>
      <c r="C240" s="14" t="s">
        <v>29</v>
      </c>
      <c r="D240" s="8" t="s">
        <v>46</v>
      </c>
    </row>
    <row r="241" customFormat="false" ht="15" hidden="false" customHeight="false" outlineLevel="0" collapsed="false">
      <c r="A241" s="7" t="s">
        <v>517</v>
      </c>
      <c r="B241" s="7" t="s">
        <v>41</v>
      </c>
      <c r="C241" s="14" t="s">
        <v>29</v>
      </c>
      <c r="D241" s="8" t="s">
        <v>28</v>
      </c>
    </row>
    <row r="242" customFormat="false" ht="15" hidden="false" customHeight="false" outlineLevel="0" collapsed="false">
      <c r="A242" s="7" t="s">
        <v>518</v>
      </c>
      <c r="B242" s="7" t="s">
        <v>41</v>
      </c>
      <c r="C242" s="14" t="s">
        <v>29</v>
      </c>
      <c r="D242" s="8" t="s">
        <v>28</v>
      </c>
    </row>
    <row r="243" customFormat="false" ht="15" hidden="false" customHeight="false" outlineLevel="0" collapsed="false">
      <c r="A243" s="7" t="s">
        <v>519</v>
      </c>
      <c r="B243" s="7" t="s">
        <v>60</v>
      </c>
      <c r="C243" s="14" t="s">
        <v>29</v>
      </c>
      <c r="D243" s="8" t="s">
        <v>46</v>
      </c>
    </row>
    <row r="244" customFormat="false" ht="15" hidden="false" customHeight="false" outlineLevel="0" collapsed="false">
      <c r="A244" s="7" t="s">
        <v>520</v>
      </c>
      <c r="B244" s="7" t="s">
        <v>53</v>
      </c>
      <c r="C244" s="14" t="s">
        <v>29</v>
      </c>
      <c r="D244" s="8" t="s">
        <v>28</v>
      </c>
    </row>
    <row r="245" customFormat="false" ht="15" hidden="false" customHeight="false" outlineLevel="0" collapsed="false">
      <c r="A245" s="7" t="s">
        <v>521</v>
      </c>
      <c r="B245" s="7" t="s">
        <v>41</v>
      </c>
      <c r="C245" s="14" t="s">
        <v>29</v>
      </c>
      <c r="D245" s="8" t="s">
        <v>28</v>
      </c>
    </row>
    <row r="246" customFormat="false" ht="15" hidden="false" customHeight="false" outlineLevel="0" collapsed="false">
      <c r="A246" s="7" t="s">
        <v>522</v>
      </c>
      <c r="B246" s="7" t="s">
        <v>55</v>
      </c>
      <c r="C246" s="14" t="s">
        <v>29</v>
      </c>
      <c r="D246" s="8" t="s">
        <v>46</v>
      </c>
    </row>
    <row r="247" customFormat="false" ht="15" hidden="false" customHeight="false" outlineLevel="0" collapsed="false">
      <c r="A247" s="7" t="s">
        <v>523</v>
      </c>
      <c r="B247" s="7" t="s">
        <v>53</v>
      </c>
      <c r="C247" s="14" t="s">
        <v>29</v>
      </c>
      <c r="D247" s="8" t="s">
        <v>28</v>
      </c>
    </row>
    <row r="248" customFormat="false" ht="15" hidden="false" customHeight="false" outlineLevel="0" collapsed="false">
      <c r="A248" s="7" t="s">
        <v>523</v>
      </c>
      <c r="B248" s="7" t="s">
        <v>27</v>
      </c>
      <c r="C248" s="14" t="s">
        <v>29</v>
      </c>
      <c r="D248" s="8" t="s">
        <v>28</v>
      </c>
    </row>
    <row r="249" customFormat="false" ht="15" hidden="false" customHeight="false" outlineLevel="0" collapsed="false">
      <c r="A249" s="7" t="s">
        <v>524</v>
      </c>
      <c r="B249" s="7" t="s">
        <v>41</v>
      </c>
      <c r="C249" s="14" t="s">
        <v>29</v>
      </c>
      <c r="D249" s="8" t="s">
        <v>28</v>
      </c>
    </row>
    <row r="250" customFormat="false" ht="15" hidden="false" customHeight="false" outlineLevel="0" collapsed="false">
      <c r="A250" s="7" t="s">
        <v>130</v>
      </c>
      <c r="B250" s="7" t="s">
        <v>47</v>
      </c>
      <c r="C250" s="14" t="s">
        <v>29</v>
      </c>
      <c r="D250" s="8" t="s">
        <v>46</v>
      </c>
    </row>
    <row r="251" customFormat="false" ht="15" hidden="false" customHeight="false" outlineLevel="0" collapsed="false">
      <c r="A251" s="7" t="s">
        <v>525</v>
      </c>
      <c r="B251" s="7" t="s">
        <v>37</v>
      </c>
      <c r="C251" s="14" t="s">
        <v>29</v>
      </c>
      <c r="D251" s="8" t="s">
        <v>38</v>
      </c>
    </row>
    <row r="252" customFormat="false" ht="15" hidden="false" customHeight="false" outlineLevel="0" collapsed="false">
      <c r="A252" s="7" t="s">
        <v>526</v>
      </c>
      <c r="B252" s="7" t="s">
        <v>55</v>
      </c>
      <c r="C252" s="14" t="s">
        <v>29</v>
      </c>
      <c r="D252" s="8" t="s">
        <v>46</v>
      </c>
    </row>
    <row r="253" customFormat="false" ht="15" hidden="false" customHeight="false" outlineLevel="0" collapsed="false">
      <c r="A253" s="7" t="s">
        <v>527</v>
      </c>
      <c r="B253" s="7" t="s">
        <v>41</v>
      </c>
      <c r="C253" s="14" t="s">
        <v>29</v>
      </c>
      <c r="D253" s="8" t="s">
        <v>28</v>
      </c>
    </row>
    <row r="254" customFormat="false" ht="15" hidden="false" customHeight="false" outlineLevel="0" collapsed="false">
      <c r="A254" s="7" t="s">
        <v>527</v>
      </c>
      <c r="B254" s="7" t="s">
        <v>62</v>
      </c>
      <c r="C254" s="14" t="s">
        <v>29</v>
      </c>
      <c r="D254" s="8" t="s">
        <v>46</v>
      </c>
    </row>
    <row r="255" customFormat="false" ht="15" hidden="false" customHeight="false" outlineLevel="0" collapsed="false">
      <c r="A255" s="7" t="s">
        <v>528</v>
      </c>
      <c r="B255" s="7" t="s">
        <v>37</v>
      </c>
      <c r="C255" s="14" t="s">
        <v>29</v>
      </c>
      <c r="D255" s="8" t="s">
        <v>38</v>
      </c>
    </row>
    <row r="256" customFormat="false" ht="15" hidden="false" customHeight="false" outlineLevel="0" collapsed="false">
      <c r="A256" s="7" t="s">
        <v>529</v>
      </c>
      <c r="B256" s="7" t="s">
        <v>60</v>
      </c>
      <c r="C256" s="14" t="s">
        <v>29</v>
      </c>
      <c r="D256" s="8" t="s">
        <v>46</v>
      </c>
    </row>
    <row r="257" customFormat="false" ht="15" hidden="false" customHeight="false" outlineLevel="0" collapsed="false">
      <c r="A257" s="7" t="s">
        <v>530</v>
      </c>
      <c r="B257" s="7" t="s">
        <v>41</v>
      </c>
      <c r="C257" s="14" t="s">
        <v>29</v>
      </c>
      <c r="D257" s="8" t="s">
        <v>28</v>
      </c>
    </row>
    <row r="258" customFormat="false" ht="15" hidden="false" customHeight="false" outlineLevel="0" collapsed="false">
      <c r="A258" s="7" t="s">
        <v>530</v>
      </c>
      <c r="B258" s="7" t="s">
        <v>62</v>
      </c>
      <c r="C258" s="14" t="s">
        <v>29</v>
      </c>
      <c r="D258" s="8" t="s">
        <v>46</v>
      </c>
    </row>
    <row r="259" customFormat="false" ht="15" hidden="false" customHeight="false" outlineLevel="0" collapsed="false">
      <c r="A259" s="7" t="s">
        <v>531</v>
      </c>
      <c r="B259" s="7" t="s">
        <v>37</v>
      </c>
      <c r="C259" s="14" t="s">
        <v>29</v>
      </c>
      <c r="D259" s="8" t="s">
        <v>38</v>
      </c>
    </row>
    <row r="260" customFormat="false" ht="15" hidden="false" customHeight="false" outlineLevel="0" collapsed="false">
      <c r="A260" s="7" t="s">
        <v>532</v>
      </c>
      <c r="B260" s="7" t="s">
        <v>37</v>
      </c>
      <c r="C260" s="14" t="s">
        <v>29</v>
      </c>
      <c r="D260" s="8" t="s">
        <v>38</v>
      </c>
    </row>
    <row r="261" customFormat="false" ht="15" hidden="false" customHeight="false" outlineLevel="0" collapsed="false">
      <c r="A261" s="7" t="s">
        <v>533</v>
      </c>
      <c r="B261" s="7" t="s">
        <v>62</v>
      </c>
      <c r="C261" s="14" t="s">
        <v>29</v>
      </c>
      <c r="D261" s="8" t="s">
        <v>46</v>
      </c>
    </row>
    <row r="262" customFormat="false" ht="15" hidden="false" customHeight="false" outlineLevel="0" collapsed="false">
      <c r="A262" s="7" t="s">
        <v>534</v>
      </c>
      <c r="B262" s="7" t="s">
        <v>41</v>
      </c>
      <c r="C262" s="14" t="s">
        <v>29</v>
      </c>
      <c r="D262" s="8" t="s">
        <v>28</v>
      </c>
    </row>
    <row r="263" customFormat="false" ht="15" hidden="false" customHeight="false" outlineLevel="0" collapsed="false">
      <c r="A263" s="7" t="s">
        <v>535</v>
      </c>
      <c r="B263" s="7" t="s">
        <v>41</v>
      </c>
      <c r="C263" s="14" t="s">
        <v>29</v>
      </c>
      <c r="D263" s="8" t="s">
        <v>28</v>
      </c>
    </row>
    <row r="264" customFormat="false" ht="15" hidden="false" customHeight="false" outlineLevel="0" collapsed="false">
      <c r="A264" s="7" t="s">
        <v>536</v>
      </c>
      <c r="B264" s="7" t="s">
        <v>41</v>
      </c>
      <c r="C264" s="14" t="s">
        <v>29</v>
      </c>
      <c r="D264" s="8" t="s">
        <v>28</v>
      </c>
    </row>
    <row r="265" customFormat="false" ht="15" hidden="false" customHeight="false" outlineLevel="0" collapsed="false">
      <c r="A265" s="7" t="s">
        <v>537</v>
      </c>
      <c r="B265" s="7" t="s">
        <v>37</v>
      </c>
      <c r="C265" s="14" t="s">
        <v>29</v>
      </c>
      <c r="D265" s="8" t="s">
        <v>38</v>
      </c>
    </row>
    <row r="266" customFormat="false" ht="15" hidden="false" customHeight="false" outlineLevel="0" collapsed="false">
      <c r="A266" s="7" t="s">
        <v>538</v>
      </c>
      <c r="B266" s="7" t="s">
        <v>62</v>
      </c>
      <c r="C266" s="14" t="s">
        <v>29</v>
      </c>
      <c r="D266" s="8" t="s">
        <v>46</v>
      </c>
    </row>
    <row r="267" customFormat="false" ht="15" hidden="false" customHeight="false" outlineLevel="0" collapsed="false">
      <c r="A267" s="7" t="s">
        <v>539</v>
      </c>
      <c r="B267" s="7" t="s">
        <v>41</v>
      </c>
      <c r="C267" s="14" t="s">
        <v>29</v>
      </c>
      <c r="D267" s="8" t="s">
        <v>28</v>
      </c>
    </row>
    <row r="268" customFormat="false" ht="15" hidden="false" customHeight="false" outlineLevel="0" collapsed="false">
      <c r="A268" s="7" t="s">
        <v>540</v>
      </c>
      <c r="B268" s="7" t="s">
        <v>62</v>
      </c>
      <c r="C268" s="14" t="s">
        <v>29</v>
      </c>
      <c r="D268" s="8" t="s">
        <v>46</v>
      </c>
    </row>
    <row r="269" customFormat="false" ht="15" hidden="false" customHeight="false" outlineLevel="0" collapsed="false">
      <c r="A269" s="7" t="s">
        <v>541</v>
      </c>
      <c r="B269" s="7" t="s">
        <v>58</v>
      </c>
      <c r="C269" s="14" t="s">
        <v>29</v>
      </c>
      <c r="D269" s="8" t="s">
        <v>46</v>
      </c>
    </row>
    <row r="270" customFormat="false" ht="15" hidden="false" customHeight="false" outlineLevel="0" collapsed="false">
      <c r="A270" s="7" t="s">
        <v>542</v>
      </c>
      <c r="B270" s="7" t="s">
        <v>58</v>
      </c>
      <c r="C270" s="10" t="s">
        <v>67</v>
      </c>
      <c r="D270" s="8" t="s">
        <v>46</v>
      </c>
    </row>
    <row r="271" customFormat="false" ht="15" hidden="false" customHeight="false" outlineLevel="0" collapsed="false">
      <c r="A271" s="7" t="s">
        <v>543</v>
      </c>
      <c r="B271" s="7" t="s">
        <v>58</v>
      </c>
      <c r="C271" s="14" t="s">
        <v>29</v>
      </c>
      <c r="D271" s="8" t="s">
        <v>46</v>
      </c>
    </row>
    <row r="272" customFormat="false" ht="15" hidden="false" customHeight="false" outlineLevel="0" collapsed="false">
      <c r="A272" s="7" t="s">
        <v>544</v>
      </c>
      <c r="B272" s="7" t="s">
        <v>58</v>
      </c>
      <c r="C272" s="10" t="s">
        <v>67</v>
      </c>
      <c r="D272" s="8" t="s">
        <v>46</v>
      </c>
    </row>
    <row r="273" customFormat="false" ht="15" hidden="false" customHeight="false" outlineLevel="0" collapsed="false">
      <c r="A273" s="7" t="s">
        <v>545</v>
      </c>
      <c r="B273" s="7" t="s">
        <v>41</v>
      </c>
      <c r="C273" s="14" t="s">
        <v>29</v>
      </c>
      <c r="D273" s="8" t="s">
        <v>28</v>
      </c>
    </row>
    <row r="274" customFormat="false" ht="15" hidden="false" customHeight="false" outlineLevel="0" collapsed="false">
      <c r="A274" s="7" t="s">
        <v>546</v>
      </c>
      <c r="B274" s="7" t="s">
        <v>58</v>
      </c>
      <c r="C274" s="14" t="s">
        <v>29</v>
      </c>
      <c r="D274" s="8" t="s">
        <v>46</v>
      </c>
    </row>
    <row r="275" customFormat="false" ht="15" hidden="false" customHeight="false" outlineLevel="0" collapsed="false">
      <c r="A275" s="7" t="s">
        <v>547</v>
      </c>
      <c r="B275" s="7" t="s">
        <v>58</v>
      </c>
      <c r="C275" s="10" t="s">
        <v>67</v>
      </c>
      <c r="D275" s="8" t="s">
        <v>46</v>
      </c>
    </row>
    <row r="276" customFormat="false" ht="15" hidden="false" customHeight="false" outlineLevel="0" collapsed="false">
      <c r="A276" s="7" t="s">
        <v>548</v>
      </c>
      <c r="B276" s="7" t="s">
        <v>41</v>
      </c>
      <c r="C276" s="14" t="s">
        <v>29</v>
      </c>
      <c r="D276" s="8" t="s">
        <v>28</v>
      </c>
    </row>
    <row r="277" customFormat="false" ht="15" hidden="false" customHeight="false" outlineLevel="0" collapsed="false">
      <c r="A277" s="7" t="s">
        <v>549</v>
      </c>
      <c r="B277" s="7" t="s">
        <v>82</v>
      </c>
      <c r="C277" s="14" t="s">
        <v>29</v>
      </c>
      <c r="D277" s="8" t="s">
        <v>46</v>
      </c>
    </row>
    <row r="278" customFormat="false" ht="15" hidden="false" customHeight="false" outlineLevel="0" collapsed="false">
      <c r="A278" s="7" t="s">
        <v>550</v>
      </c>
      <c r="B278" s="7" t="s">
        <v>41</v>
      </c>
      <c r="C278" s="14" t="s">
        <v>29</v>
      </c>
      <c r="D278" s="8" t="s">
        <v>28</v>
      </c>
    </row>
    <row r="279" customFormat="false" ht="15" hidden="false" customHeight="false" outlineLevel="0" collapsed="false">
      <c r="A279" s="7" t="s">
        <v>551</v>
      </c>
      <c r="B279" s="7" t="s">
        <v>41</v>
      </c>
      <c r="C279" s="14" t="s">
        <v>29</v>
      </c>
      <c r="D279" s="8" t="s">
        <v>28</v>
      </c>
    </row>
    <row r="280" customFormat="false" ht="15" hidden="false" customHeight="false" outlineLevel="0" collapsed="false">
      <c r="A280" s="7" t="s">
        <v>552</v>
      </c>
      <c r="B280" s="7" t="s">
        <v>62</v>
      </c>
      <c r="C280" s="14" t="s">
        <v>29</v>
      </c>
      <c r="D280" s="8" t="s">
        <v>46</v>
      </c>
    </row>
    <row r="281" customFormat="false" ht="15" hidden="false" customHeight="false" outlineLevel="0" collapsed="false">
      <c r="A281" s="7" t="s">
        <v>553</v>
      </c>
      <c r="B281" s="7" t="s">
        <v>91</v>
      </c>
      <c r="C281" s="14" t="s">
        <v>29</v>
      </c>
      <c r="D281" s="8" t="s">
        <v>87</v>
      </c>
    </row>
    <row r="282" customFormat="false" ht="15" hidden="false" customHeight="false" outlineLevel="0" collapsed="false">
      <c r="A282" s="7" t="s">
        <v>554</v>
      </c>
      <c r="B282" s="7" t="s">
        <v>62</v>
      </c>
      <c r="C282" s="14" t="s">
        <v>29</v>
      </c>
      <c r="D282" s="8" t="s">
        <v>46</v>
      </c>
    </row>
    <row r="283" customFormat="false" ht="15" hidden="false" customHeight="false" outlineLevel="0" collapsed="false">
      <c r="A283" s="7" t="s">
        <v>555</v>
      </c>
      <c r="B283" s="7" t="s">
        <v>58</v>
      </c>
      <c r="C283" s="14" t="s">
        <v>29</v>
      </c>
      <c r="D283" s="8" t="s">
        <v>46</v>
      </c>
    </row>
    <row r="284" customFormat="false" ht="15" hidden="false" customHeight="false" outlineLevel="0" collapsed="false">
      <c r="A284" s="7" t="s">
        <v>556</v>
      </c>
      <c r="B284" s="7" t="s">
        <v>75</v>
      </c>
      <c r="C284" s="10" t="s">
        <v>67</v>
      </c>
      <c r="D284" s="8" t="s">
        <v>28</v>
      </c>
    </row>
    <row r="285" customFormat="false" ht="15" hidden="false" customHeight="false" outlineLevel="0" collapsed="false">
      <c r="A285" s="7" t="s">
        <v>557</v>
      </c>
      <c r="B285" s="7" t="s">
        <v>45</v>
      </c>
      <c r="C285" s="14" t="s">
        <v>29</v>
      </c>
      <c r="D285" s="8" t="s">
        <v>46</v>
      </c>
    </row>
    <row r="286" customFormat="false" ht="15" hidden="false" customHeight="false" outlineLevel="0" collapsed="false">
      <c r="A286" s="7" t="s">
        <v>558</v>
      </c>
      <c r="B286" s="7" t="s">
        <v>55</v>
      </c>
      <c r="C286" s="10" t="s">
        <v>67</v>
      </c>
      <c r="D286" s="8" t="s">
        <v>46</v>
      </c>
    </row>
    <row r="287" customFormat="false" ht="15" hidden="false" customHeight="false" outlineLevel="0" collapsed="false">
      <c r="A287" s="7" t="s">
        <v>559</v>
      </c>
      <c r="B287" s="7" t="s">
        <v>55</v>
      </c>
      <c r="C287" s="10" t="s">
        <v>67</v>
      </c>
      <c r="D287" s="8" t="s">
        <v>46</v>
      </c>
    </row>
    <row r="288" customFormat="false" ht="15" hidden="false" customHeight="false" outlineLevel="0" collapsed="false">
      <c r="A288" s="7" t="s">
        <v>560</v>
      </c>
      <c r="B288" s="7" t="s">
        <v>60</v>
      </c>
      <c r="C288" s="10" t="s">
        <v>67</v>
      </c>
      <c r="D288" s="8" t="s">
        <v>46</v>
      </c>
    </row>
    <row r="289" customFormat="false" ht="15" hidden="false" customHeight="false" outlineLevel="0" collapsed="false">
      <c r="A289" s="7" t="s">
        <v>561</v>
      </c>
      <c r="B289" s="7" t="s">
        <v>55</v>
      </c>
      <c r="C289" s="10" t="s">
        <v>67</v>
      </c>
      <c r="D289" s="8" t="s">
        <v>46</v>
      </c>
    </row>
    <row r="290" customFormat="false" ht="15" hidden="false" customHeight="false" outlineLevel="0" collapsed="false">
      <c r="A290" s="7" t="s">
        <v>562</v>
      </c>
      <c r="B290" s="7" t="s">
        <v>58</v>
      </c>
      <c r="C290" s="10" t="s">
        <v>67</v>
      </c>
      <c r="D290" s="8" t="s">
        <v>46</v>
      </c>
    </row>
    <row r="291" customFormat="false" ht="15" hidden="false" customHeight="false" outlineLevel="0" collapsed="false">
      <c r="A291" s="7" t="s">
        <v>563</v>
      </c>
      <c r="B291" s="7" t="s">
        <v>58</v>
      </c>
      <c r="C291" s="14" t="s">
        <v>29</v>
      </c>
      <c r="D291" s="8" t="s">
        <v>46</v>
      </c>
    </row>
    <row r="292" customFormat="false" ht="15" hidden="false" customHeight="false" outlineLevel="0" collapsed="false">
      <c r="A292" s="7" t="s">
        <v>564</v>
      </c>
      <c r="B292" s="7" t="s">
        <v>55</v>
      </c>
      <c r="C292" s="10" t="s">
        <v>67</v>
      </c>
      <c r="D292" s="8" t="s">
        <v>46</v>
      </c>
    </row>
    <row r="293" customFormat="false" ht="15" hidden="false" customHeight="false" outlineLevel="0" collapsed="false">
      <c r="A293" s="7" t="s">
        <v>565</v>
      </c>
      <c r="B293" s="7" t="s">
        <v>58</v>
      </c>
      <c r="C293" s="10" t="s">
        <v>67</v>
      </c>
      <c r="D293" s="8" t="s">
        <v>46</v>
      </c>
    </row>
    <row r="294" customFormat="false" ht="15" hidden="false" customHeight="false" outlineLevel="0" collapsed="false">
      <c r="A294" s="7" t="s">
        <v>566</v>
      </c>
      <c r="B294" s="7" t="s">
        <v>47</v>
      </c>
      <c r="C294" s="14" t="s">
        <v>29</v>
      </c>
      <c r="D294" s="8" t="s">
        <v>46</v>
      </c>
    </row>
    <row r="295" customFormat="false" ht="15" hidden="false" customHeight="false" outlineLevel="0" collapsed="false">
      <c r="A295" s="7" t="s">
        <v>567</v>
      </c>
      <c r="B295" s="7" t="s">
        <v>47</v>
      </c>
      <c r="C295" s="14" t="s">
        <v>29</v>
      </c>
      <c r="D295" s="8" t="s">
        <v>46</v>
      </c>
    </row>
    <row r="296" customFormat="false" ht="15" hidden="false" customHeight="false" outlineLevel="0" collapsed="false">
      <c r="A296" s="7" t="s">
        <v>568</v>
      </c>
      <c r="B296" s="7" t="s">
        <v>47</v>
      </c>
      <c r="C296" s="14" t="s">
        <v>29</v>
      </c>
      <c r="D296" s="8" t="s">
        <v>46</v>
      </c>
    </row>
    <row r="297" customFormat="false" ht="15" hidden="false" customHeight="false" outlineLevel="0" collapsed="false">
      <c r="A297" s="7" t="s">
        <v>569</v>
      </c>
      <c r="B297" s="7" t="s">
        <v>82</v>
      </c>
      <c r="C297" s="10" t="s">
        <v>67</v>
      </c>
      <c r="D297" s="8" t="s">
        <v>46</v>
      </c>
    </row>
    <row r="298" customFormat="false" ht="15" hidden="false" customHeight="false" outlineLevel="0" collapsed="false">
      <c r="A298" s="7" t="s">
        <v>570</v>
      </c>
      <c r="B298" s="7" t="s">
        <v>55</v>
      </c>
      <c r="C298" s="14" t="s">
        <v>29</v>
      </c>
      <c r="D298" s="8" t="s">
        <v>46</v>
      </c>
    </row>
    <row r="299" customFormat="false" ht="15" hidden="false" customHeight="false" outlineLevel="0" collapsed="false">
      <c r="A299" s="7" t="s">
        <v>571</v>
      </c>
      <c r="B299" s="7" t="s">
        <v>47</v>
      </c>
      <c r="C299" s="14" t="s">
        <v>29</v>
      </c>
      <c r="D299" s="8" t="s">
        <v>46</v>
      </c>
    </row>
    <row r="300" customFormat="false" ht="15" hidden="false" customHeight="false" outlineLevel="0" collapsed="false">
      <c r="A300" s="7" t="s">
        <v>572</v>
      </c>
      <c r="B300" s="7" t="s">
        <v>47</v>
      </c>
      <c r="C300" s="14" t="s">
        <v>29</v>
      </c>
      <c r="D300" s="8" t="s">
        <v>46</v>
      </c>
    </row>
    <row r="301" customFormat="false" ht="15" hidden="false" customHeight="false" outlineLevel="0" collapsed="false">
      <c r="A301" s="7" t="s">
        <v>573</v>
      </c>
      <c r="B301" s="7" t="s">
        <v>37</v>
      </c>
      <c r="C301" s="14" t="s">
        <v>29</v>
      </c>
      <c r="D301" s="8" t="s">
        <v>38</v>
      </c>
    </row>
    <row r="302" customFormat="false" ht="15" hidden="false" customHeight="false" outlineLevel="0" collapsed="false">
      <c r="A302" s="7" t="s">
        <v>574</v>
      </c>
      <c r="B302" s="7" t="s">
        <v>55</v>
      </c>
      <c r="C302" s="14" t="s">
        <v>29</v>
      </c>
      <c r="D302" s="8" t="s">
        <v>46</v>
      </c>
    </row>
    <row r="303" customFormat="false" ht="15" hidden="false" customHeight="false" outlineLevel="0" collapsed="false">
      <c r="A303" s="7" t="s">
        <v>575</v>
      </c>
      <c r="B303" s="7" t="s">
        <v>47</v>
      </c>
      <c r="C303" s="14" t="s">
        <v>29</v>
      </c>
      <c r="D303" s="8" t="s">
        <v>46</v>
      </c>
    </row>
    <row r="304" customFormat="false" ht="15" hidden="false" customHeight="false" outlineLevel="0" collapsed="false">
      <c r="A304" s="7" t="s">
        <v>576</v>
      </c>
      <c r="B304" s="7" t="s">
        <v>41</v>
      </c>
      <c r="C304" s="14" t="s">
        <v>29</v>
      </c>
      <c r="D304" s="8" t="s">
        <v>28</v>
      </c>
    </row>
    <row r="305" customFormat="false" ht="15" hidden="false" customHeight="false" outlineLevel="0" collapsed="false">
      <c r="A305" s="7" t="s">
        <v>577</v>
      </c>
      <c r="B305" s="7" t="s">
        <v>55</v>
      </c>
      <c r="C305" s="14" t="s">
        <v>29</v>
      </c>
      <c r="D305" s="8" t="s">
        <v>46</v>
      </c>
    </row>
    <row r="306" customFormat="false" ht="15" hidden="false" customHeight="false" outlineLevel="0" collapsed="false">
      <c r="A306" s="7" t="s">
        <v>578</v>
      </c>
      <c r="B306" s="7" t="s">
        <v>41</v>
      </c>
      <c r="C306" s="14" t="s">
        <v>29</v>
      </c>
      <c r="D306" s="8" t="s">
        <v>28</v>
      </c>
    </row>
    <row r="307" customFormat="false" ht="15" hidden="false" customHeight="false" outlineLevel="0" collapsed="false">
      <c r="A307" s="7" t="s">
        <v>579</v>
      </c>
      <c r="B307" s="7" t="s">
        <v>47</v>
      </c>
      <c r="C307" s="14" t="s">
        <v>29</v>
      </c>
      <c r="D307" s="8" t="s">
        <v>46</v>
      </c>
    </row>
    <row r="308" customFormat="false" ht="15" hidden="false" customHeight="false" outlineLevel="0" collapsed="false">
      <c r="A308" s="7" t="s">
        <v>579</v>
      </c>
      <c r="B308" s="7" t="s">
        <v>27</v>
      </c>
      <c r="C308" s="14" t="s">
        <v>29</v>
      </c>
      <c r="D308" s="8" t="s">
        <v>28</v>
      </c>
    </row>
    <row r="309" customFormat="false" ht="15" hidden="false" customHeight="false" outlineLevel="0" collapsed="false">
      <c r="A309" s="7" t="s">
        <v>580</v>
      </c>
      <c r="B309" s="7" t="s">
        <v>47</v>
      </c>
      <c r="C309" s="14" t="s">
        <v>29</v>
      </c>
      <c r="D309" s="8" t="s">
        <v>46</v>
      </c>
    </row>
    <row r="310" customFormat="false" ht="15" hidden="false" customHeight="false" outlineLevel="0" collapsed="false">
      <c r="A310" s="7" t="s">
        <v>580</v>
      </c>
      <c r="B310" s="7" t="s">
        <v>53</v>
      </c>
      <c r="C310" s="14" t="s">
        <v>29</v>
      </c>
      <c r="D310" s="8" t="s">
        <v>28</v>
      </c>
    </row>
    <row r="311" customFormat="false" ht="15" hidden="false" customHeight="false" outlineLevel="0" collapsed="false">
      <c r="A311" s="7" t="s">
        <v>581</v>
      </c>
      <c r="B311" s="7" t="s">
        <v>41</v>
      </c>
      <c r="C311" s="14" t="s">
        <v>29</v>
      </c>
      <c r="D311" s="8" t="s">
        <v>28</v>
      </c>
    </row>
    <row r="312" customFormat="false" ht="15" hidden="false" customHeight="false" outlineLevel="0" collapsed="false">
      <c r="A312" s="7" t="s">
        <v>582</v>
      </c>
      <c r="B312" s="7" t="s">
        <v>37</v>
      </c>
      <c r="C312" s="14" t="s">
        <v>29</v>
      </c>
      <c r="D312" s="8" t="s">
        <v>38</v>
      </c>
    </row>
    <row r="313" customFormat="false" ht="15" hidden="false" customHeight="false" outlineLevel="0" collapsed="false">
      <c r="A313" s="7" t="s">
        <v>582</v>
      </c>
      <c r="B313" s="7" t="s">
        <v>55</v>
      </c>
      <c r="C313" s="14" t="s">
        <v>29</v>
      </c>
      <c r="D313" s="8" t="s">
        <v>46</v>
      </c>
    </row>
    <row r="314" customFormat="false" ht="15" hidden="false" customHeight="false" outlineLevel="0" collapsed="false">
      <c r="A314" s="7" t="s">
        <v>583</v>
      </c>
      <c r="B314" s="7" t="s">
        <v>37</v>
      </c>
      <c r="C314" s="14" t="s">
        <v>29</v>
      </c>
      <c r="D314" s="8" t="s">
        <v>38</v>
      </c>
    </row>
    <row r="315" customFormat="false" ht="15" hidden="false" customHeight="false" outlineLevel="0" collapsed="false">
      <c r="A315" s="7" t="s">
        <v>584</v>
      </c>
      <c r="B315" s="7" t="s">
        <v>62</v>
      </c>
      <c r="C315" s="14" t="s">
        <v>29</v>
      </c>
      <c r="D315" s="8" t="s">
        <v>46</v>
      </c>
    </row>
    <row r="316" customFormat="false" ht="15" hidden="false" customHeight="false" outlineLevel="0" collapsed="false">
      <c r="A316" s="7" t="s">
        <v>585</v>
      </c>
      <c r="B316" s="7" t="s">
        <v>60</v>
      </c>
      <c r="C316" s="14" t="s">
        <v>29</v>
      </c>
      <c r="D316" s="8" t="s">
        <v>46</v>
      </c>
    </row>
    <row r="317" customFormat="false" ht="15" hidden="false" customHeight="false" outlineLevel="0" collapsed="false">
      <c r="A317" s="7" t="s">
        <v>586</v>
      </c>
      <c r="B317" s="7" t="s">
        <v>37</v>
      </c>
      <c r="C317" s="14" t="s">
        <v>29</v>
      </c>
      <c r="D317" s="8" t="s">
        <v>38</v>
      </c>
    </row>
    <row r="318" customFormat="false" ht="15" hidden="false" customHeight="false" outlineLevel="0" collapsed="false">
      <c r="A318" s="7" t="s">
        <v>587</v>
      </c>
      <c r="B318" s="7" t="s">
        <v>37</v>
      </c>
      <c r="C318" s="14" t="s">
        <v>29</v>
      </c>
      <c r="D318" s="8" t="s">
        <v>38</v>
      </c>
    </row>
    <row r="319" customFormat="false" ht="15" hidden="false" customHeight="false" outlineLevel="0" collapsed="false">
      <c r="A319" s="7" t="s">
        <v>588</v>
      </c>
      <c r="B319" s="7" t="s">
        <v>37</v>
      </c>
      <c r="C319" s="14" t="s">
        <v>29</v>
      </c>
      <c r="D319" s="8" t="s">
        <v>38</v>
      </c>
    </row>
    <row r="320" customFormat="false" ht="15" hidden="false" customHeight="false" outlineLevel="0" collapsed="false">
      <c r="A320" s="7" t="s">
        <v>589</v>
      </c>
      <c r="B320" s="7" t="s">
        <v>55</v>
      </c>
      <c r="C320" s="14" t="s">
        <v>29</v>
      </c>
      <c r="D320" s="8" t="s">
        <v>46</v>
      </c>
    </row>
    <row r="321" customFormat="false" ht="15" hidden="false" customHeight="false" outlineLevel="0" collapsed="false">
      <c r="A321" s="7" t="s">
        <v>590</v>
      </c>
      <c r="B321" s="7" t="s">
        <v>41</v>
      </c>
      <c r="C321" s="14" t="s">
        <v>29</v>
      </c>
      <c r="D321" s="8" t="s">
        <v>28</v>
      </c>
    </row>
    <row r="322" customFormat="false" ht="15" hidden="false" customHeight="false" outlineLevel="0" collapsed="false">
      <c r="A322" s="7" t="s">
        <v>590</v>
      </c>
      <c r="B322" s="7" t="s">
        <v>62</v>
      </c>
      <c r="C322" s="14" t="s">
        <v>29</v>
      </c>
      <c r="D322" s="8" t="s">
        <v>46</v>
      </c>
    </row>
    <row r="323" customFormat="false" ht="15" hidden="false" customHeight="false" outlineLevel="0" collapsed="false">
      <c r="A323" s="7" t="s">
        <v>591</v>
      </c>
      <c r="B323" s="7" t="s">
        <v>37</v>
      </c>
      <c r="C323" s="14" t="s">
        <v>29</v>
      </c>
      <c r="D323" s="8" t="s">
        <v>38</v>
      </c>
    </row>
    <row r="324" customFormat="false" ht="15" hidden="false" customHeight="false" outlineLevel="0" collapsed="false">
      <c r="A324" s="7" t="s">
        <v>592</v>
      </c>
      <c r="B324" s="7" t="s">
        <v>37</v>
      </c>
      <c r="C324" s="14" t="s">
        <v>29</v>
      </c>
      <c r="D324" s="8" t="s">
        <v>38</v>
      </c>
    </row>
    <row r="325" customFormat="false" ht="15" hidden="false" customHeight="false" outlineLevel="0" collapsed="false">
      <c r="A325" s="7" t="s">
        <v>593</v>
      </c>
      <c r="B325" s="7" t="s">
        <v>37</v>
      </c>
      <c r="C325" s="14" t="s">
        <v>29</v>
      </c>
      <c r="D325" s="8" t="s">
        <v>38</v>
      </c>
    </row>
    <row r="326" customFormat="false" ht="15" hidden="false" customHeight="false" outlineLevel="0" collapsed="false">
      <c r="A326" s="7" t="s">
        <v>594</v>
      </c>
      <c r="B326" s="7" t="s">
        <v>62</v>
      </c>
      <c r="C326" s="14" t="s">
        <v>29</v>
      </c>
      <c r="D326" s="8" t="s">
        <v>46</v>
      </c>
    </row>
    <row r="327" customFormat="false" ht="15" hidden="false" customHeight="false" outlineLevel="0" collapsed="false">
      <c r="A327" s="7" t="s">
        <v>595</v>
      </c>
      <c r="B327" s="7" t="s">
        <v>62</v>
      </c>
      <c r="C327" s="14" t="s">
        <v>29</v>
      </c>
      <c r="D327" s="8" t="s">
        <v>46</v>
      </c>
    </row>
    <row r="328" customFormat="false" ht="15" hidden="false" customHeight="false" outlineLevel="0" collapsed="false">
      <c r="A328" s="7" t="s">
        <v>595</v>
      </c>
      <c r="B328" s="7" t="s">
        <v>41</v>
      </c>
      <c r="C328" s="14" t="s">
        <v>29</v>
      </c>
      <c r="D328" s="8" t="s">
        <v>28</v>
      </c>
    </row>
    <row r="329" customFormat="false" ht="15" hidden="false" customHeight="false" outlineLevel="0" collapsed="false">
      <c r="A329" s="7" t="s">
        <v>596</v>
      </c>
      <c r="B329" s="7" t="s">
        <v>58</v>
      </c>
      <c r="C329" s="14" t="s">
        <v>29</v>
      </c>
      <c r="D329" s="8" t="s">
        <v>46</v>
      </c>
    </row>
    <row r="330" customFormat="false" ht="15" hidden="false" customHeight="false" outlineLevel="0" collapsed="false">
      <c r="A330" s="7" t="s">
        <v>597</v>
      </c>
      <c r="B330" s="7" t="s">
        <v>58</v>
      </c>
      <c r="C330" s="10" t="s">
        <v>67</v>
      </c>
      <c r="D330" s="8" t="s">
        <v>46</v>
      </c>
    </row>
    <row r="331" customFormat="false" ht="15" hidden="false" customHeight="false" outlineLevel="0" collapsed="false">
      <c r="A331" s="7" t="s">
        <v>597</v>
      </c>
      <c r="B331" s="7" t="s">
        <v>41</v>
      </c>
      <c r="C331" s="14" t="s">
        <v>29</v>
      </c>
      <c r="D331" s="8" t="s">
        <v>28</v>
      </c>
    </row>
    <row r="332" customFormat="false" ht="15" hidden="false" customHeight="false" outlineLevel="0" collapsed="false">
      <c r="A332" s="7" t="s">
        <v>598</v>
      </c>
      <c r="B332" s="7" t="s">
        <v>58</v>
      </c>
      <c r="C332" s="14" t="s">
        <v>29</v>
      </c>
      <c r="D332" s="8" t="s">
        <v>46</v>
      </c>
    </row>
    <row r="333" customFormat="false" ht="15" hidden="false" customHeight="false" outlineLevel="0" collapsed="false">
      <c r="A333" s="7" t="s">
        <v>599</v>
      </c>
      <c r="B333" s="7" t="s">
        <v>58</v>
      </c>
      <c r="C333" s="10" t="s">
        <v>67</v>
      </c>
      <c r="D333" s="8" t="s">
        <v>46</v>
      </c>
    </row>
    <row r="334" customFormat="false" ht="15" hidden="false" customHeight="false" outlineLevel="0" collapsed="false">
      <c r="A334" s="7" t="s">
        <v>600</v>
      </c>
      <c r="B334" s="7" t="s">
        <v>41</v>
      </c>
      <c r="C334" s="14" t="s">
        <v>29</v>
      </c>
      <c r="D334" s="8" t="s">
        <v>28</v>
      </c>
    </row>
    <row r="335" customFormat="false" ht="15" hidden="false" customHeight="false" outlineLevel="0" collapsed="false">
      <c r="A335" s="7" t="s">
        <v>601</v>
      </c>
      <c r="B335" s="7" t="s">
        <v>58</v>
      </c>
      <c r="C335" s="14" t="s">
        <v>29</v>
      </c>
      <c r="D335" s="8" t="s">
        <v>46</v>
      </c>
    </row>
    <row r="336" customFormat="false" ht="15" hidden="false" customHeight="false" outlineLevel="0" collapsed="false">
      <c r="A336" s="7" t="s">
        <v>602</v>
      </c>
      <c r="B336" s="7" t="s">
        <v>58</v>
      </c>
      <c r="C336" s="10" t="s">
        <v>67</v>
      </c>
      <c r="D336" s="8" t="s">
        <v>46</v>
      </c>
    </row>
    <row r="337" customFormat="false" ht="15" hidden="false" customHeight="false" outlineLevel="0" collapsed="false">
      <c r="A337" s="7" t="s">
        <v>602</v>
      </c>
      <c r="B337" s="7" t="s">
        <v>41</v>
      </c>
      <c r="C337" s="14" t="s">
        <v>29</v>
      </c>
      <c r="D337" s="8" t="s">
        <v>28</v>
      </c>
    </row>
    <row r="338" customFormat="false" ht="15" hidden="false" customHeight="false" outlineLevel="0" collapsed="false">
      <c r="A338" s="7" t="s">
        <v>603</v>
      </c>
      <c r="B338" s="7" t="s">
        <v>58</v>
      </c>
      <c r="C338" s="14" t="s">
        <v>29</v>
      </c>
      <c r="D338" s="8" t="s">
        <v>46</v>
      </c>
    </row>
    <row r="339" customFormat="false" ht="15" hidden="false" customHeight="false" outlineLevel="0" collapsed="false">
      <c r="A339" s="7" t="s">
        <v>604</v>
      </c>
      <c r="B339" s="7" t="s">
        <v>77</v>
      </c>
      <c r="C339" s="10" t="s">
        <v>67</v>
      </c>
      <c r="D339" s="8" t="s">
        <v>46</v>
      </c>
    </row>
    <row r="340" customFormat="false" ht="15" hidden="false" customHeight="false" outlineLevel="0" collapsed="false">
      <c r="A340" s="7" t="s">
        <v>604</v>
      </c>
      <c r="B340" s="7" t="s">
        <v>45</v>
      </c>
      <c r="C340" s="14" t="s">
        <v>29</v>
      </c>
      <c r="D340" s="8" t="s">
        <v>46</v>
      </c>
    </row>
    <row r="341" customFormat="false" ht="15" hidden="false" customHeight="false" outlineLevel="0" collapsed="false">
      <c r="A341" s="7" t="s">
        <v>605</v>
      </c>
      <c r="B341" s="7" t="s">
        <v>55</v>
      </c>
      <c r="C341" s="10" t="s">
        <v>67</v>
      </c>
      <c r="D341" s="8" t="s">
        <v>46</v>
      </c>
    </row>
    <row r="342" customFormat="false" ht="15" hidden="false" customHeight="false" outlineLevel="0" collapsed="false">
      <c r="A342" s="7" t="s">
        <v>606</v>
      </c>
      <c r="B342" s="7" t="s">
        <v>77</v>
      </c>
      <c r="C342" s="10" t="s">
        <v>67</v>
      </c>
      <c r="D342" s="8" t="s">
        <v>46</v>
      </c>
    </row>
    <row r="343" customFormat="false" ht="15" hidden="false" customHeight="false" outlineLevel="0" collapsed="false">
      <c r="A343" s="7" t="s">
        <v>607</v>
      </c>
      <c r="B343" s="7" t="s">
        <v>82</v>
      </c>
      <c r="C343" s="14" t="s">
        <v>29</v>
      </c>
      <c r="D343" s="8" t="s">
        <v>46</v>
      </c>
    </row>
    <row r="344" customFormat="false" ht="15" hidden="false" customHeight="false" outlineLevel="0" collapsed="false">
      <c r="A344" s="7" t="s">
        <v>608</v>
      </c>
      <c r="B344" s="7" t="s">
        <v>55</v>
      </c>
      <c r="C344" s="10" t="s">
        <v>67</v>
      </c>
      <c r="D344" s="8" t="s">
        <v>46</v>
      </c>
    </row>
    <row r="345" customFormat="false" ht="15" hidden="false" customHeight="false" outlineLevel="0" collapsed="false">
      <c r="A345" s="7" t="s">
        <v>609</v>
      </c>
      <c r="B345" s="7" t="s">
        <v>41</v>
      </c>
      <c r="C345" s="14" t="s">
        <v>29</v>
      </c>
      <c r="D345" s="8" t="s">
        <v>28</v>
      </c>
    </row>
    <row r="346" customFormat="false" ht="15" hidden="false" customHeight="false" outlineLevel="0" collapsed="false">
      <c r="A346" s="7" t="s">
        <v>609</v>
      </c>
      <c r="B346" s="7" t="s">
        <v>58</v>
      </c>
      <c r="C346" s="10" t="s">
        <v>67</v>
      </c>
      <c r="D346" s="8" t="s">
        <v>46</v>
      </c>
    </row>
    <row r="347" customFormat="false" ht="15" hidden="false" customHeight="false" outlineLevel="0" collapsed="false">
      <c r="A347" s="7" t="s">
        <v>610</v>
      </c>
      <c r="B347" s="7" t="s">
        <v>55</v>
      </c>
      <c r="C347" s="14" t="s">
        <v>29</v>
      </c>
      <c r="D347" s="8" t="s">
        <v>46</v>
      </c>
    </row>
    <row r="348" customFormat="false" ht="15" hidden="false" customHeight="false" outlineLevel="0" collapsed="false">
      <c r="A348" s="7" t="s">
        <v>611</v>
      </c>
      <c r="B348" s="7" t="s">
        <v>62</v>
      </c>
      <c r="C348" s="14" t="s">
        <v>29</v>
      </c>
      <c r="D348" s="8" t="s">
        <v>46</v>
      </c>
    </row>
    <row r="349" customFormat="false" ht="15" hidden="false" customHeight="false" outlineLevel="0" collapsed="false">
      <c r="A349" s="7" t="s">
        <v>612</v>
      </c>
      <c r="B349" s="7" t="s">
        <v>86</v>
      </c>
      <c r="C349" s="14" t="s">
        <v>29</v>
      </c>
      <c r="D349" s="8" t="s">
        <v>87</v>
      </c>
    </row>
    <row r="350" customFormat="false" ht="15" hidden="false" customHeight="false" outlineLevel="0" collapsed="false">
      <c r="A350" s="7" t="s">
        <v>613</v>
      </c>
      <c r="B350" s="7" t="s">
        <v>47</v>
      </c>
      <c r="C350" s="14" t="s">
        <v>29</v>
      </c>
      <c r="D350" s="8" t="s">
        <v>46</v>
      </c>
    </row>
    <row r="351" customFormat="false" ht="15" hidden="false" customHeight="false" outlineLevel="0" collapsed="false">
      <c r="A351" s="7" t="s">
        <v>613</v>
      </c>
      <c r="B351" s="7" t="s">
        <v>37</v>
      </c>
      <c r="C351" s="14" t="s">
        <v>29</v>
      </c>
      <c r="D351" s="8" t="s">
        <v>38</v>
      </c>
    </row>
    <row r="352" customFormat="false" ht="15" hidden="false" customHeight="false" outlineLevel="0" collapsed="false">
      <c r="A352" s="7" t="s">
        <v>613</v>
      </c>
      <c r="B352" s="7" t="s">
        <v>82</v>
      </c>
      <c r="C352" s="10" t="s">
        <v>67</v>
      </c>
      <c r="D352" s="8" t="s">
        <v>46</v>
      </c>
    </row>
    <row r="353" customFormat="false" ht="15" hidden="false" customHeight="false" outlineLevel="0" collapsed="false">
      <c r="A353" s="7" t="s">
        <v>614</v>
      </c>
      <c r="B353" s="7" t="s">
        <v>47</v>
      </c>
      <c r="C353" s="14" t="s">
        <v>29</v>
      </c>
      <c r="D353" s="8" t="s">
        <v>46</v>
      </c>
    </row>
    <row r="354" customFormat="false" ht="15" hidden="false" customHeight="false" outlineLevel="0" collapsed="false">
      <c r="A354" s="7" t="s">
        <v>615</v>
      </c>
      <c r="B354" s="7" t="s">
        <v>37</v>
      </c>
      <c r="C354" s="14" t="s">
        <v>29</v>
      </c>
      <c r="D354" s="8" t="s">
        <v>38</v>
      </c>
    </row>
    <row r="355" customFormat="false" ht="15" hidden="false" customHeight="false" outlineLevel="0" collapsed="false">
      <c r="A355" s="7" t="s">
        <v>616</v>
      </c>
      <c r="B355" s="7" t="s">
        <v>55</v>
      </c>
      <c r="C355" s="14" t="s">
        <v>29</v>
      </c>
      <c r="D355" s="8" t="s">
        <v>46</v>
      </c>
    </row>
    <row r="356" customFormat="false" ht="15" hidden="false" customHeight="false" outlineLevel="0" collapsed="false">
      <c r="A356" s="7" t="s">
        <v>617</v>
      </c>
      <c r="B356" s="7" t="s">
        <v>37</v>
      </c>
      <c r="C356" s="14" t="s">
        <v>29</v>
      </c>
      <c r="D356" s="8" t="s">
        <v>38</v>
      </c>
    </row>
    <row r="357" customFormat="false" ht="15" hidden="false" customHeight="false" outlineLevel="0" collapsed="false">
      <c r="A357" s="7" t="s">
        <v>618</v>
      </c>
      <c r="B357" s="7" t="s">
        <v>41</v>
      </c>
      <c r="C357" s="14" t="s">
        <v>29</v>
      </c>
      <c r="D357" s="8" t="s">
        <v>28</v>
      </c>
    </row>
    <row r="358" customFormat="false" ht="15" hidden="false" customHeight="false" outlineLevel="0" collapsed="false">
      <c r="A358" s="7" t="s">
        <v>619</v>
      </c>
      <c r="B358" s="7" t="s">
        <v>55</v>
      </c>
      <c r="C358" s="14" t="s">
        <v>29</v>
      </c>
      <c r="D358" s="8" t="s">
        <v>46</v>
      </c>
    </row>
    <row r="359" customFormat="false" ht="15" hidden="false" customHeight="false" outlineLevel="0" collapsed="false">
      <c r="A359" s="7" t="s">
        <v>620</v>
      </c>
      <c r="B359" s="7" t="s">
        <v>41</v>
      </c>
      <c r="C359" s="14" t="s">
        <v>29</v>
      </c>
      <c r="D359" s="8" t="s">
        <v>28</v>
      </c>
    </row>
    <row r="360" customFormat="false" ht="15" hidden="false" customHeight="false" outlineLevel="0" collapsed="false">
      <c r="A360" s="7" t="s">
        <v>621</v>
      </c>
      <c r="B360" s="7" t="s">
        <v>60</v>
      </c>
      <c r="C360" s="14" t="s">
        <v>29</v>
      </c>
      <c r="D360" s="8" t="s">
        <v>46</v>
      </c>
    </row>
    <row r="361" customFormat="false" ht="15" hidden="false" customHeight="false" outlineLevel="0" collapsed="false">
      <c r="A361" s="7" t="s">
        <v>622</v>
      </c>
      <c r="B361" s="7" t="s">
        <v>41</v>
      </c>
      <c r="C361" s="14" t="s">
        <v>29</v>
      </c>
      <c r="D361" s="8" t="s">
        <v>28</v>
      </c>
    </row>
    <row r="362" customFormat="false" ht="15" hidden="false" customHeight="false" outlineLevel="0" collapsed="false">
      <c r="A362" s="7" t="s">
        <v>623</v>
      </c>
      <c r="B362" s="7" t="s">
        <v>41</v>
      </c>
      <c r="C362" s="14" t="s">
        <v>29</v>
      </c>
      <c r="D362" s="8" t="s">
        <v>28</v>
      </c>
    </row>
    <row r="363" customFormat="false" ht="15" hidden="false" customHeight="false" outlineLevel="0" collapsed="false">
      <c r="A363" s="7" t="s">
        <v>624</v>
      </c>
      <c r="B363" s="7" t="s">
        <v>62</v>
      </c>
      <c r="C363" s="14" t="s">
        <v>29</v>
      </c>
      <c r="D363" s="8" t="s">
        <v>46</v>
      </c>
    </row>
    <row r="364" customFormat="false" ht="15" hidden="false" customHeight="false" outlineLevel="0" collapsed="false">
      <c r="A364" s="7" t="s">
        <v>624</v>
      </c>
      <c r="B364" s="7" t="s">
        <v>41</v>
      </c>
      <c r="C364" s="14" t="s">
        <v>29</v>
      </c>
      <c r="D364" s="8" t="s">
        <v>28</v>
      </c>
    </row>
    <row r="365" customFormat="false" ht="15" hidden="false" customHeight="false" outlineLevel="0" collapsed="false">
      <c r="A365" s="7" t="s">
        <v>625</v>
      </c>
      <c r="B365" s="7" t="s">
        <v>45</v>
      </c>
      <c r="C365" s="14" t="s">
        <v>29</v>
      </c>
      <c r="D365" s="8" t="s">
        <v>46</v>
      </c>
    </row>
    <row r="366" customFormat="false" ht="15" hidden="false" customHeight="false" outlineLevel="0" collapsed="false">
      <c r="A366" s="7" t="s">
        <v>626</v>
      </c>
      <c r="B366" s="7" t="s">
        <v>62</v>
      </c>
      <c r="C366" s="14" t="s">
        <v>29</v>
      </c>
      <c r="D366" s="8" t="s">
        <v>46</v>
      </c>
    </row>
    <row r="367" customFormat="false" ht="15" hidden="false" customHeight="false" outlineLevel="0" collapsed="false">
      <c r="A367" s="7" t="s">
        <v>627</v>
      </c>
      <c r="B367" s="7" t="s">
        <v>58</v>
      </c>
      <c r="C367" s="14" t="s">
        <v>29</v>
      </c>
      <c r="D367" s="8" t="s">
        <v>46</v>
      </c>
    </row>
    <row r="368" customFormat="false" ht="15" hidden="false" customHeight="false" outlineLevel="0" collapsed="false">
      <c r="A368" s="7" t="s">
        <v>628</v>
      </c>
      <c r="B368" s="7" t="s">
        <v>41</v>
      </c>
      <c r="C368" s="14" t="s">
        <v>29</v>
      </c>
      <c r="D368" s="8" t="s">
        <v>28</v>
      </c>
    </row>
    <row r="369" customFormat="false" ht="15" hidden="false" customHeight="false" outlineLevel="0" collapsed="false">
      <c r="A369" s="7" t="s">
        <v>629</v>
      </c>
      <c r="B369" s="7" t="s">
        <v>58</v>
      </c>
      <c r="C369" s="10" t="s">
        <v>67</v>
      </c>
      <c r="D369" s="8" t="s">
        <v>46</v>
      </c>
    </row>
    <row r="370" customFormat="false" ht="15" hidden="false" customHeight="false" outlineLevel="0" collapsed="false">
      <c r="A370" s="7" t="s">
        <v>630</v>
      </c>
      <c r="B370" s="7" t="s">
        <v>58</v>
      </c>
      <c r="C370" s="14" t="s">
        <v>29</v>
      </c>
      <c r="D370" s="8" t="s">
        <v>46</v>
      </c>
    </row>
    <row r="371" customFormat="false" ht="15" hidden="false" customHeight="false" outlineLevel="0" collapsed="false">
      <c r="A371" s="7" t="s">
        <v>630</v>
      </c>
      <c r="B371" s="7" t="s">
        <v>62</v>
      </c>
      <c r="C371" s="14" t="s">
        <v>29</v>
      </c>
      <c r="D371" s="8" t="s">
        <v>46</v>
      </c>
    </row>
    <row r="372" customFormat="false" ht="15" hidden="false" customHeight="false" outlineLevel="0" collapsed="false">
      <c r="A372" s="7" t="s">
        <v>630</v>
      </c>
      <c r="B372" s="7" t="s">
        <v>55</v>
      </c>
      <c r="C372" s="10" t="s">
        <v>67</v>
      </c>
      <c r="D372" s="8" t="s">
        <v>46</v>
      </c>
    </row>
    <row r="373" customFormat="false" ht="15" hidden="false" customHeight="false" outlineLevel="0" collapsed="false">
      <c r="A373" s="7" t="s">
        <v>631</v>
      </c>
      <c r="B373" s="7" t="s">
        <v>58</v>
      </c>
      <c r="C373" s="10" t="s">
        <v>67</v>
      </c>
      <c r="D373" s="8" t="s">
        <v>46</v>
      </c>
    </row>
    <row r="374" customFormat="false" ht="15" hidden="false" customHeight="false" outlineLevel="0" collapsed="false">
      <c r="A374" s="7" t="s">
        <v>632</v>
      </c>
      <c r="B374" s="7" t="s">
        <v>37</v>
      </c>
      <c r="C374" s="14" t="s">
        <v>29</v>
      </c>
      <c r="D374" s="8" t="s">
        <v>38</v>
      </c>
    </row>
    <row r="375" customFormat="false" ht="15" hidden="false" customHeight="false" outlineLevel="0" collapsed="false">
      <c r="A375" s="7" t="s">
        <v>633</v>
      </c>
      <c r="B375" s="7" t="s">
        <v>58</v>
      </c>
      <c r="C375" s="14" t="s">
        <v>29</v>
      </c>
      <c r="D375" s="8" t="s">
        <v>46</v>
      </c>
    </row>
    <row r="376" customFormat="false" ht="15" hidden="false" customHeight="false" outlineLevel="0" collapsed="false">
      <c r="A376" s="7" t="s">
        <v>633</v>
      </c>
      <c r="B376" s="7" t="s">
        <v>62</v>
      </c>
      <c r="C376" s="14" t="s">
        <v>29</v>
      </c>
      <c r="D376" s="8" t="s">
        <v>46</v>
      </c>
    </row>
    <row r="377" customFormat="false" ht="15" hidden="false" customHeight="false" outlineLevel="0" collapsed="false">
      <c r="A377" s="7" t="s">
        <v>634</v>
      </c>
      <c r="B377" s="7" t="s">
        <v>58</v>
      </c>
      <c r="C377" s="10" t="s">
        <v>67</v>
      </c>
      <c r="D377" s="8" t="s">
        <v>46</v>
      </c>
    </row>
    <row r="378" customFormat="false" ht="15" hidden="false" customHeight="false" outlineLevel="0" collapsed="false">
      <c r="A378" s="7" t="s">
        <v>635</v>
      </c>
      <c r="B378" s="7" t="s">
        <v>89</v>
      </c>
      <c r="C378" s="14" t="s">
        <v>29</v>
      </c>
      <c r="D378" s="8" t="s">
        <v>87</v>
      </c>
    </row>
    <row r="379" customFormat="false" ht="15" hidden="false" customHeight="false" outlineLevel="0" collapsed="false">
      <c r="A379" s="7" t="s">
        <v>635</v>
      </c>
      <c r="B379" s="7" t="s">
        <v>37</v>
      </c>
      <c r="C379" s="14" t="s">
        <v>29</v>
      </c>
      <c r="D379" s="8" t="s">
        <v>38</v>
      </c>
    </row>
    <row r="380" customFormat="false" ht="15" hidden="false" customHeight="false" outlineLevel="0" collapsed="false">
      <c r="A380" s="7" t="s">
        <v>636</v>
      </c>
      <c r="B380" s="7" t="s">
        <v>27</v>
      </c>
      <c r="C380" s="14" t="s">
        <v>29</v>
      </c>
      <c r="D380" s="8" t="s">
        <v>28</v>
      </c>
    </row>
    <row r="381" customFormat="false" ht="15" hidden="false" customHeight="false" outlineLevel="0" collapsed="false">
      <c r="A381" s="7" t="s">
        <v>637</v>
      </c>
      <c r="B381" s="7" t="s">
        <v>47</v>
      </c>
      <c r="C381" s="14" t="s">
        <v>29</v>
      </c>
      <c r="D381" s="8" t="s">
        <v>46</v>
      </c>
    </row>
    <row r="382" customFormat="false" ht="15" hidden="false" customHeight="false" outlineLevel="0" collapsed="false">
      <c r="A382" s="7" t="s">
        <v>637</v>
      </c>
      <c r="B382" s="7" t="s">
        <v>53</v>
      </c>
      <c r="C382" s="14" t="s">
        <v>29</v>
      </c>
      <c r="D382" s="8" t="s">
        <v>28</v>
      </c>
    </row>
    <row r="383" customFormat="false" ht="15" hidden="false" customHeight="false" outlineLevel="0" collapsed="false">
      <c r="A383" s="7" t="s">
        <v>638</v>
      </c>
      <c r="B383" s="7" t="s">
        <v>47</v>
      </c>
      <c r="C383" s="14" t="s">
        <v>29</v>
      </c>
      <c r="D383" s="8" t="s">
        <v>46</v>
      </c>
    </row>
    <row r="384" customFormat="false" ht="15" hidden="false" customHeight="false" outlineLevel="0" collapsed="false">
      <c r="A384" s="7" t="s">
        <v>639</v>
      </c>
      <c r="B384" s="7" t="s">
        <v>41</v>
      </c>
      <c r="C384" s="14" t="s">
        <v>29</v>
      </c>
      <c r="D384" s="8" t="s">
        <v>28</v>
      </c>
    </row>
    <row r="385" customFormat="false" ht="15" hidden="false" customHeight="false" outlineLevel="0" collapsed="false">
      <c r="A385" s="7" t="s">
        <v>640</v>
      </c>
      <c r="B385" s="7" t="s">
        <v>55</v>
      </c>
      <c r="C385" s="14" t="s">
        <v>29</v>
      </c>
      <c r="D385" s="8" t="s">
        <v>46</v>
      </c>
    </row>
    <row r="386" customFormat="false" ht="15" hidden="false" customHeight="false" outlineLevel="0" collapsed="false">
      <c r="A386" s="7" t="s">
        <v>641</v>
      </c>
      <c r="B386" s="7" t="s">
        <v>55</v>
      </c>
      <c r="C386" s="14" t="s">
        <v>29</v>
      </c>
      <c r="D386" s="8" t="s">
        <v>46</v>
      </c>
    </row>
    <row r="387" customFormat="false" ht="15" hidden="false" customHeight="false" outlineLevel="0" collapsed="false">
      <c r="A387" s="7" t="s">
        <v>642</v>
      </c>
      <c r="B387" s="7" t="s">
        <v>41</v>
      </c>
      <c r="C387" s="14" t="s">
        <v>29</v>
      </c>
      <c r="D387" s="8" t="s">
        <v>28</v>
      </c>
    </row>
    <row r="388" customFormat="false" ht="15" hidden="false" customHeight="false" outlineLevel="0" collapsed="false">
      <c r="A388" s="7" t="s">
        <v>643</v>
      </c>
      <c r="B388" s="7" t="s">
        <v>37</v>
      </c>
      <c r="C388" s="14" t="s">
        <v>29</v>
      </c>
      <c r="D388" s="8" t="s">
        <v>38</v>
      </c>
    </row>
    <row r="389" customFormat="false" ht="15" hidden="false" customHeight="false" outlineLevel="0" collapsed="false">
      <c r="A389" s="7" t="s">
        <v>644</v>
      </c>
      <c r="B389" s="7" t="s">
        <v>47</v>
      </c>
      <c r="C389" s="14" t="s">
        <v>29</v>
      </c>
      <c r="D389" s="8" t="s">
        <v>46</v>
      </c>
    </row>
    <row r="390" customFormat="false" ht="15" hidden="false" customHeight="false" outlineLevel="0" collapsed="false">
      <c r="A390" s="7" t="s">
        <v>644</v>
      </c>
      <c r="B390" s="7" t="s">
        <v>53</v>
      </c>
      <c r="C390" s="14" t="s">
        <v>29</v>
      </c>
      <c r="D390" s="8" t="s">
        <v>28</v>
      </c>
    </row>
    <row r="391" customFormat="false" ht="15" hidden="false" customHeight="false" outlineLevel="0" collapsed="false">
      <c r="A391" s="7" t="s">
        <v>645</v>
      </c>
      <c r="B391" s="7" t="s">
        <v>47</v>
      </c>
      <c r="C391" s="14" t="s">
        <v>29</v>
      </c>
      <c r="D391" s="8" t="s">
        <v>46</v>
      </c>
    </row>
    <row r="392" customFormat="false" ht="15" hidden="false" customHeight="false" outlineLevel="0" collapsed="false">
      <c r="A392" s="7" t="s">
        <v>646</v>
      </c>
      <c r="B392" s="7" t="s">
        <v>55</v>
      </c>
      <c r="C392" s="14" t="s">
        <v>29</v>
      </c>
      <c r="D392" s="8" t="s">
        <v>46</v>
      </c>
    </row>
    <row r="393" customFormat="false" ht="15" hidden="false" customHeight="false" outlineLevel="0" collapsed="false">
      <c r="A393" s="7" t="s">
        <v>647</v>
      </c>
      <c r="B393" s="7" t="s">
        <v>55</v>
      </c>
      <c r="C393" s="14" t="s">
        <v>29</v>
      </c>
      <c r="D393" s="8" t="s">
        <v>46</v>
      </c>
    </row>
    <row r="394" customFormat="false" ht="15" hidden="false" customHeight="false" outlineLevel="0" collapsed="false">
      <c r="A394" s="7" t="s">
        <v>648</v>
      </c>
      <c r="B394" s="7" t="s">
        <v>41</v>
      </c>
      <c r="C394" s="14" t="s">
        <v>29</v>
      </c>
      <c r="D394" s="8" t="s">
        <v>28</v>
      </c>
    </row>
    <row r="395" customFormat="false" ht="15" hidden="false" customHeight="false" outlineLevel="0" collapsed="false">
      <c r="A395" s="7" t="s">
        <v>649</v>
      </c>
      <c r="B395" s="7" t="s">
        <v>60</v>
      </c>
      <c r="C395" s="14" t="s">
        <v>29</v>
      </c>
      <c r="D395" s="8" t="s">
        <v>46</v>
      </c>
    </row>
    <row r="396" customFormat="false" ht="15" hidden="false" customHeight="false" outlineLevel="0" collapsed="false">
      <c r="A396" s="7" t="s">
        <v>650</v>
      </c>
      <c r="B396" s="7" t="s">
        <v>41</v>
      </c>
      <c r="C396" s="14" t="s">
        <v>29</v>
      </c>
      <c r="D396" s="8" t="s">
        <v>28</v>
      </c>
    </row>
    <row r="397" customFormat="false" ht="15" hidden="false" customHeight="false" outlineLevel="0" collapsed="false">
      <c r="A397" s="7" t="s">
        <v>651</v>
      </c>
      <c r="B397" s="7" t="s">
        <v>41</v>
      </c>
      <c r="C397" s="14" t="s">
        <v>29</v>
      </c>
      <c r="D397" s="8" t="s">
        <v>28</v>
      </c>
    </row>
    <row r="398" customFormat="false" ht="15" hidden="false" customHeight="false" outlineLevel="0" collapsed="false">
      <c r="A398" s="7" t="s">
        <v>652</v>
      </c>
      <c r="B398" s="7" t="s">
        <v>55</v>
      </c>
      <c r="C398" s="14" t="s">
        <v>29</v>
      </c>
      <c r="D398" s="8" t="s">
        <v>46</v>
      </c>
    </row>
    <row r="399" customFormat="false" ht="15" hidden="false" customHeight="false" outlineLevel="0" collapsed="false">
      <c r="A399" s="7" t="s">
        <v>653</v>
      </c>
      <c r="B399" s="7" t="s">
        <v>55</v>
      </c>
      <c r="C399" s="14" t="s">
        <v>29</v>
      </c>
      <c r="D399" s="8" t="s">
        <v>46</v>
      </c>
    </row>
    <row r="400" customFormat="false" ht="15" hidden="false" customHeight="false" outlineLevel="0" collapsed="false">
      <c r="A400" s="7" t="s">
        <v>654</v>
      </c>
      <c r="B400" s="7" t="s">
        <v>47</v>
      </c>
      <c r="C400" s="14" t="s">
        <v>29</v>
      </c>
      <c r="D400" s="8" t="s">
        <v>46</v>
      </c>
    </row>
    <row r="401" customFormat="false" ht="15" hidden="false" customHeight="false" outlineLevel="0" collapsed="false">
      <c r="A401" s="7" t="s">
        <v>655</v>
      </c>
      <c r="B401" s="7" t="s">
        <v>47</v>
      </c>
      <c r="C401" s="14" t="s">
        <v>29</v>
      </c>
      <c r="D401" s="8" t="s">
        <v>46</v>
      </c>
    </row>
    <row r="402" customFormat="false" ht="15" hidden="false" customHeight="false" outlineLevel="0" collapsed="false">
      <c r="A402" s="7" t="s">
        <v>656</v>
      </c>
      <c r="B402" s="7" t="s">
        <v>47</v>
      </c>
      <c r="C402" s="14" t="s">
        <v>29</v>
      </c>
      <c r="D402" s="8" t="s">
        <v>46</v>
      </c>
    </row>
    <row r="403" customFormat="false" ht="15" hidden="false" customHeight="false" outlineLevel="0" collapsed="false">
      <c r="A403" s="7" t="s">
        <v>657</v>
      </c>
      <c r="B403" s="7" t="s">
        <v>47</v>
      </c>
      <c r="C403" s="14" t="s">
        <v>29</v>
      </c>
      <c r="D403" s="8" t="s">
        <v>46</v>
      </c>
    </row>
    <row r="404" customFormat="false" ht="15" hidden="false" customHeight="false" outlineLevel="0" collapsed="false">
      <c r="A404" s="7" t="s">
        <v>658</v>
      </c>
      <c r="B404" s="7" t="s">
        <v>47</v>
      </c>
      <c r="C404" s="14" t="s">
        <v>29</v>
      </c>
      <c r="D404" s="8" t="s">
        <v>46</v>
      </c>
    </row>
    <row r="405" customFormat="false" ht="15" hidden="false" customHeight="false" outlineLevel="0" collapsed="false">
      <c r="A405" s="7" t="s">
        <v>659</v>
      </c>
      <c r="B405" s="7" t="s">
        <v>55</v>
      </c>
      <c r="C405" s="14" t="s">
        <v>29</v>
      </c>
      <c r="D405" s="8" t="s">
        <v>46</v>
      </c>
    </row>
    <row r="406" customFormat="false" ht="15" hidden="false" customHeight="false" outlineLevel="0" collapsed="false">
      <c r="A406" s="7" t="s">
        <v>660</v>
      </c>
      <c r="B406" s="7" t="s">
        <v>37</v>
      </c>
      <c r="C406" s="14" t="s">
        <v>29</v>
      </c>
      <c r="D406" s="8" t="s">
        <v>38</v>
      </c>
    </row>
    <row r="407" customFormat="false" ht="15" hidden="false" customHeight="false" outlineLevel="0" collapsed="false">
      <c r="A407" s="7" t="s">
        <v>661</v>
      </c>
      <c r="B407" s="7" t="s">
        <v>41</v>
      </c>
      <c r="C407" s="14" t="s">
        <v>29</v>
      </c>
      <c r="D407" s="8" t="s">
        <v>28</v>
      </c>
    </row>
    <row r="408" customFormat="false" ht="15" hidden="false" customHeight="false" outlineLevel="0" collapsed="false">
      <c r="A408" s="7" t="s">
        <v>662</v>
      </c>
      <c r="B408" s="7" t="s">
        <v>55</v>
      </c>
      <c r="C408" s="14" t="s">
        <v>29</v>
      </c>
      <c r="D408" s="8" t="s">
        <v>46</v>
      </c>
    </row>
    <row r="409" customFormat="false" ht="15" hidden="false" customHeight="false" outlineLevel="0" collapsed="false">
      <c r="A409" s="7" t="s">
        <v>663</v>
      </c>
      <c r="B409" s="7" t="s">
        <v>60</v>
      </c>
      <c r="C409" s="14" t="s">
        <v>29</v>
      </c>
      <c r="D409" s="8" t="s">
        <v>46</v>
      </c>
    </row>
    <row r="410" customFormat="false" ht="15" hidden="false" customHeight="false" outlineLevel="0" collapsed="false">
      <c r="A410" s="7" t="s">
        <v>663</v>
      </c>
      <c r="B410" s="7" t="s">
        <v>37</v>
      </c>
      <c r="C410" s="14" t="s">
        <v>29</v>
      </c>
      <c r="D410" s="8" t="s">
        <v>38</v>
      </c>
    </row>
    <row r="411" customFormat="false" ht="15" hidden="false" customHeight="false" outlineLevel="0" collapsed="false">
      <c r="A411" s="7" t="s">
        <v>664</v>
      </c>
      <c r="B411" s="7" t="s">
        <v>41</v>
      </c>
      <c r="C411" s="14" t="s">
        <v>29</v>
      </c>
      <c r="D411" s="8" t="s">
        <v>28</v>
      </c>
    </row>
    <row r="412" customFormat="false" ht="15" hidden="false" customHeight="false" outlineLevel="0" collapsed="false">
      <c r="A412" s="7" t="s">
        <v>665</v>
      </c>
      <c r="B412" s="7" t="s">
        <v>58</v>
      </c>
      <c r="C412" s="14" t="s">
        <v>29</v>
      </c>
      <c r="D412" s="8" t="s">
        <v>46</v>
      </c>
    </row>
    <row r="413" customFormat="false" ht="15" hidden="false" customHeight="false" outlineLevel="0" collapsed="false">
      <c r="A413" s="7" t="s">
        <v>666</v>
      </c>
      <c r="B413" s="7" t="s">
        <v>62</v>
      </c>
      <c r="C413" s="14" t="s">
        <v>29</v>
      </c>
      <c r="D413" s="8" t="s">
        <v>46</v>
      </c>
    </row>
    <row r="414" customFormat="false" ht="15" hidden="false" customHeight="false" outlineLevel="0" collapsed="false">
      <c r="A414" s="7" t="s">
        <v>667</v>
      </c>
      <c r="B414" s="7" t="s">
        <v>41</v>
      </c>
      <c r="C414" s="14" t="s">
        <v>29</v>
      </c>
      <c r="D414" s="8" t="s">
        <v>28</v>
      </c>
    </row>
    <row r="415" customFormat="false" ht="15" hidden="false" customHeight="false" outlineLevel="0" collapsed="false">
      <c r="A415" s="7" t="s">
        <v>668</v>
      </c>
      <c r="B415" s="7" t="s">
        <v>41</v>
      </c>
      <c r="C415" s="14" t="s">
        <v>29</v>
      </c>
      <c r="D415" s="8" t="s">
        <v>28</v>
      </c>
    </row>
    <row r="416" customFormat="false" ht="15" hidden="false" customHeight="false" outlineLevel="0" collapsed="false">
      <c r="A416" s="7" t="s">
        <v>669</v>
      </c>
      <c r="B416" s="7" t="s">
        <v>55</v>
      </c>
      <c r="C416" s="10" t="s">
        <v>67</v>
      </c>
      <c r="D416" s="8" t="s">
        <v>46</v>
      </c>
    </row>
    <row r="417" customFormat="false" ht="15" hidden="false" customHeight="false" outlineLevel="0" collapsed="false">
      <c r="A417" s="7" t="s">
        <v>670</v>
      </c>
      <c r="B417" s="7" t="s">
        <v>41</v>
      </c>
      <c r="C417" s="14" t="s">
        <v>29</v>
      </c>
      <c r="D417" s="8" t="s">
        <v>28</v>
      </c>
    </row>
    <row r="418" customFormat="false" ht="15" hidden="false" customHeight="false" outlineLevel="0" collapsed="false">
      <c r="A418" s="7" t="s">
        <v>671</v>
      </c>
      <c r="B418" s="7" t="s">
        <v>75</v>
      </c>
      <c r="C418" s="10" t="s">
        <v>67</v>
      </c>
      <c r="D418" s="8" t="s">
        <v>28</v>
      </c>
    </row>
    <row r="419" customFormat="false" ht="15" hidden="false" customHeight="false" outlineLevel="0" collapsed="false">
      <c r="A419" s="7" t="s">
        <v>671</v>
      </c>
      <c r="B419" s="7" t="s">
        <v>77</v>
      </c>
      <c r="C419" s="10" t="s">
        <v>67</v>
      </c>
      <c r="D419" s="8" t="s">
        <v>46</v>
      </c>
    </row>
    <row r="420" customFormat="false" ht="15" hidden="false" customHeight="false" outlineLevel="0" collapsed="false">
      <c r="A420" s="7" t="s">
        <v>672</v>
      </c>
      <c r="B420" s="7" t="s">
        <v>77</v>
      </c>
      <c r="C420" s="10" t="s">
        <v>67</v>
      </c>
      <c r="D420" s="8" t="s">
        <v>46</v>
      </c>
    </row>
    <row r="421" customFormat="false" ht="15" hidden="false" customHeight="false" outlineLevel="0" collapsed="false">
      <c r="A421" s="7" t="s">
        <v>673</v>
      </c>
      <c r="B421" s="7" t="s">
        <v>77</v>
      </c>
      <c r="C421" s="10" t="s">
        <v>67</v>
      </c>
      <c r="D421" s="8" t="s">
        <v>46</v>
      </c>
    </row>
    <row r="422" customFormat="false" ht="15" hidden="false" customHeight="false" outlineLevel="0" collapsed="false">
      <c r="A422" s="7" t="s">
        <v>674</v>
      </c>
      <c r="B422" s="7" t="s">
        <v>77</v>
      </c>
      <c r="C422" s="10" t="s">
        <v>67</v>
      </c>
      <c r="D422" s="8" t="s">
        <v>46</v>
      </c>
    </row>
    <row r="423" customFormat="false" ht="15" hidden="false" customHeight="false" outlineLevel="0" collapsed="false">
      <c r="A423" s="7" t="s">
        <v>675</v>
      </c>
      <c r="B423" s="7" t="s">
        <v>55</v>
      </c>
      <c r="C423" s="10" t="s">
        <v>67</v>
      </c>
      <c r="D423" s="8" t="s">
        <v>46</v>
      </c>
    </row>
    <row r="424" customFormat="false" ht="15" hidden="false" customHeight="false" outlineLevel="0" collapsed="false">
      <c r="A424" s="7" t="s">
        <v>676</v>
      </c>
      <c r="B424" s="7" t="s">
        <v>82</v>
      </c>
      <c r="C424" s="14" t="s">
        <v>29</v>
      </c>
      <c r="D424" s="8" t="s">
        <v>46</v>
      </c>
    </row>
    <row r="425" customFormat="false" ht="15" hidden="false" customHeight="false" outlineLevel="0" collapsed="false">
      <c r="A425" s="7" t="s">
        <v>676</v>
      </c>
      <c r="B425" s="7" t="s">
        <v>45</v>
      </c>
      <c r="C425" s="14" t="s">
        <v>29</v>
      </c>
      <c r="D425" s="8" t="s">
        <v>46</v>
      </c>
    </row>
    <row r="426" customFormat="false" ht="15" hidden="false" customHeight="false" outlineLevel="0" collapsed="false">
      <c r="A426" s="7" t="s">
        <v>677</v>
      </c>
      <c r="B426" s="7" t="s">
        <v>55</v>
      </c>
      <c r="C426" s="10" t="s">
        <v>67</v>
      </c>
      <c r="D426" s="8" t="s">
        <v>46</v>
      </c>
    </row>
    <row r="427" customFormat="false" ht="15" hidden="false" customHeight="false" outlineLevel="0" collapsed="false">
      <c r="A427" s="7" t="s">
        <v>678</v>
      </c>
      <c r="B427" s="7" t="s">
        <v>41</v>
      </c>
      <c r="C427" s="14" t="s">
        <v>29</v>
      </c>
      <c r="D427" s="8" t="s">
        <v>28</v>
      </c>
    </row>
    <row r="428" customFormat="false" ht="15" hidden="false" customHeight="false" outlineLevel="0" collapsed="false">
      <c r="A428" s="7" t="s">
        <v>679</v>
      </c>
      <c r="B428" s="7" t="s">
        <v>77</v>
      </c>
      <c r="C428" s="10" t="s">
        <v>67</v>
      </c>
      <c r="D428" s="8" t="s">
        <v>46</v>
      </c>
    </row>
    <row r="429" customFormat="false" ht="15" hidden="false" customHeight="false" outlineLevel="0" collapsed="false">
      <c r="A429" s="7" t="s">
        <v>680</v>
      </c>
      <c r="B429" s="7" t="s">
        <v>77</v>
      </c>
      <c r="C429" s="10" t="s">
        <v>67</v>
      </c>
      <c r="D429" s="8" t="s">
        <v>46</v>
      </c>
    </row>
    <row r="430" customFormat="false" ht="15" hidden="false" customHeight="false" outlineLevel="0" collapsed="false">
      <c r="A430" s="7" t="s">
        <v>681</v>
      </c>
      <c r="B430" s="7" t="s">
        <v>77</v>
      </c>
      <c r="C430" s="10" t="s">
        <v>67</v>
      </c>
      <c r="D430" s="8" t="s">
        <v>46</v>
      </c>
    </row>
    <row r="431" customFormat="false" ht="15" hidden="false" customHeight="false" outlineLevel="0" collapsed="false">
      <c r="A431" s="7" t="s">
        <v>682</v>
      </c>
      <c r="B431" s="7" t="s">
        <v>55</v>
      </c>
      <c r="C431" s="10" t="s">
        <v>67</v>
      </c>
      <c r="D431" s="8" t="s">
        <v>46</v>
      </c>
    </row>
    <row r="432" customFormat="false" ht="15" hidden="false" customHeight="false" outlineLevel="0" collapsed="false">
      <c r="A432" s="7" t="s">
        <v>683</v>
      </c>
      <c r="B432" s="7" t="s">
        <v>93</v>
      </c>
      <c r="C432" s="14" t="s">
        <v>29</v>
      </c>
      <c r="D432" s="8" t="s">
        <v>87</v>
      </c>
    </row>
    <row r="433" customFormat="false" ht="15" hidden="false" customHeight="false" outlineLevel="0" collapsed="false">
      <c r="A433" s="7" t="s">
        <v>683</v>
      </c>
      <c r="B433" s="7" t="s">
        <v>89</v>
      </c>
      <c r="C433" s="14" t="s">
        <v>29</v>
      </c>
      <c r="D433" s="8" t="s">
        <v>87</v>
      </c>
    </row>
    <row r="434" customFormat="false" ht="15" hidden="false" customHeight="false" outlineLevel="0" collapsed="false">
      <c r="A434" s="7" t="s">
        <v>684</v>
      </c>
      <c r="B434" s="7" t="s">
        <v>55</v>
      </c>
      <c r="C434" s="10" t="s">
        <v>67</v>
      </c>
      <c r="D434" s="8" t="s">
        <v>46</v>
      </c>
    </row>
    <row r="435" customFormat="false" ht="15" hidden="false" customHeight="false" outlineLevel="0" collapsed="false">
      <c r="A435" s="7" t="s">
        <v>685</v>
      </c>
      <c r="B435" s="7" t="s">
        <v>45</v>
      </c>
      <c r="C435" s="14" t="s">
        <v>29</v>
      </c>
      <c r="D435" s="8" t="s">
        <v>46</v>
      </c>
    </row>
    <row r="436" customFormat="false" ht="15" hidden="false" customHeight="false" outlineLevel="0" collapsed="false">
      <c r="A436" s="7" t="s">
        <v>686</v>
      </c>
      <c r="B436" s="7" t="s">
        <v>55</v>
      </c>
      <c r="C436" s="10" t="s">
        <v>67</v>
      </c>
      <c r="D436" s="8" t="s">
        <v>46</v>
      </c>
    </row>
    <row r="437" customFormat="false" ht="15" hidden="false" customHeight="false" outlineLevel="0" collapsed="false">
      <c r="A437" s="7" t="s">
        <v>687</v>
      </c>
      <c r="B437" s="7" t="s">
        <v>60</v>
      </c>
      <c r="C437" s="10" t="s">
        <v>67</v>
      </c>
      <c r="D437" s="8" t="s">
        <v>46</v>
      </c>
    </row>
    <row r="438" customFormat="false" ht="15" hidden="false" customHeight="false" outlineLevel="0" collapsed="false">
      <c r="A438" s="7" t="s">
        <v>687</v>
      </c>
      <c r="B438" s="7" t="s">
        <v>27</v>
      </c>
      <c r="C438" s="14" t="s">
        <v>29</v>
      </c>
      <c r="D438" s="8" t="s">
        <v>28</v>
      </c>
    </row>
    <row r="439" customFormat="false" ht="15" hidden="false" customHeight="false" outlineLevel="0" collapsed="false">
      <c r="A439" s="7" t="s">
        <v>688</v>
      </c>
      <c r="B439" s="7" t="s">
        <v>55</v>
      </c>
      <c r="C439" s="10" t="s">
        <v>67</v>
      </c>
      <c r="D439" s="8" t="s">
        <v>46</v>
      </c>
    </row>
    <row r="440" customFormat="false" ht="15" hidden="false" customHeight="false" outlineLevel="0" collapsed="false">
      <c r="A440" s="7" t="s">
        <v>688</v>
      </c>
      <c r="B440" s="7" t="s">
        <v>58</v>
      </c>
      <c r="C440" s="10" t="s">
        <v>67</v>
      </c>
      <c r="D440" s="8" t="s">
        <v>46</v>
      </c>
    </row>
    <row r="441" customFormat="false" ht="15" hidden="false" customHeight="false" outlineLevel="0" collapsed="false">
      <c r="A441" s="7" t="s">
        <v>689</v>
      </c>
      <c r="B441" s="7" t="s">
        <v>62</v>
      </c>
      <c r="C441" s="14" t="s">
        <v>29</v>
      </c>
      <c r="D441" s="8" t="s">
        <v>46</v>
      </c>
    </row>
    <row r="442" customFormat="false" ht="15" hidden="false" customHeight="false" outlineLevel="0" collapsed="false">
      <c r="A442" s="7" t="s">
        <v>689</v>
      </c>
      <c r="B442" s="7" t="s">
        <v>58</v>
      </c>
      <c r="C442" s="14" t="s">
        <v>29</v>
      </c>
      <c r="D442" s="8" t="s">
        <v>46</v>
      </c>
    </row>
    <row r="443" customFormat="false" ht="15" hidden="false" customHeight="false" outlineLevel="0" collapsed="false">
      <c r="A443" s="7" t="s">
        <v>690</v>
      </c>
      <c r="B443" s="7" t="s">
        <v>58</v>
      </c>
      <c r="C443" s="10" t="s">
        <v>67</v>
      </c>
      <c r="D443" s="8" t="s">
        <v>46</v>
      </c>
    </row>
    <row r="444" customFormat="false" ht="15" hidden="false" customHeight="false" outlineLevel="0" collapsed="false">
      <c r="A444" s="7" t="s">
        <v>691</v>
      </c>
      <c r="B444" s="7" t="s">
        <v>58</v>
      </c>
      <c r="C444" s="14" t="s">
        <v>29</v>
      </c>
      <c r="D444" s="8" t="s">
        <v>46</v>
      </c>
    </row>
    <row r="445" customFormat="false" ht="15" hidden="false" customHeight="false" outlineLevel="0" collapsed="false">
      <c r="A445" s="7" t="s">
        <v>691</v>
      </c>
      <c r="B445" s="7" t="s">
        <v>62</v>
      </c>
      <c r="C445" s="14" t="s">
        <v>29</v>
      </c>
      <c r="D445" s="8" t="s">
        <v>46</v>
      </c>
    </row>
    <row r="446" customFormat="false" ht="15" hidden="false" customHeight="false" outlineLevel="0" collapsed="false">
      <c r="A446" s="7" t="s">
        <v>692</v>
      </c>
      <c r="B446" s="7" t="s">
        <v>58</v>
      </c>
      <c r="C446" s="10" t="s">
        <v>67</v>
      </c>
      <c r="D446" s="8" t="s">
        <v>46</v>
      </c>
    </row>
    <row r="447" customFormat="false" ht="15" hidden="false" customHeight="false" outlineLevel="0" collapsed="false">
      <c r="A447" s="7" t="s">
        <v>693</v>
      </c>
      <c r="B447" s="7" t="s">
        <v>47</v>
      </c>
      <c r="C447" s="14" t="s">
        <v>29</v>
      </c>
      <c r="D447" s="8" t="s">
        <v>46</v>
      </c>
    </row>
    <row r="448" customFormat="false" ht="15" hidden="false" customHeight="false" outlineLevel="0" collapsed="false">
      <c r="A448" s="7" t="s">
        <v>694</v>
      </c>
      <c r="B448" s="7" t="s">
        <v>27</v>
      </c>
      <c r="C448" s="14" t="s">
        <v>29</v>
      </c>
      <c r="D448" s="8" t="s">
        <v>28</v>
      </c>
    </row>
    <row r="449" customFormat="false" ht="15" hidden="false" customHeight="false" outlineLevel="0" collapsed="false">
      <c r="A449" s="7" t="s">
        <v>695</v>
      </c>
      <c r="B449" s="7" t="s">
        <v>82</v>
      </c>
      <c r="C449" s="10" t="s">
        <v>67</v>
      </c>
      <c r="D449" s="8" t="s">
        <v>46</v>
      </c>
    </row>
    <row r="450" customFormat="false" ht="15" hidden="false" customHeight="false" outlineLevel="0" collapsed="false">
      <c r="A450" s="7" t="s">
        <v>696</v>
      </c>
      <c r="B450" s="7" t="s">
        <v>55</v>
      </c>
      <c r="C450" s="14" t="s">
        <v>29</v>
      </c>
      <c r="D450" s="8" t="s">
        <v>46</v>
      </c>
    </row>
    <row r="451" customFormat="false" ht="15" hidden="false" customHeight="false" outlineLevel="0" collapsed="false">
      <c r="A451" s="7" t="s">
        <v>697</v>
      </c>
      <c r="B451" s="7" t="s">
        <v>41</v>
      </c>
      <c r="C451" s="14" t="s">
        <v>29</v>
      </c>
      <c r="D451" s="8" t="s">
        <v>28</v>
      </c>
    </row>
    <row r="452" customFormat="false" ht="15" hidden="false" customHeight="false" outlineLevel="0" collapsed="false">
      <c r="A452" s="7" t="s">
        <v>698</v>
      </c>
      <c r="B452" s="7" t="s">
        <v>55</v>
      </c>
      <c r="C452" s="14" t="s">
        <v>29</v>
      </c>
      <c r="D452" s="8" t="s">
        <v>46</v>
      </c>
    </row>
    <row r="453" customFormat="false" ht="15" hidden="false" customHeight="false" outlineLevel="0" collapsed="false">
      <c r="A453" s="7" t="s">
        <v>699</v>
      </c>
      <c r="B453" s="7" t="s">
        <v>47</v>
      </c>
      <c r="C453" s="14" t="s">
        <v>29</v>
      </c>
      <c r="D453" s="8" t="s">
        <v>46</v>
      </c>
    </row>
    <row r="454" customFormat="false" ht="15" hidden="false" customHeight="false" outlineLevel="0" collapsed="false">
      <c r="A454" s="7" t="s">
        <v>700</v>
      </c>
      <c r="B454" s="7" t="s">
        <v>41</v>
      </c>
      <c r="C454" s="14" t="s">
        <v>29</v>
      </c>
      <c r="D454" s="8" t="s">
        <v>28</v>
      </c>
    </row>
    <row r="455" customFormat="false" ht="15" hidden="false" customHeight="false" outlineLevel="0" collapsed="false">
      <c r="A455" s="7" t="s">
        <v>701</v>
      </c>
      <c r="B455" s="7" t="s">
        <v>47</v>
      </c>
      <c r="C455" s="14" t="s">
        <v>29</v>
      </c>
      <c r="D455" s="8" t="s">
        <v>46</v>
      </c>
    </row>
    <row r="456" customFormat="false" ht="15" hidden="false" customHeight="false" outlineLevel="0" collapsed="false">
      <c r="A456" s="7" t="s">
        <v>702</v>
      </c>
      <c r="B456" s="7" t="s">
        <v>47</v>
      </c>
      <c r="C456" s="14" t="s">
        <v>29</v>
      </c>
      <c r="D456" s="8" t="s">
        <v>46</v>
      </c>
    </row>
    <row r="457" customFormat="false" ht="15" hidden="false" customHeight="false" outlineLevel="0" collapsed="false">
      <c r="A457" s="7" t="s">
        <v>703</v>
      </c>
      <c r="B457" s="7" t="s">
        <v>27</v>
      </c>
      <c r="C457" s="14" t="s">
        <v>29</v>
      </c>
      <c r="D457" s="8" t="s">
        <v>28</v>
      </c>
    </row>
    <row r="458" customFormat="false" ht="15" hidden="false" customHeight="false" outlineLevel="0" collapsed="false">
      <c r="A458" s="7" t="s">
        <v>704</v>
      </c>
      <c r="B458" s="7" t="s">
        <v>55</v>
      </c>
      <c r="C458" s="14" t="s">
        <v>29</v>
      </c>
      <c r="D458" s="8" t="s">
        <v>46</v>
      </c>
    </row>
    <row r="459" customFormat="false" ht="15" hidden="false" customHeight="false" outlineLevel="0" collapsed="false">
      <c r="A459" s="7" t="s">
        <v>705</v>
      </c>
      <c r="B459" s="7" t="s">
        <v>55</v>
      </c>
      <c r="C459" s="14" t="s">
        <v>29</v>
      </c>
      <c r="D459" s="8" t="s">
        <v>46</v>
      </c>
    </row>
    <row r="460" customFormat="false" ht="15" hidden="false" customHeight="false" outlineLevel="0" collapsed="false">
      <c r="A460" s="7" t="s">
        <v>706</v>
      </c>
      <c r="B460" s="7" t="s">
        <v>55</v>
      </c>
      <c r="C460" s="14" t="s">
        <v>29</v>
      </c>
      <c r="D460" s="8" t="s">
        <v>46</v>
      </c>
    </row>
    <row r="461" customFormat="false" ht="15" hidden="false" customHeight="false" outlineLevel="0" collapsed="false">
      <c r="A461" s="7" t="s">
        <v>707</v>
      </c>
      <c r="B461" s="7" t="s">
        <v>41</v>
      </c>
      <c r="C461" s="14" t="s">
        <v>29</v>
      </c>
      <c r="D461" s="8" t="s">
        <v>28</v>
      </c>
    </row>
    <row r="462" customFormat="false" ht="15" hidden="false" customHeight="false" outlineLevel="0" collapsed="false">
      <c r="A462" s="7" t="s">
        <v>708</v>
      </c>
      <c r="B462" s="7" t="s">
        <v>47</v>
      </c>
      <c r="C462" s="14" t="s">
        <v>29</v>
      </c>
      <c r="D462" s="8" t="s">
        <v>46</v>
      </c>
    </row>
    <row r="463" customFormat="false" ht="15" hidden="false" customHeight="false" outlineLevel="0" collapsed="false">
      <c r="A463" s="7" t="s">
        <v>709</v>
      </c>
      <c r="B463" s="7" t="s">
        <v>47</v>
      </c>
      <c r="C463" s="14" t="s">
        <v>29</v>
      </c>
      <c r="D463" s="8" t="s">
        <v>46</v>
      </c>
    </row>
    <row r="464" customFormat="false" ht="15" hidden="false" customHeight="false" outlineLevel="0" collapsed="false">
      <c r="A464" s="7" t="s">
        <v>710</v>
      </c>
      <c r="B464" s="7" t="s">
        <v>37</v>
      </c>
      <c r="C464" s="14" t="s">
        <v>29</v>
      </c>
      <c r="D464" s="8" t="s">
        <v>38</v>
      </c>
    </row>
    <row r="465" customFormat="false" ht="15" hidden="false" customHeight="false" outlineLevel="0" collapsed="false">
      <c r="A465" s="7" t="s">
        <v>710</v>
      </c>
      <c r="B465" s="7" t="s">
        <v>41</v>
      </c>
      <c r="C465" s="14" t="s">
        <v>29</v>
      </c>
      <c r="D465" s="8" t="s">
        <v>28</v>
      </c>
    </row>
    <row r="466" customFormat="false" ht="15" hidden="false" customHeight="false" outlineLevel="0" collapsed="false">
      <c r="A466" s="7" t="s">
        <v>711</v>
      </c>
      <c r="B466" s="7" t="s">
        <v>37</v>
      </c>
      <c r="C466" s="14" t="s">
        <v>29</v>
      </c>
      <c r="D466" s="8" t="s">
        <v>38</v>
      </c>
    </row>
    <row r="467" customFormat="false" ht="15" hidden="false" customHeight="false" outlineLevel="0" collapsed="false">
      <c r="A467" s="7" t="s">
        <v>711</v>
      </c>
      <c r="B467" s="7" t="s">
        <v>55</v>
      </c>
      <c r="C467" s="14" t="s">
        <v>29</v>
      </c>
      <c r="D467" s="8" t="s">
        <v>46</v>
      </c>
    </row>
    <row r="468" customFormat="false" ht="15" hidden="false" customHeight="false" outlineLevel="0" collapsed="false">
      <c r="A468" s="7" t="s">
        <v>712</v>
      </c>
      <c r="B468" s="7" t="s">
        <v>41</v>
      </c>
      <c r="C468" s="14" t="s">
        <v>29</v>
      </c>
      <c r="D468" s="8" t="s">
        <v>28</v>
      </c>
    </row>
    <row r="469" customFormat="false" ht="15" hidden="false" customHeight="false" outlineLevel="0" collapsed="false">
      <c r="A469" s="7" t="s">
        <v>713</v>
      </c>
      <c r="B469" s="7" t="s">
        <v>60</v>
      </c>
      <c r="C469" s="14" t="s">
        <v>29</v>
      </c>
      <c r="D469" s="8" t="s">
        <v>46</v>
      </c>
    </row>
    <row r="470" customFormat="false" ht="15" hidden="false" customHeight="false" outlineLevel="0" collapsed="false">
      <c r="A470" s="7" t="s">
        <v>714</v>
      </c>
      <c r="B470" s="7" t="s">
        <v>55</v>
      </c>
      <c r="C470" s="14" t="s">
        <v>29</v>
      </c>
      <c r="D470" s="8" t="s">
        <v>46</v>
      </c>
    </row>
    <row r="471" customFormat="false" ht="15" hidden="false" customHeight="false" outlineLevel="0" collapsed="false">
      <c r="A471" s="7" t="s">
        <v>715</v>
      </c>
      <c r="B471" s="7" t="s">
        <v>47</v>
      </c>
      <c r="C471" s="14" t="s">
        <v>29</v>
      </c>
      <c r="D471" s="8" t="s">
        <v>46</v>
      </c>
    </row>
    <row r="472" customFormat="false" ht="15" hidden="false" customHeight="false" outlineLevel="0" collapsed="false">
      <c r="A472" s="7" t="s">
        <v>716</v>
      </c>
      <c r="B472" s="7" t="s">
        <v>47</v>
      </c>
      <c r="C472" s="14" t="s">
        <v>29</v>
      </c>
      <c r="D472" s="8" t="s">
        <v>46</v>
      </c>
    </row>
    <row r="473" customFormat="false" ht="15" hidden="false" customHeight="false" outlineLevel="0" collapsed="false">
      <c r="A473" s="7" t="s">
        <v>717</v>
      </c>
      <c r="B473" s="7" t="s">
        <v>37</v>
      </c>
      <c r="C473" s="14" t="s">
        <v>29</v>
      </c>
      <c r="D473" s="8" t="s">
        <v>38</v>
      </c>
    </row>
    <row r="474" customFormat="false" ht="15" hidden="false" customHeight="false" outlineLevel="0" collapsed="false">
      <c r="A474" s="7" t="s">
        <v>718</v>
      </c>
      <c r="B474" s="7" t="s">
        <v>55</v>
      </c>
      <c r="C474" s="14" t="s">
        <v>29</v>
      </c>
      <c r="D474" s="8" t="s">
        <v>46</v>
      </c>
    </row>
    <row r="475" customFormat="false" ht="15" hidden="false" customHeight="false" outlineLevel="0" collapsed="false">
      <c r="A475" s="7" t="s">
        <v>719</v>
      </c>
      <c r="B475" s="7" t="s">
        <v>60</v>
      </c>
      <c r="C475" s="14" t="s">
        <v>29</v>
      </c>
      <c r="D475" s="8" t="s">
        <v>46</v>
      </c>
    </row>
    <row r="476" customFormat="false" ht="15" hidden="false" customHeight="false" outlineLevel="0" collapsed="false">
      <c r="A476" s="7" t="s">
        <v>719</v>
      </c>
      <c r="B476" s="7" t="s">
        <v>62</v>
      </c>
      <c r="C476" s="14" t="s">
        <v>29</v>
      </c>
      <c r="D476" s="8" t="s">
        <v>46</v>
      </c>
    </row>
    <row r="477" customFormat="false" ht="15" hidden="false" customHeight="false" outlineLevel="0" collapsed="false">
      <c r="A477" s="7" t="s">
        <v>720</v>
      </c>
      <c r="B477" s="7" t="s">
        <v>37</v>
      </c>
      <c r="C477" s="14" t="s">
        <v>29</v>
      </c>
      <c r="D477" s="8" t="s">
        <v>38</v>
      </c>
    </row>
    <row r="478" customFormat="false" ht="15" hidden="false" customHeight="false" outlineLevel="0" collapsed="false">
      <c r="A478" s="7" t="s">
        <v>721</v>
      </c>
      <c r="B478" s="7" t="s">
        <v>62</v>
      </c>
      <c r="C478" s="14" t="s">
        <v>29</v>
      </c>
      <c r="D478" s="8" t="s">
        <v>46</v>
      </c>
    </row>
    <row r="479" customFormat="false" ht="15" hidden="false" customHeight="false" outlineLevel="0" collapsed="false">
      <c r="A479" s="7" t="s">
        <v>722</v>
      </c>
      <c r="B479" s="7" t="s">
        <v>62</v>
      </c>
      <c r="C479" s="14" t="s">
        <v>29</v>
      </c>
      <c r="D479" s="8" t="s">
        <v>46</v>
      </c>
    </row>
    <row r="480" customFormat="false" ht="15" hidden="false" customHeight="false" outlineLevel="0" collapsed="false">
      <c r="A480" s="7" t="s">
        <v>722</v>
      </c>
      <c r="B480" s="7" t="s">
        <v>41</v>
      </c>
      <c r="C480" s="14" t="s">
        <v>29</v>
      </c>
      <c r="D480" s="8" t="s">
        <v>28</v>
      </c>
    </row>
    <row r="481" customFormat="false" ht="15" hidden="false" customHeight="false" outlineLevel="0" collapsed="false">
      <c r="A481" s="7" t="s">
        <v>723</v>
      </c>
      <c r="B481" s="7" t="s">
        <v>37</v>
      </c>
      <c r="C481" s="14" t="s">
        <v>29</v>
      </c>
      <c r="D481" s="8" t="s">
        <v>38</v>
      </c>
    </row>
    <row r="482" customFormat="false" ht="15" hidden="false" customHeight="false" outlineLevel="0" collapsed="false">
      <c r="A482" s="7" t="s">
        <v>724</v>
      </c>
      <c r="B482" s="7" t="s">
        <v>41</v>
      </c>
      <c r="C482" s="14" t="s">
        <v>29</v>
      </c>
      <c r="D482" s="8" t="s">
        <v>28</v>
      </c>
    </row>
    <row r="483" customFormat="false" ht="15" hidden="false" customHeight="false" outlineLevel="0" collapsed="false">
      <c r="A483" s="7" t="s">
        <v>725</v>
      </c>
      <c r="B483" s="7" t="s">
        <v>55</v>
      </c>
      <c r="C483" s="14" t="s">
        <v>29</v>
      </c>
      <c r="D483" s="8" t="s">
        <v>46</v>
      </c>
    </row>
    <row r="484" customFormat="false" ht="15" hidden="false" customHeight="false" outlineLevel="0" collapsed="false">
      <c r="A484" s="7" t="s">
        <v>726</v>
      </c>
      <c r="B484" s="7" t="s">
        <v>86</v>
      </c>
      <c r="C484" s="14" t="s">
        <v>29</v>
      </c>
      <c r="D484" s="8" t="s">
        <v>87</v>
      </c>
    </row>
    <row r="485" customFormat="false" ht="15" hidden="false" customHeight="false" outlineLevel="0" collapsed="false">
      <c r="A485" s="7" t="s">
        <v>727</v>
      </c>
      <c r="B485" s="7" t="s">
        <v>37</v>
      </c>
      <c r="C485" s="14" t="s">
        <v>29</v>
      </c>
      <c r="D485" s="8" t="s">
        <v>38</v>
      </c>
    </row>
    <row r="486" customFormat="false" ht="15" hidden="false" customHeight="false" outlineLevel="0" collapsed="false">
      <c r="A486" s="7" t="s">
        <v>728</v>
      </c>
      <c r="B486" s="7" t="s">
        <v>55</v>
      </c>
      <c r="C486" s="14" t="s">
        <v>29</v>
      </c>
      <c r="D486" s="8" t="s">
        <v>46</v>
      </c>
    </row>
    <row r="487" customFormat="false" ht="15" hidden="false" customHeight="false" outlineLevel="0" collapsed="false">
      <c r="A487" s="7" t="s">
        <v>728</v>
      </c>
      <c r="B487" s="7" t="s">
        <v>41</v>
      </c>
      <c r="C487" s="14" t="s">
        <v>29</v>
      </c>
      <c r="D487" s="8" t="s">
        <v>28</v>
      </c>
    </row>
    <row r="488" customFormat="false" ht="15" hidden="false" customHeight="false" outlineLevel="0" collapsed="false">
      <c r="A488" s="7" t="s">
        <v>729</v>
      </c>
      <c r="B488" s="7" t="s">
        <v>47</v>
      </c>
      <c r="C488" s="14" t="s">
        <v>29</v>
      </c>
      <c r="D488" s="8" t="s">
        <v>46</v>
      </c>
    </row>
    <row r="489" customFormat="false" ht="15" hidden="false" customHeight="false" outlineLevel="0" collapsed="false">
      <c r="A489" s="7" t="s">
        <v>730</v>
      </c>
      <c r="B489" s="7" t="s">
        <v>47</v>
      </c>
      <c r="C489" s="14" t="s">
        <v>29</v>
      </c>
      <c r="D489" s="8" t="s">
        <v>46</v>
      </c>
    </row>
    <row r="490" customFormat="false" ht="15" hidden="false" customHeight="false" outlineLevel="0" collapsed="false">
      <c r="A490" s="7" t="s">
        <v>731</v>
      </c>
      <c r="B490" s="7" t="s">
        <v>47</v>
      </c>
      <c r="C490" s="14" t="s">
        <v>29</v>
      </c>
      <c r="D490" s="8" t="s">
        <v>46</v>
      </c>
    </row>
    <row r="491" customFormat="false" ht="15" hidden="false" customHeight="false" outlineLevel="0" collapsed="false">
      <c r="A491" s="7" t="s">
        <v>732</v>
      </c>
      <c r="B491" s="7" t="s">
        <v>47</v>
      </c>
      <c r="C491" s="14" t="s">
        <v>29</v>
      </c>
      <c r="D491" s="8" t="s">
        <v>46</v>
      </c>
    </row>
    <row r="492" customFormat="false" ht="15" hidden="false" customHeight="false" outlineLevel="0" collapsed="false">
      <c r="A492" s="7" t="s">
        <v>733</v>
      </c>
      <c r="B492" s="7" t="s">
        <v>47</v>
      </c>
      <c r="C492" s="14" t="s">
        <v>29</v>
      </c>
      <c r="D492" s="8" t="s">
        <v>46</v>
      </c>
    </row>
    <row r="493" customFormat="false" ht="15" hidden="false" customHeight="false" outlineLevel="0" collapsed="false">
      <c r="A493" s="7" t="s">
        <v>734</v>
      </c>
      <c r="B493" s="7" t="s">
        <v>47</v>
      </c>
      <c r="C493" s="14" t="s">
        <v>29</v>
      </c>
      <c r="D493" s="8" t="s">
        <v>46</v>
      </c>
    </row>
    <row r="494" customFormat="false" ht="15" hidden="false" customHeight="false" outlineLevel="0" collapsed="false">
      <c r="A494" s="7" t="s">
        <v>735</v>
      </c>
      <c r="B494" s="7" t="s">
        <v>55</v>
      </c>
      <c r="C494" s="14" t="s">
        <v>29</v>
      </c>
      <c r="D494" s="8" t="s">
        <v>46</v>
      </c>
    </row>
    <row r="495" customFormat="false" ht="15" hidden="false" customHeight="false" outlineLevel="0" collapsed="false">
      <c r="A495" s="7" t="s">
        <v>736</v>
      </c>
      <c r="B495" s="7" t="s">
        <v>47</v>
      </c>
      <c r="C495" s="14" t="s">
        <v>29</v>
      </c>
      <c r="D495" s="8" t="s">
        <v>46</v>
      </c>
    </row>
    <row r="496" customFormat="false" ht="15" hidden="false" customHeight="false" outlineLevel="0" collapsed="false">
      <c r="A496" s="7" t="s">
        <v>736</v>
      </c>
      <c r="B496" s="7" t="s">
        <v>53</v>
      </c>
      <c r="C496" s="14" t="s">
        <v>29</v>
      </c>
      <c r="D496" s="8" t="s">
        <v>28</v>
      </c>
    </row>
    <row r="497" customFormat="false" ht="15" hidden="false" customHeight="false" outlineLevel="0" collapsed="false">
      <c r="A497" s="7" t="s">
        <v>737</v>
      </c>
      <c r="B497" s="7" t="s">
        <v>47</v>
      </c>
      <c r="C497" s="14" t="s">
        <v>29</v>
      </c>
      <c r="D497" s="8" t="s">
        <v>46</v>
      </c>
    </row>
    <row r="498" customFormat="false" ht="15" hidden="false" customHeight="false" outlineLevel="0" collapsed="false">
      <c r="A498" s="7" t="s">
        <v>738</v>
      </c>
      <c r="B498" s="7" t="s">
        <v>55</v>
      </c>
      <c r="C498" s="14" t="s">
        <v>29</v>
      </c>
      <c r="D498" s="8" t="s">
        <v>46</v>
      </c>
    </row>
    <row r="499" customFormat="false" ht="15" hidden="false" customHeight="false" outlineLevel="0" collapsed="false">
      <c r="A499" s="7" t="s">
        <v>739</v>
      </c>
      <c r="B499" s="7" t="s">
        <v>53</v>
      </c>
      <c r="C499" s="14" t="s">
        <v>29</v>
      </c>
      <c r="D499" s="8" t="s">
        <v>28</v>
      </c>
    </row>
    <row r="500" customFormat="false" ht="15" hidden="false" customHeight="false" outlineLevel="0" collapsed="false">
      <c r="A500" s="7" t="s">
        <v>740</v>
      </c>
      <c r="B500" s="7" t="s">
        <v>27</v>
      </c>
      <c r="C500" s="14" t="s">
        <v>29</v>
      </c>
      <c r="D500" s="8" t="s">
        <v>28</v>
      </c>
    </row>
    <row r="501" customFormat="false" ht="15" hidden="false" customHeight="false" outlineLevel="0" collapsed="false">
      <c r="A501" s="7" t="s">
        <v>741</v>
      </c>
      <c r="B501" s="7" t="s">
        <v>41</v>
      </c>
      <c r="C501" s="14" t="s">
        <v>29</v>
      </c>
      <c r="D501" s="8" t="s">
        <v>28</v>
      </c>
    </row>
    <row r="502" customFormat="false" ht="15" hidden="false" customHeight="false" outlineLevel="0" collapsed="false">
      <c r="A502" s="7" t="s">
        <v>742</v>
      </c>
      <c r="B502" s="7" t="s">
        <v>41</v>
      </c>
      <c r="C502" s="14" t="s">
        <v>29</v>
      </c>
      <c r="D502" s="8" t="s">
        <v>28</v>
      </c>
    </row>
    <row r="503" customFormat="false" ht="15" hidden="false" customHeight="false" outlineLevel="0" collapsed="false">
      <c r="A503" s="7" t="s">
        <v>743</v>
      </c>
      <c r="B503" s="7" t="s">
        <v>55</v>
      </c>
      <c r="C503" s="14" t="s">
        <v>29</v>
      </c>
      <c r="D503" s="8" t="s">
        <v>46</v>
      </c>
    </row>
    <row r="504" customFormat="false" ht="15" hidden="false" customHeight="false" outlineLevel="0" collapsed="false">
      <c r="A504" s="7" t="s">
        <v>744</v>
      </c>
      <c r="B504" s="7" t="s">
        <v>60</v>
      </c>
      <c r="C504" s="14" t="s">
        <v>29</v>
      </c>
      <c r="D504" s="8" t="s">
        <v>46</v>
      </c>
    </row>
    <row r="505" customFormat="false" ht="15" hidden="false" customHeight="false" outlineLevel="0" collapsed="false">
      <c r="A505" s="7" t="s">
        <v>745</v>
      </c>
      <c r="B505" s="7" t="s">
        <v>62</v>
      </c>
      <c r="C505" s="14" t="s">
        <v>29</v>
      </c>
      <c r="D505" s="8" t="s">
        <v>46</v>
      </c>
    </row>
    <row r="506" customFormat="false" ht="15" hidden="false" customHeight="false" outlineLevel="0" collapsed="false">
      <c r="A506" s="7" t="s">
        <v>745</v>
      </c>
      <c r="B506" s="7" t="s">
        <v>89</v>
      </c>
      <c r="C506" s="14" t="s">
        <v>29</v>
      </c>
      <c r="D506" s="8" t="s">
        <v>87</v>
      </c>
    </row>
    <row r="507" customFormat="false" ht="15" hidden="false" customHeight="false" outlineLevel="0" collapsed="false">
      <c r="A507" s="7" t="s">
        <v>746</v>
      </c>
      <c r="B507" s="7" t="s">
        <v>62</v>
      </c>
      <c r="C507" s="14" t="s">
        <v>29</v>
      </c>
      <c r="D507" s="8" t="s">
        <v>46</v>
      </c>
    </row>
    <row r="508" customFormat="false" ht="15" hidden="false" customHeight="false" outlineLevel="0" collapsed="false">
      <c r="A508" s="7" t="s">
        <v>747</v>
      </c>
      <c r="B508" s="7" t="s">
        <v>37</v>
      </c>
      <c r="C508" s="14" t="s">
        <v>29</v>
      </c>
      <c r="D508" s="8" t="s">
        <v>38</v>
      </c>
    </row>
    <row r="509" customFormat="false" ht="15" hidden="false" customHeight="false" outlineLevel="0" collapsed="false">
      <c r="A509" s="7" t="s">
        <v>748</v>
      </c>
      <c r="B509" s="7" t="s">
        <v>62</v>
      </c>
      <c r="C509" s="14" t="s">
        <v>29</v>
      </c>
      <c r="D509" s="8" t="s">
        <v>46</v>
      </c>
    </row>
    <row r="510" customFormat="false" ht="15" hidden="false" customHeight="false" outlineLevel="0" collapsed="false">
      <c r="A510" s="7" t="s">
        <v>749</v>
      </c>
      <c r="B510" s="7" t="s">
        <v>58</v>
      </c>
      <c r="C510" s="14" t="s">
        <v>29</v>
      </c>
      <c r="D510" s="8" t="s">
        <v>46</v>
      </c>
    </row>
    <row r="511" customFormat="false" ht="15" hidden="false" customHeight="false" outlineLevel="0" collapsed="false">
      <c r="A511" s="7" t="s">
        <v>750</v>
      </c>
      <c r="B511" s="7" t="s">
        <v>41</v>
      </c>
      <c r="C511" s="14" t="s">
        <v>29</v>
      </c>
      <c r="D511" s="8" t="s">
        <v>28</v>
      </c>
    </row>
    <row r="512" customFormat="false" ht="15" hidden="false" customHeight="false" outlineLevel="0" collapsed="false">
      <c r="A512" s="7" t="s">
        <v>750</v>
      </c>
      <c r="B512" s="7" t="s">
        <v>58</v>
      </c>
      <c r="C512" s="10" t="s">
        <v>67</v>
      </c>
      <c r="D512" s="8" t="s">
        <v>46</v>
      </c>
    </row>
    <row r="513" customFormat="false" ht="15" hidden="false" customHeight="false" outlineLevel="0" collapsed="false">
      <c r="A513" s="7" t="s">
        <v>751</v>
      </c>
      <c r="B513" s="7" t="s">
        <v>58</v>
      </c>
      <c r="C513" s="14" t="s">
        <v>29</v>
      </c>
      <c r="D513" s="8" t="s">
        <v>46</v>
      </c>
    </row>
    <row r="514" customFormat="false" ht="15" hidden="false" customHeight="false" outlineLevel="0" collapsed="false">
      <c r="A514" s="7" t="s">
        <v>751</v>
      </c>
      <c r="B514" s="7" t="s">
        <v>62</v>
      </c>
      <c r="C514" s="14" t="s">
        <v>29</v>
      </c>
      <c r="D514" s="8" t="s">
        <v>46</v>
      </c>
    </row>
    <row r="515" customFormat="false" ht="15" hidden="false" customHeight="false" outlineLevel="0" collapsed="false">
      <c r="A515" s="7" t="s">
        <v>752</v>
      </c>
      <c r="B515" s="7" t="s">
        <v>41</v>
      </c>
      <c r="C515" s="14" t="s">
        <v>29</v>
      </c>
      <c r="D515" s="8" t="s">
        <v>28</v>
      </c>
    </row>
    <row r="516" customFormat="false" ht="15" hidden="false" customHeight="false" outlineLevel="0" collapsed="false">
      <c r="A516" s="7" t="s">
        <v>752</v>
      </c>
      <c r="B516" s="7" t="s">
        <v>58</v>
      </c>
      <c r="C516" s="10" t="s">
        <v>67</v>
      </c>
      <c r="D516" s="8" t="s">
        <v>46</v>
      </c>
    </row>
    <row r="517" customFormat="false" ht="15" hidden="false" customHeight="false" outlineLevel="0" collapsed="false">
      <c r="A517" s="7" t="s">
        <v>753</v>
      </c>
      <c r="B517" s="7" t="s">
        <v>37</v>
      </c>
      <c r="C517" s="14" t="s">
        <v>29</v>
      </c>
      <c r="D517" s="8" t="s">
        <v>38</v>
      </c>
    </row>
    <row r="518" customFormat="false" ht="15" hidden="false" customHeight="false" outlineLevel="0" collapsed="false">
      <c r="A518" s="7" t="s">
        <v>754</v>
      </c>
      <c r="B518" s="7" t="s">
        <v>37</v>
      </c>
      <c r="C518" s="14" t="s">
        <v>29</v>
      </c>
      <c r="D518" s="8" t="s">
        <v>38</v>
      </c>
    </row>
    <row r="519" customFormat="false" ht="15" hidden="false" customHeight="false" outlineLevel="0" collapsed="false">
      <c r="A519" s="7" t="s">
        <v>755</v>
      </c>
      <c r="B519" s="7" t="s">
        <v>55</v>
      </c>
      <c r="C519" s="14" t="s">
        <v>29</v>
      </c>
      <c r="D519" s="8" t="s">
        <v>46</v>
      </c>
    </row>
    <row r="520" customFormat="false" ht="15" hidden="false" customHeight="false" outlineLevel="0" collapsed="false">
      <c r="A520" s="7" t="s">
        <v>756</v>
      </c>
      <c r="B520" s="7" t="s">
        <v>37</v>
      </c>
      <c r="C520" s="14" t="s">
        <v>29</v>
      </c>
      <c r="D520" s="8" t="s">
        <v>38</v>
      </c>
    </row>
    <row r="521" customFormat="false" ht="15" hidden="false" customHeight="false" outlineLevel="0" collapsed="false">
      <c r="A521" s="7" t="s">
        <v>757</v>
      </c>
      <c r="B521" s="7" t="s">
        <v>91</v>
      </c>
      <c r="C521" s="10" t="s">
        <v>67</v>
      </c>
      <c r="D521" s="8" t="s">
        <v>87</v>
      </c>
    </row>
    <row r="522" customFormat="false" ht="15" hidden="false" customHeight="false" outlineLevel="0" collapsed="false">
      <c r="A522" s="7" t="s">
        <v>758</v>
      </c>
      <c r="B522" s="7" t="s">
        <v>27</v>
      </c>
      <c r="C522" s="14" t="s">
        <v>29</v>
      </c>
      <c r="D522" s="8" t="s">
        <v>28</v>
      </c>
    </row>
    <row r="523" customFormat="false" ht="15" hidden="false" customHeight="false" outlineLevel="0" collapsed="false">
      <c r="A523" s="7" t="s">
        <v>759</v>
      </c>
      <c r="B523" s="7" t="s">
        <v>41</v>
      </c>
      <c r="C523" s="14" t="s">
        <v>29</v>
      </c>
      <c r="D523" s="8" t="s">
        <v>28</v>
      </c>
    </row>
    <row r="524" customFormat="false" ht="15" hidden="false" customHeight="false" outlineLevel="0" collapsed="false">
      <c r="A524" s="7" t="s">
        <v>760</v>
      </c>
      <c r="B524" s="7" t="s">
        <v>55</v>
      </c>
      <c r="C524" s="14" t="s">
        <v>29</v>
      </c>
      <c r="D524" s="8" t="s">
        <v>46</v>
      </c>
    </row>
    <row r="525" customFormat="false" ht="15" hidden="false" customHeight="false" outlineLevel="0" collapsed="false">
      <c r="A525" s="7" t="s">
        <v>761</v>
      </c>
      <c r="B525" s="7" t="s">
        <v>37</v>
      </c>
      <c r="C525" s="14" t="s">
        <v>29</v>
      </c>
      <c r="D525" s="8" t="s">
        <v>38</v>
      </c>
    </row>
    <row r="526" customFormat="false" ht="15" hidden="false" customHeight="false" outlineLevel="0" collapsed="false">
      <c r="A526" s="7" t="s">
        <v>761</v>
      </c>
      <c r="B526" s="7" t="s">
        <v>41</v>
      </c>
      <c r="C526" s="14" t="s">
        <v>29</v>
      </c>
      <c r="D526" s="8" t="s">
        <v>28</v>
      </c>
    </row>
    <row r="527" customFormat="false" ht="15" hidden="false" customHeight="false" outlineLevel="0" collapsed="false">
      <c r="A527" s="7" t="s">
        <v>762</v>
      </c>
      <c r="B527" s="7" t="s">
        <v>47</v>
      </c>
      <c r="C527" s="14" t="s">
        <v>29</v>
      </c>
      <c r="D527" s="8" t="s">
        <v>46</v>
      </c>
    </row>
    <row r="528" customFormat="false" ht="15" hidden="false" customHeight="false" outlineLevel="0" collapsed="false">
      <c r="A528" s="7" t="s">
        <v>132</v>
      </c>
      <c r="B528" s="7" t="s">
        <v>47</v>
      </c>
      <c r="C528" s="14" t="s">
        <v>29</v>
      </c>
      <c r="D528" s="8" t="s">
        <v>46</v>
      </c>
    </row>
    <row r="529" customFormat="false" ht="15" hidden="false" customHeight="false" outlineLevel="0" collapsed="false">
      <c r="A529" s="7" t="s">
        <v>763</v>
      </c>
      <c r="B529" s="7" t="s">
        <v>55</v>
      </c>
      <c r="C529" s="14" t="s">
        <v>29</v>
      </c>
      <c r="D529" s="8" t="s">
        <v>46</v>
      </c>
    </row>
    <row r="530" customFormat="false" ht="15" hidden="false" customHeight="false" outlineLevel="0" collapsed="false">
      <c r="A530" s="7" t="s">
        <v>764</v>
      </c>
      <c r="B530" s="7" t="s">
        <v>62</v>
      </c>
      <c r="C530" s="14" t="s">
        <v>29</v>
      </c>
      <c r="D530" s="8" t="s">
        <v>46</v>
      </c>
    </row>
    <row r="531" customFormat="false" ht="15" hidden="false" customHeight="false" outlineLevel="0" collapsed="false">
      <c r="A531" s="7" t="s">
        <v>765</v>
      </c>
      <c r="B531" s="7" t="s">
        <v>41</v>
      </c>
      <c r="C531" s="14" t="s">
        <v>29</v>
      </c>
      <c r="D531" s="8" t="s">
        <v>28</v>
      </c>
    </row>
    <row r="532" customFormat="false" ht="15" hidden="false" customHeight="false" outlineLevel="0" collapsed="false">
      <c r="A532" s="7" t="s">
        <v>765</v>
      </c>
      <c r="B532" s="7" t="s">
        <v>43</v>
      </c>
      <c r="C532" s="14" t="s">
        <v>29</v>
      </c>
      <c r="D532" s="8" t="s">
        <v>38</v>
      </c>
    </row>
    <row r="533" customFormat="false" ht="15" hidden="false" customHeight="false" outlineLevel="0" collapsed="false">
      <c r="A533" s="7" t="s">
        <v>766</v>
      </c>
      <c r="B533" s="7" t="s">
        <v>41</v>
      </c>
      <c r="C533" s="14" t="s">
        <v>29</v>
      </c>
      <c r="D533" s="8" t="s">
        <v>28</v>
      </c>
    </row>
    <row r="534" customFormat="false" ht="15" hidden="false" customHeight="false" outlineLevel="0" collapsed="false">
      <c r="A534" s="7" t="s">
        <v>766</v>
      </c>
      <c r="B534" s="7" t="s">
        <v>60</v>
      </c>
      <c r="C534" s="14" t="s">
        <v>29</v>
      </c>
      <c r="D534" s="8" t="s">
        <v>46</v>
      </c>
    </row>
    <row r="535" customFormat="false" ht="15" hidden="false" customHeight="false" outlineLevel="0" collapsed="false">
      <c r="A535" s="7" t="s">
        <v>767</v>
      </c>
      <c r="B535" s="7" t="s">
        <v>58</v>
      </c>
      <c r="C535" s="14" t="s">
        <v>29</v>
      </c>
      <c r="D535" s="8" t="s">
        <v>46</v>
      </c>
    </row>
    <row r="536" customFormat="false" ht="15" hidden="false" customHeight="false" outlineLevel="0" collapsed="false">
      <c r="A536" s="7" t="s">
        <v>768</v>
      </c>
      <c r="B536" s="7" t="s">
        <v>58</v>
      </c>
      <c r="C536" s="10" t="s">
        <v>67</v>
      </c>
      <c r="D536" s="8" t="s">
        <v>46</v>
      </c>
    </row>
    <row r="537" customFormat="false" ht="15" hidden="false" customHeight="false" outlineLevel="0" collapsed="false">
      <c r="A537" s="7" t="s">
        <v>769</v>
      </c>
      <c r="B537" s="7" t="s">
        <v>58</v>
      </c>
      <c r="C537" s="14" t="s">
        <v>29</v>
      </c>
      <c r="D537" s="8" t="s">
        <v>46</v>
      </c>
    </row>
    <row r="538" customFormat="false" ht="15" hidden="false" customHeight="false" outlineLevel="0" collapsed="false">
      <c r="A538" s="7" t="s">
        <v>770</v>
      </c>
      <c r="B538" s="7" t="s">
        <v>58</v>
      </c>
      <c r="C538" s="10" t="s">
        <v>67</v>
      </c>
      <c r="D538" s="8" t="s">
        <v>46</v>
      </c>
    </row>
    <row r="539" customFormat="false" ht="15" hidden="false" customHeight="false" outlineLevel="0" collapsed="false">
      <c r="A539" s="7" t="s">
        <v>771</v>
      </c>
      <c r="B539" s="7" t="s">
        <v>86</v>
      </c>
      <c r="C539" s="14" t="s">
        <v>29</v>
      </c>
      <c r="D539" s="8" t="s">
        <v>87</v>
      </c>
    </row>
    <row r="540" customFormat="false" ht="15" hidden="false" customHeight="false" outlineLevel="0" collapsed="false">
      <c r="A540" s="7" t="s">
        <v>772</v>
      </c>
      <c r="B540" s="7" t="s">
        <v>37</v>
      </c>
      <c r="C540" s="14" t="s">
        <v>29</v>
      </c>
      <c r="D540" s="8" t="s">
        <v>38</v>
      </c>
    </row>
    <row r="541" customFormat="false" ht="15" hidden="false" customHeight="false" outlineLevel="0" collapsed="false">
      <c r="A541" s="7" t="s">
        <v>773</v>
      </c>
      <c r="B541" s="7" t="s">
        <v>62</v>
      </c>
      <c r="C541" s="14" t="s">
        <v>29</v>
      </c>
      <c r="D541" s="8" t="s">
        <v>46</v>
      </c>
    </row>
    <row r="542" customFormat="false" ht="15" hidden="false" customHeight="false" outlineLevel="0" collapsed="false">
      <c r="A542" s="7" t="s">
        <v>773</v>
      </c>
      <c r="B542" s="7" t="s">
        <v>43</v>
      </c>
      <c r="C542" s="14" t="s">
        <v>29</v>
      </c>
      <c r="D542" s="8" t="s">
        <v>38</v>
      </c>
    </row>
    <row r="543" customFormat="false" ht="15" hidden="false" customHeight="false" outlineLevel="0" collapsed="false">
      <c r="A543" s="7" t="s">
        <v>773</v>
      </c>
      <c r="B543" s="7" t="s">
        <v>41</v>
      </c>
      <c r="C543" s="14" t="s">
        <v>29</v>
      </c>
      <c r="D543" s="8" t="s">
        <v>28</v>
      </c>
    </row>
    <row r="544" customFormat="false" ht="15" hidden="false" customHeight="false" outlineLevel="0" collapsed="false">
      <c r="A544" s="7" t="s">
        <v>774</v>
      </c>
      <c r="B544" s="7" t="s">
        <v>58</v>
      </c>
      <c r="C544" s="14" t="s">
        <v>29</v>
      </c>
      <c r="D544" s="8" t="s">
        <v>46</v>
      </c>
    </row>
    <row r="545" customFormat="false" ht="15" hidden="false" customHeight="false" outlineLevel="0" collapsed="false">
      <c r="A545" s="7" t="s">
        <v>775</v>
      </c>
      <c r="B545" s="7" t="s">
        <v>58</v>
      </c>
      <c r="C545" s="10" t="s">
        <v>67</v>
      </c>
      <c r="D545" s="8" t="s">
        <v>46</v>
      </c>
    </row>
    <row r="546" customFormat="false" ht="15" hidden="false" customHeight="false" outlineLevel="0" collapsed="false">
      <c r="A546" s="7" t="s">
        <v>776</v>
      </c>
      <c r="B546" s="7" t="s">
        <v>37</v>
      </c>
      <c r="C546" s="14" t="s">
        <v>29</v>
      </c>
      <c r="D546" s="8" t="s">
        <v>38</v>
      </c>
    </row>
    <row r="547" customFormat="false" ht="15" hidden="false" customHeight="false" outlineLevel="0" collapsed="false">
      <c r="A547" s="7" t="s">
        <v>777</v>
      </c>
      <c r="B547" s="7" t="s">
        <v>62</v>
      </c>
      <c r="C547" s="14" t="s">
        <v>29</v>
      </c>
      <c r="D547" s="8" t="s">
        <v>46</v>
      </c>
    </row>
    <row r="548" customFormat="false" ht="15" hidden="false" customHeight="false" outlineLevel="0" collapsed="false">
      <c r="A548" s="7" t="s">
        <v>778</v>
      </c>
      <c r="B548" s="7" t="s">
        <v>41</v>
      </c>
      <c r="C548" s="14" t="s">
        <v>29</v>
      </c>
      <c r="D548" s="8" t="s">
        <v>28</v>
      </c>
    </row>
    <row r="549" customFormat="false" ht="15" hidden="false" customHeight="false" outlineLevel="0" collapsed="false">
      <c r="A549" s="7" t="s">
        <v>779</v>
      </c>
      <c r="B549" s="7" t="s">
        <v>58</v>
      </c>
      <c r="C549" s="14" t="s">
        <v>29</v>
      </c>
      <c r="D549" s="8" t="s">
        <v>46</v>
      </c>
    </row>
    <row r="550" customFormat="false" ht="15" hidden="false" customHeight="false" outlineLevel="0" collapsed="false">
      <c r="A550" s="7" t="s">
        <v>780</v>
      </c>
      <c r="B550" s="7" t="s">
        <v>75</v>
      </c>
      <c r="C550" s="10" t="s">
        <v>67</v>
      </c>
      <c r="D550" s="8" t="s">
        <v>28</v>
      </c>
    </row>
    <row r="551" customFormat="false" ht="15" hidden="false" customHeight="false" outlineLevel="0" collapsed="false">
      <c r="A551" s="7" t="s">
        <v>781</v>
      </c>
      <c r="B551" s="7" t="s">
        <v>82</v>
      </c>
      <c r="C551" s="14" t="s">
        <v>29</v>
      </c>
      <c r="D551" s="8" t="s">
        <v>46</v>
      </c>
    </row>
    <row r="552" customFormat="false" ht="15" hidden="false" customHeight="false" outlineLevel="0" collapsed="false">
      <c r="A552" s="7" t="s">
        <v>782</v>
      </c>
      <c r="B552" s="7" t="s">
        <v>45</v>
      </c>
      <c r="C552" s="14" t="s">
        <v>29</v>
      </c>
      <c r="D552" s="8" t="s">
        <v>46</v>
      </c>
    </row>
    <row r="553" customFormat="false" ht="15" hidden="false" customHeight="false" outlineLevel="0" collapsed="false">
      <c r="A553" s="7" t="s">
        <v>783</v>
      </c>
      <c r="B553" s="7" t="s">
        <v>55</v>
      </c>
      <c r="C553" s="10" t="s">
        <v>67</v>
      </c>
      <c r="D553" s="8" t="s">
        <v>46</v>
      </c>
    </row>
    <row r="554" customFormat="false" ht="15" hidden="false" customHeight="false" outlineLevel="0" collapsed="false">
      <c r="A554" s="7" t="s">
        <v>784</v>
      </c>
      <c r="B554" s="7" t="s">
        <v>89</v>
      </c>
      <c r="C554" s="14" t="s">
        <v>29</v>
      </c>
      <c r="D554" s="8" t="s">
        <v>87</v>
      </c>
    </row>
    <row r="555" customFormat="false" ht="15" hidden="false" customHeight="false" outlineLevel="0" collapsed="false">
      <c r="A555" s="7" t="s">
        <v>785</v>
      </c>
      <c r="B555" s="7" t="s">
        <v>75</v>
      </c>
      <c r="C555" s="10" t="s">
        <v>67</v>
      </c>
      <c r="D555" s="8" t="s">
        <v>28</v>
      </c>
    </row>
    <row r="556" customFormat="false" ht="15" hidden="false" customHeight="false" outlineLevel="0" collapsed="false">
      <c r="A556" s="7" t="s">
        <v>785</v>
      </c>
      <c r="B556" s="7" t="s">
        <v>77</v>
      </c>
      <c r="C556" s="10" t="s">
        <v>67</v>
      </c>
      <c r="D556" s="8" t="s">
        <v>46</v>
      </c>
    </row>
    <row r="557" customFormat="false" ht="15" hidden="false" customHeight="false" outlineLevel="0" collapsed="false">
      <c r="A557" s="7" t="s">
        <v>786</v>
      </c>
      <c r="B557" s="7" t="s">
        <v>55</v>
      </c>
      <c r="C557" s="10" t="s">
        <v>67</v>
      </c>
      <c r="D557" s="8" t="s">
        <v>46</v>
      </c>
    </row>
    <row r="558" customFormat="false" ht="15" hidden="false" customHeight="false" outlineLevel="0" collapsed="false">
      <c r="A558" s="7" t="s">
        <v>787</v>
      </c>
      <c r="B558" s="7" t="s">
        <v>55</v>
      </c>
      <c r="C558" s="10" t="s">
        <v>67</v>
      </c>
      <c r="D558" s="8" t="s">
        <v>46</v>
      </c>
    </row>
    <row r="559" customFormat="false" ht="15" hidden="false" customHeight="false" outlineLevel="0" collapsed="false">
      <c r="A559" s="7" t="s">
        <v>788</v>
      </c>
      <c r="B559" s="7" t="s">
        <v>77</v>
      </c>
      <c r="C559" s="10" t="s">
        <v>67</v>
      </c>
      <c r="D559" s="8" t="s">
        <v>46</v>
      </c>
    </row>
    <row r="560" customFormat="false" ht="15" hidden="false" customHeight="false" outlineLevel="0" collapsed="false">
      <c r="A560" s="7" t="s">
        <v>788</v>
      </c>
      <c r="B560" s="7" t="s">
        <v>75</v>
      </c>
      <c r="C560" s="10" t="s">
        <v>67</v>
      </c>
      <c r="D560" s="8" t="s">
        <v>28</v>
      </c>
    </row>
    <row r="561" customFormat="false" ht="15" hidden="false" customHeight="false" outlineLevel="0" collapsed="false">
      <c r="A561" s="7" t="s">
        <v>789</v>
      </c>
      <c r="B561" s="7" t="s">
        <v>77</v>
      </c>
      <c r="C561" s="10" t="s">
        <v>67</v>
      </c>
      <c r="D561" s="8" t="s">
        <v>46</v>
      </c>
    </row>
    <row r="562" customFormat="false" ht="15" hidden="false" customHeight="false" outlineLevel="0" collapsed="false">
      <c r="A562" s="7" t="s">
        <v>790</v>
      </c>
      <c r="B562" s="7" t="s">
        <v>55</v>
      </c>
      <c r="C562" s="10" t="s">
        <v>67</v>
      </c>
      <c r="D562" s="8" t="s">
        <v>46</v>
      </c>
    </row>
    <row r="563" customFormat="false" ht="15" hidden="false" customHeight="false" outlineLevel="0" collapsed="false">
      <c r="A563" s="7" t="s">
        <v>791</v>
      </c>
      <c r="B563" s="7" t="s">
        <v>55</v>
      </c>
      <c r="C563" s="10" t="s">
        <v>67</v>
      </c>
      <c r="D563" s="8" t="s">
        <v>46</v>
      </c>
    </row>
    <row r="564" customFormat="false" ht="15" hidden="false" customHeight="false" outlineLevel="0" collapsed="false">
      <c r="A564" s="7" t="s">
        <v>792</v>
      </c>
      <c r="B564" s="7" t="s">
        <v>60</v>
      </c>
      <c r="C564" s="10" t="s">
        <v>67</v>
      </c>
      <c r="D564" s="8" t="s">
        <v>46</v>
      </c>
    </row>
    <row r="565" customFormat="false" ht="15" hidden="false" customHeight="false" outlineLevel="0" collapsed="false">
      <c r="A565" s="7" t="s">
        <v>793</v>
      </c>
      <c r="B565" s="7" t="s">
        <v>55</v>
      </c>
      <c r="C565" s="10" t="s">
        <v>67</v>
      </c>
      <c r="D565" s="8" t="s">
        <v>46</v>
      </c>
    </row>
    <row r="566" customFormat="false" ht="15" hidden="false" customHeight="false" outlineLevel="0" collapsed="false">
      <c r="A566" s="7" t="s">
        <v>794</v>
      </c>
      <c r="B566" s="7" t="s">
        <v>27</v>
      </c>
      <c r="C566" s="14" t="s">
        <v>29</v>
      </c>
      <c r="D566" s="8" t="s">
        <v>28</v>
      </c>
    </row>
    <row r="567" customFormat="false" ht="15" hidden="false" customHeight="false" outlineLevel="0" collapsed="false">
      <c r="A567" s="7" t="s">
        <v>794</v>
      </c>
      <c r="B567" s="7" t="s">
        <v>53</v>
      </c>
      <c r="C567" s="14" t="s">
        <v>29</v>
      </c>
      <c r="D567" s="8" t="s">
        <v>28</v>
      </c>
    </row>
    <row r="568" customFormat="false" ht="15" hidden="false" customHeight="false" outlineLevel="0" collapsed="false">
      <c r="A568" s="7" t="s">
        <v>795</v>
      </c>
      <c r="B568" s="7" t="s">
        <v>58</v>
      </c>
      <c r="C568" s="10" t="s">
        <v>67</v>
      </c>
      <c r="D568" s="8" t="s">
        <v>46</v>
      </c>
    </row>
    <row r="569" customFormat="false" ht="15" hidden="false" customHeight="false" outlineLevel="0" collapsed="false">
      <c r="A569" s="7" t="s">
        <v>796</v>
      </c>
      <c r="B569" s="7" t="s">
        <v>58</v>
      </c>
      <c r="C569" s="14" t="s">
        <v>29</v>
      </c>
      <c r="D569" s="8" t="s">
        <v>46</v>
      </c>
    </row>
    <row r="570" customFormat="false" ht="15" hidden="false" customHeight="false" outlineLevel="0" collapsed="false">
      <c r="A570" s="7" t="s">
        <v>797</v>
      </c>
      <c r="B570" s="7" t="s">
        <v>58</v>
      </c>
      <c r="C570" s="10" t="s">
        <v>67</v>
      </c>
      <c r="D570" s="8" t="s">
        <v>46</v>
      </c>
    </row>
    <row r="571" customFormat="false" ht="15" hidden="false" customHeight="false" outlineLevel="0" collapsed="false">
      <c r="A571" s="7" t="s">
        <v>798</v>
      </c>
      <c r="B571" s="7" t="s">
        <v>89</v>
      </c>
      <c r="C571" s="10" t="s">
        <v>67</v>
      </c>
      <c r="D571" s="8" t="s">
        <v>87</v>
      </c>
    </row>
    <row r="572" customFormat="false" ht="15" hidden="false" customHeight="false" outlineLevel="0" collapsed="false">
      <c r="A572" s="7" t="s">
        <v>799</v>
      </c>
      <c r="B572" s="7" t="s">
        <v>58</v>
      </c>
      <c r="C572" s="14" t="s">
        <v>29</v>
      </c>
      <c r="D572" s="8" t="s">
        <v>46</v>
      </c>
    </row>
    <row r="573" customFormat="false" ht="15" hidden="false" customHeight="false" outlineLevel="0" collapsed="false">
      <c r="A573" s="7" t="s">
        <v>134</v>
      </c>
      <c r="B573" s="7" t="s">
        <v>53</v>
      </c>
      <c r="C573" s="14" t="s">
        <v>29</v>
      </c>
      <c r="D573" s="8" t="s">
        <v>28</v>
      </c>
    </row>
    <row r="574" customFormat="false" ht="15" hidden="false" customHeight="false" outlineLevel="0" collapsed="false">
      <c r="A574" s="7" t="s">
        <v>134</v>
      </c>
      <c r="B574" s="7" t="s">
        <v>58</v>
      </c>
      <c r="C574" s="10" t="s">
        <v>67</v>
      </c>
      <c r="D574" s="8" t="s">
        <v>46</v>
      </c>
    </row>
    <row r="575" customFormat="false" ht="15" hidden="false" customHeight="false" outlineLevel="0" collapsed="false">
      <c r="A575" s="7" t="s">
        <v>134</v>
      </c>
      <c r="B575" s="7" t="s">
        <v>47</v>
      </c>
      <c r="C575" s="14" t="s">
        <v>29</v>
      </c>
      <c r="D575" s="8" t="s">
        <v>46</v>
      </c>
    </row>
    <row r="576" customFormat="false" ht="15" hidden="false" customHeight="false" outlineLevel="0" collapsed="false">
      <c r="A576" s="7" t="s">
        <v>800</v>
      </c>
      <c r="B576" s="7" t="s">
        <v>58</v>
      </c>
      <c r="C576" s="14" t="s">
        <v>29</v>
      </c>
      <c r="D576" s="8" t="s">
        <v>46</v>
      </c>
    </row>
    <row r="577" customFormat="false" ht="15" hidden="false" customHeight="false" outlineLevel="0" collapsed="false">
      <c r="A577" s="7" t="s">
        <v>801</v>
      </c>
      <c r="B577" s="7" t="s">
        <v>55</v>
      </c>
      <c r="C577" s="10" t="s">
        <v>67</v>
      </c>
      <c r="D577" s="8" t="s">
        <v>46</v>
      </c>
    </row>
    <row r="578" customFormat="false" ht="15" hidden="false" customHeight="false" outlineLevel="0" collapsed="false">
      <c r="A578" s="7" t="s">
        <v>802</v>
      </c>
      <c r="B578" s="7" t="s">
        <v>55</v>
      </c>
      <c r="C578" s="10" t="s">
        <v>67</v>
      </c>
      <c r="D578" s="8" t="s">
        <v>46</v>
      </c>
    </row>
    <row r="579" customFormat="false" ht="15" hidden="false" customHeight="false" outlineLevel="0" collapsed="false">
      <c r="A579" s="7" t="s">
        <v>803</v>
      </c>
      <c r="B579" s="7" t="s">
        <v>60</v>
      </c>
      <c r="C579" s="10" t="s">
        <v>67</v>
      </c>
      <c r="D579" s="8" t="s">
        <v>46</v>
      </c>
    </row>
    <row r="580" customFormat="false" ht="15" hidden="false" customHeight="false" outlineLevel="0" collapsed="false">
      <c r="A580" s="7" t="s">
        <v>804</v>
      </c>
      <c r="B580" s="7" t="s">
        <v>58</v>
      </c>
      <c r="C580" s="10" t="s">
        <v>67</v>
      </c>
      <c r="D580" s="8" t="s">
        <v>46</v>
      </c>
    </row>
    <row r="581" customFormat="false" ht="15" hidden="false" customHeight="false" outlineLevel="0" collapsed="false">
      <c r="A581" s="7" t="s">
        <v>805</v>
      </c>
      <c r="B581" s="7" t="s">
        <v>58</v>
      </c>
      <c r="C581" s="14" t="s">
        <v>29</v>
      </c>
      <c r="D581" s="8" t="s">
        <v>46</v>
      </c>
    </row>
    <row r="582" customFormat="false" ht="15" hidden="false" customHeight="false" outlineLevel="0" collapsed="false">
      <c r="A582" s="7" t="s">
        <v>806</v>
      </c>
      <c r="B582" s="7" t="s">
        <v>58</v>
      </c>
      <c r="C582" s="10" t="s">
        <v>67</v>
      </c>
      <c r="D582" s="8" t="s">
        <v>46</v>
      </c>
    </row>
    <row r="583" customFormat="false" ht="15" hidden="false" customHeight="false" outlineLevel="0" collapsed="false">
      <c r="A583" s="7" t="s">
        <v>807</v>
      </c>
      <c r="B583" s="7" t="s">
        <v>58</v>
      </c>
      <c r="C583" s="14" t="s">
        <v>29</v>
      </c>
      <c r="D583" s="8" t="s">
        <v>46</v>
      </c>
    </row>
    <row r="584" customFormat="false" ht="15" hidden="false" customHeight="false" outlineLevel="0" collapsed="false">
      <c r="A584" s="7" t="s">
        <v>808</v>
      </c>
      <c r="B584" s="7" t="s">
        <v>55</v>
      </c>
      <c r="C584" s="10" t="s">
        <v>67</v>
      </c>
      <c r="D584" s="8" t="s">
        <v>46</v>
      </c>
    </row>
    <row r="585" customFormat="false" ht="15" hidden="false" customHeight="false" outlineLevel="0" collapsed="false">
      <c r="A585" s="7" t="s">
        <v>809</v>
      </c>
      <c r="B585" s="7" t="s">
        <v>75</v>
      </c>
      <c r="C585" s="10" t="s">
        <v>67</v>
      </c>
      <c r="D585" s="8" t="s">
        <v>28</v>
      </c>
    </row>
    <row r="586" customFormat="false" ht="15" hidden="false" customHeight="false" outlineLevel="0" collapsed="false">
      <c r="A586" s="7" t="s">
        <v>810</v>
      </c>
      <c r="B586" s="7" t="s">
        <v>77</v>
      </c>
      <c r="C586" s="10" t="s">
        <v>67</v>
      </c>
      <c r="D586" s="8" t="s">
        <v>46</v>
      </c>
    </row>
    <row r="587" customFormat="false" ht="15" hidden="false" customHeight="false" outlineLevel="0" collapsed="false">
      <c r="A587" s="7" t="s">
        <v>811</v>
      </c>
      <c r="B587" s="7" t="s">
        <v>77</v>
      </c>
      <c r="C587" s="10" t="s">
        <v>67</v>
      </c>
      <c r="D587" s="8" t="s">
        <v>46</v>
      </c>
    </row>
    <row r="588" customFormat="false" ht="15" hidden="false" customHeight="false" outlineLevel="0" collapsed="false">
      <c r="A588" s="7" t="s">
        <v>812</v>
      </c>
      <c r="B588" s="7" t="s">
        <v>55</v>
      </c>
      <c r="C588" s="10" t="s">
        <v>67</v>
      </c>
      <c r="D588" s="8" t="s">
        <v>46</v>
      </c>
    </row>
    <row r="589" customFormat="false" ht="15" hidden="false" customHeight="false" outlineLevel="0" collapsed="false">
      <c r="A589" s="7" t="s">
        <v>813</v>
      </c>
      <c r="B589" s="7" t="s">
        <v>77</v>
      </c>
      <c r="C589" s="10" t="s">
        <v>67</v>
      </c>
      <c r="D589" s="8" t="s">
        <v>46</v>
      </c>
    </row>
    <row r="590" customFormat="false" ht="15" hidden="false" customHeight="false" outlineLevel="0" collapsed="false">
      <c r="A590" s="7" t="s">
        <v>814</v>
      </c>
      <c r="B590" s="7" t="s">
        <v>77</v>
      </c>
      <c r="C590" s="10" t="s">
        <v>67</v>
      </c>
      <c r="D590" s="8" t="s">
        <v>46</v>
      </c>
    </row>
    <row r="591" customFormat="false" ht="15" hidden="false" customHeight="false" outlineLevel="0" collapsed="false">
      <c r="A591" s="7" t="s">
        <v>815</v>
      </c>
      <c r="B591" s="7" t="s">
        <v>77</v>
      </c>
      <c r="C591" s="10" t="s">
        <v>67</v>
      </c>
      <c r="D591" s="8" t="s">
        <v>46</v>
      </c>
    </row>
    <row r="592" customFormat="false" ht="15" hidden="false" customHeight="false" outlineLevel="0" collapsed="false">
      <c r="A592" s="7" t="s">
        <v>135</v>
      </c>
      <c r="B592" s="7" t="s">
        <v>77</v>
      </c>
      <c r="C592" s="10" t="s">
        <v>67</v>
      </c>
      <c r="D592" s="8" t="s">
        <v>46</v>
      </c>
    </row>
    <row r="593" customFormat="false" ht="15" hidden="false" customHeight="false" outlineLevel="0" collapsed="false">
      <c r="A593" s="7" t="s">
        <v>816</v>
      </c>
      <c r="B593" s="7" t="s">
        <v>97</v>
      </c>
      <c r="C593" s="14" t="s">
        <v>29</v>
      </c>
      <c r="D593" s="8" t="s">
        <v>87</v>
      </c>
    </row>
    <row r="594" customFormat="false" ht="15" hidden="false" customHeight="false" outlineLevel="0" collapsed="false">
      <c r="A594" s="7" t="s">
        <v>817</v>
      </c>
      <c r="B594" s="7" t="s">
        <v>75</v>
      </c>
      <c r="C594" s="10" t="s">
        <v>67</v>
      </c>
      <c r="D594" s="8" t="s">
        <v>28</v>
      </c>
    </row>
    <row r="595" customFormat="false" ht="15" hidden="false" customHeight="false" outlineLevel="0" collapsed="false">
      <c r="A595" s="7" t="s">
        <v>817</v>
      </c>
      <c r="B595" s="7" t="s">
        <v>80</v>
      </c>
      <c r="C595" s="10" t="s">
        <v>67</v>
      </c>
      <c r="D595" s="8" t="s">
        <v>38</v>
      </c>
    </row>
    <row r="596" customFormat="false" ht="15" hidden="false" customHeight="false" outlineLevel="0" collapsed="false">
      <c r="A596" s="7" t="s">
        <v>817</v>
      </c>
      <c r="B596" s="7" t="s">
        <v>77</v>
      </c>
      <c r="C596" s="10" t="s">
        <v>67</v>
      </c>
      <c r="D596" s="8" t="s">
        <v>46</v>
      </c>
    </row>
    <row r="597" customFormat="false" ht="15" hidden="false" customHeight="false" outlineLevel="0" collapsed="false">
      <c r="A597" s="7" t="s">
        <v>818</v>
      </c>
      <c r="B597" s="7" t="s">
        <v>77</v>
      </c>
      <c r="C597" s="10" t="s">
        <v>67</v>
      </c>
      <c r="D597" s="8" t="s">
        <v>46</v>
      </c>
    </row>
    <row r="598" customFormat="false" ht="15" hidden="false" customHeight="false" outlineLevel="0" collapsed="false">
      <c r="A598" s="7" t="s">
        <v>819</v>
      </c>
      <c r="B598" s="7" t="s">
        <v>77</v>
      </c>
      <c r="C598" s="10" t="s">
        <v>67</v>
      </c>
      <c r="D598" s="8" t="s">
        <v>46</v>
      </c>
    </row>
    <row r="599" customFormat="false" ht="15" hidden="false" customHeight="false" outlineLevel="0" collapsed="false">
      <c r="A599" s="7" t="s">
        <v>820</v>
      </c>
      <c r="B599" s="7" t="s">
        <v>80</v>
      </c>
      <c r="C599" s="10" t="s">
        <v>67</v>
      </c>
      <c r="D599" s="8" t="s">
        <v>38</v>
      </c>
    </row>
    <row r="600" customFormat="false" ht="15" hidden="false" customHeight="false" outlineLevel="0" collapsed="false">
      <c r="A600" s="7" t="s">
        <v>821</v>
      </c>
      <c r="B600" s="7" t="s">
        <v>97</v>
      </c>
      <c r="C600" s="14" t="s">
        <v>29</v>
      </c>
      <c r="D600" s="8" t="s">
        <v>87</v>
      </c>
    </row>
    <row r="601" customFormat="false" ht="15" hidden="false" customHeight="false" outlineLevel="0" collapsed="false">
      <c r="A601" s="7" t="s">
        <v>822</v>
      </c>
      <c r="B601" s="7" t="s">
        <v>77</v>
      </c>
      <c r="C601" s="10" t="s">
        <v>67</v>
      </c>
      <c r="D601" s="8" t="s">
        <v>46</v>
      </c>
    </row>
    <row r="602" customFormat="false" ht="15" hidden="false" customHeight="false" outlineLevel="0" collapsed="false">
      <c r="A602" s="7" t="s">
        <v>823</v>
      </c>
      <c r="B602" s="7" t="s">
        <v>97</v>
      </c>
      <c r="C602" s="14" t="s">
        <v>29</v>
      </c>
      <c r="D602" s="8" t="s">
        <v>87</v>
      </c>
    </row>
    <row r="603" customFormat="false" ht="15" hidden="false" customHeight="false" outlineLevel="0" collapsed="false">
      <c r="A603" s="7" t="s">
        <v>824</v>
      </c>
      <c r="B603" s="7" t="s">
        <v>27</v>
      </c>
      <c r="C603" s="14" t="s">
        <v>29</v>
      </c>
      <c r="D603" s="8" t="s">
        <v>28</v>
      </c>
    </row>
    <row r="604" customFormat="false" ht="15" hidden="false" customHeight="false" outlineLevel="0" collapsed="false">
      <c r="A604" s="7" t="s">
        <v>825</v>
      </c>
      <c r="B604" s="7" t="s">
        <v>58</v>
      </c>
      <c r="C604" s="10" t="s">
        <v>67</v>
      </c>
      <c r="D604" s="8" t="s">
        <v>46</v>
      </c>
    </row>
    <row r="605" customFormat="false" ht="15" hidden="false" customHeight="false" outlineLevel="0" collapsed="false">
      <c r="A605" s="7" t="s">
        <v>826</v>
      </c>
      <c r="B605" s="7" t="s">
        <v>58</v>
      </c>
      <c r="C605" s="14" t="s">
        <v>29</v>
      </c>
      <c r="D605" s="8" t="s">
        <v>46</v>
      </c>
    </row>
    <row r="606" customFormat="false" ht="15" hidden="false" customHeight="false" outlineLevel="0" collapsed="false">
      <c r="A606" s="7" t="s">
        <v>827</v>
      </c>
      <c r="B606" s="7" t="s">
        <v>58</v>
      </c>
      <c r="C606" s="10" t="s">
        <v>67</v>
      </c>
      <c r="D606" s="8" t="s">
        <v>46</v>
      </c>
    </row>
    <row r="607" customFormat="false" ht="15" hidden="false" customHeight="false" outlineLevel="0" collapsed="false">
      <c r="A607" s="7" t="s">
        <v>828</v>
      </c>
      <c r="B607" s="7" t="s">
        <v>58</v>
      </c>
      <c r="C607" s="14" t="s">
        <v>29</v>
      </c>
      <c r="D607" s="8" t="s">
        <v>46</v>
      </c>
    </row>
    <row r="608" customFormat="false" ht="15" hidden="false" customHeight="false" outlineLevel="0" collapsed="false">
      <c r="A608" s="7" t="s">
        <v>829</v>
      </c>
      <c r="B608" s="7" t="s">
        <v>58</v>
      </c>
      <c r="C608" s="10" t="s">
        <v>67</v>
      </c>
      <c r="D608" s="8" t="s">
        <v>46</v>
      </c>
    </row>
    <row r="609" customFormat="false" ht="15" hidden="false" customHeight="false" outlineLevel="0" collapsed="false">
      <c r="A609" s="7" t="s">
        <v>829</v>
      </c>
      <c r="B609" s="7" t="s">
        <v>43</v>
      </c>
      <c r="C609" s="14" t="s">
        <v>29</v>
      </c>
      <c r="D609" s="8" t="s">
        <v>38</v>
      </c>
    </row>
    <row r="610" customFormat="false" ht="15" hidden="false" customHeight="false" outlineLevel="0" collapsed="false">
      <c r="A610" s="7" t="s">
        <v>830</v>
      </c>
      <c r="B610" s="7" t="s">
        <v>82</v>
      </c>
      <c r="C610" s="10" t="s">
        <v>67</v>
      </c>
      <c r="D610" s="8" t="s">
        <v>46</v>
      </c>
    </row>
    <row r="611" customFormat="false" ht="15" hidden="false" customHeight="false" outlineLevel="0" collapsed="false">
      <c r="A611" s="7" t="s">
        <v>830</v>
      </c>
      <c r="B611" s="7" t="s">
        <v>53</v>
      </c>
      <c r="C611" s="14" t="s">
        <v>29</v>
      </c>
      <c r="D611" s="8" t="s">
        <v>28</v>
      </c>
    </row>
    <row r="612" customFormat="false" ht="15" hidden="false" customHeight="false" outlineLevel="0" collapsed="false">
      <c r="A612" s="7" t="s">
        <v>830</v>
      </c>
      <c r="B612" s="7" t="s">
        <v>47</v>
      </c>
      <c r="C612" s="14" t="s">
        <v>29</v>
      </c>
      <c r="D612" s="8" t="s">
        <v>46</v>
      </c>
    </row>
    <row r="613" customFormat="false" ht="15" hidden="false" customHeight="false" outlineLevel="0" collapsed="false">
      <c r="A613" s="7" t="s">
        <v>831</v>
      </c>
      <c r="B613" s="7" t="s">
        <v>89</v>
      </c>
      <c r="C613" s="10" t="s">
        <v>67</v>
      </c>
      <c r="D613" s="8" t="s">
        <v>87</v>
      </c>
    </row>
    <row r="614" customFormat="false" ht="15" hidden="false" customHeight="false" outlineLevel="0" collapsed="false">
      <c r="A614" s="7" t="s">
        <v>832</v>
      </c>
      <c r="B614" s="7" t="s">
        <v>43</v>
      </c>
      <c r="C614" s="14" t="s">
        <v>29</v>
      </c>
      <c r="D614" s="8" t="s">
        <v>38</v>
      </c>
    </row>
    <row r="615" customFormat="false" ht="15" hidden="false" customHeight="false" outlineLevel="0" collapsed="false">
      <c r="A615" s="7" t="s">
        <v>833</v>
      </c>
      <c r="B615" s="7" t="s">
        <v>47</v>
      </c>
      <c r="C615" s="14" t="s">
        <v>29</v>
      </c>
      <c r="D615" s="8" t="s">
        <v>46</v>
      </c>
    </row>
    <row r="616" customFormat="false" ht="15" hidden="false" customHeight="false" outlineLevel="0" collapsed="false">
      <c r="A616" s="7" t="s">
        <v>833</v>
      </c>
      <c r="B616" s="7" t="s">
        <v>43</v>
      </c>
      <c r="C616" s="14" t="s">
        <v>29</v>
      </c>
      <c r="D616" s="8" t="s">
        <v>38</v>
      </c>
    </row>
    <row r="617" customFormat="false" ht="15" hidden="false" customHeight="false" outlineLevel="0" collapsed="false">
      <c r="A617" s="7" t="s">
        <v>834</v>
      </c>
      <c r="B617" s="7" t="s">
        <v>47</v>
      </c>
      <c r="C617" s="14" t="s">
        <v>29</v>
      </c>
      <c r="D617" s="8" t="s">
        <v>46</v>
      </c>
    </row>
    <row r="618" customFormat="false" ht="15" hidden="false" customHeight="false" outlineLevel="0" collapsed="false">
      <c r="A618" s="7" t="s">
        <v>835</v>
      </c>
      <c r="B618" s="7" t="s">
        <v>27</v>
      </c>
      <c r="C618" s="14" t="s">
        <v>29</v>
      </c>
      <c r="D618" s="8" t="s">
        <v>28</v>
      </c>
    </row>
    <row r="619" customFormat="false" ht="15" hidden="false" customHeight="false" outlineLevel="0" collapsed="false">
      <c r="A619" s="7" t="s">
        <v>835</v>
      </c>
      <c r="B619" s="7" t="s">
        <v>47</v>
      </c>
      <c r="C619" s="14" t="s">
        <v>29</v>
      </c>
      <c r="D619" s="8" t="s">
        <v>46</v>
      </c>
    </row>
    <row r="620" customFormat="false" ht="15" hidden="false" customHeight="false" outlineLevel="0" collapsed="false">
      <c r="A620" s="7" t="s">
        <v>836</v>
      </c>
      <c r="B620" s="7" t="s">
        <v>47</v>
      </c>
      <c r="C620" s="14" t="s">
        <v>29</v>
      </c>
      <c r="D620" s="8" t="s">
        <v>46</v>
      </c>
    </row>
    <row r="621" customFormat="false" ht="15" hidden="false" customHeight="false" outlineLevel="0" collapsed="false">
      <c r="A621" s="7" t="s">
        <v>837</v>
      </c>
      <c r="B621" s="7" t="s">
        <v>47</v>
      </c>
      <c r="C621" s="14" t="s">
        <v>29</v>
      </c>
      <c r="D621" s="8" t="s">
        <v>46</v>
      </c>
    </row>
    <row r="622" customFormat="false" ht="15" hidden="false" customHeight="false" outlineLevel="0" collapsed="false">
      <c r="A622" s="7" t="s">
        <v>838</v>
      </c>
      <c r="B622" s="7" t="s">
        <v>47</v>
      </c>
      <c r="C622" s="14" t="s">
        <v>29</v>
      </c>
      <c r="D622" s="8" t="s">
        <v>46</v>
      </c>
    </row>
    <row r="623" customFormat="false" ht="15" hidden="false" customHeight="false" outlineLevel="0" collapsed="false">
      <c r="A623" s="7" t="s">
        <v>839</v>
      </c>
      <c r="B623" s="7" t="s">
        <v>47</v>
      </c>
      <c r="C623" s="14" t="s">
        <v>29</v>
      </c>
      <c r="D623" s="8" t="s">
        <v>46</v>
      </c>
    </row>
    <row r="624" customFormat="false" ht="15" hidden="false" customHeight="false" outlineLevel="0" collapsed="false">
      <c r="A624" s="7" t="s">
        <v>840</v>
      </c>
      <c r="B624" s="7" t="s">
        <v>47</v>
      </c>
      <c r="C624" s="14" t="s">
        <v>29</v>
      </c>
      <c r="D624" s="8" t="s">
        <v>46</v>
      </c>
    </row>
    <row r="625" customFormat="false" ht="15" hidden="false" customHeight="false" outlineLevel="0" collapsed="false">
      <c r="A625" s="7" t="s">
        <v>841</v>
      </c>
      <c r="B625" s="7" t="s">
        <v>86</v>
      </c>
      <c r="C625" s="10" t="s">
        <v>67</v>
      </c>
      <c r="D625" s="8" t="s">
        <v>87</v>
      </c>
    </row>
    <row r="626" customFormat="false" ht="15" hidden="false" customHeight="false" outlineLevel="0" collapsed="false">
      <c r="A626" s="7" t="s">
        <v>842</v>
      </c>
      <c r="B626" s="7" t="s">
        <v>55</v>
      </c>
      <c r="C626" s="14" t="s">
        <v>29</v>
      </c>
      <c r="D626" s="8" t="s">
        <v>46</v>
      </c>
    </row>
    <row r="627" customFormat="false" ht="15" hidden="false" customHeight="false" outlineLevel="0" collapsed="false">
      <c r="A627" s="7" t="s">
        <v>843</v>
      </c>
      <c r="B627" s="7" t="s">
        <v>37</v>
      </c>
      <c r="C627" s="14" t="s">
        <v>29</v>
      </c>
      <c r="D627" s="8" t="s">
        <v>38</v>
      </c>
    </row>
    <row r="628" customFormat="false" ht="15" hidden="false" customHeight="false" outlineLevel="0" collapsed="false">
      <c r="A628" s="7" t="s">
        <v>844</v>
      </c>
      <c r="B628" s="7" t="s">
        <v>53</v>
      </c>
      <c r="C628" s="14" t="s">
        <v>29</v>
      </c>
      <c r="D628" s="8" t="s">
        <v>28</v>
      </c>
    </row>
    <row r="629" customFormat="false" ht="15" hidden="false" customHeight="false" outlineLevel="0" collapsed="false">
      <c r="A629" s="7" t="s">
        <v>844</v>
      </c>
      <c r="B629" s="7" t="s">
        <v>47</v>
      </c>
      <c r="C629" s="14" t="s">
        <v>29</v>
      </c>
      <c r="D629" s="8" t="s">
        <v>46</v>
      </c>
    </row>
    <row r="630" customFormat="false" ht="15" hidden="false" customHeight="false" outlineLevel="0" collapsed="false">
      <c r="A630" s="7" t="s">
        <v>845</v>
      </c>
      <c r="B630" s="7" t="s">
        <v>47</v>
      </c>
      <c r="C630" s="14" t="s">
        <v>29</v>
      </c>
      <c r="D630" s="8" t="s">
        <v>46</v>
      </c>
    </row>
    <row r="631" customFormat="false" ht="15" hidden="false" customHeight="false" outlineLevel="0" collapsed="false">
      <c r="A631" s="7" t="s">
        <v>846</v>
      </c>
      <c r="B631" s="7" t="s">
        <v>47</v>
      </c>
      <c r="C631" s="14" t="s">
        <v>29</v>
      </c>
      <c r="D631" s="8" t="s">
        <v>46</v>
      </c>
    </row>
    <row r="632" customFormat="false" ht="15" hidden="false" customHeight="false" outlineLevel="0" collapsed="false">
      <c r="A632" s="7" t="s">
        <v>847</v>
      </c>
      <c r="B632" s="7" t="s">
        <v>41</v>
      </c>
      <c r="C632" s="14" t="s">
        <v>29</v>
      </c>
      <c r="D632" s="8" t="s">
        <v>28</v>
      </c>
    </row>
    <row r="633" customFormat="false" ht="15" hidden="false" customHeight="false" outlineLevel="0" collapsed="false">
      <c r="A633" s="7" t="s">
        <v>848</v>
      </c>
      <c r="B633" s="7" t="s">
        <v>55</v>
      </c>
      <c r="C633" s="14" t="s">
        <v>29</v>
      </c>
      <c r="D633" s="8" t="s">
        <v>46</v>
      </c>
    </row>
    <row r="634" customFormat="false" ht="15" hidden="false" customHeight="false" outlineLevel="0" collapsed="false">
      <c r="A634" s="7" t="s">
        <v>849</v>
      </c>
      <c r="B634" s="7" t="s">
        <v>37</v>
      </c>
      <c r="C634" s="14" t="s">
        <v>29</v>
      </c>
      <c r="D634" s="8" t="s">
        <v>38</v>
      </c>
    </row>
    <row r="635" customFormat="false" ht="15" hidden="false" customHeight="false" outlineLevel="0" collapsed="false">
      <c r="A635" s="7" t="s">
        <v>850</v>
      </c>
      <c r="B635" s="7" t="s">
        <v>37</v>
      </c>
      <c r="C635" s="14" t="s">
        <v>29</v>
      </c>
      <c r="D635" s="8" t="s">
        <v>38</v>
      </c>
    </row>
    <row r="636" customFormat="false" ht="15" hidden="false" customHeight="false" outlineLevel="0" collapsed="false">
      <c r="A636" s="7" t="s">
        <v>851</v>
      </c>
      <c r="B636" s="7" t="s">
        <v>62</v>
      </c>
      <c r="C636" s="14" t="s">
        <v>29</v>
      </c>
      <c r="D636" s="8" t="s">
        <v>46</v>
      </c>
    </row>
    <row r="637" customFormat="false" ht="15" hidden="false" customHeight="false" outlineLevel="0" collapsed="false">
      <c r="A637" s="7" t="s">
        <v>852</v>
      </c>
      <c r="B637" s="7" t="s">
        <v>37</v>
      </c>
      <c r="C637" s="14" t="s">
        <v>29</v>
      </c>
      <c r="D637" s="8" t="s">
        <v>38</v>
      </c>
    </row>
    <row r="638" customFormat="false" ht="15" hidden="false" customHeight="false" outlineLevel="0" collapsed="false">
      <c r="A638" s="7" t="s">
        <v>853</v>
      </c>
      <c r="B638" s="7" t="s">
        <v>60</v>
      </c>
      <c r="C638" s="14" t="s">
        <v>29</v>
      </c>
      <c r="D638" s="8" t="s">
        <v>46</v>
      </c>
    </row>
    <row r="639" customFormat="false" ht="15" hidden="false" customHeight="false" outlineLevel="0" collapsed="false">
      <c r="A639" s="7" t="s">
        <v>854</v>
      </c>
      <c r="B639" s="7" t="s">
        <v>53</v>
      </c>
      <c r="C639" s="14" t="s">
        <v>29</v>
      </c>
      <c r="D639" s="8" t="s">
        <v>28</v>
      </c>
    </row>
    <row r="640" customFormat="false" ht="15" hidden="false" customHeight="false" outlineLevel="0" collapsed="false">
      <c r="A640" s="7" t="s">
        <v>855</v>
      </c>
      <c r="B640" s="7" t="s">
        <v>27</v>
      </c>
      <c r="C640" s="14" t="s">
        <v>29</v>
      </c>
      <c r="D640" s="8" t="s">
        <v>28</v>
      </c>
    </row>
    <row r="641" customFormat="false" ht="15" hidden="false" customHeight="false" outlineLevel="0" collapsed="false">
      <c r="A641" s="7" t="s">
        <v>856</v>
      </c>
      <c r="B641" s="7" t="s">
        <v>55</v>
      </c>
      <c r="C641" s="14" t="s">
        <v>29</v>
      </c>
      <c r="D641" s="8" t="s">
        <v>46</v>
      </c>
    </row>
    <row r="642" customFormat="false" ht="15" hidden="false" customHeight="false" outlineLevel="0" collapsed="false">
      <c r="A642" s="7" t="s">
        <v>857</v>
      </c>
      <c r="B642" s="7" t="s">
        <v>47</v>
      </c>
      <c r="C642" s="14" t="s">
        <v>29</v>
      </c>
      <c r="D642" s="8" t="s">
        <v>46</v>
      </c>
    </row>
    <row r="643" customFormat="false" ht="15" hidden="false" customHeight="false" outlineLevel="0" collapsed="false">
      <c r="A643" s="7" t="s">
        <v>858</v>
      </c>
      <c r="B643" s="7" t="s">
        <v>41</v>
      </c>
      <c r="C643" s="14" t="s">
        <v>29</v>
      </c>
      <c r="D643" s="8" t="s">
        <v>28</v>
      </c>
    </row>
    <row r="644" customFormat="false" ht="15" hidden="false" customHeight="false" outlineLevel="0" collapsed="false">
      <c r="A644" s="7" t="s">
        <v>859</v>
      </c>
      <c r="B644" s="7" t="s">
        <v>27</v>
      </c>
      <c r="C644" s="14" t="s">
        <v>29</v>
      </c>
      <c r="D644" s="8" t="s">
        <v>28</v>
      </c>
    </row>
    <row r="645" customFormat="false" ht="15" hidden="false" customHeight="false" outlineLevel="0" collapsed="false">
      <c r="A645" s="7" t="s">
        <v>860</v>
      </c>
      <c r="B645" s="7" t="s">
        <v>55</v>
      </c>
      <c r="C645" s="14" t="s">
        <v>29</v>
      </c>
      <c r="D645" s="8" t="s">
        <v>46</v>
      </c>
    </row>
    <row r="646" customFormat="false" ht="15" hidden="false" customHeight="false" outlineLevel="0" collapsed="false">
      <c r="A646" s="7" t="s">
        <v>860</v>
      </c>
      <c r="B646" s="7" t="s">
        <v>37</v>
      </c>
      <c r="C646" s="14" t="s">
        <v>29</v>
      </c>
      <c r="D646" s="8" t="s">
        <v>38</v>
      </c>
    </row>
    <row r="647" customFormat="false" ht="15" hidden="false" customHeight="false" outlineLevel="0" collapsed="false">
      <c r="A647" s="7" t="s">
        <v>861</v>
      </c>
      <c r="B647" s="7" t="s">
        <v>47</v>
      </c>
      <c r="C647" s="14" t="s">
        <v>29</v>
      </c>
      <c r="D647" s="8" t="s">
        <v>46</v>
      </c>
    </row>
    <row r="648" customFormat="false" ht="15" hidden="false" customHeight="false" outlineLevel="0" collapsed="false">
      <c r="A648" s="7" t="s">
        <v>861</v>
      </c>
      <c r="B648" s="7" t="s">
        <v>53</v>
      </c>
      <c r="C648" s="14" t="s">
        <v>29</v>
      </c>
      <c r="D648" s="8" t="s">
        <v>28</v>
      </c>
    </row>
    <row r="649" customFormat="false" ht="15" hidden="false" customHeight="false" outlineLevel="0" collapsed="false">
      <c r="A649" s="7" t="s">
        <v>862</v>
      </c>
      <c r="B649" s="7" t="s">
        <v>55</v>
      </c>
      <c r="C649" s="14" t="s">
        <v>29</v>
      </c>
      <c r="D649" s="8" t="s">
        <v>46</v>
      </c>
    </row>
    <row r="650" customFormat="false" ht="15" hidden="false" customHeight="false" outlineLevel="0" collapsed="false">
      <c r="A650" s="7" t="s">
        <v>863</v>
      </c>
      <c r="B650" s="7" t="s">
        <v>60</v>
      </c>
      <c r="C650" s="14" t="s">
        <v>29</v>
      </c>
      <c r="D650" s="8" t="s">
        <v>46</v>
      </c>
    </row>
    <row r="651" customFormat="false" ht="15" hidden="false" customHeight="false" outlineLevel="0" collapsed="false">
      <c r="A651" s="7" t="s">
        <v>864</v>
      </c>
      <c r="B651" s="7" t="s">
        <v>37</v>
      </c>
      <c r="C651" s="14" t="s">
        <v>29</v>
      </c>
      <c r="D651" s="8" t="s">
        <v>38</v>
      </c>
    </row>
    <row r="652" customFormat="false" ht="15" hidden="false" customHeight="false" outlineLevel="0" collapsed="false">
      <c r="A652" s="7" t="s">
        <v>865</v>
      </c>
      <c r="B652" s="7" t="s">
        <v>62</v>
      </c>
      <c r="C652" s="14" t="s">
        <v>29</v>
      </c>
      <c r="D652" s="8" t="s">
        <v>46</v>
      </c>
    </row>
    <row r="653" customFormat="false" ht="15" hidden="false" customHeight="false" outlineLevel="0" collapsed="false">
      <c r="A653" s="7" t="s">
        <v>865</v>
      </c>
      <c r="B653" s="7" t="s">
        <v>41</v>
      </c>
      <c r="C653" s="14" t="s">
        <v>29</v>
      </c>
      <c r="D653" s="8" t="s">
        <v>28</v>
      </c>
    </row>
    <row r="654" customFormat="false" ht="15" hidden="false" customHeight="false" outlineLevel="0" collapsed="false">
      <c r="A654" s="7" t="s">
        <v>866</v>
      </c>
      <c r="B654" s="7" t="s">
        <v>62</v>
      </c>
      <c r="C654" s="14" t="s">
        <v>29</v>
      </c>
      <c r="D654" s="8" t="s">
        <v>46</v>
      </c>
    </row>
    <row r="655" customFormat="false" ht="15" hidden="false" customHeight="false" outlineLevel="0" collapsed="false">
      <c r="A655" s="7" t="s">
        <v>867</v>
      </c>
      <c r="B655" s="7" t="s">
        <v>41</v>
      </c>
      <c r="C655" s="14" t="s">
        <v>29</v>
      </c>
      <c r="D655" s="8" t="s">
        <v>28</v>
      </c>
    </row>
    <row r="656" customFormat="false" ht="15" hidden="false" customHeight="false" outlineLevel="0" collapsed="false">
      <c r="A656" s="7" t="s">
        <v>868</v>
      </c>
      <c r="B656" s="7" t="s">
        <v>41</v>
      </c>
      <c r="C656" s="14" t="s">
        <v>29</v>
      </c>
      <c r="D656" s="8" t="s">
        <v>28</v>
      </c>
    </row>
    <row r="657" customFormat="false" ht="15" hidden="false" customHeight="false" outlineLevel="0" collapsed="false">
      <c r="A657" s="7" t="s">
        <v>869</v>
      </c>
      <c r="B657" s="7" t="s">
        <v>37</v>
      </c>
      <c r="C657" s="14" t="s">
        <v>29</v>
      </c>
      <c r="D657" s="8" t="s">
        <v>38</v>
      </c>
    </row>
    <row r="658" customFormat="false" ht="15" hidden="false" customHeight="false" outlineLevel="0" collapsed="false">
      <c r="A658" s="7" t="s">
        <v>870</v>
      </c>
      <c r="B658" s="7" t="s">
        <v>47</v>
      </c>
      <c r="C658" s="14" t="s">
        <v>29</v>
      </c>
      <c r="D658" s="8" t="s">
        <v>46</v>
      </c>
    </row>
    <row r="659" customFormat="false" ht="15" hidden="false" customHeight="false" outlineLevel="0" collapsed="false">
      <c r="A659" s="7" t="s">
        <v>871</v>
      </c>
      <c r="B659" s="7" t="s">
        <v>37</v>
      </c>
      <c r="C659" s="14" t="s">
        <v>29</v>
      </c>
      <c r="D659" s="8" t="s">
        <v>38</v>
      </c>
    </row>
    <row r="660" customFormat="false" ht="15" hidden="false" customHeight="false" outlineLevel="0" collapsed="false">
      <c r="A660" s="7" t="s">
        <v>872</v>
      </c>
      <c r="B660" s="7" t="s">
        <v>37</v>
      </c>
      <c r="C660" s="14" t="s">
        <v>29</v>
      </c>
      <c r="D660" s="8" t="s">
        <v>38</v>
      </c>
    </row>
    <row r="661" customFormat="false" ht="15" hidden="false" customHeight="false" outlineLevel="0" collapsed="false">
      <c r="A661" s="7" t="s">
        <v>873</v>
      </c>
      <c r="B661" s="7" t="s">
        <v>55</v>
      </c>
      <c r="C661" s="14" t="s">
        <v>29</v>
      </c>
      <c r="D661" s="8" t="s">
        <v>46</v>
      </c>
    </row>
    <row r="662" customFormat="false" ht="15" hidden="false" customHeight="false" outlineLevel="0" collapsed="false">
      <c r="A662" s="7" t="s">
        <v>874</v>
      </c>
      <c r="B662" s="7" t="s">
        <v>62</v>
      </c>
      <c r="C662" s="14" t="s">
        <v>29</v>
      </c>
      <c r="D662" s="8" t="s">
        <v>46</v>
      </c>
    </row>
    <row r="663" customFormat="false" ht="15" hidden="false" customHeight="false" outlineLevel="0" collapsed="false">
      <c r="A663" s="7" t="s">
        <v>875</v>
      </c>
      <c r="B663" s="7" t="s">
        <v>43</v>
      </c>
      <c r="C663" s="14" t="s">
        <v>29</v>
      </c>
      <c r="D663" s="8" t="s">
        <v>38</v>
      </c>
    </row>
    <row r="664" customFormat="false" ht="15" hidden="false" customHeight="false" outlineLevel="0" collapsed="false">
      <c r="A664" s="7" t="s">
        <v>876</v>
      </c>
      <c r="B664" s="7" t="s">
        <v>73</v>
      </c>
      <c r="C664" s="10" t="s">
        <v>67</v>
      </c>
      <c r="D664" s="8" t="s">
        <v>28</v>
      </c>
    </row>
    <row r="665" customFormat="false" ht="15" hidden="false" customHeight="false" outlineLevel="0" collapsed="false">
      <c r="A665" s="7" t="s">
        <v>877</v>
      </c>
      <c r="B665" s="7" t="s">
        <v>37</v>
      </c>
      <c r="C665" s="14" t="s">
        <v>29</v>
      </c>
      <c r="D665" s="8" t="s">
        <v>38</v>
      </c>
    </row>
    <row r="666" customFormat="false" ht="15" hidden="false" customHeight="false" outlineLevel="0" collapsed="false">
      <c r="A666" s="7" t="s">
        <v>878</v>
      </c>
      <c r="B666" s="7" t="s">
        <v>41</v>
      </c>
      <c r="C666" s="14" t="s">
        <v>29</v>
      </c>
      <c r="D666" s="8" t="s">
        <v>28</v>
      </c>
    </row>
    <row r="667" customFormat="false" ht="15" hidden="false" customHeight="false" outlineLevel="0" collapsed="false">
      <c r="A667" s="7" t="s">
        <v>878</v>
      </c>
      <c r="B667" s="7" t="s">
        <v>62</v>
      </c>
      <c r="C667" s="14" t="s">
        <v>29</v>
      </c>
      <c r="D667" s="8" t="s">
        <v>46</v>
      </c>
    </row>
    <row r="668" customFormat="false" ht="15" hidden="false" customHeight="false" outlineLevel="0" collapsed="false">
      <c r="A668" s="7" t="s">
        <v>879</v>
      </c>
      <c r="B668" s="7" t="s">
        <v>58</v>
      </c>
      <c r="C668" s="14" t="s">
        <v>29</v>
      </c>
      <c r="D668" s="8" t="s">
        <v>46</v>
      </c>
    </row>
    <row r="669" customFormat="false" ht="15" hidden="false" customHeight="false" outlineLevel="0" collapsed="false">
      <c r="A669" s="7" t="s">
        <v>880</v>
      </c>
      <c r="B669" s="7" t="s">
        <v>58</v>
      </c>
      <c r="C669" s="10" t="s">
        <v>67</v>
      </c>
      <c r="D669" s="8" t="s">
        <v>46</v>
      </c>
    </row>
    <row r="670" customFormat="false" ht="15" hidden="false" customHeight="false" outlineLevel="0" collapsed="false">
      <c r="A670" s="7" t="s">
        <v>881</v>
      </c>
      <c r="B670" s="7" t="s">
        <v>58</v>
      </c>
      <c r="C670" s="14" t="s">
        <v>29</v>
      </c>
      <c r="D670" s="8" t="s">
        <v>46</v>
      </c>
    </row>
    <row r="671" customFormat="false" ht="15" hidden="false" customHeight="false" outlineLevel="0" collapsed="false">
      <c r="A671" s="7" t="s">
        <v>882</v>
      </c>
      <c r="B671" s="7" t="s">
        <v>58</v>
      </c>
      <c r="C671" s="10" t="s">
        <v>67</v>
      </c>
      <c r="D671" s="8" t="s">
        <v>46</v>
      </c>
    </row>
    <row r="672" customFormat="false" ht="15" hidden="false" customHeight="false" outlineLevel="0" collapsed="false">
      <c r="A672" s="7" t="s">
        <v>883</v>
      </c>
      <c r="B672" s="7" t="s">
        <v>58</v>
      </c>
      <c r="C672" s="14" t="s">
        <v>29</v>
      </c>
      <c r="D672" s="8" t="s">
        <v>46</v>
      </c>
    </row>
    <row r="673" customFormat="false" ht="15" hidden="false" customHeight="false" outlineLevel="0" collapsed="false">
      <c r="A673" s="7" t="s">
        <v>884</v>
      </c>
      <c r="B673" s="7" t="s">
        <v>58</v>
      </c>
      <c r="C673" s="10" t="s">
        <v>67</v>
      </c>
      <c r="D673" s="8" t="s">
        <v>46</v>
      </c>
    </row>
    <row r="674" customFormat="false" ht="15" hidden="false" customHeight="false" outlineLevel="0" collapsed="false">
      <c r="A674" s="7" t="s">
        <v>885</v>
      </c>
      <c r="B674" s="7" t="s">
        <v>58</v>
      </c>
      <c r="C674" s="14" t="s">
        <v>29</v>
      </c>
      <c r="D674" s="8" t="s">
        <v>46</v>
      </c>
    </row>
    <row r="675" customFormat="false" ht="15" hidden="false" customHeight="false" outlineLevel="0" collapsed="false">
      <c r="A675" s="7" t="s">
        <v>886</v>
      </c>
      <c r="B675" s="7" t="s">
        <v>77</v>
      </c>
      <c r="C675" s="10" t="s">
        <v>67</v>
      </c>
      <c r="D675" s="8" t="s">
        <v>46</v>
      </c>
    </row>
    <row r="676" customFormat="false" ht="15" hidden="false" customHeight="false" outlineLevel="0" collapsed="false">
      <c r="A676" s="7" t="s">
        <v>887</v>
      </c>
      <c r="B676" s="7" t="s">
        <v>77</v>
      </c>
      <c r="C676" s="10" t="s">
        <v>67</v>
      </c>
      <c r="D676" s="8" t="s">
        <v>46</v>
      </c>
    </row>
    <row r="677" customFormat="false" ht="15" hidden="false" customHeight="false" outlineLevel="0" collapsed="false">
      <c r="A677" s="7" t="s">
        <v>888</v>
      </c>
      <c r="B677" s="7" t="s">
        <v>77</v>
      </c>
      <c r="C677" s="10" t="s">
        <v>67</v>
      </c>
      <c r="D677" s="8" t="s">
        <v>46</v>
      </c>
    </row>
    <row r="678" customFormat="false" ht="15" hidden="false" customHeight="false" outlineLevel="0" collapsed="false">
      <c r="A678" s="7" t="s">
        <v>889</v>
      </c>
      <c r="B678" s="7" t="s">
        <v>58</v>
      </c>
      <c r="C678" s="10" t="s">
        <v>67</v>
      </c>
      <c r="D678" s="8" t="s">
        <v>46</v>
      </c>
    </row>
    <row r="679" customFormat="false" ht="15" hidden="false" customHeight="false" outlineLevel="0" collapsed="false">
      <c r="A679" s="7" t="s">
        <v>890</v>
      </c>
      <c r="B679" s="7" t="s">
        <v>58</v>
      </c>
      <c r="C679" s="14" t="s">
        <v>29</v>
      </c>
      <c r="D679" s="8" t="s">
        <v>46</v>
      </c>
    </row>
    <row r="680" customFormat="false" ht="15" hidden="false" customHeight="false" outlineLevel="0" collapsed="false">
      <c r="A680" s="7" t="s">
        <v>891</v>
      </c>
      <c r="B680" s="7" t="s">
        <v>75</v>
      </c>
      <c r="C680" s="10" t="s">
        <v>67</v>
      </c>
      <c r="D680" s="8" t="s">
        <v>28</v>
      </c>
    </row>
    <row r="681" customFormat="false" ht="15" hidden="false" customHeight="false" outlineLevel="0" collapsed="false">
      <c r="A681" s="7" t="s">
        <v>892</v>
      </c>
      <c r="B681" s="7" t="s">
        <v>89</v>
      </c>
      <c r="C681" s="14" t="s">
        <v>29</v>
      </c>
      <c r="D681" s="8" t="s">
        <v>87</v>
      </c>
    </row>
    <row r="682" customFormat="false" ht="15" hidden="false" customHeight="false" outlineLevel="0" collapsed="false">
      <c r="A682" s="7" t="s">
        <v>893</v>
      </c>
      <c r="B682" s="7" t="s">
        <v>82</v>
      </c>
      <c r="C682" s="14" t="s">
        <v>29</v>
      </c>
      <c r="D682" s="8" t="s">
        <v>46</v>
      </c>
    </row>
    <row r="683" customFormat="false" ht="15" hidden="false" customHeight="false" outlineLevel="0" collapsed="false">
      <c r="A683" s="7" t="s">
        <v>894</v>
      </c>
      <c r="B683" s="7" t="s">
        <v>58</v>
      </c>
      <c r="C683" s="10" t="s">
        <v>67</v>
      </c>
      <c r="D683" s="8" t="s">
        <v>46</v>
      </c>
    </row>
    <row r="684" customFormat="false" ht="15" hidden="false" customHeight="false" outlineLevel="0" collapsed="false">
      <c r="A684" s="7" t="s">
        <v>895</v>
      </c>
      <c r="B684" s="7" t="s">
        <v>58</v>
      </c>
      <c r="C684" s="14" t="s">
        <v>29</v>
      </c>
      <c r="D684" s="8" t="s">
        <v>46</v>
      </c>
    </row>
    <row r="685" customFormat="false" ht="15" hidden="false" customHeight="false" outlineLevel="0" collapsed="false">
      <c r="A685" s="7" t="s">
        <v>896</v>
      </c>
      <c r="B685" s="7" t="s">
        <v>86</v>
      </c>
      <c r="C685" s="10" t="s">
        <v>67</v>
      </c>
      <c r="D685" s="8" t="s">
        <v>87</v>
      </c>
    </row>
    <row r="686" customFormat="false" ht="15" hidden="false" customHeight="false" outlineLevel="0" collapsed="false">
      <c r="A686" s="7" t="s">
        <v>897</v>
      </c>
      <c r="B686" s="7" t="s">
        <v>58</v>
      </c>
      <c r="C686" s="10" t="s">
        <v>67</v>
      </c>
      <c r="D686" s="8" t="s">
        <v>46</v>
      </c>
    </row>
    <row r="687" customFormat="false" ht="15" hidden="false" customHeight="false" outlineLevel="0" collapsed="false">
      <c r="A687" s="7" t="s">
        <v>898</v>
      </c>
      <c r="B687" s="7" t="s">
        <v>58</v>
      </c>
      <c r="C687" s="14" t="s">
        <v>29</v>
      </c>
      <c r="D687" s="8" t="s">
        <v>46</v>
      </c>
    </row>
    <row r="688" customFormat="false" ht="15" hidden="false" customHeight="false" outlineLevel="0" collapsed="false">
      <c r="A688" s="7" t="s">
        <v>899</v>
      </c>
      <c r="B688" s="7" t="s">
        <v>89</v>
      </c>
      <c r="C688" s="14" t="s">
        <v>29</v>
      </c>
      <c r="D688" s="8" t="s">
        <v>87</v>
      </c>
    </row>
    <row r="689" customFormat="false" ht="15" hidden="false" customHeight="false" outlineLevel="0" collapsed="false">
      <c r="A689" s="7" t="s">
        <v>900</v>
      </c>
      <c r="B689" s="7" t="s">
        <v>55</v>
      </c>
      <c r="C689" s="10" t="s">
        <v>67</v>
      </c>
      <c r="D689" s="8" t="s">
        <v>46</v>
      </c>
    </row>
    <row r="690" customFormat="false" ht="15" hidden="false" customHeight="false" outlineLevel="0" collapsed="false">
      <c r="A690" s="7" t="s">
        <v>901</v>
      </c>
      <c r="B690" s="7" t="s">
        <v>58</v>
      </c>
      <c r="C690" s="10" t="s">
        <v>67</v>
      </c>
      <c r="D690" s="8" t="s">
        <v>46</v>
      </c>
    </row>
    <row r="691" customFormat="false" ht="15" hidden="false" customHeight="false" outlineLevel="0" collapsed="false">
      <c r="A691" s="7" t="s">
        <v>902</v>
      </c>
      <c r="B691" s="7" t="s">
        <v>60</v>
      </c>
      <c r="C691" s="10" t="s">
        <v>67</v>
      </c>
      <c r="D691" s="8" t="s">
        <v>46</v>
      </c>
    </row>
    <row r="692" customFormat="false" ht="15" hidden="false" customHeight="false" outlineLevel="0" collapsed="false">
      <c r="A692" s="7" t="s">
        <v>903</v>
      </c>
      <c r="B692" s="7" t="s">
        <v>41</v>
      </c>
      <c r="C692" s="14" t="s">
        <v>29</v>
      </c>
      <c r="D692" s="8" t="s">
        <v>28</v>
      </c>
    </row>
    <row r="693" customFormat="false" ht="15" hidden="false" customHeight="false" outlineLevel="0" collapsed="false">
      <c r="A693" s="7" t="s">
        <v>904</v>
      </c>
      <c r="B693" s="7" t="s">
        <v>62</v>
      </c>
      <c r="C693" s="14" t="s">
        <v>29</v>
      </c>
      <c r="D693" s="8" t="s">
        <v>46</v>
      </c>
    </row>
    <row r="694" customFormat="false" ht="15" hidden="false" customHeight="false" outlineLevel="0" collapsed="false">
      <c r="A694" s="7" t="s">
        <v>905</v>
      </c>
      <c r="B694" s="7" t="s">
        <v>62</v>
      </c>
      <c r="C694" s="14" t="s">
        <v>29</v>
      </c>
      <c r="D694" s="8" t="s">
        <v>46</v>
      </c>
    </row>
    <row r="695" customFormat="false" ht="15" hidden="false" customHeight="false" outlineLevel="0" collapsed="false">
      <c r="A695" s="7" t="s">
        <v>906</v>
      </c>
      <c r="B695" s="7" t="s">
        <v>53</v>
      </c>
      <c r="C695" s="14" t="s">
        <v>29</v>
      </c>
      <c r="D695" s="8" t="s">
        <v>28</v>
      </c>
    </row>
    <row r="696" customFormat="false" ht="15" hidden="false" customHeight="false" outlineLevel="0" collapsed="false">
      <c r="A696" s="7" t="s">
        <v>906</v>
      </c>
      <c r="B696" s="7" t="s">
        <v>47</v>
      </c>
      <c r="C696" s="14" t="s">
        <v>29</v>
      </c>
      <c r="D696" s="8" t="s">
        <v>46</v>
      </c>
    </row>
    <row r="697" customFormat="false" ht="15" hidden="false" customHeight="false" outlineLevel="0" collapsed="false">
      <c r="A697" s="7" t="s">
        <v>907</v>
      </c>
      <c r="B697" s="7" t="s">
        <v>47</v>
      </c>
      <c r="C697" s="14" t="s">
        <v>29</v>
      </c>
      <c r="D697" s="8" t="s">
        <v>46</v>
      </c>
    </row>
    <row r="698" customFormat="false" ht="15" hidden="false" customHeight="false" outlineLevel="0" collapsed="false">
      <c r="A698" s="7" t="s">
        <v>908</v>
      </c>
      <c r="B698" s="7" t="s">
        <v>47</v>
      </c>
      <c r="C698" s="14" t="s">
        <v>29</v>
      </c>
      <c r="D698" s="8" t="s">
        <v>46</v>
      </c>
    </row>
    <row r="699" customFormat="false" ht="15" hidden="false" customHeight="false" outlineLevel="0" collapsed="false">
      <c r="A699" s="7" t="s">
        <v>908</v>
      </c>
      <c r="B699" s="7" t="s">
        <v>27</v>
      </c>
      <c r="C699" s="14" t="s">
        <v>29</v>
      </c>
      <c r="D699" s="8" t="s">
        <v>28</v>
      </c>
    </row>
    <row r="700" customFormat="false" ht="15" hidden="false" customHeight="false" outlineLevel="0" collapsed="false">
      <c r="A700" s="7" t="s">
        <v>909</v>
      </c>
      <c r="B700" s="7" t="s">
        <v>47</v>
      </c>
      <c r="C700" s="14" t="s">
        <v>29</v>
      </c>
      <c r="D700" s="8" t="s">
        <v>46</v>
      </c>
    </row>
    <row r="701" customFormat="false" ht="15" hidden="false" customHeight="false" outlineLevel="0" collapsed="false">
      <c r="A701" s="7" t="s">
        <v>910</v>
      </c>
      <c r="B701" s="7" t="s">
        <v>82</v>
      </c>
      <c r="C701" s="10" t="s">
        <v>67</v>
      </c>
      <c r="D701" s="8" t="s">
        <v>46</v>
      </c>
    </row>
    <row r="702" customFormat="false" ht="15" hidden="false" customHeight="false" outlineLevel="0" collapsed="false">
      <c r="A702" s="7" t="s">
        <v>911</v>
      </c>
      <c r="B702" s="7" t="s">
        <v>97</v>
      </c>
      <c r="C702" s="14" t="s">
        <v>29</v>
      </c>
      <c r="D702" s="8" t="s">
        <v>87</v>
      </c>
    </row>
    <row r="703" customFormat="false" ht="15" hidden="false" customHeight="false" outlineLevel="0" collapsed="false">
      <c r="A703" s="7" t="s">
        <v>912</v>
      </c>
      <c r="B703" s="7" t="s">
        <v>55</v>
      </c>
      <c r="C703" s="14" t="s">
        <v>29</v>
      </c>
      <c r="D703" s="8" t="s">
        <v>46</v>
      </c>
    </row>
    <row r="704" customFormat="false" ht="15" hidden="false" customHeight="false" outlineLevel="0" collapsed="false">
      <c r="A704" s="7" t="s">
        <v>913</v>
      </c>
      <c r="B704" s="7" t="s">
        <v>37</v>
      </c>
      <c r="C704" s="14" t="s">
        <v>29</v>
      </c>
      <c r="D704" s="8" t="s">
        <v>38</v>
      </c>
    </row>
    <row r="705" customFormat="false" ht="15" hidden="false" customHeight="false" outlineLevel="0" collapsed="false">
      <c r="A705" s="7" t="s">
        <v>914</v>
      </c>
      <c r="B705" s="7" t="s">
        <v>41</v>
      </c>
      <c r="C705" s="14" t="s">
        <v>29</v>
      </c>
      <c r="D705" s="8" t="s">
        <v>28</v>
      </c>
    </row>
    <row r="706" customFormat="false" ht="15" hidden="false" customHeight="false" outlineLevel="0" collapsed="false">
      <c r="A706" s="7" t="s">
        <v>915</v>
      </c>
      <c r="B706" s="7" t="s">
        <v>53</v>
      </c>
      <c r="C706" s="14" t="s">
        <v>29</v>
      </c>
      <c r="D706" s="8" t="s">
        <v>28</v>
      </c>
    </row>
    <row r="707" customFormat="false" ht="15" hidden="false" customHeight="false" outlineLevel="0" collapsed="false">
      <c r="A707" s="7" t="s">
        <v>915</v>
      </c>
      <c r="B707" s="7" t="s">
        <v>47</v>
      </c>
      <c r="C707" s="14" t="s">
        <v>29</v>
      </c>
      <c r="D707" s="8" t="s">
        <v>46</v>
      </c>
    </row>
    <row r="708" customFormat="false" ht="15" hidden="false" customHeight="false" outlineLevel="0" collapsed="false">
      <c r="A708" s="7" t="s">
        <v>916</v>
      </c>
      <c r="B708" s="7" t="s">
        <v>47</v>
      </c>
      <c r="C708" s="14" t="s">
        <v>29</v>
      </c>
      <c r="D708" s="8" t="s">
        <v>46</v>
      </c>
    </row>
    <row r="709" customFormat="false" ht="15" hidden="false" customHeight="false" outlineLevel="0" collapsed="false">
      <c r="A709" s="7" t="s">
        <v>916</v>
      </c>
      <c r="B709" s="7" t="s">
        <v>27</v>
      </c>
      <c r="C709" s="14" t="s">
        <v>29</v>
      </c>
      <c r="D709" s="8" t="s">
        <v>28</v>
      </c>
    </row>
    <row r="710" customFormat="false" ht="15" hidden="false" customHeight="false" outlineLevel="0" collapsed="false">
      <c r="A710" s="7" t="s">
        <v>917</v>
      </c>
      <c r="B710" s="7" t="s">
        <v>47</v>
      </c>
      <c r="C710" s="14" t="s">
        <v>29</v>
      </c>
      <c r="D710" s="8" t="s">
        <v>46</v>
      </c>
    </row>
    <row r="711" customFormat="false" ht="15" hidden="false" customHeight="false" outlineLevel="0" collapsed="false">
      <c r="A711" s="7" t="s">
        <v>918</v>
      </c>
      <c r="B711" s="7" t="s">
        <v>47</v>
      </c>
      <c r="C711" s="14" t="s">
        <v>29</v>
      </c>
      <c r="D711" s="8" t="s">
        <v>46</v>
      </c>
    </row>
    <row r="712" customFormat="false" ht="15" hidden="false" customHeight="false" outlineLevel="0" collapsed="false">
      <c r="A712" s="7" t="s">
        <v>919</v>
      </c>
      <c r="B712" s="7" t="s">
        <v>47</v>
      </c>
      <c r="C712" s="14" t="s">
        <v>29</v>
      </c>
      <c r="D712" s="8" t="s">
        <v>46</v>
      </c>
    </row>
    <row r="713" customFormat="false" ht="15" hidden="false" customHeight="false" outlineLevel="0" collapsed="false">
      <c r="A713" s="7" t="s">
        <v>920</v>
      </c>
      <c r="B713" s="7" t="s">
        <v>47</v>
      </c>
      <c r="C713" s="14" t="s">
        <v>29</v>
      </c>
      <c r="D713" s="8" t="s">
        <v>46</v>
      </c>
    </row>
    <row r="714" customFormat="false" ht="15" hidden="false" customHeight="false" outlineLevel="0" collapsed="false">
      <c r="A714" s="7" t="s">
        <v>921</v>
      </c>
      <c r="B714" s="7" t="s">
        <v>27</v>
      </c>
      <c r="C714" s="14" t="s">
        <v>29</v>
      </c>
      <c r="D714" s="8" t="s">
        <v>28</v>
      </c>
    </row>
    <row r="715" customFormat="false" ht="15" hidden="false" customHeight="false" outlineLevel="0" collapsed="false">
      <c r="A715" s="7" t="s">
        <v>922</v>
      </c>
      <c r="B715" s="7" t="s">
        <v>37</v>
      </c>
      <c r="C715" s="14" t="s">
        <v>29</v>
      </c>
      <c r="D715" s="8" t="s">
        <v>38</v>
      </c>
    </row>
    <row r="716" customFormat="false" ht="15" hidden="false" customHeight="false" outlineLevel="0" collapsed="false">
      <c r="A716" s="7" t="s">
        <v>923</v>
      </c>
      <c r="B716" s="7" t="s">
        <v>55</v>
      </c>
      <c r="C716" s="14" t="s">
        <v>29</v>
      </c>
      <c r="D716" s="8" t="s">
        <v>46</v>
      </c>
    </row>
    <row r="717" customFormat="false" ht="15" hidden="false" customHeight="false" outlineLevel="0" collapsed="false">
      <c r="A717" s="7" t="s">
        <v>924</v>
      </c>
      <c r="B717" s="7" t="s">
        <v>47</v>
      </c>
      <c r="C717" s="14" t="s">
        <v>29</v>
      </c>
      <c r="D717" s="8" t="s">
        <v>46</v>
      </c>
    </row>
    <row r="718" customFormat="false" ht="15" hidden="false" customHeight="false" outlineLevel="0" collapsed="false">
      <c r="A718" s="7" t="s">
        <v>925</v>
      </c>
      <c r="B718" s="7" t="s">
        <v>47</v>
      </c>
      <c r="C718" s="14" t="s">
        <v>29</v>
      </c>
      <c r="D718" s="8" t="s">
        <v>46</v>
      </c>
    </row>
    <row r="719" customFormat="false" ht="15" hidden="false" customHeight="false" outlineLevel="0" collapsed="false">
      <c r="A719" s="7" t="s">
        <v>926</v>
      </c>
      <c r="B719" s="7" t="s">
        <v>47</v>
      </c>
      <c r="C719" s="14" t="s">
        <v>29</v>
      </c>
      <c r="D719" s="8" t="s">
        <v>46</v>
      </c>
    </row>
    <row r="720" customFormat="false" ht="15" hidden="false" customHeight="false" outlineLevel="0" collapsed="false">
      <c r="A720" s="7" t="s">
        <v>927</v>
      </c>
      <c r="B720" s="7" t="s">
        <v>47</v>
      </c>
      <c r="C720" s="14" t="s">
        <v>29</v>
      </c>
      <c r="D720" s="8" t="s">
        <v>46</v>
      </c>
    </row>
    <row r="721" customFormat="false" ht="15" hidden="false" customHeight="false" outlineLevel="0" collapsed="false">
      <c r="A721" s="7" t="s">
        <v>928</v>
      </c>
      <c r="B721" s="7" t="s">
        <v>47</v>
      </c>
      <c r="C721" s="14" t="s">
        <v>29</v>
      </c>
      <c r="D721" s="8" t="s">
        <v>46</v>
      </c>
    </row>
    <row r="722" customFormat="false" ht="15" hidden="false" customHeight="false" outlineLevel="0" collapsed="false">
      <c r="A722" s="7" t="s">
        <v>929</v>
      </c>
      <c r="B722" s="7" t="s">
        <v>47</v>
      </c>
      <c r="C722" s="14" t="s">
        <v>29</v>
      </c>
      <c r="D722" s="8" t="s">
        <v>46</v>
      </c>
    </row>
    <row r="723" customFormat="false" ht="15" hidden="false" customHeight="false" outlineLevel="0" collapsed="false">
      <c r="A723" s="7" t="s">
        <v>930</v>
      </c>
      <c r="B723" s="7" t="s">
        <v>47</v>
      </c>
      <c r="C723" s="14" t="s">
        <v>29</v>
      </c>
      <c r="D723" s="8" t="s">
        <v>46</v>
      </c>
    </row>
    <row r="724" customFormat="false" ht="15" hidden="false" customHeight="false" outlineLevel="0" collapsed="false">
      <c r="A724" s="7" t="s">
        <v>931</v>
      </c>
      <c r="B724" s="7" t="s">
        <v>41</v>
      </c>
      <c r="C724" s="14" t="s">
        <v>29</v>
      </c>
      <c r="D724" s="8" t="s">
        <v>28</v>
      </c>
    </row>
    <row r="725" customFormat="false" ht="15" hidden="false" customHeight="false" outlineLevel="0" collapsed="false">
      <c r="A725" s="7" t="s">
        <v>932</v>
      </c>
      <c r="B725" s="7" t="s">
        <v>55</v>
      </c>
      <c r="C725" s="14" t="s">
        <v>29</v>
      </c>
      <c r="D725" s="8" t="s">
        <v>46</v>
      </c>
    </row>
    <row r="726" customFormat="false" ht="15" hidden="false" customHeight="false" outlineLevel="0" collapsed="false">
      <c r="A726" s="7" t="s">
        <v>933</v>
      </c>
      <c r="B726" s="7" t="s">
        <v>41</v>
      </c>
      <c r="C726" s="14" t="s">
        <v>29</v>
      </c>
      <c r="D726" s="8" t="s">
        <v>28</v>
      </c>
    </row>
    <row r="727" customFormat="false" ht="15" hidden="false" customHeight="false" outlineLevel="0" collapsed="false">
      <c r="A727" s="7" t="s">
        <v>934</v>
      </c>
      <c r="B727" s="7" t="s">
        <v>55</v>
      </c>
      <c r="C727" s="14" t="s">
        <v>29</v>
      </c>
      <c r="D727" s="8" t="s">
        <v>46</v>
      </c>
    </row>
    <row r="728" customFormat="false" ht="15" hidden="false" customHeight="false" outlineLevel="0" collapsed="false">
      <c r="A728" s="7" t="s">
        <v>935</v>
      </c>
      <c r="B728" s="7" t="s">
        <v>60</v>
      </c>
      <c r="C728" s="14" t="s">
        <v>29</v>
      </c>
      <c r="D728" s="8" t="s">
        <v>46</v>
      </c>
    </row>
    <row r="729" customFormat="false" ht="15" hidden="false" customHeight="false" outlineLevel="0" collapsed="false">
      <c r="A729" s="7" t="s">
        <v>936</v>
      </c>
      <c r="B729" s="7" t="s">
        <v>62</v>
      </c>
      <c r="C729" s="14" t="s">
        <v>29</v>
      </c>
      <c r="D729" s="8" t="s">
        <v>46</v>
      </c>
    </row>
    <row r="730" customFormat="false" ht="15" hidden="false" customHeight="false" outlineLevel="0" collapsed="false">
      <c r="A730" s="7" t="s">
        <v>937</v>
      </c>
      <c r="B730" s="7" t="s">
        <v>37</v>
      </c>
      <c r="C730" s="14" t="s">
        <v>29</v>
      </c>
      <c r="D730" s="8" t="s">
        <v>38</v>
      </c>
    </row>
    <row r="731" customFormat="false" ht="15" hidden="false" customHeight="false" outlineLevel="0" collapsed="false">
      <c r="A731" s="7" t="s">
        <v>938</v>
      </c>
      <c r="B731" s="7" t="s">
        <v>55</v>
      </c>
      <c r="C731" s="14" t="s">
        <v>29</v>
      </c>
      <c r="D731" s="8" t="s">
        <v>46</v>
      </c>
    </row>
    <row r="732" customFormat="false" ht="15" hidden="false" customHeight="false" outlineLevel="0" collapsed="false">
      <c r="A732" s="7" t="s">
        <v>939</v>
      </c>
      <c r="B732" s="7" t="s">
        <v>47</v>
      </c>
      <c r="C732" s="14" t="s">
        <v>29</v>
      </c>
      <c r="D732" s="8" t="s">
        <v>46</v>
      </c>
    </row>
    <row r="733" customFormat="false" ht="15" hidden="false" customHeight="false" outlineLevel="0" collapsed="false">
      <c r="A733" s="7" t="s">
        <v>940</v>
      </c>
      <c r="B733" s="7" t="s">
        <v>55</v>
      </c>
      <c r="C733" s="14" t="s">
        <v>29</v>
      </c>
      <c r="D733" s="8" t="s">
        <v>46</v>
      </c>
    </row>
    <row r="734" customFormat="false" ht="15" hidden="false" customHeight="false" outlineLevel="0" collapsed="false">
      <c r="A734" s="7" t="s">
        <v>941</v>
      </c>
      <c r="B734" s="7" t="s">
        <v>37</v>
      </c>
      <c r="C734" s="14" t="s">
        <v>29</v>
      </c>
      <c r="D734" s="8" t="s">
        <v>38</v>
      </c>
    </row>
    <row r="735" customFormat="false" ht="15" hidden="false" customHeight="false" outlineLevel="0" collapsed="false">
      <c r="A735" s="7" t="s">
        <v>942</v>
      </c>
      <c r="B735" s="7" t="s">
        <v>41</v>
      </c>
      <c r="C735" s="14" t="s">
        <v>29</v>
      </c>
      <c r="D735" s="8" t="s">
        <v>28</v>
      </c>
    </row>
    <row r="736" customFormat="false" ht="15" hidden="false" customHeight="false" outlineLevel="0" collapsed="false">
      <c r="A736" s="7" t="s">
        <v>943</v>
      </c>
      <c r="B736" s="7" t="s">
        <v>55</v>
      </c>
      <c r="C736" s="14" t="s">
        <v>29</v>
      </c>
      <c r="D736" s="8" t="s">
        <v>46</v>
      </c>
    </row>
    <row r="737" customFormat="false" ht="15" hidden="false" customHeight="false" outlineLevel="0" collapsed="false">
      <c r="A737" s="7" t="s">
        <v>944</v>
      </c>
      <c r="B737" s="7" t="s">
        <v>41</v>
      </c>
      <c r="C737" s="14" t="s">
        <v>29</v>
      </c>
      <c r="D737" s="8" t="s">
        <v>28</v>
      </c>
    </row>
    <row r="738" customFormat="false" ht="15" hidden="false" customHeight="false" outlineLevel="0" collapsed="false">
      <c r="A738" s="7" t="s">
        <v>945</v>
      </c>
      <c r="B738" s="7" t="s">
        <v>62</v>
      </c>
      <c r="C738" s="14" t="s">
        <v>29</v>
      </c>
      <c r="D738" s="8" t="s">
        <v>46</v>
      </c>
    </row>
    <row r="739" customFormat="false" ht="15" hidden="false" customHeight="false" outlineLevel="0" collapsed="false">
      <c r="A739" s="7" t="s">
        <v>946</v>
      </c>
      <c r="B739" s="7" t="s">
        <v>41</v>
      </c>
      <c r="C739" s="14" t="s">
        <v>29</v>
      </c>
      <c r="D739" s="8" t="s">
        <v>28</v>
      </c>
    </row>
    <row r="740" customFormat="false" ht="15" hidden="false" customHeight="false" outlineLevel="0" collapsed="false">
      <c r="A740" s="7" t="s">
        <v>947</v>
      </c>
      <c r="B740" s="7" t="s">
        <v>58</v>
      </c>
      <c r="C740" s="14" t="s">
        <v>29</v>
      </c>
      <c r="D740" s="8" t="s">
        <v>46</v>
      </c>
    </row>
    <row r="741" customFormat="false" ht="15" hidden="false" customHeight="false" outlineLevel="0" collapsed="false">
      <c r="A741" s="7" t="s">
        <v>948</v>
      </c>
      <c r="B741" s="7" t="s">
        <v>75</v>
      </c>
      <c r="C741" s="10" t="s">
        <v>67</v>
      </c>
      <c r="D741" s="8" t="s">
        <v>28</v>
      </c>
    </row>
    <row r="742" customFormat="false" ht="15" hidden="false" customHeight="false" outlineLevel="0" collapsed="false">
      <c r="A742" s="7" t="s">
        <v>949</v>
      </c>
      <c r="B742" s="7" t="s">
        <v>41</v>
      </c>
      <c r="C742" s="14" t="s">
        <v>29</v>
      </c>
      <c r="D742" s="8" t="s">
        <v>28</v>
      </c>
    </row>
    <row r="743" customFormat="false" ht="15" hidden="false" customHeight="false" outlineLevel="0" collapsed="false">
      <c r="A743" s="7" t="s">
        <v>949</v>
      </c>
      <c r="B743" s="7" t="s">
        <v>58</v>
      </c>
      <c r="C743" s="10" t="s">
        <v>67</v>
      </c>
      <c r="D743" s="8" t="s">
        <v>46</v>
      </c>
    </row>
    <row r="744" customFormat="false" ht="15" hidden="false" customHeight="false" outlineLevel="0" collapsed="false">
      <c r="A744" s="7" t="s">
        <v>950</v>
      </c>
      <c r="B744" s="7" t="s">
        <v>37</v>
      </c>
      <c r="C744" s="14" t="s">
        <v>29</v>
      </c>
      <c r="D744" s="8" t="s">
        <v>38</v>
      </c>
    </row>
    <row r="745" customFormat="false" ht="15" hidden="false" customHeight="false" outlineLevel="0" collapsed="false">
      <c r="A745" s="7" t="s">
        <v>951</v>
      </c>
      <c r="B745" s="7" t="s">
        <v>55</v>
      </c>
      <c r="C745" s="14" t="s">
        <v>29</v>
      </c>
      <c r="D745" s="8" t="s">
        <v>46</v>
      </c>
    </row>
    <row r="746" customFormat="false" ht="15" hidden="false" customHeight="false" outlineLevel="0" collapsed="false">
      <c r="A746" s="7" t="s">
        <v>952</v>
      </c>
      <c r="B746" s="7" t="s">
        <v>41</v>
      </c>
      <c r="C746" s="14" t="s">
        <v>29</v>
      </c>
      <c r="D746" s="8" t="s">
        <v>28</v>
      </c>
    </row>
    <row r="747" customFormat="false" ht="15" hidden="false" customHeight="false" outlineLevel="0" collapsed="false">
      <c r="A747" s="7" t="s">
        <v>952</v>
      </c>
      <c r="B747" s="7" t="s">
        <v>55</v>
      </c>
      <c r="C747" s="14" t="s">
        <v>29</v>
      </c>
      <c r="D747" s="8" t="s">
        <v>46</v>
      </c>
    </row>
    <row r="748" customFormat="false" ht="15" hidden="false" customHeight="false" outlineLevel="0" collapsed="false">
      <c r="A748" s="7" t="s">
        <v>953</v>
      </c>
      <c r="B748" s="7" t="s">
        <v>41</v>
      </c>
      <c r="C748" s="14" t="s">
        <v>29</v>
      </c>
      <c r="D748" s="8" t="s">
        <v>28</v>
      </c>
    </row>
    <row r="749" customFormat="false" ht="15" hidden="false" customHeight="false" outlineLevel="0" collapsed="false">
      <c r="A749" s="7" t="s">
        <v>953</v>
      </c>
      <c r="B749" s="7" t="s">
        <v>58</v>
      </c>
      <c r="C749" s="14" t="s">
        <v>29</v>
      </c>
      <c r="D749" s="8" t="s">
        <v>46</v>
      </c>
    </row>
    <row r="750" customFormat="false" ht="15" hidden="false" customHeight="false" outlineLevel="0" collapsed="false">
      <c r="A750" s="7" t="s">
        <v>953</v>
      </c>
      <c r="B750" s="7" t="s">
        <v>62</v>
      </c>
      <c r="C750" s="14" t="s">
        <v>29</v>
      </c>
      <c r="D750" s="8" t="s">
        <v>46</v>
      </c>
    </row>
    <row r="751" customFormat="false" ht="15" hidden="false" customHeight="false" outlineLevel="0" collapsed="false">
      <c r="A751" s="7" t="s">
        <v>954</v>
      </c>
      <c r="B751" s="7" t="s">
        <v>75</v>
      </c>
      <c r="C751" s="10" t="s">
        <v>67</v>
      </c>
      <c r="D751" s="8" t="s">
        <v>28</v>
      </c>
    </row>
    <row r="752" customFormat="false" ht="15" hidden="false" customHeight="false" outlineLevel="0" collapsed="false">
      <c r="A752" s="7" t="s">
        <v>955</v>
      </c>
      <c r="B752" s="7" t="s">
        <v>82</v>
      </c>
      <c r="C752" s="14" t="s">
        <v>29</v>
      </c>
      <c r="D752" s="8" t="s">
        <v>46</v>
      </c>
    </row>
    <row r="753" customFormat="false" ht="15" hidden="false" customHeight="false" outlineLevel="0" collapsed="false">
      <c r="A753" s="7" t="s">
        <v>956</v>
      </c>
      <c r="B753" s="7" t="s">
        <v>73</v>
      </c>
      <c r="C753" s="10" t="s">
        <v>67</v>
      </c>
      <c r="D753" s="8" t="s">
        <v>28</v>
      </c>
    </row>
    <row r="754" customFormat="false" ht="15" hidden="false" customHeight="false" outlineLevel="0" collapsed="false">
      <c r="A754" s="7" t="s">
        <v>957</v>
      </c>
      <c r="B754" s="7" t="s">
        <v>77</v>
      </c>
      <c r="C754" s="10" t="s">
        <v>67</v>
      </c>
      <c r="D754" s="8" t="s">
        <v>46</v>
      </c>
    </row>
    <row r="755" customFormat="false" ht="15" hidden="false" customHeight="false" outlineLevel="0" collapsed="false">
      <c r="A755" s="7" t="s">
        <v>958</v>
      </c>
      <c r="B755" s="7" t="s">
        <v>45</v>
      </c>
      <c r="C755" s="14" t="s">
        <v>29</v>
      </c>
      <c r="D755" s="8" t="s">
        <v>46</v>
      </c>
    </row>
    <row r="756" customFormat="false" ht="15" hidden="false" customHeight="false" outlineLevel="0" collapsed="false">
      <c r="A756" s="7" t="s">
        <v>959</v>
      </c>
      <c r="B756" s="7" t="s">
        <v>86</v>
      </c>
      <c r="C756" s="14" t="s">
        <v>29</v>
      </c>
      <c r="D756" s="8" t="s">
        <v>87</v>
      </c>
    </row>
    <row r="757" customFormat="false" ht="15" hidden="false" customHeight="false" outlineLevel="0" collapsed="false">
      <c r="A757" s="7" t="s">
        <v>959</v>
      </c>
      <c r="B757" s="7" t="s">
        <v>89</v>
      </c>
      <c r="C757" s="14" t="s">
        <v>29</v>
      </c>
      <c r="D757" s="8" t="s">
        <v>87</v>
      </c>
    </row>
    <row r="758" customFormat="false" ht="15" hidden="false" customHeight="false" outlineLevel="0" collapsed="false">
      <c r="A758" s="7" t="s">
        <v>143</v>
      </c>
      <c r="B758" s="7" t="s">
        <v>75</v>
      </c>
      <c r="C758" s="10" t="s">
        <v>67</v>
      </c>
      <c r="D758" s="8" t="s">
        <v>28</v>
      </c>
    </row>
    <row r="759" customFormat="false" ht="15" hidden="false" customHeight="false" outlineLevel="0" collapsed="false">
      <c r="A759" s="7" t="s">
        <v>960</v>
      </c>
      <c r="B759" s="7" t="s">
        <v>55</v>
      </c>
      <c r="C759" s="10" t="s">
        <v>67</v>
      </c>
      <c r="D759" s="8" t="s">
        <v>46</v>
      </c>
    </row>
    <row r="760" customFormat="false" ht="15" hidden="false" customHeight="false" outlineLevel="0" collapsed="false">
      <c r="A760" s="7" t="s">
        <v>961</v>
      </c>
      <c r="B760" s="7" t="s">
        <v>41</v>
      </c>
      <c r="C760" s="14" t="s">
        <v>29</v>
      </c>
      <c r="D760" s="8" t="s">
        <v>28</v>
      </c>
    </row>
    <row r="761" customFormat="false" ht="15" hidden="false" customHeight="false" outlineLevel="0" collapsed="false">
      <c r="A761" s="7" t="s">
        <v>962</v>
      </c>
      <c r="B761" s="7" t="s">
        <v>60</v>
      </c>
      <c r="C761" s="10" t="s">
        <v>67</v>
      </c>
      <c r="D761" s="8" t="s">
        <v>46</v>
      </c>
    </row>
    <row r="762" customFormat="false" ht="15" hidden="false" customHeight="false" outlineLevel="0" collapsed="false">
      <c r="A762" s="7" t="s">
        <v>963</v>
      </c>
      <c r="B762" s="7" t="s">
        <v>58</v>
      </c>
      <c r="C762" s="10" t="s">
        <v>67</v>
      </c>
      <c r="D762" s="8" t="s">
        <v>46</v>
      </c>
    </row>
    <row r="763" customFormat="false" ht="15" hidden="false" customHeight="false" outlineLevel="0" collapsed="false">
      <c r="A763" s="7" t="s">
        <v>963</v>
      </c>
      <c r="B763" s="7" t="s">
        <v>41</v>
      </c>
      <c r="C763" s="14" t="s">
        <v>29</v>
      </c>
      <c r="D763" s="8" t="s">
        <v>28</v>
      </c>
    </row>
    <row r="764" customFormat="false" ht="15" hidden="false" customHeight="false" outlineLevel="0" collapsed="false">
      <c r="A764" s="7" t="s">
        <v>964</v>
      </c>
      <c r="B764" s="7" t="s">
        <v>58</v>
      </c>
      <c r="C764" s="14" t="s">
        <v>29</v>
      </c>
      <c r="D764" s="8" t="s">
        <v>46</v>
      </c>
    </row>
    <row r="765" customFormat="false" ht="15" hidden="false" customHeight="false" outlineLevel="0" collapsed="false">
      <c r="A765" s="7" t="s">
        <v>965</v>
      </c>
      <c r="B765" s="7" t="s">
        <v>41</v>
      </c>
      <c r="C765" s="14" t="s">
        <v>29</v>
      </c>
      <c r="D765" s="8" t="s">
        <v>28</v>
      </c>
    </row>
    <row r="766" customFormat="false" ht="15" hidden="false" customHeight="false" outlineLevel="0" collapsed="false">
      <c r="A766" s="7" t="s">
        <v>966</v>
      </c>
      <c r="B766" s="7" t="s">
        <v>37</v>
      </c>
      <c r="C766" s="14" t="s">
        <v>29</v>
      </c>
      <c r="D766" s="8" t="s">
        <v>38</v>
      </c>
    </row>
    <row r="767" customFormat="false" ht="15" hidden="false" customHeight="false" outlineLevel="0" collapsed="false">
      <c r="A767" s="7" t="s">
        <v>966</v>
      </c>
      <c r="B767" s="7" t="s">
        <v>58</v>
      </c>
      <c r="C767" s="10" t="s">
        <v>67</v>
      </c>
      <c r="D767" s="8" t="s">
        <v>46</v>
      </c>
    </row>
    <row r="768" customFormat="false" ht="15" hidden="false" customHeight="false" outlineLevel="0" collapsed="false">
      <c r="A768" s="7" t="s">
        <v>967</v>
      </c>
      <c r="B768" s="7" t="s">
        <v>62</v>
      </c>
      <c r="C768" s="14" t="s">
        <v>29</v>
      </c>
      <c r="D768" s="8" t="s">
        <v>46</v>
      </c>
    </row>
    <row r="769" customFormat="false" ht="15" hidden="false" customHeight="false" outlineLevel="0" collapsed="false">
      <c r="A769" s="7" t="s">
        <v>967</v>
      </c>
      <c r="B769" s="7" t="s">
        <v>58</v>
      </c>
      <c r="C769" s="14" t="s">
        <v>29</v>
      </c>
      <c r="D769" s="8" t="s">
        <v>46</v>
      </c>
    </row>
    <row r="770" customFormat="false" ht="15" hidden="false" customHeight="false" outlineLevel="0" collapsed="false">
      <c r="A770" s="7" t="s">
        <v>968</v>
      </c>
      <c r="B770" s="7" t="s">
        <v>58</v>
      </c>
      <c r="C770" s="10" t="s">
        <v>67</v>
      </c>
      <c r="D770" s="8" t="s">
        <v>46</v>
      </c>
    </row>
    <row r="771" customFormat="false" ht="15" hidden="false" customHeight="false" outlineLevel="0" collapsed="false">
      <c r="A771" s="7" t="s">
        <v>969</v>
      </c>
      <c r="B771" s="7" t="s">
        <v>58</v>
      </c>
      <c r="C771" s="14" t="s">
        <v>29</v>
      </c>
      <c r="D771" s="8" t="s">
        <v>46</v>
      </c>
    </row>
    <row r="772" customFormat="false" ht="15" hidden="false" customHeight="false" outlineLevel="0" collapsed="false">
      <c r="A772" s="7" t="s">
        <v>970</v>
      </c>
      <c r="B772" s="7" t="s">
        <v>58</v>
      </c>
      <c r="C772" s="10" t="s">
        <v>67</v>
      </c>
      <c r="D772" s="8" t="s">
        <v>46</v>
      </c>
    </row>
    <row r="773" customFormat="false" ht="15" hidden="false" customHeight="false" outlineLevel="0" collapsed="false">
      <c r="A773" s="7" t="s">
        <v>971</v>
      </c>
      <c r="B773" s="7" t="s">
        <v>62</v>
      </c>
      <c r="C773" s="14" t="s">
        <v>29</v>
      </c>
      <c r="D773" s="8" t="s">
        <v>46</v>
      </c>
    </row>
    <row r="774" customFormat="false" ht="15" hidden="false" customHeight="false" outlineLevel="0" collapsed="false">
      <c r="A774" s="7" t="s">
        <v>971</v>
      </c>
      <c r="B774" s="7" t="s">
        <v>58</v>
      </c>
      <c r="C774" s="14" t="s">
        <v>29</v>
      </c>
      <c r="D774" s="8" t="s">
        <v>46</v>
      </c>
    </row>
    <row r="775" customFormat="false" ht="15" hidden="false" customHeight="false" outlineLevel="0" collapsed="false">
      <c r="A775" s="7" t="s">
        <v>972</v>
      </c>
      <c r="B775" s="7" t="s">
        <v>41</v>
      </c>
      <c r="C775" s="14" t="s">
        <v>29</v>
      </c>
      <c r="D775" s="8" t="s">
        <v>28</v>
      </c>
    </row>
    <row r="776" customFormat="false" ht="15" hidden="false" customHeight="false" outlineLevel="0" collapsed="false">
      <c r="A776" s="7" t="s">
        <v>973</v>
      </c>
      <c r="B776" s="7" t="s">
        <v>58</v>
      </c>
      <c r="C776" s="10" t="s">
        <v>67</v>
      </c>
      <c r="D776" s="8" t="s">
        <v>46</v>
      </c>
    </row>
    <row r="777" customFormat="false" ht="15" hidden="false" customHeight="false" outlineLevel="0" collapsed="false">
      <c r="A777" s="7" t="s">
        <v>974</v>
      </c>
      <c r="B777" s="7" t="s">
        <v>82</v>
      </c>
      <c r="C777" s="10" t="s">
        <v>67</v>
      </c>
      <c r="D777" s="8" t="s">
        <v>46</v>
      </c>
    </row>
    <row r="778" customFormat="false" ht="15" hidden="false" customHeight="false" outlineLevel="0" collapsed="false">
      <c r="A778" s="7" t="s">
        <v>975</v>
      </c>
      <c r="B778" s="7" t="s">
        <v>37</v>
      </c>
      <c r="C778" s="14" t="s">
        <v>29</v>
      </c>
      <c r="D778" s="8" t="s">
        <v>38</v>
      </c>
    </row>
    <row r="779" customFormat="false" ht="15" hidden="false" customHeight="false" outlineLevel="0" collapsed="false">
      <c r="A779" s="7" t="s">
        <v>976</v>
      </c>
      <c r="B779" s="7" t="s">
        <v>53</v>
      </c>
      <c r="C779" s="14" t="s">
        <v>29</v>
      </c>
      <c r="D779" s="8" t="s">
        <v>28</v>
      </c>
    </row>
    <row r="780" customFormat="false" ht="15" hidden="false" customHeight="false" outlineLevel="0" collapsed="false">
      <c r="A780" s="7" t="s">
        <v>976</v>
      </c>
      <c r="B780" s="7" t="s">
        <v>47</v>
      </c>
      <c r="C780" s="14" t="s">
        <v>29</v>
      </c>
      <c r="D780" s="8" t="s">
        <v>46</v>
      </c>
    </row>
    <row r="781" customFormat="false" ht="15" hidden="false" customHeight="false" outlineLevel="0" collapsed="false">
      <c r="A781" s="7" t="s">
        <v>977</v>
      </c>
      <c r="B781" s="7" t="s">
        <v>47</v>
      </c>
      <c r="C781" s="14" t="s">
        <v>29</v>
      </c>
      <c r="D781" s="8" t="s">
        <v>46</v>
      </c>
    </row>
    <row r="782" customFormat="false" ht="15" hidden="false" customHeight="false" outlineLevel="0" collapsed="false">
      <c r="A782" s="7" t="s">
        <v>978</v>
      </c>
      <c r="B782" s="7" t="s">
        <v>37</v>
      </c>
      <c r="C782" s="14" t="s">
        <v>29</v>
      </c>
      <c r="D782" s="8" t="s">
        <v>38</v>
      </c>
    </row>
    <row r="783" customFormat="false" ht="15" hidden="false" customHeight="false" outlineLevel="0" collapsed="false">
      <c r="A783" s="7" t="s">
        <v>978</v>
      </c>
      <c r="B783" s="7" t="s">
        <v>86</v>
      </c>
      <c r="C783" s="10" t="s">
        <v>67</v>
      </c>
      <c r="D783" s="8" t="s">
        <v>87</v>
      </c>
    </row>
    <row r="784" customFormat="false" ht="15" hidden="false" customHeight="false" outlineLevel="0" collapsed="false">
      <c r="A784" s="7" t="s">
        <v>979</v>
      </c>
      <c r="B784" s="7" t="s">
        <v>47</v>
      </c>
      <c r="C784" s="14" t="s">
        <v>29</v>
      </c>
      <c r="D784" s="8" t="s">
        <v>46</v>
      </c>
    </row>
    <row r="785" customFormat="false" ht="15" hidden="false" customHeight="false" outlineLevel="0" collapsed="false">
      <c r="A785" s="7" t="s">
        <v>980</v>
      </c>
      <c r="B785" s="7" t="s">
        <v>55</v>
      </c>
      <c r="C785" s="14" t="s">
        <v>29</v>
      </c>
      <c r="D785" s="8" t="s">
        <v>46</v>
      </c>
    </row>
    <row r="786" customFormat="false" ht="15" hidden="false" customHeight="false" outlineLevel="0" collapsed="false">
      <c r="A786" s="7" t="s">
        <v>980</v>
      </c>
      <c r="B786" s="7" t="s">
        <v>37</v>
      </c>
      <c r="C786" s="14" t="s">
        <v>29</v>
      </c>
      <c r="D786" s="8" t="s">
        <v>38</v>
      </c>
    </row>
    <row r="787" customFormat="false" ht="15" hidden="false" customHeight="false" outlineLevel="0" collapsed="false">
      <c r="A787" s="7" t="s">
        <v>981</v>
      </c>
      <c r="B787" s="7" t="s">
        <v>53</v>
      </c>
      <c r="C787" s="14" t="s">
        <v>29</v>
      </c>
      <c r="D787" s="8" t="s">
        <v>28</v>
      </c>
    </row>
    <row r="788" customFormat="false" ht="15" hidden="false" customHeight="false" outlineLevel="0" collapsed="false">
      <c r="A788" s="7" t="s">
        <v>981</v>
      </c>
      <c r="B788" s="7" t="s">
        <v>47</v>
      </c>
      <c r="C788" s="14" t="s">
        <v>29</v>
      </c>
      <c r="D788" s="8" t="s">
        <v>46</v>
      </c>
    </row>
    <row r="789" customFormat="false" ht="15" hidden="false" customHeight="false" outlineLevel="0" collapsed="false">
      <c r="A789" s="7" t="s">
        <v>982</v>
      </c>
      <c r="B789" s="7" t="s">
        <v>47</v>
      </c>
      <c r="C789" s="14" t="s">
        <v>29</v>
      </c>
      <c r="D789" s="8" t="s">
        <v>46</v>
      </c>
    </row>
    <row r="790" customFormat="false" ht="15" hidden="false" customHeight="false" outlineLevel="0" collapsed="false">
      <c r="A790" s="7" t="s">
        <v>983</v>
      </c>
      <c r="B790" s="7" t="s">
        <v>55</v>
      </c>
      <c r="C790" s="14" t="s">
        <v>29</v>
      </c>
      <c r="D790" s="8" t="s">
        <v>46</v>
      </c>
    </row>
    <row r="791" customFormat="false" ht="15" hidden="false" customHeight="false" outlineLevel="0" collapsed="false">
      <c r="A791" s="7" t="s">
        <v>984</v>
      </c>
      <c r="B791" s="7" t="s">
        <v>41</v>
      </c>
      <c r="C791" s="14" t="s">
        <v>29</v>
      </c>
      <c r="D791" s="8" t="s">
        <v>28</v>
      </c>
    </row>
    <row r="792" customFormat="false" ht="15" hidden="false" customHeight="false" outlineLevel="0" collapsed="false">
      <c r="A792" s="7" t="s">
        <v>985</v>
      </c>
      <c r="B792" s="7" t="s">
        <v>37</v>
      </c>
      <c r="C792" s="14" t="s">
        <v>29</v>
      </c>
      <c r="D792" s="8" t="s">
        <v>38</v>
      </c>
    </row>
    <row r="793" customFormat="false" ht="15" hidden="false" customHeight="false" outlineLevel="0" collapsed="false">
      <c r="A793" s="7" t="s">
        <v>986</v>
      </c>
      <c r="B793" s="7" t="s">
        <v>60</v>
      </c>
      <c r="C793" s="14" t="s">
        <v>29</v>
      </c>
      <c r="D793" s="8" t="s">
        <v>46</v>
      </c>
    </row>
    <row r="794" customFormat="false" ht="15" hidden="false" customHeight="false" outlineLevel="0" collapsed="false">
      <c r="A794" s="7" t="s">
        <v>987</v>
      </c>
      <c r="B794" s="7" t="s">
        <v>62</v>
      </c>
      <c r="C794" s="14" t="s">
        <v>29</v>
      </c>
      <c r="D794" s="8" t="s">
        <v>46</v>
      </c>
    </row>
    <row r="795" customFormat="false" ht="15" hidden="false" customHeight="false" outlineLevel="0" collapsed="false">
      <c r="A795" s="7" t="s">
        <v>988</v>
      </c>
      <c r="B795" s="7" t="s">
        <v>58</v>
      </c>
      <c r="C795" s="14" t="s">
        <v>29</v>
      </c>
      <c r="D795" s="8" t="s">
        <v>46</v>
      </c>
    </row>
    <row r="796" customFormat="false" ht="15" hidden="false" customHeight="false" outlineLevel="0" collapsed="false">
      <c r="A796" s="7" t="s">
        <v>988</v>
      </c>
      <c r="B796" s="7" t="s">
        <v>77</v>
      </c>
      <c r="C796" s="10" t="s">
        <v>67</v>
      </c>
      <c r="D796" s="8" t="s">
        <v>46</v>
      </c>
    </row>
    <row r="797" customFormat="false" ht="15" hidden="false" customHeight="false" outlineLevel="0" collapsed="false">
      <c r="A797" s="7" t="s">
        <v>989</v>
      </c>
      <c r="B797" s="7" t="s">
        <v>58</v>
      </c>
      <c r="C797" s="10" t="s">
        <v>67</v>
      </c>
      <c r="D797" s="8" t="s">
        <v>46</v>
      </c>
    </row>
    <row r="798" customFormat="false" ht="15" hidden="false" customHeight="false" outlineLevel="0" collapsed="false">
      <c r="A798" s="7" t="s">
        <v>990</v>
      </c>
      <c r="B798" s="7" t="s">
        <v>41</v>
      </c>
      <c r="C798" s="14" t="s">
        <v>29</v>
      </c>
      <c r="D798" s="8" t="s">
        <v>28</v>
      </c>
    </row>
    <row r="799" customFormat="false" ht="15" hidden="false" customHeight="false" outlineLevel="0" collapsed="false">
      <c r="A799" s="7" t="s">
        <v>991</v>
      </c>
      <c r="B799" s="7" t="s">
        <v>41</v>
      </c>
      <c r="C799" s="14" t="s">
        <v>29</v>
      </c>
      <c r="D799" s="8" t="s">
        <v>28</v>
      </c>
    </row>
    <row r="800" customFormat="false" ht="15" hidden="false" customHeight="false" outlineLevel="0" collapsed="false">
      <c r="A800" s="7" t="s">
        <v>992</v>
      </c>
      <c r="B800" s="7" t="s">
        <v>41</v>
      </c>
      <c r="C800" s="14" t="s">
        <v>29</v>
      </c>
      <c r="D800" s="8" t="s">
        <v>28</v>
      </c>
    </row>
    <row r="801" customFormat="false" ht="15" hidden="false" customHeight="false" outlineLevel="0" collapsed="false">
      <c r="A801" s="7" t="s">
        <v>993</v>
      </c>
      <c r="B801" s="7" t="s">
        <v>37</v>
      </c>
      <c r="C801" s="14" t="s">
        <v>29</v>
      </c>
      <c r="D801" s="8" t="s">
        <v>38</v>
      </c>
    </row>
    <row r="802" customFormat="false" ht="15" hidden="false" customHeight="false" outlineLevel="0" collapsed="false">
      <c r="A802" s="7" t="s">
        <v>994</v>
      </c>
      <c r="B802" s="7" t="s">
        <v>62</v>
      </c>
      <c r="C802" s="14" t="s">
        <v>29</v>
      </c>
      <c r="D802" s="8" t="s">
        <v>46</v>
      </c>
    </row>
    <row r="803" customFormat="false" ht="15" hidden="false" customHeight="false" outlineLevel="0" collapsed="false">
      <c r="A803" s="7" t="s">
        <v>995</v>
      </c>
      <c r="B803" s="7" t="s">
        <v>41</v>
      </c>
      <c r="C803" s="14" t="s">
        <v>29</v>
      </c>
      <c r="D803" s="8" t="s">
        <v>28</v>
      </c>
    </row>
    <row r="804" customFormat="false" ht="15" hidden="false" customHeight="false" outlineLevel="0" collapsed="false">
      <c r="A804" s="7" t="s">
        <v>996</v>
      </c>
      <c r="B804" s="7" t="s">
        <v>41</v>
      </c>
      <c r="C804" s="14" t="s">
        <v>29</v>
      </c>
      <c r="D804" s="8" t="s">
        <v>28</v>
      </c>
    </row>
    <row r="805" customFormat="false" ht="15" hidden="false" customHeight="false" outlineLevel="0" collapsed="false">
      <c r="A805" s="7" t="s">
        <v>997</v>
      </c>
      <c r="B805" s="7" t="s">
        <v>62</v>
      </c>
      <c r="C805" s="14" t="s">
        <v>29</v>
      </c>
      <c r="D805" s="8" t="s">
        <v>46</v>
      </c>
    </row>
    <row r="806" customFormat="false" ht="15" hidden="false" customHeight="false" outlineLevel="0" collapsed="false">
      <c r="A806" s="7" t="s">
        <v>998</v>
      </c>
      <c r="B806" s="7" t="s">
        <v>41</v>
      </c>
      <c r="C806" s="14" t="s">
        <v>29</v>
      </c>
      <c r="D806" s="8" t="s">
        <v>28</v>
      </c>
    </row>
    <row r="807" customFormat="false" ht="15" hidden="false" customHeight="false" outlineLevel="0" collapsed="false">
      <c r="A807" s="7" t="s">
        <v>999</v>
      </c>
      <c r="B807" s="7" t="s">
        <v>62</v>
      </c>
      <c r="C807" s="14" t="s">
        <v>29</v>
      </c>
      <c r="D807" s="8" t="s">
        <v>46</v>
      </c>
    </row>
    <row r="808" customFormat="false" ht="15" hidden="false" customHeight="false" outlineLevel="0" collapsed="false">
      <c r="A808" s="7" t="s">
        <v>1000</v>
      </c>
      <c r="B808" s="7" t="s">
        <v>27</v>
      </c>
      <c r="C808" s="14" t="s">
        <v>29</v>
      </c>
      <c r="D808" s="8" t="s">
        <v>28</v>
      </c>
    </row>
    <row r="809" customFormat="false" ht="15" hidden="false" customHeight="false" outlineLevel="0" collapsed="false">
      <c r="A809" s="7" t="s">
        <v>1001</v>
      </c>
      <c r="B809" s="7" t="s">
        <v>41</v>
      </c>
      <c r="C809" s="14" t="s">
        <v>29</v>
      </c>
      <c r="D809" s="8" t="s">
        <v>28</v>
      </c>
    </row>
    <row r="810" customFormat="false" ht="15" hidden="false" customHeight="false" outlineLevel="0" collapsed="false">
      <c r="A810" s="7" t="s">
        <v>1002</v>
      </c>
      <c r="B810" s="7" t="s">
        <v>27</v>
      </c>
      <c r="C810" s="14" t="s">
        <v>29</v>
      </c>
      <c r="D810" s="8" t="s">
        <v>28</v>
      </c>
    </row>
    <row r="811" customFormat="false" ht="15" hidden="false" customHeight="false" outlineLevel="0" collapsed="false">
      <c r="A811" s="7" t="s">
        <v>1003</v>
      </c>
      <c r="B811" s="7" t="s">
        <v>55</v>
      </c>
      <c r="C811" s="14" t="s">
        <v>29</v>
      </c>
      <c r="D811" s="8" t="s">
        <v>46</v>
      </c>
    </row>
    <row r="812" customFormat="false" ht="15" hidden="false" customHeight="false" outlineLevel="0" collapsed="false">
      <c r="A812" s="7" t="s">
        <v>1004</v>
      </c>
      <c r="B812" s="7" t="s">
        <v>55</v>
      </c>
      <c r="C812" s="14" t="s">
        <v>29</v>
      </c>
      <c r="D812" s="8" t="s">
        <v>46</v>
      </c>
    </row>
    <row r="813" customFormat="false" ht="15" hidden="false" customHeight="false" outlineLevel="0" collapsed="false">
      <c r="A813" s="7" t="s">
        <v>1005</v>
      </c>
      <c r="B813" s="7" t="s">
        <v>37</v>
      </c>
      <c r="C813" s="14" t="s">
        <v>29</v>
      </c>
      <c r="D813" s="8" t="s">
        <v>38</v>
      </c>
    </row>
    <row r="814" customFormat="false" ht="15" hidden="false" customHeight="false" outlineLevel="0" collapsed="false">
      <c r="A814" s="7" t="s">
        <v>1006</v>
      </c>
      <c r="B814" s="7" t="s">
        <v>55</v>
      </c>
      <c r="C814" s="14" t="s">
        <v>29</v>
      </c>
      <c r="D814" s="8" t="s">
        <v>46</v>
      </c>
    </row>
    <row r="815" customFormat="false" ht="15" hidden="false" customHeight="false" outlineLevel="0" collapsed="false">
      <c r="A815" s="7" t="s">
        <v>1007</v>
      </c>
      <c r="B815" s="7" t="s">
        <v>86</v>
      </c>
      <c r="C815" s="10" t="s">
        <v>67</v>
      </c>
      <c r="D815" s="8" t="s">
        <v>87</v>
      </c>
    </row>
    <row r="816" customFormat="false" ht="15" hidden="false" customHeight="false" outlineLevel="0" collapsed="false">
      <c r="A816" s="7" t="s">
        <v>1008</v>
      </c>
      <c r="B816" s="7" t="s">
        <v>55</v>
      </c>
      <c r="C816" s="14" t="s">
        <v>29</v>
      </c>
      <c r="D816" s="8" t="s">
        <v>46</v>
      </c>
    </row>
    <row r="817" customFormat="false" ht="15" hidden="false" customHeight="false" outlineLevel="0" collapsed="false">
      <c r="A817" s="7" t="s">
        <v>1009</v>
      </c>
      <c r="B817" s="7" t="s">
        <v>41</v>
      </c>
      <c r="C817" s="14" t="s">
        <v>29</v>
      </c>
      <c r="D817" s="8" t="s">
        <v>28</v>
      </c>
    </row>
    <row r="818" customFormat="false" ht="15" hidden="false" customHeight="false" outlineLevel="0" collapsed="false">
      <c r="A818" s="7" t="s">
        <v>1010</v>
      </c>
      <c r="B818" s="7" t="s">
        <v>60</v>
      </c>
      <c r="C818" s="14" t="s">
        <v>29</v>
      </c>
      <c r="D818" s="8" t="s">
        <v>46</v>
      </c>
    </row>
    <row r="819" customFormat="false" ht="15" hidden="false" customHeight="false" outlineLevel="0" collapsed="false">
      <c r="A819" s="7" t="s">
        <v>1011</v>
      </c>
      <c r="B819" s="7" t="s">
        <v>62</v>
      </c>
      <c r="C819" s="14" t="s">
        <v>29</v>
      </c>
      <c r="D819" s="8" t="s">
        <v>46</v>
      </c>
    </row>
    <row r="820" customFormat="false" ht="15" hidden="false" customHeight="false" outlineLevel="0" collapsed="false">
      <c r="A820" s="7" t="s">
        <v>1012</v>
      </c>
      <c r="B820" s="7" t="s">
        <v>62</v>
      </c>
      <c r="C820" s="14" t="s">
        <v>29</v>
      </c>
      <c r="D820" s="8" t="s">
        <v>46</v>
      </c>
    </row>
    <row r="821" customFormat="false" ht="15" hidden="false" customHeight="false" outlineLevel="0" collapsed="false">
      <c r="A821" s="7" t="s">
        <v>1013</v>
      </c>
      <c r="B821" s="7" t="s">
        <v>58</v>
      </c>
      <c r="C821" s="14" t="s">
        <v>29</v>
      </c>
      <c r="D821" s="8" t="s">
        <v>46</v>
      </c>
    </row>
    <row r="822" customFormat="false" ht="15" hidden="false" customHeight="false" outlineLevel="0" collapsed="false">
      <c r="A822" s="7" t="s">
        <v>1013</v>
      </c>
      <c r="B822" s="7" t="s">
        <v>62</v>
      </c>
      <c r="C822" s="14" t="s">
        <v>29</v>
      </c>
      <c r="D822" s="8" t="s">
        <v>46</v>
      </c>
    </row>
    <row r="823" customFormat="false" ht="15" hidden="false" customHeight="false" outlineLevel="0" collapsed="false">
      <c r="A823" s="7" t="s">
        <v>1014</v>
      </c>
      <c r="B823" s="7" t="s">
        <v>41</v>
      </c>
      <c r="C823" s="14" t="s">
        <v>29</v>
      </c>
      <c r="D823" s="8" t="s">
        <v>28</v>
      </c>
    </row>
    <row r="824" customFormat="false" ht="15" hidden="false" customHeight="false" outlineLevel="0" collapsed="false">
      <c r="A824" s="7" t="s">
        <v>1015</v>
      </c>
      <c r="B824" s="7" t="s">
        <v>58</v>
      </c>
      <c r="C824" s="10" t="s">
        <v>67</v>
      </c>
      <c r="D824" s="8" t="s">
        <v>46</v>
      </c>
    </row>
    <row r="825" customFormat="false" ht="15" hidden="false" customHeight="false" outlineLevel="0" collapsed="false">
      <c r="A825" s="7" t="s">
        <v>1016</v>
      </c>
      <c r="B825" s="7" t="s">
        <v>62</v>
      </c>
      <c r="C825" s="14" t="s">
        <v>29</v>
      </c>
      <c r="D825" s="8" t="s">
        <v>46</v>
      </c>
    </row>
    <row r="826" customFormat="false" ht="15" hidden="false" customHeight="false" outlineLevel="0" collapsed="false">
      <c r="A826" s="7" t="s">
        <v>1016</v>
      </c>
      <c r="B826" s="7" t="s">
        <v>58</v>
      </c>
      <c r="C826" s="14" t="s">
        <v>29</v>
      </c>
      <c r="D826" s="8" t="s">
        <v>46</v>
      </c>
    </row>
    <row r="827" customFormat="false" ht="15" hidden="false" customHeight="false" outlineLevel="0" collapsed="false">
      <c r="A827" s="7" t="s">
        <v>1017</v>
      </c>
      <c r="B827" s="7" t="s">
        <v>58</v>
      </c>
      <c r="C827" s="10" t="s">
        <v>67</v>
      </c>
      <c r="D827" s="8" t="s">
        <v>46</v>
      </c>
    </row>
    <row r="828" customFormat="false" ht="15" hidden="false" customHeight="false" outlineLevel="0" collapsed="false">
      <c r="A828" s="7" t="s">
        <v>1018</v>
      </c>
      <c r="B828" s="7" t="s">
        <v>82</v>
      </c>
      <c r="C828" s="14" t="s">
        <v>29</v>
      </c>
      <c r="D828" s="8" t="s">
        <v>46</v>
      </c>
    </row>
    <row r="829" customFormat="false" ht="15" hidden="false" customHeight="false" outlineLevel="0" collapsed="false">
      <c r="A829" s="7" t="s">
        <v>1018</v>
      </c>
      <c r="B829" s="7" t="s">
        <v>58</v>
      </c>
      <c r="C829" s="14" t="s">
        <v>29</v>
      </c>
      <c r="D829" s="8" t="s">
        <v>46</v>
      </c>
    </row>
    <row r="830" customFormat="false" ht="15" hidden="false" customHeight="false" outlineLevel="0" collapsed="false">
      <c r="A830" s="7" t="s">
        <v>1019</v>
      </c>
      <c r="B830" s="7" t="s">
        <v>58</v>
      </c>
      <c r="C830" s="10" t="s">
        <v>67</v>
      </c>
      <c r="D830" s="8" t="s">
        <v>46</v>
      </c>
    </row>
    <row r="831" customFormat="false" ht="15" hidden="false" customHeight="false" outlineLevel="0" collapsed="false">
      <c r="A831" s="7" t="s">
        <v>1020</v>
      </c>
      <c r="B831" s="7" t="s">
        <v>62</v>
      </c>
      <c r="C831" s="14" t="s">
        <v>29</v>
      </c>
      <c r="D831" s="8" t="s">
        <v>46</v>
      </c>
    </row>
    <row r="832" customFormat="false" ht="15" hidden="false" customHeight="false" outlineLevel="0" collapsed="false">
      <c r="A832" s="7" t="s">
        <v>1021</v>
      </c>
      <c r="B832" s="7" t="s">
        <v>58</v>
      </c>
      <c r="C832" s="14" t="s">
        <v>29</v>
      </c>
      <c r="D832" s="8" t="s">
        <v>46</v>
      </c>
    </row>
    <row r="833" customFormat="false" ht="15" hidden="false" customHeight="false" outlineLevel="0" collapsed="false">
      <c r="A833" s="7" t="s">
        <v>1022</v>
      </c>
      <c r="B833" s="7" t="s">
        <v>58</v>
      </c>
      <c r="C833" s="10" t="s">
        <v>67</v>
      </c>
      <c r="D833" s="8" t="s">
        <v>46</v>
      </c>
    </row>
    <row r="834" customFormat="false" ht="15" hidden="false" customHeight="false" outlineLevel="0" collapsed="false">
      <c r="A834" s="7" t="s">
        <v>1023</v>
      </c>
      <c r="B834" s="7" t="s">
        <v>58</v>
      </c>
      <c r="C834" s="14" t="s">
        <v>29</v>
      </c>
      <c r="D834" s="8" t="s">
        <v>46</v>
      </c>
    </row>
    <row r="835" customFormat="false" ht="15" hidden="false" customHeight="false" outlineLevel="0" collapsed="false">
      <c r="A835" s="7" t="s">
        <v>1023</v>
      </c>
      <c r="B835" s="7" t="s">
        <v>62</v>
      </c>
      <c r="C835" s="14" t="s">
        <v>29</v>
      </c>
      <c r="D835" s="8" t="s">
        <v>46</v>
      </c>
    </row>
    <row r="836" customFormat="false" ht="15" hidden="false" customHeight="false" outlineLevel="0" collapsed="false">
      <c r="A836" s="7" t="s">
        <v>1024</v>
      </c>
      <c r="B836" s="7" t="s">
        <v>58</v>
      </c>
      <c r="C836" s="10" t="s">
        <v>67</v>
      </c>
      <c r="D836" s="8" t="s">
        <v>46</v>
      </c>
    </row>
    <row r="837" customFormat="false" ht="15" hidden="false" customHeight="false" outlineLevel="0" collapsed="false">
      <c r="A837" s="7" t="s">
        <v>1025</v>
      </c>
      <c r="B837" s="7" t="s">
        <v>37</v>
      </c>
      <c r="C837" s="14" t="s">
        <v>29</v>
      </c>
      <c r="D837" s="8" t="s">
        <v>38</v>
      </c>
    </row>
    <row r="838" customFormat="false" ht="15" hidden="false" customHeight="false" outlineLevel="0" collapsed="false">
      <c r="A838" s="7" t="s">
        <v>1026</v>
      </c>
      <c r="B838" s="7" t="s">
        <v>82</v>
      </c>
      <c r="C838" s="10" t="s">
        <v>67</v>
      </c>
      <c r="D838" s="8" t="s">
        <v>46</v>
      </c>
    </row>
    <row r="839" customFormat="false" ht="15" hidden="false" customHeight="false" outlineLevel="0" collapsed="false">
      <c r="A839" s="7" t="s">
        <v>1027</v>
      </c>
      <c r="B839" s="7" t="s">
        <v>37</v>
      </c>
      <c r="C839" s="14" t="s">
        <v>29</v>
      </c>
      <c r="D839" s="8" t="s">
        <v>38</v>
      </c>
    </row>
    <row r="840" customFormat="false" ht="15" hidden="false" customHeight="false" outlineLevel="0" collapsed="false">
      <c r="A840" s="7" t="s">
        <v>1028</v>
      </c>
      <c r="B840" s="7" t="s">
        <v>53</v>
      </c>
      <c r="C840" s="14" t="s">
        <v>29</v>
      </c>
      <c r="D840" s="8" t="s">
        <v>28</v>
      </c>
    </row>
    <row r="841" customFormat="false" ht="15" hidden="false" customHeight="false" outlineLevel="0" collapsed="false">
      <c r="A841" s="7" t="s">
        <v>1029</v>
      </c>
      <c r="B841" s="7" t="s">
        <v>37</v>
      </c>
      <c r="C841" s="14" t="s">
        <v>29</v>
      </c>
      <c r="D841" s="8" t="s">
        <v>38</v>
      </c>
    </row>
    <row r="842" customFormat="false" ht="15" hidden="false" customHeight="false" outlineLevel="0" collapsed="false">
      <c r="A842" s="7" t="s">
        <v>1030</v>
      </c>
      <c r="B842" s="7" t="s">
        <v>47</v>
      </c>
      <c r="C842" s="14" t="s">
        <v>29</v>
      </c>
      <c r="D842" s="8" t="s">
        <v>46</v>
      </c>
    </row>
    <row r="843" customFormat="false" ht="15" hidden="false" customHeight="false" outlineLevel="0" collapsed="false">
      <c r="A843" s="7" t="s">
        <v>1031</v>
      </c>
      <c r="B843" s="7" t="s">
        <v>53</v>
      </c>
      <c r="C843" s="14" t="s">
        <v>29</v>
      </c>
      <c r="D843" s="8" t="s">
        <v>28</v>
      </c>
    </row>
    <row r="844" customFormat="false" ht="15" hidden="false" customHeight="false" outlineLevel="0" collapsed="false">
      <c r="A844" s="7" t="s">
        <v>1032</v>
      </c>
      <c r="B844" s="7" t="s">
        <v>55</v>
      </c>
      <c r="C844" s="14" t="s">
        <v>29</v>
      </c>
      <c r="D844" s="8" t="s">
        <v>46</v>
      </c>
    </row>
    <row r="845" customFormat="false" ht="15" hidden="false" customHeight="false" outlineLevel="0" collapsed="false">
      <c r="A845" s="7" t="s">
        <v>1033</v>
      </c>
      <c r="B845" s="7" t="s">
        <v>47</v>
      </c>
      <c r="C845" s="14" t="s">
        <v>29</v>
      </c>
      <c r="D845" s="8" t="s">
        <v>46</v>
      </c>
    </row>
    <row r="846" customFormat="false" ht="15" hidden="false" customHeight="false" outlineLevel="0" collapsed="false">
      <c r="A846" s="7" t="s">
        <v>1034</v>
      </c>
      <c r="B846" s="7" t="s">
        <v>47</v>
      </c>
      <c r="C846" s="14" t="s">
        <v>29</v>
      </c>
      <c r="D846" s="8" t="s">
        <v>46</v>
      </c>
    </row>
    <row r="847" customFormat="false" ht="15" hidden="false" customHeight="false" outlineLevel="0" collapsed="false">
      <c r="A847" s="7" t="s">
        <v>1035</v>
      </c>
      <c r="B847" s="7" t="s">
        <v>41</v>
      </c>
      <c r="C847" s="14" t="s">
        <v>29</v>
      </c>
      <c r="D847" s="8" t="s">
        <v>28</v>
      </c>
    </row>
    <row r="848" customFormat="false" ht="15" hidden="false" customHeight="false" outlineLevel="0" collapsed="false">
      <c r="A848" s="7" t="s">
        <v>1036</v>
      </c>
      <c r="B848" s="7" t="s">
        <v>55</v>
      </c>
      <c r="C848" s="14" t="s">
        <v>29</v>
      </c>
      <c r="D848" s="8" t="s">
        <v>46</v>
      </c>
    </row>
    <row r="849" customFormat="false" ht="15" hidden="false" customHeight="false" outlineLevel="0" collapsed="false">
      <c r="A849" s="7" t="s">
        <v>1037</v>
      </c>
      <c r="B849" s="7" t="s">
        <v>53</v>
      </c>
      <c r="C849" s="14" t="s">
        <v>29</v>
      </c>
      <c r="D849" s="8" t="s">
        <v>28</v>
      </c>
    </row>
    <row r="850" customFormat="false" ht="15" hidden="false" customHeight="false" outlineLevel="0" collapsed="false">
      <c r="A850" s="7" t="s">
        <v>1037</v>
      </c>
      <c r="B850" s="7" t="s">
        <v>47</v>
      </c>
      <c r="C850" s="14" t="s">
        <v>29</v>
      </c>
      <c r="D850" s="8" t="s">
        <v>46</v>
      </c>
    </row>
    <row r="851" customFormat="false" ht="15" hidden="false" customHeight="false" outlineLevel="0" collapsed="false">
      <c r="A851" s="7" t="s">
        <v>1038</v>
      </c>
      <c r="B851" s="7" t="s">
        <v>55</v>
      </c>
      <c r="C851" s="14" t="s">
        <v>29</v>
      </c>
      <c r="D851" s="8" t="s">
        <v>46</v>
      </c>
    </row>
    <row r="852" customFormat="false" ht="15" hidden="false" customHeight="false" outlineLevel="0" collapsed="false">
      <c r="A852" s="7" t="s">
        <v>1039</v>
      </c>
      <c r="B852" s="7" t="s">
        <v>41</v>
      </c>
      <c r="C852" s="14" t="s">
        <v>29</v>
      </c>
      <c r="D852" s="8" t="s">
        <v>28</v>
      </c>
    </row>
    <row r="853" customFormat="false" ht="15" hidden="false" customHeight="false" outlineLevel="0" collapsed="false">
      <c r="A853" s="7" t="s">
        <v>1040</v>
      </c>
      <c r="B853" s="7" t="s">
        <v>47</v>
      </c>
      <c r="C853" s="14" t="s">
        <v>29</v>
      </c>
      <c r="D853" s="8" t="s">
        <v>46</v>
      </c>
    </row>
    <row r="854" customFormat="false" ht="15" hidden="false" customHeight="false" outlineLevel="0" collapsed="false">
      <c r="A854" s="7" t="s">
        <v>1041</v>
      </c>
      <c r="B854" s="7" t="s">
        <v>47</v>
      </c>
      <c r="C854" s="14" t="s">
        <v>29</v>
      </c>
      <c r="D854" s="8" t="s">
        <v>46</v>
      </c>
    </row>
    <row r="855" customFormat="false" ht="15" hidden="false" customHeight="false" outlineLevel="0" collapsed="false">
      <c r="A855" s="7" t="s">
        <v>1042</v>
      </c>
      <c r="B855" s="7" t="s">
        <v>55</v>
      </c>
      <c r="C855" s="14" t="s">
        <v>29</v>
      </c>
      <c r="D855" s="8" t="s">
        <v>46</v>
      </c>
    </row>
    <row r="856" customFormat="false" ht="15" hidden="false" customHeight="false" outlineLevel="0" collapsed="false">
      <c r="A856" s="7" t="s">
        <v>1043</v>
      </c>
      <c r="B856" s="7" t="s">
        <v>47</v>
      </c>
      <c r="C856" s="14" t="s">
        <v>29</v>
      </c>
      <c r="D856" s="8" t="s">
        <v>46</v>
      </c>
    </row>
    <row r="857" customFormat="false" ht="15" hidden="false" customHeight="false" outlineLevel="0" collapsed="false">
      <c r="A857" s="7" t="s">
        <v>1044</v>
      </c>
      <c r="B857" s="7" t="s">
        <v>47</v>
      </c>
      <c r="C857" s="14" t="s">
        <v>29</v>
      </c>
      <c r="D857" s="8" t="s">
        <v>46</v>
      </c>
    </row>
    <row r="858" customFormat="false" ht="15" hidden="false" customHeight="false" outlineLevel="0" collapsed="false">
      <c r="A858" s="7" t="s">
        <v>1045</v>
      </c>
      <c r="B858" s="7" t="s">
        <v>55</v>
      </c>
      <c r="C858" s="14" t="s">
        <v>29</v>
      </c>
      <c r="D858" s="8" t="s">
        <v>46</v>
      </c>
    </row>
    <row r="859" customFormat="false" ht="15" hidden="false" customHeight="false" outlineLevel="0" collapsed="false">
      <c r="A859" s="7" t="s">
        <v>1046</v>
      </c>
      <c r="B859" s="7" t="s">
        <v>37</v>
      </c>
      <c r="C859" s="14" t="s">
        <v>29</v>
      </c>
      <c r="D859" s="8" t="s">
        <v>38</v>
      </c>
    </row>
    <row r="860" customFormat="false" ht="15" hidden="false" customHeight="false" outlineLevel="0" collapsed="false">
      <c r="A860" s="7" t="s">
        <v>1047</v>
      </c>
      <c r="B860" s="7" t="s">
        <v>37</v>
      </c>
      <c r="C860" s="14" t="s">
        <v>29</v>
      </c>
      <c r="D860" s="8" t="s">
        <v>38</v>
      </c>
    </row>
    <row r="861" customFormat="false" ht="15" hidden="false" customHeight="false" outlineLevel="0" collapsed="false">
      <c r="A861" s="7" t="s">
        <v>1048</v>
      </c>
      <c r="B861" s="7" t="s">
        <v>55</v>
      </c>
      <c r="C861" s="14" t="s">
        <v>29</v>
      </c>
      <c r="D861" s="8" t="s">
        <v>46</v>
      </c>
    </row>
    <row r="862" customFormat="false" ht="15" hidden="false" customHeight="false" outlineLevel="0" collapsed="false">
      <c r="A862" s="7" t="s">
        <v>1049</v>
      </c>
      <c r="B862" s="7" t="s">
        <v>41</v>
      </c>
      <c r="C862" s="14" t="s">
        <v>29</v>
      </c>
      <c r="D862" s="8" t="s">
        <v>28</v>
      </c>
    </row>
    <row r="863" customFormat="false" ht="15" hidden="false" customHeight="false" outlineLevel="0" collapsed="false">
      <c r="A863" s="7" t="s">
        <v>1049</v>
      </c>
      <c r="B863" s="7" t="s">
        <v>55</v>
      </c>
      <c r="C863" s="14" t="s">
        <v>29</v>
      </c>
      <c r="D863" s="8" t="s">
        <v>46</v>
      </c>
    </row>
    <row r="864" customFormat="false" ht="15" hidden="false" customHeight="false" outlineLevel="0" collapsed="false">
      <c r="A864" s="7" t="s">
        <v>1050</v>
      </c>
      <c r="B864" s="7" t="s">
        <v>37</v>
      </c>
      <c r="C864" s="14" t="s">
        <v>29</v>
      </c>
      <c r="D864" s="8" t="s">
        <v>38</v>
      </c>
    </row>
    <row r="865" customFormat="false" ht="15" hidden="false" customHeight="false" outlineLevel="0" collapsed="false">
      <c r="A865" s="7" t="s">
        <v>1051</v>
      </c>
      <c r="B865" s="7" t="s">
        <v>60</v>
      </c>
      <c r="C865" s="14" t="s">
        <v>29</v>
      </c>
      <c r="D865" s="8" t="s">
        <v>46</v>
      </c>
    </row>
    <row r="866" customFormat="false" ht="15" hidden="false" customHeight="false" outlineLevel="0" collapsed="false">
      <c r="A866" s="7" t="s">
        <v>1052</v>
      </c>
      <c r="B866" s="7" t="s">
        <v>47</v>
      </c>
      <c r="C866" s="14" t="s">
        <v>29</v>
      </c>
      <c r="D866" s="8" t="s">
        <v>46</v>
      </c>
    </row>
    <row r="867" customFormat="false" ht="15" hidden="false" customHeight="false" outlineLevel="0" collapsed="false">
      <c r="A867" s="7" t="s">
        <v>1053</v>
      </c>
      <c r="B867" s="7" t="s">
        <v>47</v>
      </c>
      <c r="C867" s="14" t="s">
        <v>29</v>
      </c>
      <c r="D867" s="8" t="s">
        <v>46</v>
      </c>
    </row>
    <row r="868" customFormat="false" ht="15" hidden="false" customHeight="false" outlineLevel="0" collapsed="false">
      <c r="A868" s="7" t="s">
        <v>1054</v>
      </c>
      <c r="B868" s="7" t="s">
        <v>47</v>
      </c>
      <c r="C868" s="14" t="s">
        <v>29</v>
      </c>
      <c r="D868" s="8" t="s">
        <v>46</v>
      </c>
    </row>
    <row r="869" customFormat="false" ht="15" hidden="false" customHeight="false" outlineLevel="0" collapsed="false">
      <c r="A869" s="7" t="s">
        <v>1055</v>
      </c>
      <c r="B869" s="7" t="s">
        <v>47</v>
      </c>
      <c r="C869" s="14" t="s">
        <v>29</v>
      </c>
      <c r="D869" s="8" t="s">
        <v>46</v>
      </c>
    </row>
    <row r="870" customFormat="false" ht="15" hidden="false" customHeight="false" outlineLevel="0" collapsed="false">
      <c r="A870" s="7" t="s">
        <v>1056</v>
      </c>
      <c r="B870" s="7" t="s">
        <v>27</v>
      </c>
      <c r="C870" s="14" t="s">
        <v>29</v>
      </c>
      <c r="D870" s="8" t="s">
        <v>28</v>
      </c>
    </row>
    <row r="871" customFormat="false" ht="15" hidden="false" customHeight="false" outlineLevel="0" collapsed="false">
      <c r="A871" s="7" t="s">
        <v>1056</v>
      </c>
      <c r="B871" s="7" t="s">
        <v>47</v>
      </c>
      <c r="C871" s="14" t="s">
        <v>29</v>
      </c>
      <c r="D871" s="8" t="s">
        <v>46</v>
      </c>
    </row>
    <row r="872" customFormat="false" ht="15" hidden="false" customHeight="false" outlineLevel="0" collapsed="false">
      <c r="A872" s="7" t="s">
        <v>1057</v>
      </c>
      <c r="B872" s="7" t="s">
        <v>47</v>
      </c>
      <c r="C872" s="14" t="s">
        <v>29</v>
      </c>
      <c r="D872" s="8" t="s">
        <v>46</v>
      </c>
    </row>
    <row r="873" customFormat="false" ht="15" hidden="false" customHeight="false" outlineLevel="0" collapsed="false">
      <c r="A873" s="7" t="s">
        <v>1058</v>
      </c>
      <c r="B873" s="7" t="s">
        <v>47</v>
      </c>
      <c r="C873" s="14" t="s">
        <v>29</v>
      </c>
      <c r="D873" s="8" t="s">
        <v>46</v>
      </c>
    </row>
    <row r="874" customFormat="false" ht="15" hidden="false" customHeight="false" outlineLevel="0" collapsed="false">
      <c r="A874" s="7" t="s">
        <v>1059</v>
      </c>
      <c r="B874" s="7" t="s">
        <v>55</v>
      </c>
      <c r="C874" s="14" t="s">
        <v>29</v>
      </c>
      <c r="D874" s="8" t="s">
        <v>46</v>
      </c>
    </row>
    <row r="875" customFormat="false" ht="15" hidden="false" customHeight="false" outlineLevel="0" collapsed="false">
      <c r="A875" s="7" t="s">
        <v>1060</v>
      </c>
      <c r="B875" s="7" t="s">
        <v>47</v>
      </c>
      <c r="C875" s="14" t="s">
        <v>29</v>
      </c>
      <c r="D875" s="8" t="s">
        <v>46</v>
      </c>
    </row>
    <row r="876" customFormat="false" ht="15" hidden="false" customHeight="false" outlineLevel="0" collapsed="false">
      <c r="A876" s="7" t="s">
        <v>1061</v>
      </c>
      <c r="B876" s="7" t="s">
        <v>47</v>
      </c>
      <c r="C876" s="14" t="s">
        <v>29</v>
      </c>
      <c r="D876" s="8" t="s">
        <v>46</v>
      </c>
    </row>
    <row r="877" customFormat="false" ht="15" hidden="false" customHeight="false" outlineLevel="0" collapsed="false">
      <c r="A877" s="7" t="s">
        <v>1062</v>
      </c>
      <c r="B877" s="7" t="s">
        <v>47</v>
      </c>
      <c r="C877" s="14" t="s">
        <v>29</v>
      </c>
      <c r="D877" s="8" t="s">
        <v>46</v>
      </c>
    </row>
    <row r="878" customFormat="false" ht="15" hidden="false" customHeight="false" outlineLevel="0" collapsed="false">
      <c r="A878" s="7" t="s">
        <v>1062</v>
      </c>
      <c r="B878" s="7" t="s">
        <v>86</v>
      </c>
      <c r="C878" s="14" t="s">
        <v>29</v>
      </c>
      <c r="D878" s="8" t="s">
        <v>87</v>
      </c>
    </row>
    <row r="879" customFormat="false" ht="15" hidden="false" customHeight="false" outlineLevel="0" collapsed="false">
      <c r="A879" s="7" t="s">
        <v>1063</v>
      </c>
      <c r="B879" s="7" t="s">
        <v>27</v>
      </c>
      <c r="C879" s="14" t="s">
        <v>29</v>
      </c>
      <c r="D879" s="8" t="s">
        <v>28</v>
      </c>
    </row>
    <row r="880" customFormat="false" ht="15" hidden="false" customHeight="false" outlineLevel="0" collapsed="false">
      <c r="A880" s="7" t="s">
        <v>1064</v>
      </c>
      <c r="B880" s="7" t="s">
        <v>55</v>
      </c>
      <c r="C880" s="14" t="s">
        <v>29</v>
      </c>
      <c r="D880" s="8" t="s">
        <v>46</v>
      </c>
    </row>
    <row r="881" customFormat="false" ht="15" hidden="false" customHeight="false" outlineLevel="0" collapsed="false">
      <c r="A881" s="7" t="s">
        <v>1065</v>
      </c>
      <c r="B881" s="7" t="s">
        <v>37</v>
      </c>
      <c r="C881" s="14" t="s">
        <v>29</v>
      </c>
      <c r="D881" s="8" t="s">
        <v>38</v>
      </c>
    </row>
    <row r="882" customFormat="false" ht="15" hidden="false" customHeight="false" outlineLevel="0" collapsed="false">
      <c r="A882" s="7" t="s">
        <v>1066</v>
      </c>
      <c r="B882" s="7" t="s">
        <v>55</v>
      </c>
      <c r="C882" s="14" t="s">
        <v>29</v>
      </c>
      <c r="D882" s="8" t="s">
        <v>46</v>
      </c>
    </row>
    <row r="883" customFormat="false" ht="15" hidden="false" customHeight="false" outlineLevel="0" collapsed="false">
      <c r="A883" s="7" t="s">
        <v>1067</v>
      </c>
      <c r="B883" s="7" t="s">
        <v>47</v>
      </c>
      <c r="C883" s="14" t="s">
        <v>29</v>
      </c>
      <c r="D883" s="8" t="s">
        <v>46</v>
      </c>
    </row>
    <row r="884" customFormat="false" ht="15" hidden="false" customHeight="false" outlineLevel="0" collapsed="false">
      <c r="A884" s="7" t="s">
        <v>1068</v>
      </c>
      <c r="B884" s="7" t="s">
        <v>47</v>
      </c>
      <c r="C884" s="14" t="s">
        <v>29</v>
      </c>
      <c r="D884" s="8" t="s">
        <v>46</v>
      </c>
    </row>
    <row r="885" customFormat="false" ht="15" hidden="false" customHeight="false" outlineLevel="0" collapsed="false">
      <c r="A885" s="7" t="s">
        <v>1069</v>
      </c>
      <c r="B885" s="7" t="s">
        <v>27</v>
      </c>
      <c r="C885" s="14" t="s">
        <v>29</v>
      </c>
      <c r="D885" s="8" t="s">
        <v>28</v>
      </c>
    </row>
    <row r="886" customFormat="false" ht="15" hidden="false" customHeight="false" outlineLevel="0" collapsed="false">
      <c r="A886" s="7" t="s">
        <v>1069</v>
      </c>
      <c r="B886" s="7" t="s">
        <v>47</v>
      </c>
      <c r="C886" s="14" t="s">
        <v>29</v>
      </c>
      <c r="D886" s="8" t="s">
        <v>46</v>
      </c>
    </row>
    <row r="887" customFormat="false" ht="15" hidden="false" customHeight="false" outlineLevel="0" collapsed="false">
      <c r="A887" s="7" t="s">
        <v>1070</v>
      </c>
      <c r="B887" s="7" t="s">
        <v>47</v>
      </c>
      <c r="C887" s="14" t="s">
        <v>29</v>
      </c>
      <c r="D887" s="8" t="s">
        <v>46</v>
      </c>
    </row>
    <row r="888" customFormat="false" ht="15" hidden="false" customHeight="false" outlineLevel="0" collapsed="false">
      <c r="A888" s="7" t="s">
        <v>1071</v>
      </c>
      <c r="B888" s="7" t="s">
        <v>47</v>
      </c>
      <c r="C888" s="14" t="s">
        <v>29</v>
      </c>
      <c r="D888" s="8" t="s">
        <v>46</v>
      </c>
    </row>
    <row r="889" customFormat="false" ht="15" hidden="false" customHeight="false" outlineLevel="0" collapsed="false">
      <c r="A889" s="7" t="s">
        <v>1072</v>
      </c>
      <c r="B889" s="7" t="s">
        <v>53</v>
      </c>
      <c r="C889" s="14" t="s">
        <v>29</v>
      </c>
      <c r="D889" s="8" t="s">
        <v>28</v>
      </c>
    </row>
    <row r="890" customFormat="false" ht="15" hidden="false" customHeight="false" outlineLevel="0" collapsed="false">
      <c r="A890" s="7" t="s">
        <v>1073</v>
      </c>
      <c r="B890" s="7" t="s">
        <v>55</v>
      </c>
      <c r="C890" s="14" t="s">
        <v>29</v>
      </c>
      <c r="D890" s="8" t="s">
        <v>46</v>
      </c>
    </row>
    <row r="891" customFormat="false" ht="15" hidden="false" customHeight="false" outlineLevel="0" collapsed="false">
      <c r="A891" s="7" t="s">
        <v>1073</v>
      </c>
      <c r="B891" s="7" t="s">
        <v>37</v>
      </c>
      <c r="C891" s="14" t="s">
        <v>29</v>
      </c>
      <c r="D891" s="8" t="s">
        <v>38</v>
      </c>
    </row>
    <row r="892" customFormat="false" ht="15" hidden="false" customHeight="false" outlineLevel="0" collapsed="false">
      <c r="A892" s="7" t="s">
        <v>1074</v>
      </c>
      <c r="B892" s="7" t="s">
        <v>41</v>
      </c>
      <c r="C892" s="14" t="s">
        <v>29</v>
      </c>
      <c r="D892" s="8" t="s">
        <v>28</v>
      </c>
    </row>
    <row r="893" customFormat="false" ht="15" hidden="false" customHeight="false" outlineLevel="0" collapsed="false">
      <c r="A893" s="7" t="s">
        <v>1075</v>
      </c>
      <c r="B893" s="7" t="s">
        <v>47</v>
      </c>
      <c r="C893" s="14" t="s">
        <v>29</v>
      </c>
      <c r="D893" s="8" t="s">
        <v>46</v>
      </c>
    </row>
    <row r="894" customFormat="false" ht="15" hidden="false" customHeight="false" outlineLevel="0" collapsed="false">
      <c r="A894" s="7" t="s">
        <v>1075</v>
      </c>
      <c r="B894" s="7" t="s">
        <v>53</v>
      </c>
      <c r="C894" s="14" t="s">
        <v>29</v>
      </c>
      <c r="D894" s="8" t="s">
        <v>28</v>
      </c>
    </row>
    <row r="895" customFormat="false" ht="15" hidden="false" customHeight="false" outlineLevel="0" collapsed="false">
      <c r="A895" s="7" t="s">
        <v>1076</v>
      </c>
      <c r="B895" s="7" t="s">
        <v>47</v>
      </c>
      <c r="C895" s="14" t="s">
        <v>29</v>
      </c>
      <c r="D895" s="8" t="s">
        <v>46</v>
      </c>
    </row>
    <row r="896" customFormat="false" ht="15" hidden="false" customHeight="false" outlineLevel="0" collapsed="false">
      <c r="A896" s="7" t="s">
        <v>1077</v>
      </c>
      <c r="B896" s="7" t="s">
        <v>55</v>
      </c>
      <c r="C896" s="14" t="s">
        <v>29</v>
      </c>
      <c r="D896" s="8" t="s">
        <v>46</v>
      </c>
    </row>
    <row r="897" customFormat="false" ht="15" hidden="false" customHeight="false" outlineLevel="0" collapsed="false">
      <c r="A897" s="7" t="s">
        <v>1078</v>
      </c>
      <c r="B897" s="7" t="s">
        <v>47</v>
      </c>
      <c r="C897" s="14" t="s">
        <v>29</v>
      </c>
      <c r="D897" s="8" t="s">
        <v>46</v>
      </c>
    </row>
    <row r="898" customFormat="false" ht="15" hidden="false" customHeight="false" outlineLevel="0" collapsed="false">
      <c r="A898" s="7" t="s">
        <v>1079</v>
      </c>
      <c r="B898" s="7" t="s">
        <v>47</v>
      </c>
      <c r="C898" s="14" t="s">
        <v>29</v>
      </c>
      <c r="D898" s="8" t="s">
        <v>46</v>
      </c>
    </row>
    <row r="899" customFormat="false" ht="15" hidden="false" customHeight="false" outlineLevel="0" collapsed="false">
      <c r="A899" s="7" t="s">
        <v>1080</v>
      </c>
      <c r="B899" s="7" t="s">
        <v>47</v>
      </c>
      <c r="C899" s="14" t="s">
        <v>29</v>
      </c>
      <c r="D899" s="8" t="s">
        <v>46</v>
      </c>
    </row>
    <row r="900" customFormat="false" ht="15" hidden="false" customHeight="false" outlineLevel="0" collapsed="false">
      <c r="A900" s="7" t="s">
        <v>1081</v>
      </c>
      <c r="B900" s="7" t="s">
        <v>47</v>
      </c>
      <c r="C900" s="14" t="s">
        <v>29</v>
      </c>
      <c r="D900" s="8" t="s">
        <v>46</v>
      </c>
    </row>
    <row r="901" customFormat="false" ht="15" hidden="false" customHeight="false" outlineLevel="0" collapsed="false">
      <c r="A901" s="7" t="s">
        <v>1081</v>
      </c>
      <c r="B901" s="7" t="s">
        <v>55</v>
      </c>
      <c r="C901" s="14" t="s">
        <v>29</v>
      </c>
      <c r="D901" s="8" t="s">
        <v>46</v>
      </c>
    </row>
    <row r="902" customFormat="false" ht="15" hidden="false" customHeight="false" outlineLevel="0" collapsed="false">
      <c r="A902" s="7" t="s">
        <v>1082</v>
      </c>
      <c r="B902" s="7" t="s">
        <v>47</v>
      </c>
      <c r="C902" s="14" t="s">
        <v>29</v>
      </c>
      <c r="D902" s="8" t="s">
        <v>46</v>
      </c>
    </row>
    <row r="903" customFormat="false" ht="15" hidden="false" customHeight="false" outlineLevel="0" collapsed="false">
      <c r="A903" s="7" t="s">
        <v>1083</v>
      </c>
      <c r="B903" s="7" t="s">
        <v>47</v>
      </c>
      <c r="C903" s="14" t="s">
        <v>29</v>
      </c>
      <c r="D903" s="8" t="s">
        <v>46</v>
      </c>
    </row>
    <row r="904" customFormat="false" ht="15" hidden="false" customHeight="false" outlineLevel="0" collapsed="false">
      <c r="A904" s="7" t="s">
        <v>1084</v>
      </c>
      <c r="B904" s="7" t="s">
        <v>27</v>
      </c>
      <c r="C904" s="14" t="s">
        <v>29</v>
      </c>
      <c r="D904" s="8" t="s">
        <v>28</v>
      </c>
    </row>
    <row r="905" customFormat="false" ht="15" hidden="false" customHeight="false" outlineLevel="0" collapsed="false">
      <c r="A905" s="7" t="s">
        <v>1085</v>
      </c>
      <c r="B905" s="7" t="s">
        <v>37</v>
      </c>
      <c r="C905" s="14" t="s">
        <v>29</v>
      </c>
      <c r="D905" s="8" t="s">
        <v>38</v>
      </c>
    </row>
    <row r="906" customFormat="false" ht="15" hidden="false" customHeight="false" outlineLevel="0" collapsed="false">
      <c r="A906" s="7" t="s">
        <v>1086</v>
      </c>
      <c r="B906" s="7" t="s">
        <v>55</v>
      </c>
      <c r="C906" s="14" t="s">
        <v>29</v>
      </c>
      <c r="D906" s="8" t="s">
        <v>46</v>
      </c>
    </row>
    <row r="907" customFormat="false" ht="15" hidden="false" customHeight="false" outlineLevel="0" collapsed="false">
      <c r="A907" s="7" t="s">
        <v>1087</v>
      </c>
      <c r="B907" s="7" t="s">
        <v>53</v>
      </c>
      <c r="C907" s="14" t="s">
        <v>29</v>
      </c>
      <c r="D907" s="8" t="s">
        <v>28</v>
      </c>
    </row>
    <row r="908" customFormat="false" ht="15" hidden="false" customHeight="false" outlineLevel="0" collapsed="false">
      <c r="A908" s="7" t="s">
        <v>1087</v>
      </c>
      <c r="B908" s="7" t="s">
        <v>47</v>
      </c>
      <c r="C908" s="14" t="s">
        <v>29</v>
      </c>
      <c r="D908" s="8" t="s">
        <v>46</v>
      </c>
    </row>
    <row r="909" customFormat="false" ht="15" hidden="false" customHeight="false" outlineLevel="0" collapsed="false">
      <c r="A909" s="7" t="s">
        <v>1088</v>
      </c>
      <c r="B909" s="7" t="s">
        <v>27</v>
      </c>
      <c r="C909" s="14" t="s">
        <v>29</v>
      </c>
      <c r="D909" s="8" t="s">
        <v>28</v>
      </c>
    </row>
    <row r="910" customFormat="false" ht="15" hidden="false" customHeight="false" outlineLevel="0" collapsed="false">
      <c r="A910" s="7" t="s">
        <v>1089</v>
      </c>
      <c r="B910" s="7" t="s">
        <v>41</v>
      </c>
      <c r="C910" s="14" t="s">
        <v>29</v>
      </c>
      <c r="D910" s="8" t="s">
        <v>28</v>
      </c>
    </row>
    <row r="911" customFormat="false" ht="15" hidden="false" customHeight="false" outlineLevel="0" collapsed="false">
      <c r="A911" s="7" t="s">
        <v>1089</v>
      </c>
      <c r="B911" s="7" t="s">
        <v>55</v>
      </c>
      <c r="C911" s="14" t="s">
        <v>29</v>
      </c>
      <c r="D911" s="8" t="s">
        <v>46</v>
      </c>
    </row>
    <row r="912" customFormat="false" ht="15" hidden="false" customHeight="false" outlineLevel="0" collapsed="false">
      <c r="A912" s="7" t="s">
        <v>1090</v>
      </c>
      <c r="B912" s="7" t="s">
        <v>37</v>
      </c>
      <c r="C912" s="14" t="s">
        <v>29</v>
      </c>
      <c r="D912" s="8" t="s">
        <v>38</v>
      </c>
    </row>
    <row r="913" customFormat="false" ht="15" hidden="false" customHeight="false" outlineLevel="0" collapsed="false">
      <c r="A913" s="7" t="s">
        <v>1091</v>
      </c>
      <c r="B913" s="7" t="s">
        <v>41</v>
      </c>
      <c r="C913" s="14" t="s">
        <v>29</v>
      </c>
      <c r="D913" s="8" t="s">
        <v>28</v>
      </c>
    </row>
    <row r="914" customFormat="false" ht="15" hidden="false" customHeight="false" outlineLevel="0" collapsed="false">
      <c r="A914" s="7" t="s">
        <v>1091</v>
      </c>
      <c r="B914" s="7" t="s">
        <v>37</v>
      </c>
      <c r="C914" s="14" t="s">
        <v>29</v>
      </c>
      <c r="D914" s="8" t="s">
        <v>38</v>
      </c>
    </row>
    <row r="915" customFormat="false" ht="15" hidden="false" customHeight="false" outlineLevel="0" collapsed="false">
      <c r="A915" s="7" t="s">
        <v>1092</v>
      </c>
      <c r="B915" s="7" t="s">
        <v>53</v>
      </c>
      <c r="C915" s="14" t="s">
        <v>29</v>
      </c>
      <c r="D915" s="8" t="s">
        <v>28</v>
      </c>
    </row>
    <row r="916" customFormat="false" ht="15" hidden="false" customHeight="false" outlineLevel="0" collapsed="false">
      <c r="A916" s="7" t="s">
        <v>1092</v>
      </c>
      <c r="B916" s="7" t="s">
        <v>47</v>
      </c>
      <c r="C916" s="14" t="s">
        <v>29</v>
      </c>
      <c r="D916" s="8" t="s">
        <v>46</v>
      </c>
    </row>
    <row r="917" customFormat="false" ht="15" hidden="false" customHeight="false" outlineLevel="0" collapsed="false">
      <c r="A917" s="7" t="s">
        <v>1093</v>
      </c>
      <c r="B917" s="7" t="s">
        <v>47</v>
      </c>
      <c r="C917" s="14" t="s">
        <v>29</v>
      </c>
      <c r="D917" s="8" t="s">
        <v>46</v>
      </c>
    </row>
    <row r="918" customFormat="false" ht="15" hidden="false" customHeight="false" outlineLevel="0" collapsed="false">
      <c r="A918" s="7" t="s">
        <v>1094</v>
      </c>
      <c r="B918" s="7" t="s">
        <v>47</v>
      </c>
      <c r="C918" s="14" t="s">
        <v>29</v>
      </c>
      <c r="D918" s="8" t="s">
        <v>46</v>
      </c>
    </row>
    <row r="919" customFormat="false" ht="15" hidden="false" customHeight="false" outlineLevel="0" collapsed="false">
      <c r="A919" s="7" t="s">
        <v>1095</v>
      </c>
      <c r="B919" s="7" t="s">
        <v>47</v>
      </c>
      <c r="C919" s="14" t="s">
        <v>29</v>
      </c>
      <c r="D919" s="8" t="s">
        <v>46</v>
      </c>
    </row>
    <row r="920" customFormat="false" ht="15" hidden="false" customHeight="false" outlineLevel="0" collapsed="false">
      <c r="A920" s="7" t="s">
        <v>1096</v>
      </c>
      <c r="B920" s="7" t="s">
        <v>47</v>
      </c>
      <c r="C920" s="14" t="s">
        <v>29</v>
      </c>
      <c r="D920" s="8" t="s">
        <v>46</v>
      </c>
    </row>
    <row r="921" customFormat="false" ht="15" hidden="false" customHeight="false" outlineLevel="0" collapsed="false">
      <c r="A921" s="7" t="s">
        <v>1097</v>
      </c>
      <c r="B921" s="7" t="s">
        <v>41</v>
      </c>
      <c r="C921" s="14" t="s">
        <v>29</v>
      </c>
      <c r="D921" s="8" t="s">
        <v>28</v>
      </c>
    </row>
    <row r="922" customFormat="false" ht="15" hidden="false" customHeight="false" outlineLevel="0" collapsed="false">
      <c r="A922" s="7" t="s">
        <v>1098</v>
      </c>
      <c r="B922" s="7" t="s">
        <v>60</v>
      </c>
      <c r="C922" s="14" t="s">
        <v>29</v>
      </c>
      <c r="D922" s="8" t="s">
        <v>46</v>
      </c>
    </row>
    <row r="923" customFormat="false" ht="15" hidden="false" customHeight="false" outlineLevel="0" collapsed="false">
      <c r="A923" s="7" t="s">
        <v>1099</v>
      </c>
      <c r="B923" s="7" t="s">
        <v>55</v>
      </c>
      <c r="C923" s="14" t="s">
        <v>29</v>
      </c>
      <c r="D923" s="8" t="s">
        <v>46</v>
      </c>
    </row>
    <row r="924" customFormat="false" ht="15" hidden="false" customHeight="false" outlineLevel="0" collapsed="false">
      <c r="A924" s="7" t="s">
        <v>1100</v>
      </c>
      <c r="B924" s="7" t="s">
        <v>37</v>
      </c>
      <c r="C924" s="14" t="s">
        <v>29</v>
      </c>
      <c r="D924" s="8" t="s">
        <v>38</v>
      </c>
    </row>
    <row r="925" customFormat="false" ht="15" hidden="false" customHeight="false" outlineLevel="0" collapsed="false">
      <c r="A925" s="7" t="s">
        <v>1101</v>
      </c>
      <c r="B925" s="7" t="s">
        <v>37</v>
      </c>
      <c r="C925" s="14" t="s">
        <v>29</v>
      </c>
      <c r="D925" s="8" t="s">
        <v>38</v>
      </c>
    </row>
    <row r="926" customFormat="false" ht="15" hidden="false" customHeight="false" outlineLevel="0" collapsed="false">
      <c r="A926" s="7" t="s">
        <v>1102</v>
      </c>
      <c r="B926" s="7" t="s">
        <v>64</v>
      </c>
      <c r="C926" s="14" t="s">
        <v>29</v>
      </c>
      <c r="D926" s="8" t="s">
        <v>38</v>
      </c>
    </row>
    <row r="927" customFormat="false" ht="15" hidden="false" customHeight="false" outlineLevel="0" collapsed="false">
      <c r="A927" s="7" t="s">
        <v>1102</v>
      </c>
      <c r="B927" s="7" t="s">
        <v>47</v>
      </c>
      <c r="C927" s="14" t="s">
        <v>29</v>
      </c>
      <c r="D927" s="8" t="s">
        <v>46</v>
      </c>
    </row>
    <row r="928" customFormat="false" ht="15" hidden="false" customHeight="false" outlineLevel="0" collapsed="false">
      <c r="A928" s="7" t="s">
        <v>1103</v>
      </c>
      <c r="B928" s="7" t="s">
        <v>53</v>
      </c>
      <c r="C928" s="14" t="s">
        <v>29</v>
      </c>
      <c r="D928" s="8" t="s">
        <v>28</v>
      </c>
    </row>
    <row r="929" customFormat="false" ht="15" hidden="false" customHeight="false" outlineLevel="0" collapsed="false">
      <c r="A929" s="7" t="s">
        <v>1104</v>
      </c>
      <c r="B929" s="7" t="s">
        <v>37</v>
      </c>
      <c r="C929" s="14" t="s">
        <v>29</v>
      </c>
      <c r="D929" s="8" t="s">
        <v>38</v>
      </c>
    </row>
    <row r="930" customFormat="false" ht="15" hidden="false" customHeight="false" outlineLevel="0" collapsed="false">
      <c r="A930" s="7" t="s">
        <v>1104</v>
      </c>
      <c r="B930" s="7" t="s">
        <v>55</v>
      </c>
      <c r="C930" s="14" t="s">
        <v>29</v>
      </c>
      <c r="D930" s="8" t="s">
        <v>46</v>
      </c>
    </row>
    <row r="931" customFormat="false" ht="15" hidden="false" customHeight="false" outlineLevel="0" collapsed="false">
      <c r="A931" s="7" t="s">
        <v>1105</v>
      </c>
      <c r="B931" s="7" t="s">
        <v>60</v>
      </c>
      <c r="C931" s="14" t="s">
        <v>29</v>
      </c>
      <c r="D931" s="8" t="s">
        <v>46</v>
      </c>
    </row>
    <row r="932" customFormat="false" ht="15" hidden="false" customHeight="false" outlineLevel="0" collapsed="false">
      <c r="A932" s="7" t="s">
        <v>1106</v>
      </c>
      <c r="B932" s="7" t="s">
        <v>37</v>
      </c>
      <c r="C932" s="14" t="s">
        <v>29</v>
      </c>
      <c r="D932" s="8" t="s">
        <v>38</v>
      </c>
    </row>
    <row r="933" customFormat="false" ht="15" hidden="false" customHeight="false" outlineLevel="0" collapsed="false">
      <c r="A933" s="7" t="s">
        <v>1107</v>
      </c>
      <c r="B933" s="7" t="s">
        <v>41</v>
      </c>
      <c r="C933" s="14" t="s">
        <v>29</v>
      </c>
      <c r="D933" s="8" t="s">
        <v>28</v>
      </c>
    </row>
    <row r="934" customFormat="false" ht="15" hidden="false" customHeight="false" outlineLevel="0" collapsed="false">
      <c r="A934" s="7" t="s">
        <v>1108</v>
      </c>
      <c r="B934" s="7" t="s">
        <v>55</v>
      </c>
      <c r="C934" s="14" t="s">
        <v>29</v>
      </c>
      <c r="D934" s="8" t="s">
        <v>46</v>
      </c>
    </row>
    <row r="935" customFormat="false" ht="15" hidden="false" customHeight="false" outlineLevel="0" collapsed="false">
      <c r="A935" s="7" t="s">
        <v>1109</v>
      </c>
      <c r="B935" s="7" t="s">
        <v>62</v>
      </c>
      <c r="C935" s="14" t="s">
        <v>29</v>
      </c>
      <c r="D935" s="8" t="s">
        <v>46</v>
      </c>
    </row>
    <row r="936" customFormat="false" ht="15" hidden="false" customHeight="false" outlineLevel="0" collapsed="false">
      <c r="A936" s="7" t="s">
        <v>1110</v>
      </c>
      <c r="B936" s="7" t="s">
        <v>37</v>
      </c>
      <c r="C936" s="14" t="s">
        <v>29</v>
      </c>
      <c r="D936" s="8" t="s">
        <v>38</v>
      </c>
    </row>
    <row r="937" customFormat="false" ht="15" hidden="false" customHeight="false" outlineLevel="0" collapsed="false">
      <c r="A937" s="7" t="s">
        <v>1111</v>
      </c>
      <c r="B937" s="7" t="s">
        <v>62</v>
      </c>
      <c r="C937" s="14" t="s">
        <v>29</v>
      </c>
      <c r="D937" s="8" t="s">
        <v>46</v>
      </c>
    </row>
    <row r="938" customFormat="false" ht="15" hidden="false" customHeight="false" outlineLevel="0" collapsed="false">
      <c r="A938" s="7" t="s">
        <v>1112</v>
      </c>
      <c r="B938" s="7" t="s">
        <v>41</v>
      </c>
      <c r="C938" s="14" t="s">
        <v>29</v>
      </c>
      <c r="D938" s="8" t="s">
        <v>28</v>
      </c>
    </row>
    <row r="939" customFormat="false" ht="15" hidden="false" customHeight="false" outlineLevel="0" collapsed="false">
      <c r="A939" s="7" t="s">
        <v>1113</v>
      </c>
      <c r="B939" s="7" t="s">
        <v>37</v>
      </c>
      <c r="C939" s="14" t="s">
        <v>29</v>
      </c>
      <c r="D939" s="8" t="s">
        <v>38</v>
      </c>
    </row>
    <row r="940" customFormat="false" ht="15" hidden="false" customHeight="false" outlineLevel="0" collapsed="false">
      <c r="A940" s="7" t="s">
        <v>1114</v>
      </c>
      <c r="B940" s="7" t="s">
        <v>37</v>
      </c>
      <c r="C940" s="14" t="s">
        <v>29</v>
      </c>
      <c r="D940" s="8" t="s">
        <v>38</v>
      </c>
    </row>
    <row r="941" customFormat="false" ht="15" hidden="false" customHeight="false" outlineLevel="0" collapsed="false">
      <c r="A941" s="7" t="s">
        <v>1115</v>
      </c>
      <c r="B941" s="7" t="s">
        <v>62</v>
      </c>
      <c r="C941" s="14" t="s">
        <v>29</v>
      </c>
      <c r="D941" s="8" t="s">
        <v>46</v>
      </c>
    </row>
    <row r="942" customFormat="false" ht="15" hidden="false" customHeight="false" outlineLevel="0" collapsed="false">
      <c r="A942" s="7" t="s">
        <v>1116</v>
      </c>
      <c r="B942" s="7" t="s">
        <v>62</v>
      </c>
      <c r="C942" s="14" t="s">
        <v>29</v>
      </c>
      <c r="D942" s="8" t="s">
        <v>46</v>
      </c>
    </row>
    <row r="943" customFormat="false" ht="15" hidden="false" customHeight="false" outlineLevel="0" collapsed="false">
      <c r="A943" s="7" t="s">
        <v>1117</v>
      </c>
      <c r="B943" s="7" t="s">
        <v>37</v>
      </c>
      <c r="C943" s="14" t="s">
        <v>29</v>
      </c>
      <c r="D943" s="8" t="s">
        <v>38</v>
      </c>
    </row>
    <row r="944" customFormat="false" ht="15" hidden="false" customHeight="false" outlineLevel="0" collapsed="false">
      <c r="A944" s="7" t="s">
        <v>1118</v>
      </c>
      <c r="B944" s="7" t="s">
        <v>62</v>
      </c>
      <c r="C944" s="14" t="s">
        <v>29</v>
      </c>
      <c r="D944" s="8" t="s">
        <v>46</v>
      </c>
    </row>
    <row r="945" customFormat="false" ht="15" hidden="false" customHeight="false" outlineLevel="0" collapsed="false">
      <c r="A945" s="7" t="s">
        <v>1119</v>
      </c>
      <c r="B945" s="7" t="s">
        <v>37</v>
      </c>
      <c r="C945" s="14" t="s">
        <v>29</v>
      </c>
      <c r="D945" s="8" t="s">
        <v>38</v>
      </c>
    </row>
    <row r="946" customFormat="false" ht="15" hidden="false" customHeight="false" outlineLevel="0" collapsed="false">
      <c r="A946" s="7" t="s">
        <v>1120</v>
      </c>
      <c r="B946" s="7" t="s">
        <v>37</v>
      </c>
      <c r="C946" s="14" t="s">
        <v>29</v>
      </c>
      <c r="D946" s="8" t="s">
        <v>38</v>
      </c>
    </row>
    <row r="947" customFormat="false" ht="15" hidden="false" customHeight="false" outlineLevel="0" collapsed="false">
      <c r="A947" s="7" t="s">
        <v>1121</v>
      </c>
      <c r="B947" s="7" t="s">
        <v>37</v>
      </c>
      <c r="C947" s="14" t="s">
        <v>29</v>
      </c>
      <c r="D947" s="8" t="s">
        <v>38</v>
      </c>
    </row>
    <row r="948" customFormat="false" ht="15" hidden="false" customHeight="false" outlineLevel="0" collapsed="false">
      <c r="A948" s="7" t="s">
        <v>1122</v>
      </c>
      <c r="B948" s="7" t="s">
        <v>47</v>
      </c>
      <c r="C948" s="14" t="s">
        <v>29</v>
      </c>
      <c r="D948" s="8" t="s">
        <v>46</v>
      </c>
    </row>
    <row r="949" customFormat="false" ht="15" hidden="false" customHeight="false" outlineLevel="0" collapsed="false">
      <c r="A949" s="7" t="s">
        <v>1123</v>
      </c>
      <c r="B949" s="7" t="s">
        <v>27</v>
      </c>
      <c r="C949" s="14" t="s">
        <v>29</v>
      </c>
      <c r="D949" s="8" t="s">
        <v>28</v>
      </c>
    </row>
    <row r="950" customFormat="false" ht="15" hidden="false" customHeight="false" outlineLevel="0" collapsed="false">
      <c r="A950" s="7" t="s">
        <v>1124</v>
      </c>
      <c r="B950" s="7" t="s">
        <v>37</v>
      </c>
      <c r="C950" s="14" t="s">
        <v>29</v>
      </c>
      <c r="D950" s="8" t="s">
        <v>38</v>
      </c>
    </row>
    <row r="951" customFormat="false" ht="15" hidden="false" customHeight="false" outlineLevel="0" collapsed="false">
      <c r="A951" s="7" t="s">
        <v>1125</v>
      </c>
      <c r="B951" s="7" t="s">
        <v>55</v>
      </c>
      <c r="C951" s="14" t="s">
        <v>29</v>
      </c>
      <c r="D951" s="8" t="s">
        <v>46</v>
      </c>
    </row>
    <row r="952" customFormat="false" ht="15" hidden="false" customHeight="false" outlineLevel="0" collapsed="false">
      <c r="A952" s="7" t="s">
        <v>1126</v>
      </c>
      <c r="B952" s="7" t="s">
        <v>64</v>
      </c>
      <c r="C952" s="14" t="s">
        <v>29</v>
      </c>
      <c r="D952" s="8" t="s">
        <v>38</v>
      </c>
    </row>
    <row r="953" customFormat="false" ht="15" hidden="false" customHeight="false" outlineLevel="0" collapsed="false">
      <c r="A953" s="7" t="s">
        <v>1127</v>
      </c>
      <c r="B953" s="7" t="s">
        <v>55</v>
      </c>
      <c r="C953" s="14" t="s">
        <v>29</v>
      </c>
      <c r="D953" s="8" t="s">
        <v>46</v>
      </c>
    </row>
    <row r="954" customFormat="false" ht="15" hidden="false" customHeight="false" outlineLevel="0" collapsed="false">
      <c r="A954" s="7" t="s">
        <v>1128</v>
      </c>
      <c r="B954" s="7" t="s">
        <v>84</v>
      </c>
      <c r="C954" s="14" t="s">
        <v>29</v>
      </c>
      <c r="D954" s="8" t="s">
        <v>38</v>
      </c>
    </row>
    <row r="955" customFormat="false" ht="15" hidden="false" customHeight="false" outlineLevel="0" collapsed="false">
      <c r="A955" s="7" t="s">
        <v>1129</v>
      </c>
      <c r="B955" s="7" t="s">
        <v>41</v>
      </c>
      <c r="C955" s="14" t="s">
        <v>29</v>
      </c>
      <c r="D955" s="8" t="s">
        <v>28</v>
      </c>
    </row>
    <row r="956" customFormat="false" ht="15" hidden="false" customHeight="false" outlineLevel="0" collapsed="false">
      <c r="A956" s="7" t="s">
        <v>1130</v>
      </c>
      <c r="B956" s="7" t="s">
        <v>53</v>
      </c>
      <c r="C956" s="14" t="s">
        <v>29</v>
      </c>
      <c r="D956" s="8" t="s">
        <v>28</v>
      </c>
    </row>
    <row r="957" customFormat="false" ht="15" hidden="false" customHeight="false" outlineLevel="0" collapsed="false">
      <c r="A957" s="7" t="s">
        <v>1130</v>
      </c>
      <c r="B957" s="7" t="s">
        <v>47</v>
      </c>
      <c r="C957" s="14" t="s">
        <v>29</v>
      </c>
      <c r="D957" s="8" t="s">
        <v>46</v>
      </c>
    </row>
    <row r="958" customFormat="false" ht="15" hidden="false" customHeight="false" outlineLevel="0" collapsed="false">
      <c r="A958" s="7" t="s">
        <v>1130</v>
      </c>
      <c r="B958" s="7" t="s">
        <v>64</v>
      </c>
      <c r="C958" s="14" t="s">
        <v>29</v>
      </c>
      <c r="D958" s="8" t="s">
        <v>38</v>
      </c>
    </row>
    <row r="959" customFormat="false" ht="15" hidden="false" customHeight="false" outlineLevel="0" collapsed="false">
      <c r="A959" s="7" t="s">
        <v>1131</v>
      </c>
      <c r="B959" s="7" t="s">
        <v>27</v>
      </c>
      <c r="C959" s="14" t="s">
        <v>29</v>
      </c>
      <c r="D959" s="8" t="s">
        <v>28</v>
      </c>
    </row>
    <row r="960" customFormat="false" ht="15" hidden="false" customHeight="false" outlineLevel="0" collapsed="false">
      <c r="A960" s="7" t="s">
        <v>1131</v>
      </c>
      <c r="B960" s="7" t="s">
        <v>47</v>
      </c>
      <c r="C960" s="14" t="s">
        <v>29</v>
      </c>
      <c r="D960" s="8" t="s">
        <v>46</v>
      </c>
    </row>
    <row r="961" customFormat="false" ht="15" hidden="false" customHeight="false" outlineLevel="0" collapsed="false">
      <c r="A961" s="7" t="s">
        <v>1132</v>
      </c>
      <c r="B961" s="7" t="s">
        <v>47</v>
      </c>
      <c r="C961" s="14" t="s">
        <v>29</v>
      </c>
      <c r="D961" s="8" t="s">
        <v>46</v>
      </c>
    </row>
    <row r="962" customFormat="false" ht="15" hidden="false" customHeight="false" outlineLevel="0" collapsed="false">
      <c r="A962" s="7" t="s">
        <v>1133</v>
      </c>
      <c r="B962" s="7" t="s">
        <v>47</v>
      </c>
      <c r="C962" s="14" t="s">
        <v>29</v>
      </c>
      <c r="D962" s="8" t="s">
        <v>46</v>
      </c>
    </row>
    <row r="963" customFormat="false" ht="15" hidden="false" customHeight="false" outlineLevel="0" collapsed="false">
      <c r="A963" s="7" t="s">
        <v>1134</v>
      </c>
      <c r="B963" s="7" t="s">
        <v>47</v>
      </c>
      <c r="C963" s="14" t="s">
        <v>29</v>
      </c>
      <c r="D963" s="8" t="s">
        <v>46</v>
      </c>
    </row>
    <row r="964" customFormat="false" ht="15" hidden="false" customHeight="false" outlineLevel="0" collapsed="false">
      <c r="A964" s="7" t="s">
        <v>1135</v>
      </c>
      <c r="B964" s="7" t="s">
        <v>47</v>
      </c>
      <c r="C964" s="14" t="s">
        <v>29</v>
      </c>
      <c r="D964" s="8" t="s">
        <v>46</v>
      </c>
    </row>
    <row r="965" customFormat="false" ht="15" hidden="false" customHeight="false" outlineLevel="0" collapsed="false">
      <c r="A965" s="7" t="s">
        <v>1136</v>
      </c>
      <c r="B965" s="7" t="s">
        <v>47</v>
      </c>
      <c r="C965" s="14" t="s">
        <v>29</v>
      </c>
      <c r="D965" s="8" t="s">
        <v>46</v>
      </c>
    </row>
    <row r="966" customFormat="false" ht="15" hidden="false" customHeight="false" outlineLevel="0" collapsed="false">
      <c r="A966" s="7" t="s">
        <v>1137</v>
      </c>
      <c r="B966" s="7" t="s">
        <v>55</v>
      </c>
      <c r="C966" s="14" t="s">
        <v>29</v>
      </c>
      <c r="D966" s="8" t="s">
        <v>46</v>
      </c>
    </row>
    <row r="967" customFormat="false" ht="15" hidden="false" customHeight="false" outlineLevel="0" collapsed="false">
      <c r="A967" s="7" t="s">
        <v>1138</v>
      </c>
      <c r="B967" s="7" t="s">
        <v>55</v>
      </c>
      <c r="C967" s="14" t="s">
        <v>29</v>
      </c>
      <c r="D967" s="8" t="s">
        <v>46</v>
      </c>
    </row>
    <row r="968" customFormat="false" ht="15" hidden="false" customHeight="false" outlineLevel="0" collapsed="false">
      <c r="A968" s="7" t="s">
        <v>1139</v>
      </c>
      <c r="B968" s="7" t="s">
        <v>37</v>
      </c>
      <c r="C968" s="14" t="s">
        <v>29</v>
      </c>
      <c r="D968" s="8" t="s">
        <v>38</v>
      </c>
    </row>
    <row r="969" customFormat="false" ht="15" hidden="false" customHeight="false" outlineLevel="0" collapsed="false">
      <c r="A969" s="7" t="s">
        <v>1140</v>
      </c>
      <c r="B969" s="7" t="s">
        <v>37</v>
      </c>
      <c r="C969" s="14" t="s">
        <v>29</v>
      </c>
      <c r="D969" s="8" t="s">
        <v>38</v>
      </c>
    </row>
    <row r="970" customFormat="false" ht="15" hidden="false" customHeight="false" outlineLevel="0" collapsed="false">
      <c r="A970" s="7" t="s">
        <v>1141</v>
      </c>
      <c r="B970" s="7" t="s">
        <v>64</v>
      </c>
      <c r="C970" s="14" t="s">
        <v>29</v>
      </c>
      <c r="D970" s="8" t="s">
        <v>38</v>
      </c>
    </row>
    <row r="971" customFormat="false" ht="15" hidden="false" customHeight="false" outlineLevel="0" collapsed="false">
      <c r="A971" s="7" t="s">
        <v>1141</v>
      </c>
      <c r="B971" s="7" t="s">
        <v>41</v>
      </c>
      <c r="C971" s="14" t="s">
        <v>29</v>
      </c>
      <c r="D971" s="8" t="s">
        <v>28</v>
      </c>
    </row>
    <row r="972" customFormat="false" ht="15" hidden="false" customHeight="false" outlineLevel="0" collapsed="false">
      <c r="A972" s="7" t="s">
        <v>1142</v>
      </c>
      <c r="B972" s="7" t="s">
        <v>60</v>
      </c>
      <c r="C972" s="14" t="s">
        <v>29</v>
      </c>
      <c r="D972" s="8" t="s">
        <v>46</v>
      </c>
    </row>
    <row r="973" customFormat="false" ht="15" hidden="false" customHeight="false" outlineLevel="0" collapsed="false">
      <c r="A973" s="7" t="s">
        <v>1143</v>
      </c>
      <c r="B973" s="7" t="s">
        <v>84</v>
      </c>
      <c r="C973" s="14" t="s">
        <v>29</v>
      </c>
      <c r="D973" s="8" t="s">
        <v>38</v>
      </c>
    </row>
    <row r="974" customFormat="false" ht="15" hidden="false" customHeight="false" outlineLevel="0" collapsed="false">
      <c r="A974" s="7" t="s">
        <v>1144</v>
      </c>
      <c r="B974" s="7" t="s">
        <v>62</v>
      </c>
      <c r="C974" s="14" t="s">
        <v>29</v>
      </c>
      <c r="D974" s="8" t="s">
        <v>46</v>
      </c>
    </row>
    <row r="975" customFormat="false" ht="15" hidden="false" customHeight="false" outlineLevel="0" collapsed="false">
      <c r="A975" s="7" t="s">
        <v>1144</v>
      </c>
      <c r="B975" s="7" t="s">
        <v>58</v>
      </c>
      <c r="C975" s="14" t="s">
        <v>29</v>
      </c>
      <c r="D975" s="8" t="s">
        <v>46</v>
      </c>
    </row>
    <row r="976" customFormat="false" ht="15" hidden="false" customHeight="false" outlineLevel="0" collapsed="false">
      <c r="A976" s="7" t="s">
        <v>1145</v>
      </c>
      <c r="B976" s="7" t="s">
        <v>41</v>
      </c>
      <c r="C976" s="14" t="s">
        <v>29</v>
      </c>
      <c r="D976" s="8" t="s">
        <v>28</v>
      </c>
    </row>
    <row r="977" customFormat="false" ht="15" hidden="false" customHeight="false" outlineLevel="0" collapsed="false">
      <c r="A977" s="7" t="s">
        <v>1146</v>
      </c>
      <c r="B977" s="7" t="s">
        <v>58</v>
      </c>
      <c r="C977" s="10" t="s">
        <v>67</v>
      </c>
      <c r="D977" s="8" t="s">
        <v>46</v>
      </c>
    </row>
    <row r="978" customFormat="false" ht="15" hidden="false" customHeight="false" outlineLevel="0" collapsed="false">
      <c r="A978" s="7" t="s">
        <v>1147</v>
      </c>
      <c r="B978" s="7" t="s">
        <v>37</v>
      </c>
      <c r="C978" s="14" t="s">
        <v>29</v>
      </c>
      <c r="D978" s="8" t="s">
        <v>38</v>
      </c>
    </row>
    <row r="979" customFormat="false" ht="15" hidden="false" customHeight="false" outlineLevel="0" collapsed="false">
      <c r="A979" s="7" t="s">
        <v>1148</v>
      </c>
      <c r="B979" s="7" t="s">
        <v>47</v>
      </c>
      <c r="C979" s="14" t="s">
        <v>29</v>
      </c>
      <c r="D979" s="8" t="s">
        <v>46</v>
      </c>
    </row>
    <row r="980" customFormat="false" ht="15" hidden="false" customHeight="false" outlineLevel="0" collapsed="false">
      <c r="A980" s="7" t="s">
        <v>1149</v>
      </c>
      <c r="B980" s="7" t="s">
        <v>47</v>
      </c>
      <c r="C980" s="14" t="s">
        <v>29</v>
      </c>
      <c r="D980" s="8" t="s">
        <v>46</v>
      </c>
    </row>
    <row r="981" customFormat="false" ht="15" hidden="false" customHeight="false" outlineLevel="0" collapsed="false">
      <c r="A981" s="7" t="s">
        <v>1150</v>
      </c>
      <c r="B981" s="7" t="s">
        <v>47</v>
      </c>
      <c r="C981" s="14" t="s">
        <v>29</v>
      </c>
      <c r="D981" s="8" t="s">
        <v>46</v>
      </c>
    </row>
    <row r="982" customFormat="false" ht="15" hidden="false" customHeight="false" outlineLevel="0" collapsed="false">
      <c r="A982" s="7" t="s">
        <v>1151</v>
      </c>
      <c r="B982" s="7" t="s">
        <v>47</v>
      </c>
      <c r="C982" s="14" t="s">
        <v>29</v>
      </c>
      <c r="D982" s="8" t="s">
        <v>46</v>
      </c>
    </row>
    <row r="983" customFormat="false" ht="15" hidden="false" customHeight="false" outlineLevel="0" collapsed="false">
      <c r="A983" s="7" t="s">
        <v>1151</v>
      </c>
      <c r="B983" s="7" t="s">
        <v>27</v>
      </c>
      <c r="C983" s="14" t="s">
        <v>29</v>
      </c>
      <c r="D983" s="8" t="s">
        <v>28</v>
      </c>
    </row>
    <row r="984" customFormat="false" ht="15" hidden="false" customHeight="false" outlineLevel="0" collapsed="false">
      <c r="A984" s="7" t="s">
        <v>1152</v>
      </c>
      <c r="B984" s="7" t="s">
        <v>47</v>
      </c>
      <c r="C984" s="14" t="s">
        <v>29</v>
      </c>
      <c r="D984" s="8" t="s">
        <v>46</v>
      </c>
    </row>
    <row r="985" customFormat="false" ht="15" hidden="false" customHeight="false" outlineLevel="0" collapsed="false">
      <c r="A985" s="7" t="s">
        <v>1153</v>
      </c>
      <c r="B985" s="7" t="s">
        <v>47</v>
      </c>
      <c r="C985" s="14" t="s">
        <v>29</v>
      </c>
      <c r="D985" s="8" t="s">
        <v>46</v>
      </c>
    </row>
    <row r="986" customFormat="false" ht="15" hidden="false" customHeight="false" outlineLevel="0" collapsed="false">
      <c r="A986" s="7" t="s">
        <v>1154</v>
      </c>
      <c r="B986" s="7" t="s">
        <v>27</v>
      </c>
      <c r="C986" s="14" t="s">
        <v>29</v>
      </c>
      <c r="D986" s="8" t="s">
        <v>28</v>
      </c>
    </row>
    <row r="987" customFormat="false" ht="15" hidden="false" customHeight="false" outlineLevel="0" collapsed="false">
      <c r="A987" s="7" t="s">
        <v>1155</v>
      </c>
      <c r="B987" s="7" t="s">
        <v>86</v>
      </c>
      <c r="C987" s="14" t="s">
        <v>29</v>
      </c>
      <c r="D987" s="8" t="s">
        <v>87</v>
      </c>
    </row>
    <row r="988" customFormat="false" ht="15" hidden="false" customHeight="false" outlineLevel="0" collapsed="false">
      <c r="A988" s="7" t="s">
        <v>1156</v>
      </c>
      <c r="B988" s="7" t="s">
        <v>55</v>
      </c>
      <c r="C988" s="14" t="s">
        <v>29</v>
      </c>
      <c r="D988" s="8" t="s">
        <v>46</v>
      </c>
    </row>
    <row r="989" customFormat="false" ht="15" hidden="false" customHeight="false" outlineLevel="0" collapsed="false">
      <c r="A989" s="7" t="s">
        <v>1156</v>
      </c>
      <c r="B989" s="7" t="s">
        <v>37</v>
      </c>
      <c r="C989" s="14" t="s">
        <v>29</v>
      </c>
      <c r="D989" s="8" t="s">
        <v>38</v>
      </c>
    </row>
    <row r="990" customFormat="false" ht="15" hidden="false" customHeight="false" outlineLevel="0" collapsed="false">
      <c r="A990" s="7" t="s">
        <v>1157</v>
      </c>
      <c r="B990" s="7" t="s">
        <v>64</v>
      </c>
      <c r="C990" s="14" t="s">
        <v>29</v>
      </c>
      <c r="D990" s="8" t="s">
        <v>38</v>
      </c>
    </row>
    <row r="991" customFormat="false" ht="15" hidden="false" customHeight="false" outlineLevel="0" collapsed="false">
      <c r="A991" s="7" t="s">
        <v>1158</v>
      </c>
      <c r="B991" s="7" t="s">
        <v>37</v>
      </c>
      <c r="C991" s="14" t="s">
        <v>29</v>
      </c>
      <c r="D991" s="8" t="s">
        <v>38</v>
      </c>
    </row>
    <row r="992" customFormat="false" ht="15" hidden="false" customHeight="false" outlineLevel="0" collapsed="false">
      <c r="A992" s="7" t="s">
        <v>1159</v>
      </c>
      <c r="B992" s="7" t="s">
        <v>47</v>
      </c>
      <c r="C992" s="14" t="s">
        <v>29</v>
      </c>
      <c r="D992" s="8" t="s">
        <v>46</v>
      </c>
    </row>
    <row r="993" customFormat="false" ht="15" hidden="false" customHeight="false" outlineLevel="0" collapsed="false">
      <c r="A993" s="7" t="s">
        <v>1159</v>
      </c>
      <c r="B993" s="7" t="s">
        <v>27</v>
      </c>
      <c r="C993" s="14" t="s">
        <v>29</v>
      </c>
      <c r="D993" s="8" t="s">
        <v>28</v>
      </c>
    </row>
    <row r="994" customFormat="false" ht="15" hidden="false" customHeight="false" outlineLevel="0" collapsed="false">
      <c r="A994" s="7" t="s">
        <v>1160</v>
      </c>
      <c r="B994" s="7" t="s">
        <v>47</v>
      </c>
      <c r="C994" s="14" t="s">
        <v>29</v>
      </c>
      <c r="D994" s="8" t="s">
        <v>46</v>
      </c>
    </row>
    <row r="995" customFormat="false" ht="15" hidden="false" customHeight="false" outlineLevel="0" collapsed="false">
      <c r="A995" s="7" t="s">
        <v>1161</v>
      </c>
      <c r="B995" s="7" t="s">
        <v>41</v>
      </c>
      <c r="C995" s="14" t="s">
        <v>29</v>
      </c>
      <c r="D995" s="8" t="s">
        <v>28</v>
      </c>
    </row>
    <row r="996" customFormat="false" ht="15" hidden="false" customHeight="false" outlineLevel="0" collapsed="false">
      <c r="A996" s="7" t="s">
        <v>1162</v>
      </c>
      <c r="B996" s="7" t="s">
        <v>55</v>
      </c>
      <c r="C996" s="14" t="s">
        <v>29</v>
      </c>
      <c r="D996" s="8" t="s">
        <v>46</v>
      </c>
    </row>
    <row r="997" customFormat="false" ht="15" hidden="false" customHeight="false" outlineLevel="0" collapsed="false">
      <c r="A997" s="7" t="s">
        <v>1163</v>
      </c>
      <c r="B997" s="7" t="s">
        <v>55</v>
      </c>
      <c r="C997" s="14" t="s">
        <v>29</v>
      </c>
      <c r="D997" s="8" t="s">
        <v>46</v>
      </c>
    </row>
    <row r="998" customFormat="false" ht="15" hidden="false" customHeight="false" outlineLevel="0" collapsed="false">
      <c r="A998" s="7" t="s">
        <v>1164</v>
      </c>
      <c r="B998" s="7" t="s">
        <v>60</v>
      </c>
      <c r="C998" s="14" t="s">
        <v>29</v>
      </c>
      <c r="D998" s="8" t="s">
        <v>46</v>
      </c>
    </row>
    <row r="999" customFormat="false" ht="15" hidden="false" customHeight="false" outlineLevel="0" collapsed="false">
      <c r="A999" s="7" t="s">
        <v>1165</v>
      </c>
      <c r="B999" s="7" t="s">
        <v>41</v>
      </c>
      <c r="C999" s="14" t="s">
        <v>29</v>
      </c>
      <c r="D999" s="8" t="s">
        <v>28</v>
      </c>
    </row>
    <row r="1000" customFormat="false" ht="15" hidden="false" customHeight="false" outlineLevel="0" collapsed="false">
      <c r="A1000" s="7" t="s">
        <v>1166</v>
      </c>
      <c r="B1000" s="7" t="s">
        <v>55</v>
      </c>
      <c r="C1000" s="14" t="s">
        <v>29</v>
      </c>
      <c r="D1000" s="8" t="s">
        <v>46</v>
      </c>
    </row>
    <row r="1001" customFormat="false" ht="15" hidden="false" customHeight="false" outlineLevel="0" collapsed="false">
      <c r="A1001" s="7" t="s">
        <v>1167</v>
      </c>
      <c r="B1001" s="7" t="s">
        <v>89</v>
      </c>
      <c r="C1001" s="14" t="s">
        <v>29</v>
      </c>
      <c r="D1001" s="8" t="s">
        <v>87</v>
      </c>
    </row>
    <row r="1002" customFormat="false" ht="15" hidden="false" customHeight="false" outlineLevel="0" collapsed="false">
      <c r="A1002" s="7" t="s">
        <v>1168</v>
      </c>
      <c r="B1002" s="7" t="s">
        <v>53</v>
      </c>
      <c r="C1002" s="14" t="s">
        <v>29</v>
      </c>
      <c r="D1002" s="8" t="s">
        <v>28</v>
      </c>
    </row>
    <row r="1003" customFormat="false" ht="15" hidden="false" customHeight="false" outlineLevel="0" collapsed="false">
      <c r="A1003" s="7" t="s">
        <v>1169</v>
      </c>
      <c r="B1003" s="7" t="s">
        <v>27</v>
      </c>
      <c r="C1003" s="14" t="s">
        <v>29</v>
      </c>
      <c r="D1003" s="8" t="s">
        <v>28</v>
      </c>
    </row>
    <row r="1004" customFormat="false" ht="15" hidden="false" customHeight="false" outlineLevel="0" collapsed="false">
      <c r="A1004" s="7" t="s">
        <v>1170</v>
      </c>
      <c r="B1004" s="7" t="s">
        <v>37</v>
      </c>
      <c r="C1004" s="14" t="s">
        <v>29</v>
      </c>
      <c r="D1004" s="8" t="s">
        <v>38</v>
      </c>
    </row>
    <row r="1005" customFormat="false" ht="15" hidden="false" customHeight="false" outlineLevel="0" collapsed="false">
      <c r="A1005" s="7" t="s">
        <v>1171</v>
      </c>
      <c r="B1005" s="7" t="s">
        <v>86</v>
      </c>
      <c r="C1005" s="10" t="s">
        <v>67</v>
      </c>
      <c r="D1005" s="8" t="s">
        <v>87</v>
      </c>
    </row>
    <row r="1006" customFormat="false" ht="15" hidden="false" customHeight="false" outlineLevel="0" collapsed="false">
      <c r="A1006" s="7" t="s">
        <v>1172</v>
      </c>
      <c r="B1006" s="7" t="s">
        <v>41</v>
      </c>
      <c r="C1006" s="14" t="s">
        <v>29</v>
      </c>
      <c r="D1006" s="8" t="s">
        <v>28</v>
      </c>
    </row>
    <row r="1007" customFormat="false" ht="15" hidden="false" customHeight="false" outlineLevel="0" collapsed="false">
      <c r="A1007" s="7" t="s">
        <v>1173</v>
      </c>
      <c r="B1007" s="7" t="s">
        <v>55</v>
      </c>
      <c r="C1007" s="14" t="s">
        <v>29</v>
      </c>
      <c r="D1007" s="8" t="s">
        <v>46</v>
      </c>
    </row>
    <row r="1008" customFormat="false" ht="15" hidden="false" customHeight="false" outlineLevel="0" collapsed="false">
      <c r="A1008" s="7" t="s">
        <v>1174</v>
      </c>
      <c r="B1008" s="7" t="s">
        <v>37</v>
      </c>
      <c r="C1008" s="14" t="s">
        <v>29</v>
      </c>
      <c r="D1008" s="8" t="s">
        <v>38</v>
      </c>
    </row>
    <row r="1009" customFormat="false" ht="15" hidden="false" customHeight="false" outlineLevel="0" collapsed="false">
      <c r="A1009" s="7" t="s">
        <v>1175</v>
      </c>
      <c r="B1009" s="7" t="s">
        <v>37</v>
      </c>
      <c r="C1009" s="14" t="s">
        <v>29</v>
      </c>
      <c r="D1009" s="8" t="s">
        <v>38</v>
      </c>
    </row>
    <row r="1010" customFormat="false" ht="15" hidden="false" customHeight="false" outlineLevel="0" collapsed="false">
      <c r="A1010" s="7" t="s">
        <v>1176</v>
      </c>
      <c r="B1010" s="7" t="s">
        <v>47</v>
      </c>
      <c r="C1010" s="14" t="s">
        <v>29</v>
      </c>
      <c r="D1010" s="8" t="s">
        <v>46</v>
      </c>
    </row>
    <row r="1011" customFormat="false" ht="15" hidden="false" customHeight="false" outlineLevel="0" collapsed="false">
      <c r="A1011" s="7" t="s">
        <v>1177</v>
      </c>
      <c r="B1011" s="7" t="s">
        <v>41</v>
      </c>
      <c r="C1011" s="14" t="s">
        <v>29</v>
      </c>
      <c r="D1011" s="8" t="s">
        <v>28</v>
      </c>
    </row>
    <row r="1012" customFormat="false" ht="15" hidden="false" customHeight="false" outlineLevel="0" collapsed="false">
      <c r="A1012" s="7" t="s">
        <v>1178</v>
      </c>
      <c r="B1012" s="7" t="s">
        <v>55</v>
      </c>
      <c r="C1012" s="14" t="s">
        <v>29</v>
      </c>
      <c r="D1012" s="8" t="s">
        <v>46</v>
      </c>
    </row>
    <row r="1013" customFormat="false" ht="15" hidden="false" customHeight="false" outlineLevel="0" collapsed="false">
      <c r="A1013" s="7" t="s">
        <v>1179</v>
      </c>
      <c r="B1013" s="7" t="s">
        <v>60</v>
      </c>
      <c r="C1013" s="14" t="s">
        <v>29</v>
      </c>
      <c r="D1013" s="8" t="s">
        <v>46</v>
      </c>
    </row>
    <row r="1014" customFormat="false" ht="15" hidden="false" customHeight="false" outlineLevel="0" collapsed="false">
      <c r="A1014" s="7" t="s">
        <v>1180</v>
      </c>
      <c r="B1014" s="7" t="s">
        <v>41</v>
      </c>
      <c r="C1014" s="14" t="s">
        <v>29</v>
      </c>
      <c r="D1014" s="8" t="s">
        <v>28</v>
      </c>
    </row>
    <row r="1015" customFormat="false" ht="15" hidden="false" customHeight="false" outlineLevel="0" collapsed="false">
      <c r="A1015" s="7" t="s">
        <v>1181</v>
      </c>
      <c r="B1015" s="7" t="s">
        <v>60</v>
      </c>
      <c r="C1015" s="14" t="s">
        <v>29</v>
      </c>
      <c r="D1015" s="8" t="s">
        <v>46</v>
      </c>
    </row>
    <row r="1016" customFormat="false" ht="15" hidden="false" customHeight="false" outlineLevel="0" collapsed="false">
      <c r="A1016" s="7" t="s">
        <v>1181</v>
      </c>
      <c r="B1016" s="7" t="s">
        <v>41</v>
      </c>
      <c r="C1016" s="14" t="s">
        <v>29</v>
      </c>
      <c r="D1016" s="8" t="s">
        <v>28</v>
      </c>
    </row>
    <row r="1017" customFormat="false" ht="15" hidden="false" customHeight="false" outlineLevel="0" collapsed="false">
      <c r="A1017" s="7" t="s">
        <v>1182</v>
      </c>
      <c r="B1017" s="7" t="s">
        <v>47</v>
      </c>
      <c r="C1017" s="14" t="s">
        <v>29</v>
      </c>
      <c r="D1017" s="8" t="s">
        <v>46</v>
      </c>
    </row>
    <row r="1018" customFormat="false" ht="15" hidden="false" customHeight="false" outlineLevel="0" collapsed="false">
      <c r="A1018" s="7" t="s">
        <v>1182</v>
      </c>
      <c r="B1018" s="7" t="s">
        <v>53</v>
      </c>
      <c r="C1018" s="14" t="s">
        <v>29</v>
      </c>
      <c r="D1018" s="8" t="s">
        <v>28</v>
      </c>
    </row>
    <row r="1019" customFormat="false" ht="15" hidden="false" customHeight="false" outlineLevel="0" collapsed="false">
      <c r="A1019" s="7" t="s">
        <v>1183</v>
      </c>
      <c r="B1019" s="7" t="s">
        <v>47</v>
      </c>
      <c r="C1019" s="14" t="s">
        <v>29</v>
      </c>
      <c r="D1019" s="8" t="s">
        <v>46</v>
      </c>
    </row>
    <row r="1020" customFormat="false" ht="15" hidden="false" customHeight="false" outlineLevel="0" collapsed="false">
      <c r="A1020" s="7" t="s">
        <v>1184</v>
      </c>
      <c r="B1020" s="7" t="s">
        <v>37</v>
      </c>
      <c r="C1020" s="14" t="s">
        <v>29</v>
      </c>
      <c r="D1020" s="8" t="s">
        <v>38</v>
      </c>
    </row>
    <row r="1021" customFormat="false" ht="15" hidden="false" customHeight="false" outlineLevel="0" collapsed="false">
      <c r="A1021" s="7" t="s">
        <v>1185</v>
      </c>
      <c r="B1021" s="7" t="s">
        <v>37</v>
      </c>
      <c r="C1021" s="14" t="s">
        <v>29</v>
      </c>
      <c r="D1021" s="8" t="s">
        <v>38</v>
      </c>
    </row>
    <row r="1022" customFormat="false" ht="15" hidden="false" customHeight="false" outlineLevel="0" collapsed="false">
      <c r="A1022" s="7" t="s">
        <v>1186</v>
      </c>
      <c r="B1022" s="7" t="s">
        <v>55</v>
      </c>
      <c r="C1022" s="14" t="s">
        <v>29</v>
      </c>
      <c r="D1022" s="8" t="s">
        <v>46</v>
      </c>
    </row>
    <row r="1023" customFormat="false" ht="15" hidden="false" customHeight="false" outlineLevel="0" collapsed="false">
      <c r="A1023" s="7" t="s">
        <v>1187</v>
      </c>
      <c r="B1023" s="7" t="s">
        <v>60</v>
      </c>
      <c r="C1023" s="14" t="s">
        <v>29</v>
      </c>
      <c r="D1023" s="8" t="s">
        <v>46</v>
      </c>
    </row>
    <row r="1024" customFormat="false" ht="15" hidden="false" customHeight="false" outlineLevel="0" collapsed="false">
      <c r="A1024" s="7" t="s">
        <v>1188</v>
      </c>
      <c r="B1024" s="7" t="s">
        <v>47</v>
      </c>
      <c r="C1024" s="14" t="s">
        <v>29</v>
      </c>
      <c r="D1024" s="8" t="s">
        <v>46</v>
      </c>
    </row>
    <row r="1025" customFormat="false" ht="15" hidden="false" customHeight="false" outlineLevel="0" collapsed="false">
      <c r="A1025" s="7" t="s">
        <v>1188</v>
      </c>
      <c r="B1025" s="7" t="s">
        <v>53</v>
      </c>
      <c r="C1025" s="14" t="s">
        <v>29</v>
      </c>
      <c r="D1025" s="8" t="s">
        <v>28</v>
      </c>
    </row>
    <row r="1026" customFormat="false" ht="15" hidden="false" customHeight="false" outlineLevel="0" collapsed="false">
      <c r="A1026" s="7" t="s">
        <v>1189</v>
      </c>
      <c r="B1026" s="7" t="s">
        <v>41</v>
      </c>
      <c r="C1026" s="14" t="s">
        <v>29</v>
      </c>
      <c r="D1026" s="8" t="s">
        <v>28</v>
      </c>
    </row>
    <row r="1027" customFormat="false" ht="15" hidden="false" customHeight="false" outlineLevel="0" collapsed="false">
      <c r="A1027" s="7" t="s">
        <v>1190</v>
      </c>
      <c r="B1027" s="7" t="s">
        <v>55</v>
      </c>
      <c r="C1027" s="14" t="s">
        <v>29</v>
      </c>
      <c r="D1027" s="8" t="s">
        <v>46</v>
      </c>
    </row>
    <row r="1028" customFormat="false" ht="15" hidden="false" customHeight="false" outlineLevel="0" collapsed="false">
      <c r="A1028" s="7" t="s">
        <v>1191</v>
      </c>
      <c r="B1028" s="7" t="s">
        <v>55</v>
      </c>
      <c r="C1028" s="14" t="s">
        <v>29</v>
      </c>
      <c r="D1028" s="8" t="s">
        <v>46</v>
      </c>
    </row>
    <row r="1029" customFormat="false" ht="15" hidden="false" customHeight="false" outlineLevel="0" collapsed="false">
      <c r="A1029" s="7" t="s">
        <v>1192</v>
      </c>
      <c r="B1029" s="7" t="s">
        <v>60</v>
      </c>
      <c r="C1029" s="14" t="s">
        <v>29</v>
      </c>
      <c r="D1029" s="8" t="s">
        <v>46</v>
      </c>
    </row>
    <row r="1030" customFormat="false" ht="15" hidden="false" customHeight="false" outlineLevel="0" collapsed="false">
      <c r="A1030" s="7" t="s">
        <v>1193</v>
      </c>
      <c r="B1030" s="7" t="s">
        <v>53</v>
      </c>
      <c r="C1030" s="14" t="s">
        <v>29</v>
      </c>
      <c r="D1030" s="8" t="s">
        <v>28</v>
      </c>
    </row>
    <row r="1031" customFormat="false" ht="15" hidden="false" customHeight="false" outlineLevel="0" collapsed="false">
      <c r="A1031" s="7" t="s">
        <v>1194</v>
      </c>
      <c r="B1031" s="7" t="s">
        <v>41</v>
      </c>
      <c r="C1031" s="14" t="s">
        <v>29</v>
      </c>
      <c r="D1031" s="8" t="s">
        <v>28</v>
      </c>
    </row>
    <row r="1032" customFormat="false" ht="15" hidden="false" customHeight="false" outlineLevel="0" collapsed="false">
      <c r="A1032" s="7" t="s">
        <v>1195</v>
      </c>
      <c r="B1032" s="7" t="s">
        <v>37</v>
      </c>
      <c r="C1032" s="14" t="s">
        <v>29</v>
      </c>
      <c r="D1032" s="8" t="s">
        <v>38</v>
      </c>
    </row>
    <row r="1033" customFormat="false" ht="15" hidden="false" customHeight="false" outlineLevel="0" collapsed="false">
      <c r="A1033" s="7" t="s">
        <v>1195</v>
      </c>
      <c r="B1033" s="7" t="s">
        <v>55</v>
      </c>
      <c r="C1033" s="14" t="s">
        <v>29</v>
      </c>
      <c r="D1033" s="8" t="s">
        <v>46</v>
      </c>
    </row>
    <row r="1034" customFormat="false" ht="15" hidden="false" customHeight="false" outlineLevel="0" collapsed="false">
      <c r="A1034" s="7" t="s">
        <v>1196</v>
      </c>
      <c r="B1034" s="7" t="s">
        <v>64</v>
      </c>
      <c r="C1034" s="14" t="s">
        <v>29</v>
      </c>
      <c r="D1034" s="8" t="s">
        <v>38</v>
      </c>
    </row>
    <row r="1035" customFormat="false" ht="15" hidden="false" customHeight="false" outlineLevel="0" collapsed="false">
      <c r="A1035" s="7" t="s">
        <v>1197</v>
      </c>
      <c r="B1035" s="7" t="s">
        <v>53</v>
      </c>
      <c r="C1035" s="14" t="s">
        <v>29</v>
      </c>
      <c r="D1035" s="8" t="s">
        <v>28</v>
      </c>
    </row>
    <row r="1036" customFormat="false" ht="15" hidden="false" customHeight="false" outlineLevel="0" collapsed="false">
      <c r="A1036" s="7" t="s">
        <v>1198</v>
      </c>
      <c r="B1036" s="7" t="s">
        <v>41</v>
      </c>
      <c r="C1036" s="14" t="s">
        <v>29</v>
      </c>
      <c r="D1036" s="8" t="s">
        <v>28</v>
      </c>
    </row>
    <row r="1037" customFormat="false" ht="15" hidden="false" customHeight="false" outlineLevel="0" collapsed="false">
      <c r="A1037" s="7" t="s">
        <v>1199</v>
      </c>
      <c r="B1037" s="7" t="s">
        <v>55</v>
      </c>
      <c r="C1037" s="14" t="s">
        <v>29</v>
      </c>
      <c r="D1037" s="8" t="s">
        <v>46</v>
      </c>
    </row>
    <row r="1038" customFormat="false" ht="15" hidden="false" customHeight="false" outlineLevel="0" collapsed="false">
      <c r="A1038" s="7" t="s">
        <v>1200</v>
      </c>
      <c r="B1038" s="7" t="s">
        <v>86</v>
      </c>
      <c r="C1038" s="14" t="s">
        <v>29</v>
      </c>
      <c r="D1038" s="8" t="s">
        <v>87</v>
      </c>
    </row>
    <row r="1039" customFormat="false" ht="15" hidden="false" customHeight="false" outlineLevel="0" collapsed="false">
      <c r="A1039" s="7" t="s">
        <v>1201</v>
      </c>
      <c r="B1039" s="7" t="s">
        <v>37</v>
      </c>
      <c r="C1039" s="14" t="s">
        <v>29</v>
      </c>
      <c r="D1039" s="8" t="s">
        <v>38</v>
      </c>
    </row>
    <row r="1040" customFormat="false" ht="15" hidden="false" customHeight="false" outlineLevel="0" collapsed="false">
      <c r="A1040" s="7" t="s">
        <v>1202</v>
      </c>
      <c r="B1040" s="7" t="s">
        <v>55</v>
      </c>
      <c r="C1040" s="14" t="s">
        <v>29</v>
      </c>
      <c r="D1040" s="8" t="s">
        <v>46</v>
      </c>
    </row>
    <row r="1041" customFormat="false" ht="15" hidden="false" customHeight="false" outlineLevel="0" collapsed="false">
      <c r="A1041" s="7" t="s">
        <v>1203</v>
      </c>
      <c r="B1041" s="7" t="s">
        <v>37</v>
      </c>
      <c r="C1041" s="14" t="s">
        <v>29</v>
      </c>
      <c r="D1041" s="8" t="s">
        <v>38</v>
      </c>
    </row>
    <row r="1042" customFormat="false" ht="15" hidden="false" customHeight="false" outlineLevel="0" collapsed="false">
      <c r="A1042" s="7" t="s">
        <v>1204</v>
      </c>
      <c r="B1042" s="7" t="s">
        <v>62</v>
      </c>
      <c r="C1042" s="14" t="s">
        <v>29</v>
      </c>
      <c r="D1042" s="8" t="s">
        <v>46</v>
      </c>
    </row>
    <row r="1043" customFormat="false" ht="15" hidden="false" customHeight="false" outlineLevel="0" collapsed="false">
      <c r="A1043" s="7" t="s">
        <v>1204</v>
      </c>
      <c r="B1043" s="7" t="s">
        <v>58</v>
      </c>
      <c r="C1043" s="14" t="s">
        <v>29</v>
      </c>
      <c r="D1043" s="8" t="s">
        <v>46</v>
      </c>
    </row>
    <row r="1044" customFormat="false" ht="15" hidden="false" customHeight="false" outlineLevel="0" collapsed="false">
      <c r="A1044" s="7" t="s">
        <v>1204</v>
      </c>
      <c r="B1044" s="7" t="s">
        <v>41</v>
      </c>
      <c r="C1044" s="14" t="s">
        <v>29</v>
      </c>
      <c r="D1044" s="8" t="s">
        <v>28</v>
      </c>
    </row>
    <row r="1045" customFormat="false" ht="15" hidden="false" customHeight="false" outlineLevel="0" collapsed="false">
      <c r="A1045" s="7" t="s">
        <v>1205</v>
      </c>
      <c r="B1045" s="7" t="s">
        <v>100</v>
      </c>
      <c r="C1045" s="10" t="s">
        <v>67</v>
      </c>
      <c r="D1045" s="8" t="s">
        <v>38</v>
      </c>
    </row>
    <row r="1046" customFormat="false" ht="15" hidden="false" customHeight="false" outlineLevel="0" collapsed="false">
      <c r="A1046" s="7" t="s">
        <v>1206</v>
      </c>
      <c r="B1046" s="7" t="s">
        <v>41</v>
      </c>
      <c r="C1046" s="14" t="s">
        <v>29</v>
      </c>
      <c r="D1046" s="8" t="s">
        <v>28</v>
      </c>
    </row>
    <row r="1047" customFormat="false" ht="15" hidden="false" customHeight="false" outlineLevel="0" collapsed="false">
      <c r="A1047" s="7" t="s">
        <v>1207</v>
      </c>
      <c r="B1047" s="7" t="s">
        <v>73</v>
      </c>
      <c r="C1047" s="10" t="s">
        <v>67</v>
      </c>
      <c r="D1047" s="8" t="s">
        <v>28</v>
      </c>
    </row>
    <row r="1048" customFormat="false" ht="15" hidden="false" customHeight="false" outlineLevel="0" collapsed="false">
      <c r="A1048" s="7" t="s">
        <v>1208</v>
      </c>
      <c r="B1048" s="7" t="s">
        <v>89</v>
      </c>
      <c r="C1048" s="14" t="s">
        <v>29</v>
      </c>
      <c r="D1048" s="8" t="s">
        <v>87</v>
      </c>
    </row>
    <row r="1049" customFormat="false" ht="15" hidden="false" customHeight="false" outlineLevel="0" collapsed="false">
      <c r="A1049" s="7" t="s">
        <v>1209</v>
      </c>
      <c r="B1049" s="7" t="s">
        <v>55</v>
      </c>
      <c r="C1049" s="10" t="s">
        <v>67</v>
      </c>
      <c r="D1049" s="8" t="s">
        <v>46</v>
      </c>
    </row>
    <row r="1050" customFormat="false" ht="15" hidden="false" customHeight="false" outlineLevel="0" collapsed="false">
      <c r="A1050" s="7" t="s">
        <v>1210</v>
      </c>
      <c r="B1050" s="7" t="s">
        <v>41</v>
      </c>
      <c r="C1050" s="14" t="s">
        <v>29</v>
      </c>
      <c r="D1050" s="8" t="s">
        <v>28</v>
      </c>
    </row>
    <row r="1051" customFormat="false" ht="15" hidden="false" customHeight="false" outlineLevel="0" collapsed="false">
      <c r="A1051" s="7" t="s">
        <v>1211</v>
      </c>
      <c r="B1051" s="7" t="s">
        <v>41</v>
      </c>
      <c r="C1051" s="14" t="s">
        <v>29</v>
      </c>
      <c r="D1051" s="8" t="s">
        <v>28</v>
      </c>
    </row>
    <row r="1052" customFormat="false" ht="15" hidden="false" customHeight="false" outlineLevel="0" collapsed="false">
      <c r="A1052" s="7" t="s">
        <v>1212</v>
      </c>
      <c r="B1052" s="7" t="s">
        <v>82</v>
      </c>
      <c r="C1052" s="14" t="s">
        <v>29</v>
      </c>
      <c r="D1052" s="8" t="s">
        <v>46</v>
      </c>
    </row>
    <row r="1053" customFormat="false" ht="15" hidden="false" customHeight="false" outlineLevel="0" collapsed="false">
      <c r="A1053" s="7" t="s">
        <v>1213</v>
      </c>
      <c r="B1053" s="7" t="s">
        <v>41</v>
      </c>
      <c r="C1053" s="14" t="s">
        <v>29</v>
      </c>
      <c r="D1053" s="8" t="s">
        <v>28</v>
      </c>
    </row>
    <row r="1054" customFormat="false" ht="15" hidden="false" customHeight="false" outlineLevel="0" collapsed="false">
      <c r="A1054" s="7" t="s">
        <v>1214</v>
      </c>
      <c r="B1054" s="7" t="s">
        <v>41</v>
      </c>
      <c r="C1054" s="14" t="s">
        <v>29</v>
      </c>
      <c r="D1054" s="8" t="s">
        <v>28</v>
      </c>
    </row>
    <row r="1055" customFormat="false" ht="15" hidden="false" customHeight="false" outlineLevel="0" collapsed="false">
      <c r="A1055" s="7" t="s">
        <v>1215</v>
      </c>
      <c r="B1055" s="7" t="s">
        <v>58</v>
      </c>
      <c r="C1055" s="10" t="s">
        <v>67</v>
      </c>
      <c r="D1055" s="8" t="s">
        <v>46</v>
      </c>
    </row>
    <row r="1056" customFormat="false" ht="15" hidden="false" customHeight="false" outlineLevel="0" collapsed="false">
      <c r="A1056" s="7" t="s">
        <v>1215</v>
      </c>
      <c r="B1056" s="7" t="s">
        <v>37</v>
      </c>
      <c r="C1056" s="14" t="s">
        <v>29</v>
      </c>
      <c r="D1056" s="8" t="s">
        <v>38</v>
      </c>
    </row>
    <row r="1057" customFormat="false" ht="15" hidden="false" customHeight="false" outlineLevel="0" collapsed="false">
      <c r="A1057" s="7" t="s">
        <v>1216</v>
      </c>
      <c r="B1057" s="7" t="s">
        <v>60</v>
      </c>
      <c r="C1057" s="10" t="s">
        <v>67</v>
      </c>
      <c r="D1057" s="8" t="s">
        <v>46</v>
      </c>
    </row>
    <row r="1058" customFormat="false" ht="15" hidden="false" customHeight="false" outlineLevel="0" collapsed="false">
      <c r="A1058" s="7" t="s">
        <v>1217</v>
      </c>
      <c r="B1058" s="7" t="s">
        <v>55</v>
      </c>
      <c r="C1058" s="14" t="s">
        <v>29</v>
      </c>
      <c r="D1058" s="8" t="s">
        <v>46</v>
      </c>
    </row>
    <row r="1059" customFormat="false" ht="15" hidden="false" customHeight="false" outlineLevel="0" collapsed="false">
      <c r="A1059" s="7" t="s">
        <v>1218</v>
      </c>
      <c r="B1059" s="7" t="s">
        <v>58</v>
      </c>
      <c r="C1059" s="14" t="s">
        <v>29</v>
      </c>
      <c r="D1059" s="8" t="s">
        <v>46</v>
      </c>
    </row>
    <row r="1060" customFormat="false" ht="15" hidden="false" customHeight="false" outlineLevel="0" collapsed="false">
      <c r="A1060" s="7" t="s">
        <v>1219</v>
      </c>
      <c r="B1060" s="7" t="s">
        <v>58</v>
      </c>
      <c r="C1060" s="10" t="s">
        <v>67</v>
      </c>
      <c r="D1060" s="8" t="s">
        <v>46</v>
      </c>
    </row>
    <row r="1061" customFormat="false" ht="15" hidden="false" customHeight="false" outlineLevel="0" collapsed="false">
      <c r="A1061" s="7" t="s">
        <v>1220</v>
      </c>
      <c r="B1061" s="7" t="s">
        <v>47</v>
      </c>
      <c r="C1061" s="14" t="s">
        <v>29</v>
      </c>
      <c r="D1061" s="8" t="s">
        <v>46</v>
      </c>
    </row>
    <row r="1062" customFormat="false" ht="15" hidden="false" customHeight="false" outlineLevel="0" collapsed="false">
      <c r="A1062" s="7" t="s">
        <v>1220</v>
      </c>
      <c r="B1062" s="7" t="s">
        <v>53</v>
      </c>
      <c r="C1062" s="14" t="s">
        <v>29</v>
      </c>
      <c r="D1062" s="8" t="s">
        <v>28</v>
      </c>
    </row>
    <row r="1063" customFormat="false" ht="15" hidden="false" customHeight="false" outlineLevel="0" collapsed="false">
      <c r="A1063" s="7" t="s">
        <v>1221</v>
      </c>
      <c r="B1063" s="7" t="s">
        <v>41</v>
      </c>
      <c r="C1063" s="14" t="s">
        <v>29</v>
      </c>
      <c r="D1063" s="8" t="s">
        <v>28</v>
      </c>
    </row>
    <row r="1064" customFormat="false" ht="15" hidden="false" customHeight="false" outlineLevel="0" collapsed="false">
      <c r="A1064" s="7" t="s">
        <v>1222</v>
      </c>
      <c r="B1064" s="7" t="s">
        <v>37</v>
      </c>
      <c r="C1064" s="14" t="s">
        <v>29</v>
      </c>
      <c r="D1064" s="8" t="s">
        <v>38</v>
      </c>
    </row>
    <row r="1065" customFormat="false" ht="15" hidden="false" customHeight="false" outlineLevel="0" collapsed="false">
      <c r="A1065" s="7" t="s">
        <v>1222</v>
      </c>
      <c r="B1065" s="7" t="s">
        <v>82</v>
      </c>
      <c r="C1065" s="10" t="s">
        <v>67</v>
      </c>
      <c r="D1065" s="8" t="s">
        <v>46</v>
      </c>
    </row>
    <row r="1066" customFormat="false" ht="15" hidden="false" customHeight="false" outlineLevel="0" collapsed="false">
      <c r="A1066" s="7" t="s">
        <v>1223</v>
      </c>
      <c r="B1066" s="7" t="s">
        <v>55</v>
      </c>
      <c r="C1066" s="14" t="s">
        <v>29</v>
      </c>
      <c r="D1066" s="8" t="s">
        <v>46</v>
      </c>
    </row>
    <row r="1067" customFormat="false" ht="15" hidden="false" customHeight="false" outlineLevel="0" collapsed="false">
      <c r="A1067" s="7" t="s">
        <v>1224</v>
      </c>
      <c r="B1067" s="7" t="s">
        <v>58</v>
      </c>
      <c r="C1067" s="14" t="s">
        <v>29</v>
      </c>
      <c r="D1067" s="8" t="s">
        <v>46</v>
      </c>
    </row>
    <row r="1068" customFormat="false" ht="15" hidden="false" customHeight="false" outlineLevel="0" collapsed="false">
      <c r="A1068" s="7" t="s">
        <v>1225</v>
      </c>
      <c r="B1068" s="7" t="s">
        <v>37</v>
      </c>
      <c r="C1068" s="14" t="s">
        <v>29</v>
      </c>
      <c r="D1068" s="8" t="s">
        <v>38</v>
      </c>
    </row>
    <row r="1069" customFormat="false" ht="15" hidden="false" customHeight="false" outlineLevel="0" collapsed="false">
      <c r="A1069" s="7" t="s">
        <v>1225</v>
      </c>
      <c r="B1069" s="7" t="s">
        <v>58</v>
      </c>
      <c r="C1069" s="10" t="s">
        <v>67</v>
      </c>
      <c r="D1069" s="8" t="s">
        <v>46</v>
      </c>
    </row>
    <row r="1070" customFormat="false" ht="15" hidden="false" customHeight="false" outlineLevel="0" collapsed="false">
      <c r="A1070" s="7" t="s">
        <v>1226</v>
      </c>
      <c r="B1070" s="7" t="s">
        <v>58</v>
      </c>
      <c r="C1070" s="14" t="s">
        <v>29</v>
      </c>
      <c r="D1070" s="8" t="s">
        <v>46</v>
      </c>
    </row>
    <row r="1071" customFormat="false" ht="15" hidden="false" customHeight="false" outlineLevel="0" collapsed="false">
      <c r="A1071" s="7" t="s">
        <v>1227</v>
      </c>
      <c r="B1071" s="7" t="s">
        <v>37</v>
      </c>
      <c r="C1071" s="14" t="s">
        <v>29</v>
      </c>
      <c r="D1071" s="8" t="s">
        <v>38</v>
      </c>
    </row>
    <row r="1072" customFormat="false" ht="15" hidden="false" customHeight="false" outlineLevel="0" collapsed="false">
      <c r="A1072" s="7" t="s">
        <v>1228</v>
      </c>
      <c r="B1072" s="7" t="s">
        <v>55</v>
      </c>
      <c r="C1072" s="10" t="s">
        <v>67</v>
      </c>
      <c r="D1072" s="8" t="s">
        <v>46</v>
      </c>
    </row>
    <row r="1073" customFormat="false" ht="15" hidden="false" customHeight="false" outlineLevel="0" collapsed="false">
      <c r="A1073" s="7" t="s">
        <v>1228</v>
      </c>
      <c r="B1073" s="7" t="s">
        <v>58</v>
      </c>
      <c r="C1073" s="10" t="s">
        <v>67</v>
      </c>
      <c r="D1073" s="8" t="s">
        <v>46</v>
      </c>
    </row>
    <row r="1074" customFormat="false" ht="15" hidden="false" customHeight="false" outlineLevel="0" collapsed="false">
      <c r="A1074" s="7" t="s">
        <v>1229</v>
      </c>
      <c r="B1074" s="7" t="s">
        <v>55</v>
      </c>
      <c r="C1074" s="14" t="s">
        <v>29</v>
      </c>
      <c r="D1074" s="8" t="s">
        <v>46</v>
      </c>
    </row>
    <row r="1075" customFormat="false" ht="15" hidden="false" customHeight="false" outlineLevel="0" collapsed="false">
      <c r="A1075" s="7" t="s">
        <v>1230</v>
      </c>
      <c r="B1075" s="7" t="s">
        <v>91</v>
      </c>
      <c r="C1075" s="14" t="s">
        <v>29</v>
      </c>
      <c r="D1075" s="8" t="s">
        <v>87</v>
      </c>
    </row>
    <row r="1076" customFormat="false" ht="15" hidden="false" customHeight="false" outlineLevel="0" collapsed="false">
      <c r="A1076" s="7" t="s">
        <v>1231</v>
      </c>
      <c r="B1076" s="7" t="s">
        <v>62</v>
      </c>
      <c r="C1076" s="14" t="s">
        <v>29</v>
      </c>
      <c r="D1076" s="8" t="s">
        <v>46</v>
      </c>
    </row>
    <row r="1077" customFormat="false" ht="15" hidden="false" customHeight="false" outlineLevel="0" collapsed="false">
      <c r="A1077" s="7" t="s">
        <v>1231</v>
      </c>
      <c r="B1077" s="7" t="s">
        <v>58</v>
      </c>
      <c r="C1077" s="14" t="s">
        <v>29</v>
      </c>
      <c r="D1077" s="8" t="s">
        <v>46</v>
      </c>
    </row>
    <row r="1078" customFormat="false" ht="15" hidden="false" customHeight="false" outlineLevel="0" collapsed="false">
      <c r="A1078" s="7" t="s">
        <v>1232</v>
      </c>
      <c r="B1078" s="7" t="s">
        <v>45</v>
      </c>
      <c r="C1078" s="14" t="s">
        <v>29</v>
      </c>
      <c r="D1078" s="8" t="s">
        <v>46</v>
      </c>
    </row>
    <row r="1079" customFormat="false" ht="15" hidden="false" customHeight="false" outlineLevel="0" collapsed="false">
      <c r="A1079" s="7" t="s">
        <v>1233</v>
      </c>
      <c r="B1079" s="7" t="s">
        <v>82</v>
      </c>
      <c r="C1079" s="14" t="s">
        <v>29</v>
      </c>
      <c r="D1079" s="8" t="s">
        <v>46</v>
      </c>
    </row>
    <row r="1080" customFormat="false" ht="15" hidden="false" customHeight="false" outlineLevel="0" collapsed="false">
      <c r="A1080" s="7" t="s">
        <v>1233</v>
      </c>
      <c r="B1080" s="7" t="s">
        <v>77</v>
      </c>
      <c r="C1080" s="10" t="s">
        <v>67</v>
      </c>
      <c r="D1080" s="8" t="s">
        <v>46</v>
      </c>
    </row>
    <row r="1081" customFormat="false" ht="15" hidden="false" customHeight="false" outlineLevel="0" collapsed="false">
      <c r="A1081" s="7" t="s">
        <v>1234</v>
      </c>
      <c r="B1081" s="7" t="s">
        <v>77</v>
      </c>
      <c r="C1081" s="10" t="s">
        <v>67</v>
      </c>
      <c r="D1081" s="8" t="s">
        <v>46</v>
      </c>
    </row>
    <row r="1082" customFormat="false" ht="15" hidden="false" customHeight="false" outlineLevel="0" collapsed="false">
      <c r="A1082" s="7" t="s">
        <v>1235</v>
      </c>
      <c r="B1082" s="7" t="s">
        <v>77</v>
      </c>
      <c r="C1082" s="10" t="s">
        <v>67</v>
      </c>
      <c r="D1082" s="8" t="s">
        <v>46</v>
      </c>
    </row>
    <row r="1083" customFormat="false" ht="15" hidden="false" customHeight="false" outlineLevel="0" collapsed="false">
      <c r="A1083" s="7" t="s">
        <v>1236</v>
      </c>
      <c r="B1083" s="7" t="s">
        <v>77</v>
      </c>
      <c r="C1083" s="10" t="s">
        <v>67</v>
      </c>
      <c r="D1083" s="8" t="s">
        <v>46</v>
      </c>
    </row>
    <row r="1084" customFormat="false" ht="15" hidden="false" customHeight="false" outlineLevel="0" collapsed="false">
      <c r="A1084" s="7" t="s">
        <v>1236</v>
      </c>
      <c r="B1084" s="7" t="s">
        <v>55</v>
      </c>
      <c r="C1084" s="10" t="s">
        <v>67</v>
      </c>
      <c r="D1084" s="8" t="s">
        <v>46</v>
      </c>
    </row>
    <row r="1085" customFormat="false" ht="15" hidden="false" customHeight="false" outlineLevel="0" collapsed="false">
      <c r="A1085" s="7" t="s">
        <v>1237</v>
      </c>
      <c r="B1085" s="7" t="s">
        <v>77</v>
      </c>
      <c r="C1085" s="10" t="s">
        <v>67</v>
      </c>
      <c r="D1085" s="8" t="s">
        <v>46</v>
      </c>
    </row>
    <row r="1086" customFormat="false" ht="15" hidden="false" customHeight="false" outlineLevel="0" collapsed="false">
      <c r="A1086" s="7" t="s">
        <v>1237</v>
      </c>
      <c r="B1086" s="7" t="s">
        <v>75</v>
      </c>
      <c r="C1086" s="10" t="s">
        <v>67</v>
      </c>
      <c r="D1086" s="8" t="s">
        <v>28</v>
      </c>
    </row>
    <row r="1087" customFormat="false" ht="15" hidden="false" customHeight="false" outlineLevel="0" collapsed="false">
      <c r="A1087" s="7" t="s">
        <v>1238</v>
      </c>
      <c r="B1087" s="7" t="s">
        <v>55</v>
      </c>
      <c r="C1087" s="10" t="s">
        <v>67</v>
      </c>
      <c r="D1087" s="8" t="s">
        <v>46</v>
      </c>
    </row>
    <row r="1088" customFormat="false" ht="15" hidden="false" customHeight="false" outlineLevel="0" collapsed="false">
      <c r="A1088" s="7" t="s">
        <v>1239</v>
      </c>
      <c r="B1088" s="7" t="s">
        <v>55</v>
      </c>
      <c r="C1088" s="10" t="s">
        <v>67</v>
      </c>
      <c r="D1088" s="8" t="s">
        <v>46</v>
      </c>
    </row>
    <row r="1089" customFormat="false" ht="15" hidden="false" customHeight="false" outlineLevel="0" collapsed="false">
      <c r="A1089" s="7" t="s">
        <v>1240</v>
      </c>
      <c r="B1089" s="7" t="s">
        <v>60</v>
      </c>
      <c r="C1089" s="10" t="s">
        <v>67</v>
      </c>
      <c r="D1089" s="8" t="s">
        <v>46</v>
      </c>
    </row>
    <row r="1090" customFormat="false" ht="15" hidden="false" customHeight="false" outlineLevel="0" collapsed="false">
      <c r="A1090" s="7" t="s">
        <v>1241</v>
      </c>
      <c r="B1090" s="7" t="s">
        <v>58</v>
      </c>
      <c r="C1090" s="10" t="s">
        <v>67</v>
      </c>
      <c r="D1090" s="8" t="s">
        <v>46</v>
      </c>
    </row>
    <row r="1091" customFormat="false" ht="15" hidden="false" customHeight="false" outlineLevel="0" collapsed="false">
      <c r="A1091" s="7" t="s">
        <v>1242</v>
      </c>
      <c r="B1091" s="7" t="s">
        <v>86</v>
      </c>
      <c r="C1091" s="10" t="s">
        <v>67</v>
      </c>
      <c r="D1091" s="8" t="s">
        <v>87</v>
      </c>
    </row>
    <row r="1092" customFormat="false" ht="15" hidden="false" customHeight="false" outlineLevel="0" collapsed="false">
      <c r="A1092" s="7" t="s">
        <v>1242</v>
      </c>
      <c r="B1092" s="7" t="s">
        <v>89</v>
      </c>
      <c r="C1092" s="10" t="s">
        <v>67</v>
      </c>
      <c r="D1092" s="8" t="s">
        <v>87</v>
      </c>
    </row>
    <row r="1093" customFormat="false" ht="15" hidden="false" customHeight="false" outlineLevel="0" collapsed="false">
      <c r="A1093" s="7" t="s">
        <v>1243</v>
      </c>
      <c r="B1093" s="7" t="s">
        <v>62</v>
      </c>
      <c r="C1093" s="14" t="s">
        <v>29</v>
      </c>
      <c r="D1093" s="8" t="s">
        <v>46</v>
      </c>
    </row>
    <row r="1094" customFormat="false" ht="15" hidden="false" customHeight="false" outlineLevel="0" collapsed="false">
      <c r="A1094" s="7" t="s">
        <v>1244</v>
      </c>
      <c r="B1094" s="7" t="s">
        <v>58</v>
      </c>
      <c r="C1094" s="14" t="s">
        <v>29</v>
      </c>
      <c r="D1094" s="8" t="s">
        <v>46</v>
      </c>
    </row>
    <row r="1095" customFormat="false" ht="15" hidden="false" customHeight="false" outlineLevel="0" collapsed="false">
      <c r="A1095" s="7" t="s">
        <v>1245</v>
      </c>
      <c r="B1095" s="7" t="s">
        <v>58</v>
      </c>
      <c r="C1095" s="10" t="s">
        <v>67</v>
      </c>
      <c r="D1095" s="8" t="s">
        <v>46</v>
      </c>
    </row>
    <row r="1096" customFormat="false" ht="15" hidden="false" customHeight="false" outlineLevel="0" collapsed="false">
      <c r="A1096" s="7" t="s">
        <v>1246</v>
      </c>
      <c r="B1096" s="7" t="s">
        <v>58</v>
      </c>
      <c r="C1096" s="14" t="s">
        <v>29</v>
      </c>
      <c r="D1096" s="8" t="s">
        <v>46</v>
      </c>
    </row>
    <row r="1097" customFormat="false" ht="15" hidden="false" customHeight="false" outlineLevel="0" collapsed="false">
      <c r="A1097" s="7" t="s">
        <v>1246</v>
      </c>
      <c r="B1097" s="7" t="s">
        <v>62</v>
      </c>
      <c r="C1097" s="14" t="s">
        <v>29</v>
      </c>
      <c r="D1097" s="8" t="s">
        <v>46</v>
      </c>
    </row>
    <row r="1098" customFormat="false" ht="15" hidden="false" customHeight="false" outlineLevel="0" collapsed="false">
      <c r="A1098" s="7" t="s">
        <v>1247</v>
      </c>
      <c r="B1098" s="7" t="s">
        <v>58</v>
      </c>
      <c r="C1098" s="10" t="s">
        <v>67</v>
      </c>
      <c r="D1098" s="8" t="s">
        <v>46</v>
      </c>
    </row>
    <row r="1099" customFormat="false" ht="15" hidden="false" customHeight="false" outlineLevel="0" collapsed="false">
      <c r="A1099" s="7" t="s">
        <v>1248</v>
      </c>
      <c r="B1099" s="7" t="s">
        <v>62</v>
      </c>
      <c r="C1099" s="14" t="s">
        <v>29</v>
      </c>
      <c r="D1099" s="8" t="s">
        <v>46</v>
      </c>
    </row>
    <row r="1100" customFormat="false" ht="15" hidden="false" customHeight="false" outlineLevel="0" collapsed="false">
      <c r="A1100" s="7" t="s">
        <v>1249</v>
      </c>
      <c r="B1100" s="7" t="s">
        <v>41</v>
      </c>
      <c r="C1100" s="14" t="s">
        <v>29</v>
      </c>
      <c r="D1100" s="8" t="s">
        <v>28</v>
      </c>
    </row>
    <row r="1101" customFormat="false" ht="15" hidden="false" customHeight="false" outlineLevel="0" collapsed="false">
      <c r="A1101" s="7" t="s">
        <v>1250</v>
      </c>
      <c r="B1101" s="7" t="s">
        <v>58</v>
      </c>
      <c r="C1101" s="14" t="s">
        <v>29</v>
      </c>
      <c r="D1101" s="8" t="s">
        <v>46</v>
      </c>
    </row>
    <row r="1102" customFormat="false" ht="15" hidden="false" customHeight="false" outlineLevel="0" collapsed="false">
      <c r="A1102" s="7" t="s">
        <v>1251</v>
      </c>
      <c r="B1102" s="7" t="s">
        <v>41</v>
      </c>
      <c r="C1102" s="14" t="s">
        <v>29</v>
      </c>
      <c r="D1102" s="8" t="s">
        <v>28</v>
      </c>
    </row>
    <row r="1103" customFormat="false" ht="15" hidden="false" customHeight="false" outlineLevel="0" collapsed="false">
      <c r="A1103" s="7" t="s">
        <v>1252</v>
      </c>
      <c r="B1103" s="7" t="s">
        <v>41</v>
      </c>
      <c r="C1103" s="14" t="s">
        <v>29</v>
      </c>
      <c r="D1103" s="8" t="s">
        <v>28</v>
      </c>
    </row>
    <row r="1104" customFormat="false" ht="15" hidden="false" customHeight="false" outlineLevel="0" collapsed="false">
      <c r="A1104" s="7" t="s">
        <v>1253</v>
      </c>
      <c r="B1104" s="7" t="s">
        <v>82</v>
      </c>
      <c r="C1104" s="10" t="s">
        <v>67</v>
      </c>
      <c r="D1104" s="8" t="s">
        <v>46</v>
      </c>
    </row>
    <row r="1105" customFormat="false" ht="15" hidden="false" customHeight="false" outlineLevel="0" collapsed="false">
      <c r="A1105" s="7" t="s">
        <v>1253</v>
      </c>
      <c r="B1105" s="7" t="s">
        <v>55</v>
      </c>
      <c r="C1105" s="10" t="s">
        <v>67</v>
      </c>
      <c r="D1105" s="8" t="s">
        <v>46</v>
      </c>
    </row>
    <row r="1106" customFormat="false" ht="15" hidden="false" customHeight="false" outlineLevel="0" collapsed="false">
      <c r="A1106" s="7" t="s">
        <v>1254</v>
      </c>
      <c r="B1106" s="7" t="s">
        <v>41</v>
      </c>
      <c r="C1106" s="14" t="s">
        <v>29</v>
      </c>
      <c r="D1106" s="8" t="s">
        <v>28</v>
      </c>
    </row>
    <row r="1107" customFormat="false" ht="15" hidden="false" customHeight="false" outlineLevel="0" collapsed="false">
      <c r="A1107" s="7" t="s">
        <v>1254</v>
      </c>
      <c r="B1107" s="7" t="s">
        <v>58</v>
      </c>
      <c r="C1107" s="10" t="s">
        <v>67</v>
      </c>
      <c r="D1107" s="8" t="s">
        <v>46</v>
      </c>
    </row>
    <row r="1108" customFormat="false" ht="15" hidden="false" customHeight="false" outlineLevel="0" collapsed="false">
      <c r="A1108" s="7" t="s">
        <v>1255</v>
      </c>
      <c r="B1108" s="7" t="s">
        <v>53</v>
      </c>
      <c r="C1108" s="14" t="s">
        <v>29</v>
      </c>
      <c r="D1108" s="8" t="s">
        <v>28</v>
      </c>
    </row>
    <row r="1109" customFormat="false" ht="15" hidden="false" customHeight="false" outlineLevel="0" collapsed="false">
      <c r="A1109" s="7" t="s">
        <v>1256</v>
      </c>
      <c r="B1109" s="7" t="s">
        <v>37</v>
      </c>
      <c r="C1109" s="14" t="s">
        <v>29</v>
      </c>
      <c r="D1109" s="8" t="s">
        <v>38</v>
      </c>
    </row>
    <row r="1110" customFormat="false" ht="15" hidden="false" customHeight="false" outlineLevel="0" collapsed="false">
      <c r="A1110" s="7" t="s">
        <v>1257</v>
      </c>
      <c r="B1110" s="7" t="s">
        <v>62</v>
      </c>
      <c r="C1110" s="14" t="s">
        <v>29</v>
      </c>
      <c r="D1110" s="8" t="s">
        <v>46</v>
      </c>
    </row>
    <row r="1111" customFormat="false" ht="15" hidden="false" customHeight="false" outlineLevel="0" collapsed="false">
      <c r="A1111" s="7" t="s">
        <v>1258</v>
      </c>
      <c r="B1111" s="7" t="s">
        <v>58</v>
      </c>
      <c r="C1111" s="14" t="s">
        <v>29</v>
      </c>
      <c r="D1111" s="8" t="s">
        <v>46</v>
      </c>
    </row>
    <row r="1112" customFormat="false" ht="15" hidden="false" customHeight="false" outlineLevel="0" collapsed="false">
      <c r="A1112" s="7" t="s">
        <v>1259</v>
      </c>
      <c r="B1112" s="7" t="s">
        <v>58</v>
      </c>
      <c r="C1112" s="10" t="s">
        <v>67</v>
      </c>
      <c r="D1112" s="8" t="s">
        <v>46</v>
      </c>
    </row>
    <row r="1113" customFormat="false" ht="15" hidden="false" customHeight="false" outlineLevel="0" collapsed="false">
      <c r="A1113" s="7" t="s">
        <v>1260</v>
      </c>
      <c r="B1113" s="7" t="s">
        <v>62</v>
      </c>
      <c r="C1113" s="14" t="s">
        <v>29</v>
      </c>
      <c r="D1113" s="8" t="s">
        <v>46</v>
      </c>
    </row>
    <row r="1114" customFormat="false" ht="15" hidden="false" customHeight="false" outlineLevel="0" collapsed="false">
      <c r="A1114" s="7" t="s">
        <v>1260</v>
      </c>
      <c r="B1114" s="7" t="s">
        <v>58</v>
      </c>
      <c r="C1114" s="14" t="s">
        <v>29</v>
      </c>
      <c r="D1114" s="8" t="s">
        <v>46</v>
      </c>
    </row>
    <row r="1115" customFormat="false" ht="15" hidden="false" customHeight="false" outlineLevel="0" collapsed="false">
      <c r="A1115" s="7" t="s">
        <v>1261</v>
      </c>
      <c r="B1115" s="7" t="s">
        <v>58</v>
      </c>
      <c r="C1115" s="10" t="s">
        <v>67</v>
      </c>
      <c r="D1115" s="8" t="s">
        <v>46</v>
      </c>
    </row>
    <row r="1116" customFormat="false" ht="15" hidden="false" customHeight="false" outlineLevel="0" collapsed="false">
      <c r="A1116" s="7" t="s">
        <v>1262</v>
      </c>
      <c r="B1116" s="7" t="s">
        <v>82</v>
      </c>
      <c r="C1116" s="14" t="s">
        <v>29</v>
      </c>
      <c r="D1116" s="8" t="s">
        <v>46</v>
      </c>
    </row>
    <row r="1117" customFormat="false" ht="15" hidden="false" customHeight="false" outlineLevel="0" collapsed="false">
      <c r="A1117" s="7" t="s">
        <v>1262</v>
      </c>
      <c r="B1117" s="7" t="s">
        <v>73</v>
      </c>
      <c r="C1117" s="10" t="s">
        <v>67</v>
      </c>
      <c r="D1117" s="8" t="s">
        <v>28</v>
      </c>
    </row>
    <row r="1118" customFormat="false" ht="15" hidden="false" customHeight="false" outlineLevel="0" collapsed="false">
      <c r="A1118" s="7" t="s">
        <v>1263</v>
      </c>
      <c r="B1118" s="7" t="s">
        <v>82</v>
      </c>
      <c r="C1118" s="10" t="s">
        <v>67</v>
      </c>
      <c r="D1118" s="8" t="s">
        <v>46</v>
      </c>
    </row>
    <row r="1119" customFormat="false" ht="15" hidden="false" customHeight="false" outlineLevel="0" collapsed="false">
      <c r="A1119" s="7" t="s">
        <v>1264</v>
      </c>
      <c r="B1119" s="7" t="s">
        <v>37</v>
      </c>
      <c r="C1119" s="14" t="s">
        <v>29</v>
      </c>
      <c r="D1119" s="8" t="s">
        <v>38</v>
      </c>
    </row>
    <row r="1120" customFormat="false" ht="15" hidden="false" customHeight="false" outlineLevel="0" collapsed="false">
      <c r="A1120" s="7" t="s">
        <v>1264</v>
      </c>
      <c r="B1120" s="7" t="s">
        <v>47</v>
      </c>
      <c r="C1120" s="14" t="s">
        <v>29</v>
      </c>
      <c r="D1120" s="8" t="s">
        <v>46</v>
      </c>
    </row>
    <row r="1121" customFormat="false" ht="15" hidden="false" customHeight="false" outlineLevel="0" collapsed="false">
      <c r="A1121" s="7" t="s">
        <v>1265</v>
      </c>
      <c r="B1121" s="7" t="s">
        <v>47</v>
      </c>
      <c r="C1121" s="14" t="s">
        <v>29</v>
      </c>
      <c r="D1121" s="8" t="s">
        <v>46</v>
      </c>
    </row>
    <row r="1122" customFormat="false" ht="15" hidden="false" customHeight="false" outlineLevel="0" collapsed="false">
      <c r="A1122" s="7" t="s">
        <v>1266</v>
      </c>
      <c r="B1122" s="7" t="s">
        <v>71</v>
      </c>
      <c r="C1122" s="10" t="s">
        <v>67</v>
      </c>
      <c r="D1122" s="8" t="s">
        <v>33</v>
      </c>
    </row>
    <row r="1123" customFormat="false" ht="15" hidden="false" customHeight="false" outlineLevel="0" collapsed="false">
      <c r="A1123" s="7" t="s">
        <v>1267</v>
      </c>
      <c r="B1123" s="7" t="s">
        <v>55</v>
      </c>
      <c r="C1123" s="14" t="s">
        <v>29</v>
      </c>
      <c r="D1123" s="8" t="s">
        <v>46</v>
      </c>
    </row>
    <row r="1124" customFormat="false" ht="15" hidden="false" customHeight="false" outlineLevel="0" collapsed="false">
      <c r="A1124" s="7" t="s">
        <v>1268</v>
      </c>
      <c r="B1124" s="7" t="s">
        <v>47</v>
      </c>
      <c r="C1124" s="14" t="s">
        <v>29</v>
      </c>
      <c r="D1124" s="8" t="s">
        <v>46</v>
      </c>
    </row>
    <row r="1125" customFormat="false" ht="15" hidden="false" customHeight="false" outlineLevel="0" collapsed="false">
      <c r="A1125" s="7" t="s">
        <v>1269</v>
      </c>
      <c r="B1125" s="7" t="s">
        <v>47</v>
      </c>
      <c r="C1125" s="14" t="s">
        <v>29</v>
      </c>
      <c r="D1125" s="8" t="s">
        <v>46</v>
      </c>
    </row>
    <row r="1126" customFormat="false" ht="15" hidden="false" customHeight="false" outlineLevel="0" collapsed="false">
      <c r="A1126" s="7" t="s">
        <v>1270</v>
      </c>
      <c r="B1126" s="7" t="s">
        <v>37</v>
      </c>
      <c r="C1126" s="14" t="s">
        <v>29</v>
      </c>
      <c r="D1126" s="8" t="s">
        <v>38</v>
      </c>
    </row>
    <row r="1127" customFormat="false" ht="15" hidden="false" customHeight="false" outlineLevel="0" collapsed="false">
      <c r="A1127" s="7" t="s">
        <v>1270</v>
      </c>
      <c r="B1127" s="7" t="s">
        <v>84</v>
      </c>
      <c r="C1127" s="14" t="s">
        <v>29</v>
      </c>
      <c r="D1127" s="8" t="s">
        <v>38</v>
      </c>
    </row>
    <row r="1128" customFormat="false" ht="15" hidden="false" customHeight="false" outlineLevel="0" collapsed="false">
      <c r="A1128" s="7" t="s">
        <v>1271</v>
      </c>
      <c r="B1128" s="7" t="s">
        <v>55</v>
      </c>
      <c r="C1128" s="14" t="s">
        <v>29</v>
      </c>
      <c r="D1128" s="8" t="s">
        <v>46</v>
      </c>
    </row>
    <row r="1129" customFormat="false" ht="15" hidden="false" customHeight="false" outlineLevel="0" collapsed="false">
      <c r="A1129" s="7" t="s">
        <v>1271</v>
      </c>
      <c r="B1129" s="7" t="s">
        <v>64</v>
      </c>
      <c r="C1129" s="14" t="s">
        <v>29</v>
      </c>
      <c r="D1129" s="8" t="s">
        <v>38</v>
      </c>
    </row>
    <row r="1130" customFormat="false" ht="15" hidden="false" customHeight="false" outlineLevel="0" collapsed="false">
      <c r="A1130" s="7" t="s">
        <v>1272</v>
      </c>
      <c r="B1130" s="7" t="s">
        <v>69</v>
      </c>
      <c r="C1130" s="14" t="s">
        <v>29</v>
      </c>
      <c r="D1130" s="8" t="s">
        <v>33</v>
      </c>
    </row>
    <row r="1131" customFormat="false" ht="15" hidden="false" customHeight="false" outlineLevel="0" collapsed="false">
      <c r="A1131" s="7" t="s">
        <v>1273</v>
      </c>
      <c r="B1131" s="7" t="s">
        <v>47</v>
      </c>
      <c r="C1131" s="14" t="s">
        <v>29</v>
      </c>
      <c r="D1131" s="8" t="s">
        <v>46</v>
      </c>
    </row>
    <row r="1132" customFormat="false" ht="15" hidden="false" customHeight="false" outlineLevel="0" collapsed="false">
      <c r="A1132" s="7" t="s">
        <v>1274</v>
      </c>
      <c r="B1132" s="7" t="s">
        <v>47</v>
      </c>
      <c r="C1132" s="14" t="s">
        <v>29</v>
      </c>
      <c r="D1132" s="8" t="s">
        <v>46</v>
      </c>
    </row>
    <row r="1133" customFormat="false" ht="15" hidden="false" customHeight="false" outlineLevel="0" collapsed="false">
      <c r="A1133" s="7" t="s">
        <v>1275</v>
      </c>
      <c r="B1133" s="7" t="s">
        <v>71</v>
      </c>
      <c r="C1133" s="10" t="s">
        <v>67</v>
      </c>
      <c r="D1133" s="8" t="s">
        <v>33</v>
      </c>
    </row>
    <row r="1134" customFormat="false" ht="15" hidden="false" customHeight="false" outlineLevel="0" collapsed="false">
      <c r="A1134" s="7" t="s">
        <v>1276</v>
      </c>
      <c r="B1134" s="7" t="s">
        <v>47</v>
      </c>
      <c r="C1134" s="14" t="s">
        <v>29</v>
      </c>
      <c r="D1134" s="8" t="s">
        <v>46</v>
      </c>
    </row>
    <row r="1135" customFormat="false" ht="15" hidden="false" customHeight="false" outlineLevel="0" collapsed="false">
      <c r="A1135" s="7" t="s">
        <v>1277</v>
      </c>
      <c r="B1135" s="7" t="s">
        <v>55</v>
      </c>
      <c r="C1135" s="14" t="s">
        <v>29</v>
      </c>
      <c r="D1135" s="8" t="s">
        <v>46</v>
      </c>
    </row>
    <row r="1136" customFormat="false" ht="15" hidden="false" customHeight="false" outlineLevel="0" collapsed="false">
      <c r="A1136" s="7" t="s">
        <v>1278</v>
      </c>
      <c r="B1136" s="7" t="s">
        <v>69</v>
      </c>
      <c r="C1136" s="14" t="s">
        <v>29</v>
      </c>
      <c r="D1136" s="8" t="s">
        <v>33</v>
      </c>
    </row>
    <row r="1137" customFormat="false" ht="15" hidden="false" customHeight="false" outlineLevel="0" collapsed="false">
      <c r="A1137" s="7" t="s">
        <v>1279</v>
      </c>
      <c r="B1137" s="7" t="s">
        <v>60</v>
      </c>
      <c r="C1137" s="14" t="s">
        <v>29</v>
      </c>
      <c r="D1137" s="8" t="s">
        <v>46</v>
      </c>
    </row>
    <row r="1138" customFormat="false" ht="15" hidden="false" customHeight="false" outlineLevel="0" collapsed="false">
      <c r="A1138" s="7" t="s">
        <v>1280</v>
      </c>
      <c r="B1138" s="7" t="s">
        <v>55</v>
      </c>
      <c r="C1138" s="14" t="s">
        <v>29</v>
      </c>
      <c r="D1138" s="8" t="s">
        <v>46</v>
      </c>
    </row>
    <row r="1139" customFormat="false" ht="15" hidden="false" customHeight="false" outlineLevel="0" collapsed="false">
      <c r="A1139" s="7" t="s">
        <v>1281</v>
      </c>
      <c r="B1139" s="7" t="s">
        <v>69</v>
      </c>
      <c r="C1139" s="14" t="s">
        <v>29</v>
      </c>
      <c r="D1139" s="8" t="s">
        <v>33</v>
      </c>
    </row>
    <row r="1140" customFormat="false" ht="15" hidden="false" customHeight="false" outlineLevel="0" collapsed="false">
      <c r="A1140" s="7" t="s">
        <v>1281</v>
      </c>
      <c r="B1140" s="7" t="s">
        <v>32</v>
      </c>
      <c r="C1140" s="14" t="s">
        <v>29</v>
      </c>
      <c r="D1140" s="8" t="s">
        <v>33</v>
      </c>
    </row>
    <row r="1141" customFormat="false" ht="15" hidden="false" customHeight="false" outlineLevel="0" collapsed="false">
      <c r="A1141" s="7" t="s">
        <v>1281</v>
      </c>
      <c r="B1141" s="7" t="s">
        <v>64</v>
      </c>
      <c r="C1141" s="14" t="s">
        <v>29</v>
      </c>
      <c r="D1141" s="8" t="s">
        <v>38</v>
      </c>
    </row>
    <row r="1142" customFormat="false" ht="15" hidden="false" customHeight="false" outlineLevel="0" collapsed="false">
      <c r="A1142" s="7" t="s">
        <v>1282</v>
      </c>
      <c r="B1142" s="7" t="s">
        <v>40</v>
      </c>
      <c r="C1142" s="14" t="s">
        <v>29</v>
      </c>
      <c r="D1142" s="8" t="s">
        <v>33</v>
      </c>
    </row>
    <row r="1143" customFormat="false" ht="15" hidden="false" customHeight="false" outlineLevel="0" collapsed="false">
      <c r="A1143" s="7" t="s">
        <v>1283</v>
      </c>
      <c r="B1143" s="7" t="s">
        <v>37</v>
      </c>
      <c r="C1143" s="14" t="s">
        <v>29</v>
      </c>
      <c r="D1143" s="8" t="s">
        <v>38</v>
      </c>
    </row>
    <row r="1144" customFormat="false" ht="15" hidden="false" customHeight="false" outlineLevel="0" collapsed="false">
      <c r="A1144" s="7" t="s">
        <v>1284</v>
      </c>
      <c r="B1144" s="7" t="s">
        <v>55</v>
      </c>
      <c r="C1144" s="14" t="s">
        <v>29</v>
      </c>
      <c r="D1144" s="8" t="s">
        <v>46</v>
      </c>
    </row>
    <row r="1145" customFormat="false" ht="15" hidden="false" customHeight="false" outlineLevel="0" collapsed="false">
      <c r="A1145" s="7" t="s">
        <v>1285</v>
      </c>
      <c r="B1145" s="7" t="s">
        <v>71</v>
      </c>
      <c r="C1145" s="10" t="s">
        <v>67</v>
      </c>
      <c r="D1145" s="8" t="s">
        <v>33</v>
      </c>
    </row>
    <row r="1146" customFormat="false" ht="15" hidden="false" customHeight="false" outlineLevel="0" collapsed="false">
      <c r="A1146" s="7" t="s">
        <v>1286</v>
      </c>
      <c r="B1146" s="7" t="s">
        <v>69</v>
      </c>
      <c r="C1146" s="14" t="s">
        <v>29</v>
      </c>
      <c r="D1146" s="8" t="s">
        <v>33</v>
      </c>
    </row>
    <row r="1147" customFormat="false" ht="15" hidden="false" customHeight="false" outlineLevel="0" collapsed="false">
      <c r="A1147" s="7" t="s">
        <v>1286</v>
      </c>
      <c r="B1147" s="7" t="s">
        <v>55</v>
      </c>
      <c r="C1147" s="14" t="s">
        <v>29</v>
      </c>
      <c r="D1147" s="8" t="s">
        <v>46</v>
      </c>
    </row>
    <row r="1148" customFormat="false" ht="15" hidden="false" customHeight="false" outlineLevel="0" collapsed="false">
      <c r="A1148" s="7" t="s">
        <v>1287</v>
      </c>
      <c r="B1148" s="7" t="s">
        <v>37</v>
      </c>
      <c r="C1148" s="14" t="s">
        <v>29</v>
      </c>
      <c r="D1148" s="8" t="s">
        <v>38</v>
      </c>
    </row>
    <row r="1149" customFormat="false" ht="15" hidden="false" customHeight="false" outlineLevel="0" collapsed="false">
      <c r="A1149" s="7" t="s">
        <v>1288</v>
      </c>
      <c r="B1149" s="7" t="s">
        <v>55</v>
      </c>
      <c r="C1149" s="14" t="s">
        <v>29</v>
      </c>
      <c r="D1149" s="8" t="s">
        <v>46</v>
      </c>
    </row>
    <row r="1150" customFormat="false" ht="15" hidden="false" customHeight="false" outlineLevel="0" collapsed="false">
      <c r="A1150" s="7" t="s">
        <v>1289</v>
      </c>
      <c r="B1150" s="7" t="s">
        <v>91</v>
      </c>
      <c r="C1150" s="14" t="s">
        <v>29</v>
      </c>
      <c r="D1150" s="8" t="s">
        <v>87</v>
      </c>
    </row>
    <row r="1151" customFormat="false" ht="15" hidden="false" customHeight="false" outlineLevel="0" collapsed="false">
      <c r="A1151" s="7" t="s">
        <v>1290</v>
      </c>
      <c r="B1151" s="7" t="s">
        <v>69</v>
      </c>
      <c r="C1151" s="14" t="s">
        <v>29</v>
      </c>
      <c r="D1151" s="8" t="s">
        <v>33</v>
      </c>
    </row>
    <row r="1152" customFormat="false" ht="15" hidden="false" customHeight="false" outlineLevel="0" collapsed="false">
      <c r="A1152" s="7" t="s">
        <v>1291</v>
      </c>
      <c r="B1152" s="7" t="s">
        <v>47</v>
      </c>
      <c r="C1152" s="14" t="s">
        <v>29</v>
      </c>
      <c r="D1152" s="8" t="s">
        <v>46</v>
      </c>
    </row>
    <row r="1153" customFormat="false" ht="15" hidden="false" customHeight="false" outlineLevel="0" collapsed="false">
      <c r="A1153" s="7" t="s">
        <v>1292</v>
      </c>
      <c r="B1153" s="7" t="s">
        <v>37</v>
      </c>
      <c r="C1153" s="14" t="s">
        <v>29</v>
      </c>
      <c r="D1153" s="8" t="s">
        <v>38</v>
      </c>
    </row>
    <row r="1154" customFormat="false" ht="15" hidden="false" customHeight="false" outlineLevel="0" collapsed="false">
      <c r="A1154" s="7" t="s">
        <v>1293</v>
      </c>
      <c r="B1154" s="7" t="s">
        <v>47</v>
      </c>
      <c r="C1154" s="14" t="s">
        <v>29</v>
      </c>
      <c r="D1154" s="8" t="s">
        <v>46</v>
      </c>
    </row>
    <row r="1155" customFormat="false" ht="15" hidden="false" customHeight="false" outlineLevel="0" collapsed="false">
      <c r="A1155" s="7" t="s">
        <v>1294</v>
      </c>
      <c r="B1155" s="7" t="s">
        <v>47</v>
      </c>
      <c r="C1155" s="14" t="s">
        <v>29</v>
      </c>
      <c r="D1155" s="8" t="s">
        <v>46</v>
      </c>
    </row>
    <row r="1156" customFormat="false" ht="15" hidden="false" customHeight="false" outlineLevel="0" collapsed="false">
      <c r="A1156" s="7" t="s">
        <v>1295</v>
      </c>
      <c r="B1156" s="7" t="s">
        <v>55</v>
      </c>
      <c r="C1156" s="14" t="s">
        <v>29</v>
      </c>
      <c r="D1156" s="8" t="s">
        <v>46</v>
      </c>
    </row>
    <row r="1157" customFormat="false" ht="15" hidden="false" customHeight="false" outlineLevel="0" collapsed="false">
      <c r="A1157" s="7" t="s">
        <v>1296</v>
      </c>
      <c r="B1157" s="7" t="s">
        <v>69</v>
      </c>
      <c r="C1157" s="14" t="s">
        <v>29</v>
      </c>
      <c r="D1157" s="8" t="s">
        <v>33</v>
      </c>
    </row>
    <row r="1158" customFormat="false" ht="15" hidden="false" customHeight="false" outlineLevel="0" collapsed="false">
      <c r="A1158" s="7" t="s">
        <v>1297</v>
      </c>
      <c r="B1158" s="7" t="s">
        <v>47</v>
      </c>
      <c r="C1158" s="14" t="s">
        <v>29</v>
      </c>
      <c r="D1158" s="8" t="s">
        <v>46</v>
      </c>
    </row>
    <row r="1159" customFormat="false" ht="15" hidden="false" customHeight="false" outlineLevel="0" collapsed="false">
      <c r="A1159" s="7" t="s">
        <v>1298</v>
      </c>
      <c r="B1159" s="7" t="s">
        <v>47</v>
      </c>
      <c r="C1159" s="14" t="s">
        <v>29</v>
      </c>
      <c r="D1159" s="8" t="s">
        <v>46</v>
      </c>
    </row>
    <row r="1160" customFormat="false" ht="15" hidden="false" customHeight="false" outlineLevel="0" collapsed="false">
      <c r="A1160" s="7" t="s">
        <v>1299</v>
      </c>
      <c r="B1160" s="7" t="s">
        <v>47</v>
      </c>
      <c r="C1160" s="14" t="s">
        <v>29</v>
      </c>
      <c r="D1160" s="8" t="s">
        <v>46</v>
      </c>
    </row>
    <row r="1161" customFormat="false" ht="15" hidden="false" customHeight="false" outlineLevel="0" collapsed="false">
      <c r="A1161" s="7" t="s">
        <v>1300</v>
      </c>
      <c r="B1161" s="7" t="s">
        <v>55</v>
      </c>
      <c r="C1161" s="14" t="s">
        <v>29</v>
      </c>
      <c r="D1161" s="8" t="s">
        <v>46</v>
      </c>
    </row>
    <row r="1162" customFormat="false" ht="15" hidden="false" customHeight="false" outlineLevel="0" collapsed="false">
      <c r="A1162" s="7" t="s">
        <v>1301</v>
      </c>
      <c r="B1162" s="7" t="s">
        <v>64</v>
      </c>
      <c r="C1162" s="14" t="s">
        <v>29</v>
      </c>
      <c r="D1162" s="8" t="s">
        <v>38</v>
      </c>
    </row>
    <row r="1163" customFormat="false" ht="15" hidden="false" customHeight="false" outlineLevel="0" collapsed="false">
      <c r="A1163" s="7" t="s">
        <v>1302</v>
      </c>
      <c r="B1163" s="7" t="s">
        <v>69</v>
      </c>
      <c r="C1163" s="14" t="s">
        <v>29</v>
      </c>
      <c r="D1163" s="8" t="s">
        <v>33</v>
      </c>
    </row>
    <row r="1164" customFormat="false" ht="15" hidden="false" customHeight="false" outlineLevel="0" collapsed="false">
      <c r="A1164" s="7" t="s">
        <v>1303</v>
      </c>
      <c r="B1164" s="7" t="s">
        <v>37</v>
      </c>
      <c r="C1164" s="14" t="s">
        <v>29</v>
      </c>
      <c r="D1164" s="8" t="s">
        <v>38</v>
      </c>
    </row>
    <row r="1165" customFormat="false" ht="15" hidden="false" customHeight="false" outlineLevel="0" collapsed="false">
      <c r="A1165" s="7" t="s">
        <v>1303</v>
      </c>
      <c r="B1165" s="7" t="s">
        <v>47</v>
      </c>
      <c r="C1165" s="14" t="s">
        <v>29</v>
      </c>
      <c r="D1165" s="8" t="s">
        <v>46</v>
      </c>
    </row>
    <row r="1166" customFormat="false" ht="15" hidden="false" customHeight="false" outlineLevel="0" collapsed="false">
      <c r="A1166" s="7" t="s">
        <v>1304</v>
      </c>
      <c r="B1166" s="7" t="s">
        <v>37</v>
      </c>
      <c r="C1166" s="14" t="s">
        <v>29</v>
      </c>
      <c r="D1166" s="8" t="s">
        <v>38</v>
      </c>
    </row>
    <row r="1167" customFormat="false" ht="15" hidden="false" customHeight="false" outlineLevel="0" collapsed="false">
      <c r="A1167" s="7" t="s">
        <v>1305</v>
      </c>
      <c r="B1167" s="7" t="s">
        <v>37</v>
      </c>
      <c r="C1167" s="14" t="s">
        <v>29</v>
      </c>
      <c r="D1167" s="8" t="s">
        <v>38</v>
      </c>
    </row>
    <row r="1168" customFormat="false" ht="15" hidden="false" customHeight="false" outlineLevel="0" collapsed="false">
      <c r="A1168" s="7" t="s">
        <v>1306</v>
      </c>
      <c r="B1168" s="7" t="s">
        <v>55</v>
      </c>
      <c r="C1168" s="14" t="s">
        <v>29</v>
      </c>
      <c r="D1168" s="8" t="s">
        <v>46</v>
      </c>
    </row>
    <row r="1169" customFormat="false" ht="15" hidden="false" customHeight="false" outlineLevel="0" collapsed="false">
      <c r="A1169" s="7" t="s">
        <v>1307</v>
      </c>
      <c r="B1169" s="7" t="s">
        <v>47</v>
      </c>
      <c r="C1169" s="14" t="s">
        <v>29</v>
      </c>
      <c r="D1169" s="8" t="s">
        <v>46</v>
      </c>
    </row>
    <row r="1170" customFormat="false" ht="15" hidden="false" customHeight="false" outlineLevel="0" collapsed="false">
      <c r="A1170" s="7" t="s">
        <v>1308</v>
      </c>
      <c r="B1170" s="7" t="s">
        <v>47</v>
      </c>
      <c r="C1170" s="14" t="s">
        <v>29</v>
      </c>
      <c r="D1170" s="8" t="s">
        <v>46</v>
      </c>
    </row>
    <row r="1171" customFormat="false" ht="15" hidden="false" customHeight="false" outlineLevel="0" collapsed="false">
      <c r="A1171" s="7" t="s">
        <v>1309</v>
      </c>
      <c r="B1171" s="7" t="s">
        <v>47</v>
      </c>
      <c r="C1171" s="14" t="s">
        <v>29</v>
      </c>
      <c r="D1171" s="8" t="s">
        <v>46</v>
      </c>
    </row>
    <row r="1172" customFormat="false" ht="15" hidden="false" customHeight="false" outlineLevel="0" collapsed="false">
      <c r="A1172" s="7" t="s">
        <v>1310</v>
      </c>
      <c r="B1172" s="7" t="s">
        <v>47</v>
      </c>
      <c r="C1172" s="14" t="s">
        <v>29</v>
      </c>
      <c r="D1172" s="8" t="s">
        <v>46</v>
      </c>
    </row>
    <row r="1173" customFormat="false" ht="15" hidden="false" customHeight="false" outlineLevel="0" collapsed="false">
      <c r="A1173" s="7" t="s">
        <v>1311</v>
      </c>
      <c r="B1173" s="7" t="s">
        <v>47</v>
      </c>
      <c r="C1173" s="14" t="s">
        <v>29</v>
      </c>
      <c r="D1173" s="8" t="s">
        <v>46</v>
      </c>
    </row>
    <row r="1174" customFormat="false" ht="15" hidden="false" customHeight="false" outlineLevel="0" collapsed="false">
      <c r="A1174" s="7" t="s">
        <v>1312</v>
      </c>
      <c r="B1174" s="7" t="s">
        <v>47</v>
      </c>
      <c r="C1174" s="14" t="s">
        <v>29</v>
      </c>
      <c r="D1174" s="8" t="s">
        <v>46</v>
      </c>
    </row>
    <row r="1175" customFormat="false" ht="15" hidden="false" customHeight="false" outlineLevel="0" collapsed="false">
      <c r="A1175" s="7" t="s">
        <v>1313</v>
      </c>
      <c r="B1175" s="7" t="s">
        <v>55</v>
      </c>
      <c r="C1175" s="14" t="s">
        <v>29</v>
      </c>
      <c r="D1175" s="8" t="s">
        <v>46</v>
      </c>
    </row>
    <row r="1176" customFormat="false" ht="15" hidden="false" customHeight="false" outlineLevel="0" collapsed="false">
      <c r="A1176" s="7" t="s">
        <v>1314</v>
      </c>
      <c r="B1176" s="7" t="s">
        <v>55</v>
      </c>
      <c r="C1176" s="14" t="s">
        <v>29</v>
      </c>
      <c r="D1176" s="8" t="s">
        <v>46</v>
      </c>
    </row>
    <row r="1177" customFormat="false" ht="15" hidden="false" customHeight="false" outlineLevel="0" collapsed="false">
      <c r="A1177" s="7" t="s">
        <v>1315</v>
      </c>
      <c r="B1177" s="7" t="s">
        <v>60</v>
      </c>
      <c r="C1177" s="14" t="s">
        <v>29</v>
      </c>
      <c r="D1177" s="8" t="s">
        <v>46</v>
      </c>
    </row>
    <row r="1178" customFormat="false" ht="15" hidden="false" customHeight="false" outlineLevel="0" collapsed="false">
      <c r="A1178" s="7" t="s">
        <v>1316</v>
      </c>
      <c r="B1178" s="7" t="s">
        <v>47</v>
      </c>
      <c r="C1178" s="14" t="s">
        <v>29</v>
      </c>
      <c r="D1178" s="8" t="s">
        <v>46</v>
      </c>
    </row>
    <row r="1179" customFormat="false" ht="15" hidden="false" customHeight="false" outlineLevel="0" collapsed="false">
      <c r="A1179" s="7" t="s">
        <v>1317</v>
      </c>
      <c r="B1179" s="7" t="s">
        <v>47</v>
      </c>
      <c r="C1179" s="14" t="s">
        <v>29</v>
      </c>
      <c r="D1179" s="8" t="s">
        <v>46</v>
      </c>
    </row>
    <row r="1180" customFormat="false" ht="15" hidden="false" customHeight="false" outlineLevel="0" collapsed="false">
      <c r="A1180" s="7" t="s">
        <v>1318</v>
      </c>
      <c r="B1180" s="7" t="s">
        <v>47</v>
      </c>
      <c r="C1180" s="14" t="s">
        <v>29</v>
      </c>
      <c r="D1180" s="8" t="s">
        <v>46</v>
      </c>
    </row>
    <row r="1181" customFormat="false" ht="15" hidden="false" customHeight="false" outlineLevel="0" collapsed="false">
      <c r="A1181" s="7" t="s">
        <v>1319</v>
      </c>
      <c r="B1181" s="7" t="s">
        <v>47</v>
      </c>
      <c r="C1181" s="14" t="s">
        <v>29</v>
      </c>
      <c r="D1181" s="8" t="s">
        <v>46</v>
      </c>
    </row>
    <row r="1182" customFormat="false" ht="15" hidden="false" customHeight="false" outlineLevel="0" collapsed="false">
      <c r="A1182" s="7" t="s">
        <v>1320</v>
      </c>
      <c r="B1182" s="7" t="s">
        <v>47</v>
      </c>
      <c r="C1182" s="14" t="s">
        <v>29</v>
      </c>
      <c r="D1182" s="8" t="s">
        <v>46</v>
      </c>
    </row>
    <row r="1183" customFormat="false" ht="15" hidden="false" customHeight="false" outlineLevel="0" collapsed="false">
      <c r="A1183" s="7" t="s">
        <v>1321</v>
      </c>
      <c r="B1183" s="7" t="s">
        <v>55</v>
      </c>
      <c r="C1183" s="14" t="s">
        <v>29</v>
      </c>
      <c r="D1183" s="8" t="s">
        <v>46</v>
      </c>
    </row>
    <row r="1184" customFormat="false" ht="15" hidden="false" customHeight="false" outlineLevel="0" collapsed="false">
      <c r="A1184" s="7" t="s">
        <v>1322</v>
      </c>
      <c r="B1184" s="7" t="s">
        <v>37</v>
      </c>
      <c r="C1184" s="14" t="s">
        <v>29</v>
      </c>
      <c r="D1184" s="8" t="s">
        <v>38</v>
      </c>
    </row>
    <row r="1185" customFormat="false" ht="15" hidden="false" customHeight="false" outlineLevel="0" collapsed="false">
      <c r="A1185" s="7" t="s">
        <v>1322</v>
      </c>
      <c r="B1185" s="7" t="s">
        <v>55</v>
      </c>
      <c r="C1185" s="14" t="s">
        <v>29</v>
      </c>
      <c r="D1185" s="8" t="s">
        <v>46</v>
      </c>
    </row>
    <row r="1186" customFormat="false" ht="15" hidden="false" customHeight="false" outlineLevel="0" collapsed="false">
      <c r="A1186" s="7" t="s">
        <v>1323</v>
      </c>
      <c r="B1186" s="7" t="s">
        <v>64</v>
      </c>
      <c r="C1186" s="14" t="s">
        <v>29</v>
      </c>
      <c r="D1186" s="8" t="s">
        <v>38</v>
      </c>
    </row>
    <row r="1187" customFormat="false" ht="15" hidden="false" customHeight="false" outlineLevel="0" collapsed="false">
      <c r="A1187" s="7" t="s">
        <v>1324</v>
      </c>
      <c r="B1187" s="7" t="s">
        <v>40</v>
      </c>
      <c r="C1187" s="14" t="s">
        <v>29</v>
      </c>
      <c r="D1187" s="8" t="s">
        <v>33</v>
      </c>
    </row>
    <row r="1188" customFormat="false" ht="15" hidden="false" customHeight="false" outlineLevel="0" collapsed="false">
      <c r="A1188" s="7" t="s">
        <v>1325</v>
      </c>
      <c r="B1188" s="7" t="s">
        <v>64</v>
      </c>
      <c r="C1188" s="14" t="s">
        <v>29</v>
      </c>
      <c r="D1188" s="8" t="s">
        <v>38</v>
      </c>
    </row>
    <row r="1189" customFormat="false" ht="15" hidden="false" customHeight="false" outlineLevel="0" collapsed="false">
      <c r="A1189" s="7" t="s">
        <v>1325</v>
      </c>
      <c r="B1189" s="7" t="s">
        <v>47</v>
      </c>
      <c r="C1189" s="14" t="s">
        <v>29</v>
      </c>
      <c r="D1189" s="8" t="s">
        <v>46</v>
      </c>
    </row>
    <row r="1190" customFormat="false" ht="15" hidden="false" customHeight="false" outlineLevel="0" collapsed="false">
      <c r="A1190" s="7" t="s">
        <v>1326</v>
      </c>
      <c r="B1190" s="7" t="s">
        <v>47</v>
      </c>
      <c r="C1190" s="14" t="s">
        <v>29</v>
      </c>
      <c r="D1190" s="8" t="s">
        <v>46</v>
      </c>
    </row>
    <row r="1191" customFormat="false" ht="15" hidden="false" customHeight="false" outlineLevel="0" collapsed="false">
      <c r="A1191" s="7" t="s">
        <v>1327</v>
      </c>
      <c r="B1191" s="7" t="s">
        <v>47</v>
      </c>
      <c r="C1191" s="14" t="s">
        <v>29</v>
      </c>
      <c r="D1191" s="8" t="s">
        <v>46</v>
      </c>
    </row>
    <row r="1192" customFormat="false" ht="15" hidden="false" customHeight="false" outlineLevel="0" collapsed="false">
      <c r="A1192" s="7" t="s">
        <v>1328</v>
      </c>
      <c r="B1192" s="7" t="s">
        <v>55</v>
      </c>
      <c r="C1192" s="14" t="s">
        <v>29</v>
      </c>
      <c r="D1192" s="8" t="s">
        <v>46</v>
      </c>
    </row>
    <row r="1193" customFormat="false" ht="15" hidden="false" customHeight="false" outlineLevel="0" collapsed="false">
      <c r="A1193" s="7" t="s">
        <v>1329</v>
      </c>
      <c r="B1193" s="7" t="s">
        <v>55</v>
      </c>
      <c r="C1193" s="14" t="s">
        <v>29</v>
      </c>
      <c r="D1193" s="8" t="s">
        <v>46</v>
      </c>
    </row>
    <row r="1194" customFormat="false" ht="15" hidden="false" customHeight="false" outlineLevel="0" collapsed="false">
      <c r="A1194" s="7" t="s">
        <v>1330</v>
      </c>
      <c r="B1194" s="7" t="s">
        <v>37</v>
      </c>
      <c r="C1194" s="14" t="s">
        <v>29</v>
      </c>
      <c r="D1194" s="8" t="s">
        <v>38</v>
      </c>
    </row>
    <row r="1195" customFormat="false" ht="15" hidden="false" customHeight="false" outlineLevel="0" collapsed="false">
      <c r="A1195" s="7" t="s">
        <v>1331</v>
      </c>
      <c r="B1195" s="7" t="s">
        <v>49</v>
      </c>
      <c r="C1195" s="14" t="s">
        <v>29</v>
      </c>
      <c r="D1195" s="8" t="s">
        <v>33</v>
      </c>
    </row>
    <row r="1196" customFormat="false" ht="15" hidden="false" customHeight="false" outlineLevel="0" collapsed="false">
      <c r="A1196" s="7" t="s">
        <v>1332</v>
      </c>
      <c r="B1196" s="7" t="s">
        <v>51</v>
      </c>
      <c r="C1196" s="14" t="s">
        <v>29</v>
      </c>
      <c r="D1196" s="8" t="s">
        <v>33</v>
      </c>
    </row>
    <row r="1197" customFormat="false" ht="15" hidden="false" customHeight="false" outlineLevel="0" collapsed="false">
      <c r="A1197" s="7" t="s">
        <v>1332</v>
      </c>
      <c r="B1197" s="7" t="s">
        <v>40</v>
      </c>
      <c r="C1197" s="14" t="s">
        <v>29</v>
      </c>
      <c r="D1197" s="8" t="s">
        <v>33</v>
      </c>
    </row>
    <row r="1198" customFormat="false" ht="15" hidden="false" customHeight="false" outlineLevel="0" collapsed="false">
      <c r="A1198" s="7" t="s">
        <v>1332</v>
      </c>
      <c r="B1198" s="7" t="s">
        <v>55</v>
      </c>
      <c r="C1198" s="14" t="s">
        <v>29</v>
      </c>
      <c r="D1198" s="8" t="s">
        <v>46</v>
      </c>
    </row>
    <row r="1199" customFormat="false" ht="15" hidden="false" customHeight="false" outlineLevel="0" collapsed="false">
      <c r="A1199" s="7" t="s">
        <v>1333</v>
      </c>
      <c r="B1199" s="7" t="s">
        <v>64</v>
      </c>
      <c r="C1199" s="14" t="s">
        <v>29</v>
      </c>
      <c r="D1199" s="8" t="s">
        <v>38</v>
      </c>
    </row>
    <row r="1200" customFormat="false" ht="15" hidden="false" customHeight="false" outlineLevel="0" collapsed="false">
      <c r="A1200" s="7" t="s">
        <v>1334</v>
      </c>
      <c r="B1200" s="7" t="s">
        <v>47</v>
      </c>
      <c r="C1200" s="14" t="s">
        <v>29</v>
      </c>
      <c r="D1200" s="8" t="s">
        <v>46</v>
      </c>
    </row>
    <row r="1201" customFormat="false" ht="15" hidden="false" customHeight="false" outlineLevel="0" collapsed="false">
      <c r="A1201" s="7" t="s">
        <v>1335</v>
      </c>
      <c r="B1201" s="7" t="s">
        <v>47</v>
      </c>
      <c r="C1201" s="14" t="s">
        <v>29</v>
      </c>
      <c r="D1201" s="8" t="s">
        <v>46</v>
      </c>
    </row>
    <row r="1202" customFormat="false" ht="15" hidden="false" customHeight="false" outlineLevel="0" collapsed="false">
      <c r="A1202" s="7" t="s">
        <v>1336</v>
      </c>
      <c r="B1202" s="7" t="s">
        <v>47</v>
      </c>
      <c r="C1202" s="14" t="s">
        <v>29</v>
      </c>
      <c r="D1202" s="8" t="s">
        <v>46</v>
      </c>
    </row>
    <row r="1203" customFormat="false" ht="15" hidden="false" customHeight="false" outlineLevel="0" collapsed="false">
      <c r="A1203" s="7" t="s">
        <v>1337</v>
      </c>
      <c r="B1203" s="7" t="s">
        <v>47</v>
      </c>
      <c r="C1203" s="14" t="s">
        <v>29</v>
      </c>
      <c r="D1203" s="8" t="s">
        <v>46</v>
      </c>
    </row>
    <row r="1204" customFormat="false" ht="15" hidden="false" customHeight="false" outlineLevel="0" collapsed="false">
      <c r="A1204" s="7" t="s">
        <v>1338</v>
      </c>
      <c r="B1204" s="7" t="s">
        <v>55</v>
      </c>
      <c r="C1204" s="14" t="s">
        <v>29</v>
      </c>
      <c r="D1204" s="8" t="s">
        <v>46</v>
      </c>
    </row>
    <row r="1205" customFormat="false" ht="15" hidden="false" customHeight="false" outlineLevel="0" collapsed="false">
      <c r="A1205" s="7" t="s">
        <v>1339</v>
      </c>
      <c r="B1205" s="7" t="s">
        <v>47</v>
      </c>
      <c r="C1205" s="14" t="s">
        <v>29</v>
      </c>
      <c r="D1205" s="8" t="s">
        <v>46</v>
      </c>
    </row>
    <row r="1206" customFormat="false" ht="15" hidden="false" customHeight="false" outlineLevel="0" collapsed="false">
      <c r="A1206" s="7" t="s">
        <v>1340</v>
      </c>
      <c r="B1206" s="7" t="s">
        <v>55</v>
      </c>
      <c r="C1206" s="14" t="s">
        <v>29</v>
      </c>
      <c r="D1206" s="8" t="s">
        <v>46</v>
      </c>
    </row>
    <row r="1207" customFormat="false" ht="15" hidden="false" customHeight="false" outlineLevel="0" collapsed="false">
      <c r="A1207" s="7" t="s">
        <v>1341</v>
      </c>
      <c r="B1207" s="7" t="s">
        <v>64</v>
      </c>
      <c r="C1207" s="14" t="s">
        <v>29</v>
      </c>
      <c r="D1207" s="8" t="s">
        <v>38</v>
      </c>
    </row>
    <row r="1208" customFormat="false" ht="15" hidden="false" customHeight="false" outlineLevel="0" collapsed="false">
      <c r="A1208" s="7" t="s">
        <v>1342</v>
      </c>
      <c r="B1208" s="7" t="s">
        <v>55</v>
      </c>
      <c r="C1208" s="14" t="s">
        <v>29</v>
      </c>
      <c r="D1208" s="8" t="s">
        <v>46</v>
      </c>
    </row>
    <row r="1209" customFormat="false" ht="15" hidden="false" customHeight="false" outlineLevel="0" collapsed="false">
      <c r="A1209" s="7" t="s">
        <v>1342</v>
      </c>
      <c r="B1209" s="7" t="s">
        <v>84</v>
      </c>
      <c r="C1209" s="14" t="s">
        <v>29</v>
      </c>
      <c r="D1209" s="8" t="s">
        <v>38</v>
      </c>
    </row>
    <row r="1210" customFormat="false" ht="15" hidden="false" customHeight="false" outlineLevel="0" collapsed="false">
      <c r="A1210" s="7" t="s">
        <v>1343</v>
      </c>
      <c r="B1210" s="7" t="s">
        <v>62</v>
      </c>
      <c r="C1210" s="14" t="s">
        <v>29</v>
      </c>
      <c r="D1210" s="8" t="s">
        <v>46</v>
      </c>
    </row>
    <row r="1211" customFormat="false" ht="15" hidden="false" customHeight="false" outlineLevel="0" collapsed="false">
      <c r="A1211" s="7" t="s">
        <v>1343</v>
      </c>
      <c r="B1211" s="7" t="s">
        <v>69</v>
      </c>
      <c r="C1211" s="14" t="s">
        <v>29</v>
      </c>
      <c r="D1211" s="8" t="s">
        <v>33</v>
      </c>
    </row>
    <row r="1212" customFormat="false" ht="15" hidden="false" customHeight="false" outlineLevel="0" collapsed="false">
      <c r="A1212" s="7" t="s">
        <v>1344</v>
      </c>
      <c r="B1212" s="7" t="s">
        <v>100</v>
      </c>
      <c r="C1212" s="10" t="s">
        <v>67</v>
      </c>
      <c r="D1212" s="8" t="s">
        <v>38</v>
      </c>
    </row>
    <row r="1213" customFormat="false" ht="15" hidden="false" customHeight="false" outlineLevel="0" collapsed="false">
      <c r="A1213" s="7" t="s">
        <v>1345</v>
      </c>
      <c r="B1213" s="7" t="s">
        <v>62</v>
      </c>
      <c r="C1213" s="14" t="s">
        <v>29</v>
      </c>
      <c r="D1213" s="8" t="s">
        <v>46</v>
      </c>
    </row>
    <row r="1214" customFormat="false" ht="15" hidden="false" customHeight="false" outlineLevel="0" collapsed="false">
      <c r="A1214" s="7" t="s">
        <v>1346</v>
      </c>
      <c r="B1214" s="7" t="s">
        <v>43</v>
      </c>
      <c r="C1214" s="14" t="s">
        <v>29</v>
      </c>
      <c r="D1214" s="8" t="s">
        <v>38</v>
      </c>
    </row>
    <row r="1215" customFormat="false" ht="15" hidden="false" customHeight="false" outlineLevel="0" collapsed="false">
      <c r="A1215" s="7" t="s">
        <v>1347</v>
      </c>
      <c r="B1215" s="7" t="s">
        <v>40</v>
      </c>
      <c r="C1215" s="14" t="s">
        <v>29</v>
      </c>
      <c r="D1215" s="8" t="s">
        <v>33</v>
      </c>
    </row>
    <row r="1216" customFormat="false" ht="15" hidden="false" customHeight="false" outlineLevel="0" collapsed="false">
      <c r="A1216" s="7" t="s">
        <v>1348</v>
      </c>
      <c r="B1216" s="7" t="s">
        <v>37</v>
      </c>
      <c r="C1216" s="14" t="s">
        <v>29</v>
      </c>
      <c r="D1216" s="8" t="s">
        <v>38</v>
      </c>
    </row>
    <row r="1217" customFormat="false" ht="15" hidden="false" customHeight="false" outlineLevel="0" collapsed="false">
      <c r="A1217" s="7" t="s">
        <v>1348</v>
      </c>
      <c r="B1217" s="7" t="s">
        <v>32</v>
      </c>
      <c r="C1217" s="14" t="s">
        <v>29</v>
      </c>
      <c r="D1217" s="8" t="s">
        <v>33</v>
      </c>
    </row>
    <row r="1218" customFormat="false" ht="15" hidden="false" customHeight="false" outlineLevel="0" collapsed="false">
      <c r="A1218" s="7" t="s">
        <v>1349</v>
      </c>
      <c r="B1218" s="7" t="s">
        <v>32</v>
      </c>
      <c r="C1218" s="14" t="s">
        <v>29</v>
      </c>
      <c r="D1218" s="8" t="s">
        <v>33</v>
      </c>
    </row>
    <row r="1219" customFormat="false" ht="15" hidden="false" customHeight="false" outlineLevel="0" collapsed="false">
      <c r="A1219" s="7" t="s">
        <v>1350</v>
      </c>
      <c r="B1219" s="7" t="s">
        <v>40</v>
      </c>
      <c r="C1219" s="14" t="s">
        <v>29</v>
      </c>
      <c r="D1219" s="8" t="s">
        <v>33</v>
      </c>
    </row>
    <row r="1220" customFormat="false" ht="15" hidden="false" customHeight="false" outlineLevel="0" collapsed="false">
      <c r="A1220" s="7" t="s">
        <v>1351</v>
      </c>
      <c r="B1220" s="7" t="s">
        <v>55</v>
      </c>
      <c r="C1220" s="14" t="s">
        <v>29</v>
      </c>
      <c r="D1220" s="8" t="s">
        <v>46</v>
      </c>
    </row>
    <row r="1221" customFormat="false" ht="15" hidden="false" customHeight="false" outlineLevel="0" collapsed="false">
      <c r="A1221" s="7" t="s">
        <v>1352</v>
      </c>
      <c r="B1221" s="7" t="s">
        <v>49</v>
      </c>
      <c r="C1221" s="14" t="s">
        <v>29</v>
      </c>
      <c r="D1221" s="8" t="s">
        <v>33</v>
      </c>
    </row>
    <row r="1222" customFormat="false" ht="15" hidden="false" customHeight="false" outlineLevel="0" collapsed="false">
      <c r="A1222" s="7" t="s">
        <v>1352</v>
      </c>
      <c r="B1222" s="7" t="s">
        <v>47</v>
      </c>
      <c r="C1222" s="14" t="s">
        <v>29</v>
      </c>
      <c r="D1222" s="8" t="s">
        <v>46</v>
      </c>
    </row>
    <row r="1223" customFormat="false" ht="15" hidden="false" customHeight="false" outlineLevel="0" collapsed="false">
      <c r="A1223" s="7" t="s">
        <v>1353</v>
      </c>
      <c r="B1223" s="7" t="s">
        <v>47</v>
      </c>
      <c r="C1223" s="14" t="s">
        <v>29</v>
      </c>
      <c r="D1223" s="8" t="s">
        <v>46</v>
      </c>
    </row>
    <row r="1224" customFormat="false" ht="15" hidden="false" customHeight="false" outlineLevel="0" collapsed="false">
      <c r="A1224" s="7" t="s">
        <v>1354</v>
      </c>
      <c r="B1224" s="7" t="s">
        <v>55</v>
      </c>
      <c r="C1224" s="14" t="s">
        <v>29</v>
      </c>
      <c r="D1224" s="8" t="s">
        <v>46</v>
      </c>
    </row>
    <row r="1225" customFormat="false" ht="15" hidden="false" customHeight="false" outlineLevel="0" collapsed="false">
      <c r="A1225" s="7" t="s">
        <v>1355</v>
      </c>
      <c r="B1225" s="7" t="s">
        <v>32</v>
      </c>
      <c r="C1225" s="14" t="s">
        <v>29</v>
      </c>
      <c r="D1225" s="8" t="s">
        <v>33</v>
      </c>
    </row>
    <row r="1226" customFormat="false" ht="15" hidden="false" customHeight="false" outlineLevel="0" collapsed="false">
      <c r="A1226" s="7" t="s">
        <v>1356</v>
      </c>
      <c r="B1226" s="7" t="s">
        <v>69</v>
      </c>
      <c r="C1226" s="14" t="s">
        <v>29</v>
      </c>
      <c r="D1226" s="8" t="s">
        <v>33</v>
      </c>
    </row>
    <row r="1227" customFormat="false" ht="15" hidden="false" customHeight="false" outlineLevel="0" collapsed="false">
      <c r="A1227" s="7" t="s">
        <v>1356</v>
      </c>
      <c r="B1227" s="7" t="s">
        <v>62</v>
      </c>
      <c r="C1227" s="14" t="s">
        <v>29</v>
      </c>
      <c r="D1227" s="8" t="s">
        <v>46</v>
      </c>
    </row>
    <row r="1228" customFormat="false" ht="15" hidden="false" customHeight="false" outlineLevel="0" collapsed="false">
      <c r="A1228" s="7" t="s">
        <v>1357</v>
      </c>
      <c r="B1228" s="7" t="s">
        <v>62</v>
      </c>
      <c r="C1228" s="14" t="s">
        <v>29</v>
      </c>
      <c r="D1228" s="8" t="s">
        <v>46</v>
      </c>
    </row>
    <row r="1229" customFormat="false" ht="15" hidden="false" customHeight="false" outlineLevel="0" collapsed="false">
      <c r="A1229" s="7" t="s">
        <v>1357</v>
      </c>
      <c r="B1229" s="7" t="s">
        <v>43</v>
      </c>
      <c r="C1229" s="14" t="s">
        <v>29</v>
      </c>
      <c r="D1229" s="8" t="s">
        <v>38</v>
      </c>
    </row>
    <row r="1230" customFormat="false" ht="15" hidden="false" customHeight="false" outlineLevel="0" collapsed="false">
      <c r="A1230" s="7" t="s">
        <v>1358</v>
      </c>
      <c r="B1230" s="7" t="s">
        <v>64</v>
      </c>
      <c r="C1230" s="14" t="s">
        <v>29</v>
      </c>
      <c r="D1230" s="8" t="s">
        <v>38</v>
      </c>
    </row>
    <row r="1231" customFormat="false" ht="15" hidden="false" customHeight="false" outlineLevel="0" collapsed="false">
      <c r="A1231" s="7" t="s">
        <v>1359</v>
      </c>
      <c r="B1231" s="7" t="s">
        <v>37</v>
      </c>
      <c r="C1231" s="14" t="s">
        <v>29</v>
      </c>
      <c r="D1231" s="8" t="s">
        <v>38</v>
      </c>
    </row>
    <row r="1232" customFormat="false" ht="15" hidden="false" customHeight="false" outlineLevel="0" collapsed="false">
      <c r="A1232" s="7" t="s">
        <v>1359</v>
      </c>
      <c r="B1232" s="7" t="s">
        <v>32</v>
      </c>
      <c r="C1232" s="14" t="s">
        <v>29</v>
      </c>
      <c r="D1232" s="8" t="s">
        <v>33</v>
      </c>
    </row>
    <row r="1233" customFormat="false" ht="15" hidden="false" customHeight="false" outlineLevel="0" collapsed="false">
      <c r="A1233" s="7" t="s">
        <v>1360</v>
      </c>
      <c r="B1233" s="7" t="s">
        <v>62</v>
      </c>
      <c r="C1233" s="14" t="s">
        <v>29</v>
      </c>
      <c r="D1233" s="8" t="s">
        <v>46</v>
      </c>
    </row>
    <row r="1234" customFormat="false" ht="15" hidden="false" customHeight="false" outlineLevel="0" collapsed="false">
      <c r="A1234" s="7" t="s">
        <v>1361</v>
      </c>
      <c r="B1234" s="7" t="s">
        <v>69</v>
      </c>
      <c r="C1234" s="14" t="s">
        <v>29</v>
      </c>
      <c r="D1234" s="8" t="s">
        <v>33</v>
      </c>
    </row>
    <row r="1235" customFormat="false" ht="15" hidden="false" customHeight="false" outlineLevel="0" collapsed="false">
      <c r="A1235" s="7" t="s">
        <v>1362</v>
      </c>
      <c r="B1235" s="7" t="s">
        <v>69</v>
      </c>
      <c r="C1235" s="14" t="s">
        <v>29</v>
      </c>
      <c r="D1235" s="8" t="s">
        <v>33</v>
      </c>
    </row>
    <row r="1236" customFormat="false" ht="15" hidden="false" customHeight="false" outlineLevel="0" collapsed="false">
      <c r="A1236" s="7" t="s">
        <v>1363</v>
      </c>
      <c r="B1236" s="7" t="s">
        <v>69</v>
      </c>
      <c r="C1236" s="14" t="s">
        <v>29</v>
      </c>
      <c r="D1236" s="8" t="s">
        <v>33</v>
      </c>
    </row>
    <row r="1237" customFormat="false" ht="15" hidden="false" customHeight="false" outlineLevel="0" collapsed="false">
      <c r="A1237" s="7" t="s">
        <v>1364</v>
      </c>
      <c r="B1237" s="7" t="s">
        <v>37</v>
      </c>
      <c r="C1237" s="14" t="s">
        <v>29</v>
      </c>
      <c r="D1237" s="8" t="s">
        <v>38</v>
      </c>
    </row>
    <row r="1238" customFormat="false" ht="15" hidden="false" customHeight="false" outlineLevel="0" collapsed="false">
      <c r="A1238" s="7" t="s">
        <v>1364</v>
      </c>
      <c r="B1238" s="7" t="s">
        <v>32</v>
      </c>
      <c r="C1238" s="14" t="s">
        <v>29</v>
      </c>
      <c r="D1238" s="8" t="s">
        <v>33</v>
      </c>
    </row>
    <row r="1239" customFormat="false" ht="15" hidden="false" customHeight="false" outlineLevel="0" collapsed="false">
      <c r="A1239" s="7" t="s">
        <v>1365</v>
      </c>
      <c r="B1239" s="7" t="s">
        <v>32</v>
      </c>
      <c r="C1239" s="14" t="s">
        <v>29</v>
      </c>
      <c r="D1239" s="8" t="s">
        <v>33</v>
      </c>
    </row>
    <row r="1240" customFormat="false" ht="15" hidden="false" customHeight="false" outlineLevel="0" collapsed="false">
      <c r="A1240" s="7" t="s">
        <v>1366</v>
      </c>
      <c r="B1240" s="7" t="s">
        <v>55</v>
      </c>
      <c r="C1240" s="14" t="s">
        <v>29</v>
      </c>
      <c r="D1240" s="8" t="s">
        <v>46</v>
      </c>
    </row>
    <row r="1241" customFormat="false" ht="15" hidden="false" customHeight="false" outlineLevel="0" collapsed="false">
      <c r="A1241" s="7" t="s">
        <v>1367</v>
      </c>
      <c r="B1241" s="7" t="s">
        <v>49</v>
      </c>
      <c r="C1241" s="14" t="s">
        <v>29</v>
      </c>
      <c r="D1241" s="8" t="s">
        <v>33</v>
      </c>
    </row>
    <row r="1242" customFormat="false" ht="15" hidden="false" customHeight="false" outlineLevel="0" collapsed="false">
      <c r="A1242" s="7" t="s">
        <v>1368</v>
      </c>
      <c r="B1242" s="7" t="s">
        <v>47</v>
      </c>
      <c r="C1242" s="14" t="s">
        <v>29</v>
      </c>
      <c r="D1242" s="8" t="s">
        <v>46</v>
      </c>
    </row>
    <row r="1243" customFormat="false" ht="15" hidden="false" customHeight="false" outlineLevel="0" collapsed="false">
      <c r="A1243" s="7" t="s">
        <v>1369</v>
      </c>
      <c r="B1243" s="7" t="s">
        <v>55</v>
      </c>
      <c r="C1243" s="14" t="s">
        <v>29</v>
      </c>
      <c r="D1243" s="8" t="s">
        <v>46</v>
      </c>
    </row>
    <row r="1244" customFormat="false" ht="15" hidden="false" customHeight="false" outlineLevel="0" collapsed="false">
      <c r="A1244" s="7" t="s">
        <v>1369</v>
      </c>
      <c r="B1244" s="7" t="s">
        <v>37</v>
      </c>
      <c r="C1244" s="14" t="s">
        <v>29</v>
      </c>
      <c r="D1244" s="8" t="s">
        <v>38</v>
      </c>
    </row>
    <row r="1245" customFormat="false" ht="15" hidden="false" customHeight="false" outlineLevel="0" collapsed="false">
      <c r="A1245" s="7" t="s">
        <v>1370</v>
      </c>
      <c r="B1245" s="7" t="s">
        <v>32</v>
      </c>
      <c r="C1245" s="14" t="s">
        <v>29</v>
      </c>
      <c r="D1245" s="8" t="s">
        <v>33</v>
      </c>
    </row>
    <row r="1246" customFormat="false" ht="15" hidden="false" customHeight="false" outlineLevel="0" collapsed="false">
      <c r="A1246" s="7" t="s">
        <v>1371</v>
      </c>
      <c r="B1246" s="7" t="s">
        <v>64</v>
      </c>
      <c r="C1246" s="14" t="s">
        <v>29</v>
      </c>
      <c r="D1246" s="8" t="s">
        <v>38</v>
      </c>
    </row>
    <row r="1247" customFormat="false" ht="15" hidden="false" customHeight="false" outlineLevel="0" collapsed="false">
      <c r="A1247" s="7" t="s">
        <v>1372</v>
      </c>
      <c r="B1247" s="7" t="s">
        <v>32</v>
      </c>
      <c r="C1247" s="14" t="s">
        <v>29</v>
      </c>
      <c r="D1247" s="8" t="s">
        <v>33</v>
      </c>
    </row>
    <row r="1248" customFormat="false" ht="15" hidden="false" customHeight="false" outlineLevel="0" collapsed="false">
      <c r="A1248" s="7" t="s">
        <v>1373</v>
      </c>
      <c r="B1248" s="7" t="s">
        <v>47</v>
      </c>
      <c r="C1248" s="14" t="s">
        <v>29</v>
      </c>
      <c r="D1248" s="8" t="s">
        <v>46</v>
      </c>
    </row>
    <row r="1249" customFormat="false" ht="15" hidden="false" customHeight="false" outlineLevel="0" collapsed="false">
      <c r="A1249" s="7" t="s">
        <v>1374</v>
      </c>
      <c r="B1249" s="7" t="s">
        <v>47</v>
      </c>
      <c r="C1249" s="14" t="s">
        <v>29</v>
      </c>
      <c r="D1249" s="8" t="s">
        <v>46</v>
      </c>
    </row>
    <row r="1250" customFormat="false" ht="15" hidden="false" customHeight="false" outlineLevel="0" collapsed="false">
      <c r="A1250" s="7" t="s">
        <v>1375</v>
      </c>
      <c r="B1250" s="7" t="s">
        <v>47</v>
      </c>
      <c r="C1250" s="14" t="s">
        <v>29</v>
      </c>
      <c r="D1250" s="8" t="s">
        <v>46</v>
      </c>
    </row>
    <row r="1251" customFormat="false" ht="15" hidden="false" customHeight="false" outlineLevel="0" collapsed="false">
      <c r="A1251" s="7" t="s">
        <v>1376</v>
      </c>
      <c r="B1251" s="7" t="s">
        <v>47</v>
      </c>
      <c r="C1251" s="14" t="s">
        <v>29</v>
      </c>
      <c r="D1251" s="8" t="s">
        <v>46</v>
      </c>
    </row>
    <row r="1252" customFormat="false" ht="15" hidden="false" customHeight="false" outlineLevel="0" collapsed="false">
      <c r="A1252" s="7" t="s">
        <v>1377</v>
      </c>
      <c r="B1252" s="7" t="s">
        <v>55</v>
      </c>
      <c r="C1252" s="14" t="s">
        <v>29</v>
      </c>
      <c r="D1252" s="8" t="s">
        <v>46</v>
      </c>
    </row>
    <row r="1253" customFormat="false" ht="15" hidden="false" customHeight="false" outlineLevel="0" collapsed="false">
      <c r="A1253" s="7" t="s">
        <v>1378</v>
      </c>
      <c r="B1253" s="7" t="s">
        <v>86</v>
      </c>
      <c r="C1253" s="14" t="s">
        <v>29</v>
      </c>
      <c r="D1253" s="8" t="s">
        <v>87</v>
      </c>
    </row>
    <row r="1254" customFormat="false" ht="15" hidden="false" customHeight="false" outlineLevel="0" collapsed="false">
      <c r="A1254" s="7" t="s">
        <v>1379</v>
      </c>
      <c r="B1254" s="7" t="s">
        <v>55</v>
      </c>
      <c r="C1254" s="14" t="s">
        <v>29</v>
      </c>
      <c r="D1254" s="8" t="s">
        <v>46</v>
      </c>
    </row>
    <row r="1255" customFormat="false" ht="15" hidden="false" customHeight="false" outlineLevel="0" collapsed="false">
      <c r="A1255" s="7" t="s">
        <v>1380</v>
      </c>
      <c r="B1255" s="7" t="s">
        <v>47</v>
      </c>
      <c r="C1255" s="14" t="s">
        <v>29</v>
      </c>
      <c r="D1255" s="8" t="s">
        <v>46</v>
      </c>
    </row>
    <row r="1256" customFormat="false" ht="15" hidden="false" customHeight="false" outlineLevel="0" collapsed="false">
      <c r="A1256" s="7" t="s">
        <v>1381</v>
      </c>
      <c r="B1256" s="7" t="s">
        <v>47</v>
      </c>
      <c r="C1256" s="14" t="s">
        <v>29</v>
      </c>
      <c r="D1256" s="8" t="s">
        <v>46</v>
      </c>
    </row>
    <row r="1257" customFormat="false" ht="15" hidden="false" customHeight="false" outlineLevel="0" collapsed="false">
      <c r="A1257" s="7" t="s">
        <v>1382</v>
      </c>
      <c r="B1257" s="7" t="s">
        <v>55</v>
      </c>
      <c r="C1257" s="14" t="s">
        <v>29</v>
      </c>
      <c r="D1257" s="8" t="s">
        <v>46</v>
      </c>
    </row>
    <row r="1258" customFormat="false" ht="15" hidden="false" customHeight="false" outlineLevel="0" collapsed="false">
      <c r="A1258" s="7" t="s">
        <v>1383</v>
      </c>
      <c r="B1258" s="7" t="s">
        <v>64</v>
      </c>
      <c r="C1258" s="14" t="s">
        <v>29</v>
      </c>
      <c r="D1258" s="8" t="s">
        <v>38</v>
      </c>
    </row>
    <row r="1259" customFormat="false" ht="15" hidden="false" customHeight="false" outlineLevel="0" collapsed="false">
      <c r="A1259" s="7" t="s">
        <v>1384</v>
      </c>
      <c r="B1259" s="7" t="s">
        <v>32</v>
      </c>
      <c r="C1259" s="14" t="s">
        <v>29</v>
      </c>
      <c r="D1259" s="8" t="s">
        <v>33</v>
      </c>
    </row>
    <row r="1260" customFormat="false" ht="15" hidden="false" customHeight="false" outlineLevel="0" collapsed="false">
      <c r="A1260" s="7" t="s">
        <v>1385</v>
      </c>
      <c r="B1260" s="7" t="s">
        <v>32</v>
      </c>
      <c r="C1260" s="14" t="s">
        <v>29</v>
      </c>
      <c r="D1260" s="8" t="s">
        <v>33</v>
      </c>
    </row>
    <row r="1261" customFormat="false" ht="15" hidden="false" customHeight="false" outlineLevel="0" collapsed="false">
      <c r="A1261" s="7" t="s">
        <v>1386</v>
      </c>
      <c r="B1261" s="7" t="s">
        <v>37</v>
      </c>
      <c r="C1261" s="14" t="s">
        <v>29</v>
      </c>
      <c r="D1261" s="8" t="s">
        <v>38</v>
      </c>
    </row>
    <row r="1262" customFormat="false" ht="15" hidden="false" customHeight="false" outlineLevel="0" collapsed="false">
      <c r="A1262" s="7" t="s">
        <v>1387</v>
      </c>
      <c r="B1262" s="7" t="s">
        <v>55</v>
      </c>
      <c r="C1262" s="14" t="s">
        <v>29</v>
      </c>
      <c r="D1262" s="8" t="s">
        <v>46</v>
      </c>
    </row>
    <row r="1263" customFormat="false" ht="15" hidden="false" customHeight="false" outlineLevel="0" collapsed="false">
      <c r="A1263" s="7" t="s">
        <v>1388</v>
      </c>
      <c r="B1263" s="7" t="s">
        <v>37</v>
      </c>
      <c r="C1263" s="14" t="s">
        <v>29</v>
      </c>
      <c r="D1263" s="8" t="s">
        <v>38</v>
      </c>
    </row>
    <row r="1264" customFormat="false" ht="15" hidden="false" customHeight="false" outlineLevel="0" collapsed="false">
      <c r="A1264" s="7" t="s">
        <v>1389</v>
      </c>
      <c r="B1264" s="7" t="s">
        <v>55</v>
      </c>
      <c r="C1264" s="14" t="s">
        <v>29</v>
      </c>
      <c r="D1264" s="8" t="s">
        <v>46</v>
      </c>
    </row>
    <row r="1265" customFormat="false" ht="15" hidden="false" customHeight="false" outlineLevel="0" collapsed="false">
      <c r="A1265" s="7" t="s">
        <v>1389</v>
      </c>
      <c r="B1265" s="7" t="s">
        <v>60</v>
      </c>
      <c r="C1265" s="14" t="s">
        <v>29</v>
      </c>
      <c r="D1265" s="8" t="s">
        <v>46</v>
      </c>
    </row>
    <row r="1266" customFormat="false" ht="15" hidden="false" customHeight="false" outlineLevel="0" collapsed="false">
      <c r="A1266" s="7" t="s">
        <v>1389</v>
      </c>
      <c r="B1266" s="7" t="s">
        <v>32</v>
      </c>
      <c r="C1266" s="14" t="s">
        <v>29</v>
      </c>
      <c r="D1266" s="8" t="s">
        <v>33</v>
      </c>
    </row>
    <row r="1267" customFormat="false" ht="15" hidden="false" customHeight="false" outlineLevel="0" collapsed="false">
      <c r="A1267" s="7" t="s">
        <v>1390</v>
      </c>
      <c r="B1267" s="7" t="s">
        <v>69</v>
      </c>
      <c r="C1267" s="14" t="s">
        <v>29</v>
      </c>
      <c r="D1267" s="8" t="s">
        <v>33</v>
      </c>
    </row>
    <row r="1268" customFormat="false" ht="15" hidden="false" customHeight="false" outlineLevel="0" collapsed="false">
      <c r="A1268" s="7" t="s">
        <v>1390</v>
      </c>
      <c r="B1268" s="7" t="s">
        <v>62</v>
      </c>
      <c r="C1268" s="14" t="s">
        <v>29</v>
      </c>
      <c r="D1268" s="8" t="s">
        <v>46</v>
      </c>
    </row>
    <row r="1269" customFormat="false" ht="15" hidden="false" customHeight="false" outlineLevel="0" collapsed="false">
      <c r="A1269" s="7" t="s">
        <v>1391</v>
      </c>
      <c r="B1269" s="7" t="s">
        <v>58</v>
      </c>
      <c r="C1269" s="14" t="s">
        <v>29</v>
      </c>
      <c r="D1269" s="8" t="s">
        <v>46</v>
      </c>
    </row>
    <row r="1270" customFormat="false" ht="15" hidden="false" customHeight="false" outlineLevel="0" collapsed="false">
      <c r="A1270" s="7" t="s">
        <v>1392</v>
      </c>
      <c r="B1270" s="7" t="s">
        <v>58</v>
      </c>
      <c r="C1270" s="10" t="s">
        <v>67</v>
      </c>
      <c r="D1270" s="8" t="s">
        <v>46</v>
      </c>
    </row>
    <row r="1271" customFormat="false" ht="15" hidden="false" customHeight="false" outlineLevel="0" collapsed="false">
      <c r="A1271" s="7" t="s">
        <v>1393</v>
      </c>
      <c r="B1271" s="7" t="s">
        <v>32</v>
      </c>
      <c r="C1271" s="14" t="s">
        <v>29</v>
      </c>
      <c r="D1271" s="8" t="s">
        <v>33</v>
      </c>
    </row>
    <row r="1272" customFormat="false" ht="15" hidden="false" customHeight="false" outlineLevel="0" collapsed="false">
      <c r="A1272" s="7" t="s">
        <v>1393</v>
      </c>
      <c r="B1272" s="7" t="s">
        <v>37</v>
      </c>
      <c r="C1272" s="14" t="s">
        <v>29</v>
      </c>
      <c r="D1272" s="8" t="s">
        <v>38</v>
      </c>
    </row>
    <row r="1273" customFormat="false" ht="15" hidden="false" customHeight="false" outlineLevel="0" collapsed="false">
      <c r="A1273" s="7" t="s">
        <v>1394</v>
      </c>
      <c r="B1273" s="7" t="s">
        <v>69</v>
      </c>
      <c r="C1273" s="14" t="s">
        <v>29</v>
      </c>
      <c r="D1273" s="8" t="s">
        <v>33</v>
      </c>
    </row>
    <row r="1274" customFormat="false" ht="15" hidden="false" customHeight="false" outlineLevel="0" collapsed="false">
      <c r="A1274" s="7" t="s">
        <v>1394</v>
      </c>
      <c r="B1274" s="7" t="s">
        <v>43</v>
      </c>
      <c r="C1274" s="14" t="s">
        <v>29</v>
      </c>
      <c r="D1274" s="8" t="s">
        <v>38</v>
      </c>
    </row>
    <row r="1275" customFormat="false" ht="15" hidden="false" customHeight="false" outlineLevel="0" collapsed="false">
      <c r="A1275" s="7" t="s">
        <v>1394</v>
      </c>
      <c r="B1275" s="7" t="s">
        <v>62</v>
      </c>
      <c r="C1275" s="14" t="s">
        <v>29</v>
      </c>
      <c r="D1275" s="8" t="s">
        <v>46</v>
      </c>
    </row>
    <row r="1276" customFormat="false" ht="15" hidden="false" customHeight="false" outlineLevel="0" collapsed="false">
      <c r="A1276" s="7" t="s">
        <v>1395</v>
      </c>
      <c r="B1276" s="7" t="s">
        <v>40</v>
      </c>
      <c r="C1276" s="14" t="s">
        <v>29</v>
      </c>
      <c r="D1276" s="8" t="s">
        <v>33</v>
      </c>
    </row>
    <row r="1277" customFormat="false" ht="15" hidden="false" customHeight="false" outlineLevel="0" collapsed="false">
      <c r="A1277" s="7" t="s">
        <v>1396</v>
      </c>
      <c r="B1277" s="7" t="s">
        <v>58</v>
      </c>
      <c r="C1277" s="14" t="s">
        <v>29</v>
      </c>
      <c r="D1277" s="8" t="s">
        <v>46</v>
      </c>
    </row>
    <row r="1278" customFormat="false" ht="15" hidden="false" customHeight="false" outlineLevel="0" collapsed="false">
      <c r="A1278" s="7" t="s">
        <v>1396</v>
      </c>
      <c r="B1278" s="7" t="s">
        <v>77</v>
      </c>
      <c r="C1278" s="10" t="s">
        <v>67</v>
      </c>
      <c r="D1278" s="8" t="s">
        <v>46</v>
      </c>
    </row>
    <row r="1279" customFormat="false" ht="15" hidden="false" customHeight="false" outlineLevel="0" collapsed="false">
      <c r="A1279" s="7" t="s">
        <v>1397</v>
      </c>
      <c r="B1279" s="7" t="s">
        <v>77</v>
      </c>
      <c r="C1279" s="10" t="s">
        <v>67</v>
      </c>
      <c r="D1279" s="8" t="s">
        <v>46</v>
      </c>
    </row>
    <row r="1280" customFormat="false" ht="15" hidden="false" customHeight="false" outlineLevel="0" collapsed="false">
      <c r="A1280" s="7" t="s">
        <v>1398</v>
      </c>
      <c r="B1280" s="7" t="s">
        <v>79</v>
      </c>
      <c r="C1280" s="10" t="s">
        <v>67</v>
      </c>
      <c r="D1280" s="8" t="s">
        <v>33</v>
      </c>
    </row>
    <row r="1281" customFormat="false" ht="15" hidden="false" customHeight="false" outlineLevel="0" collapsed="false">
      <c r="A1281" s="7" t="s">
        <v>1398</v>
      </c>
      <c r="B1281" s="7" t="s">
        <v>51</v>
      </c>
      <c r="C1281" s="14" t="s">
        <v>29</v>
      </c>
      <c r="D1281" s="8" t="s">
        <v>33</v>
      </c>
    </row>
    <row r="1282" customFormat="false" ht="15" hidden="false" customHeight="false" outlineLevel="0" collapsed="false">
      <c r="A1282" s="7" t="s">
        <v>1398</v>
      </c>
      <c r="B1282" s="7" t="s">
        <v>58</v>
      </c>
      <c r="C1282" s="10" t="s">
        <v>67</v>
      </c>
      <c r="D1282" s="8" t="s">
        <v>46</v>
      </c>
    </row>
    <row r="1283" customFormat="false" ht="15" hidden="false" customHeight="false" outlineLevel="0" collapsed="false">
      <c r="A1283" s="7" t="s">
        <v>1399</v>
      </c>
      <c r="B1283" s="7" t="s">
        <v>58</v>
      </c>
      <c r="C1283" s="14" t="s">
        <v>29</v>
      </c>
      <c r="D1283" s="8" t="s">
        <v>46</v>
      </c>
    </row>
    <row r="1284" customFormat="false" ht="15" hidden="false" customHeight="false" outlineLevel="0" collapsed="false">
      <c r="A1284" s="7" t="s">
        <v>1400</v>
      </c>
      <c r="B1284" s="7" t="s">
        <v>55</v>
      </c>
      <c r="C1284" s="10" t="s">
        <v>67</v>
      </c>
      <c r="D1284" s="8" t="s">
        <v>46</v>
      </c>
    </row>
    <row r="1285" customFormat="false" ht="15" hidden="false" customHeight="false" outlineLevel="0" collapsed="false">
      <c r="A1285" s="7" t="s">
        <v>1401</v>
      </c>
      <c r="B1285" s="7" t="s">
        <v>58</v>
      </c>
      <c r="C1285" s="10" t="s">
        <v>67</v>
      </c>
      <c r="D1285" s="8" t="s">
        <v>46</v>
      </c>
    </row>
    <row r="1286" customFormat="false" ht="15" hidden="false" customHeight="false" outlineLevel="0" collapsed="false">
      <c r="A1286" s="7" t="s">
        <v>1402</v>
      </c>
      <c r="B1286" s="7" t="s">
        <v>69</v>
      </c>
      <c r="C1286" s="14" t="s">
        <v>29</v>
      </c>
      <c r="D1286" s="8" t="s">
        <v>33</v>
      </c>
    </row>
    <row r="1287" customFormat="false" ht="15" hidden="false" customHeight="false" outlineLevel="0" collapsed="false">
      <c r="A1287" s="7" t="s">
        <v>1402</v>
      </c>
      <c r="B1287" s="7" t="s">
        <v>62</v>
      </c>
      <c r="C1287" s="14" t="s">
        <v>29</v>
      </c>
      <c r="D1287" s="8" t="s">
        <v>46</v>
      </c>
    </row>
    <row r="1288" customFormat="false" ht="15" hidden="false" customHeight="false" outlineLevel="0" collapsed="false">
      <c r="A1288" s="7" t="s">
        <v>1403</v>
      </c>
      <c r="B1288" s="7" t="s">
        <v>58</v>
      </c>
      <c r="C1288" s="14" t="s">
        <v>29</v>
      </c>
      <c r="D1288" s="8" t="s">
        <v>46</v>
      </c>
    </row>
    <row r="1289" customFormat="false" ht="15" hidden="false" customHeight="false" outlineLevel="0" collapsed="false">
      <c r="A1289" s="7" t="s">
        <v>1404</v>
      </c>
      <c r="B1289" s="7" t="s">
        <v>40</v>
      </c>
      <c r="C1289" s="14" t="s">
        <v>29</v>
      </c>
      <c r="D1289" s="8" t="s">
        <v>33</v>
      </c>
    </row>
    <row r="1290" customFormat="false" ht="15" hidden="false" customHeight="false" outlineLevel="0" collapsed="false">
      <c r="A1290" s="7" t="s">
        <v>1405</v>
      </c>
      <c r="B1290" s="7" t="s">
        <v>77</v>
      </c>
      <c r="C1290" s="10" t="s">
        <v>67</v>
      </c>
      <c r="D1290" s="8" t="s">
        <v>46</v>
      </c>
    </row>
    <row r="1291" customFormat="false" ht="15" hidden="false" customHeight="false" outlineLevel="0" collapsed="false">
      <c r="A1291" s="7" t="s">
        <v>1406</v>
      </c>
      <c r="B1291" s="7" t="s">
        <v>55</v>
      </c>
      <c r="C1291" s="10" t="s">
        <v>67</v>
      </c>
      <c r="D1291" s="8" t="s">
        <v>46</v>
      </c>
    </row>
    <row r="1292" customFormat="false" ht="15" hidden="false" customHeight="false" outlineLevel="0" collapsed="false">
      <c r="A1292" s="7" t="s">
        <v>1407</v>
      </c>
      <c r="B1292" s="7" t="s">
        <v>79</v>
      </c>
      <c r="C1292" s="10" t="s">
        <v>67</v>
      </c>
      <c r="D1292" s="8" t="s">
        <v>33</v>
      </c>
    </row>
    <row r="1293" customFormat="false" ht="15" hidden="false" customHeight="false" outlineLevel="0" collapsed="false">
      <c r="A1293" s="7" t="s">
        <v>1407</v>
      </c>
      <c r="B1293" s="7" t="s">
        <v>82</v>
      </c>
      <c r="C1293" s="14" t="s">
        <v>29</v>
      </c>
      <c r="D1293" s="8" t="s">
        <v>46</v>
      </c>
    </row>
    <row r="1294" customFormat="false" ht="15" hidden="false" customHeight="false" outlineLevel="0" collapsed="false">
      <c r="A1294" s="7" t="s">
        <v>1407</v>
      </c>
      <c r="B1294" s="7" t="s">
        <v>89</v>
      </c>
      <c r="C1294" s="14" t="s">
        <v>29</v>
      </c>
      <c r="D1294" s="8" t="s">
        <v>87</v>
      </c>
    </row>
    <row r="1295" customFormat="false" ht="15" hidden="false" customHeight="false" outlineLevel="0" collapsed="false">
      <c r="A1295" s="7" t="s">
        <v>1407</v>
      </c>
      <c r="B1295" s="7" t="s">
        <v>86</v>
      </c>
      <c r="C1295" s="14" t="s">
        <v>29</v>
      </c>
      <c r="D1295" s="8" t="s">
        <v>87</v>
      </c>
    </row>
    <row r="1296" customFormat="false" ht="15" hidden="false" customHeight="false" outlineLevel="0" collapsed="false">
      <c r="A1296" s="7" t="s">
        <v>1408</v>
      </c>
      <c r="B1296" s="7" t="s">
        <v>40</v>
      </c>
      <c r="C1296" s="14" t="s">
        <v>29</v>
      </c>
      <c r="D1296" s="8" t="s">
        <v>33</v>
      </c>
    </row>
    <row r="1297" customFormat="false" ht="15" hidden="false" customHeight="false" outlineLevel="0" collapsed="false">
      <c r="A1297" s="7" t="s">
        <v>1409</v>
      </c>
      <c r="B1297" s="7" t="s">
        <v>40</v>
      </c>
      <c r="C1297" s="14" t="s">
        <v>29</v>
      </c>
      <c r="D1297" s="8" t="s">
        <v>33</v>
      </c>
    </row>
    <row r="1298" customFormat="false" ht="15" hidden="false" customHeight="false" outlineLevel="0" collapsed="false">
      <c r="A1298" s="7" t="s">
        <v>1409</v>
      </c>
      <c r="B1298" s="7" t="s">
        <v>77</v>
      </c>
      <c r="C1298" s="10" t="s">
        <v>67</v>
      </c>
      <c r="D1298" s="8" t="s">
        <v>46</v>
      </c>
    </row>
    <row r="1299" customFormat="false" ht="15" hidden="false" customHeight="false" outlineLevel="0" collapsed="false">
      <c r="A1299" s="7" t="s">
        <v>1410</v>
      </c>
      <c r="B1299" s="7" t="s">
        <v>45</v>
      </c>
      <c r="C1299" s="14" t="s">
        <v>29</v>
      </c>
      <c r="D1299" s="8" t="s">
        <v>46</v>
      </c>
    </row>
    <row r="1300" customFormat="false" ht="15" hidden="false" customHeight="false" outlineLevel="0" collapsed="false">
      <c r="A1300" s="7" t="s">
        <v>1411</v>
      </c>
      <c r="B1300" s="7" t="s">
        <v>100</v>
      </c>
      <c r="C1300" s="10" t="s">
        <v>67</v>
      </c>
      <c r="D1300" s="8" t="s">
        <v>38</v>
      </c>
    </row>
    <row r="1301" customFormat="false" ht="15" hidden="false" customHeight="false" outlineLevel="0" collapsed="false">
      <c r="A1301" s="7" t="s">
        <v>1412</v>
      </c>
      <c r="B1301" s="7" t="s">
        <v>55</v>
      </c>
      <c r="C1301" s="10" t="s">
        <v>67</v>
      </c>
      <c r="D1301" s="8" t="s">
        <v>46</v>
      </c>
    </row>
    <row r="1302" customFormat="false" ht="15" hidden="false" customHeight="false" outlineLevel="0" collapsed="false">
      <c r="A1302" s="7" t="s">
        <v>1413</v>
      </c>
      <c r="B1302" s="7" t="s">
        <v>71</v>
      </c>
      <c r="C1302" s="10" t="s">
        <v>67</v>
      </c>
      <c r="D1302" s="8" t="s">
        <v>33</v>
      </c>
    </row>
    <row r="1303" customFormat="false" ht="15" hidden="false" customHeight="false" outlineLevel="0" collapsed="false">
      <c r="A1303" s="7" t="s">
        <v>1414</v>
      </c>
      <c r="B1303" s="7" t="s">
        <v>66</v>
      </c>
      <c r="C1303" s="10" t="s">
        <v>67</v>
      </c>
      <c r="D1303" s="8" t="s">
        <v>33</v>
      </c>
    </row>
    <row r="1304" customFormat="false" ht="15" hidden="false" customHeight="false" outlineLevel="0" collapsed="false">
      <c r="A1304" s="7" t="s">
        <v>1415</v>
      </c>
      <c r="B1304" s="7" t="s">
        <v>79</v>
      </c>
      <c r="C1304" s="10" t="s">
        <v>67</v>
      </c>
      <c r="D1304" s="8" t="s">
        <v>33</v>
      </c>
    </row>
    <row r="1305" customFormat="false" ht="15" hidden="false" customHeight="false" outlineLevel="0" collapsed="false">
      <c r="A1305" s="7" t="s">
        <v>1416</v>
      </c>
      <c r="B1305" s="7" t="s">
        <v>79</v>
      </c>
      <c r="C1305" s="10" t="s">
        <v>67</v>
      </c>
      <c r="D1305" s="8" t="s">
        <v>33</v>
      </c>
    </row>
    <row r="1306" customFormat="false" ht="15" hidden="false" customHeight="false" outlineLevel="0" collapsed="false">
      <c r="A1306" s="7" t="s">
        <v>1417</v>
      </c>
      <c r="B1306" s="7" t="s">
        <v>71</v>
      </c>
      <c r="C1306" s="10" t="s">
        <v>67</v>
      </c>
      <c r="D1306" s="8" t="s">
        <v>33</v>
      </c>
    </row>
    <row r="1307" customFormat="false" ht="15" hidden="false" customHeight="false" outlineLevel="0" collapsed="false">
      <c r="A1307" s="7" t="s">
        <v>1418</v>
      </c>
      <c r="B1307" s="7" t="s">
        <v>58</v>
      </c>
      <c r="C1307" s="10" t="s">
        <v>67</v>
      </c>
      <c r="D1307" s="8" t="s">
        <v>46</v>
      </c>
    </row>
    <row r="1308" customFormat="false" ht="15" hidden="false" customHeight="false" outlineLevel="0" collapsed="false">
      <c r="A1308" s="7" t="s">
        <v>1419</v>
      </c>
      <c r="B1308" s="7" t="s">
        <v>49</v>
      </c>
      <c r="C1308" s="14" t="s">
        <v>29</v>
      </c>
      <c r="D1308" s="8" t="s">
        <v>33</v>
      </c>
    </row>
    <row r="1309" customFormat="false" ht="15" hidden="false" customHeight="false" outlineLevel="0" collapsed="false">
      <c r="A1309" s="7" t="s">
        <v>1420</v>
      </c>
      <c r="B1309" s="7" t="s">
        <v>71</v>
      </c>
      <c r="C1309" s="10" t="s">
        <v>67</v>
      </c>
      <c r="D1309" s="8" t="s">
        <v>33</v>
      </c>
    </row>
    <row r="1310" customFormat="false" ht="15" hidden="false" customHeight="false" outlineLevel="0" collapsed="false">
      <c r="A1310" s="7" t="s">
        <v>1421</v>
      </c>
      <c r="B1310" s="7" t="s">
        <v>58</v>
      </c>
      <c r="C1310" s="14" t="s">
        <v>29</v>
      </c>
      <c r="D1310" s="8" t="s">
        <v>46</v>
      </c>
    </row>
    <row r="1311" customFormat="false" ht="15" hidden="false" customHeight="false" outlineLevel="0" collapsed="false">
      <c r="A1311" s="7" t="s">
        <v>1422</v>
      </c>
      <c r="B1311" s="7" t="s">
        <v>58</v>
      </c>
      <c r="C1311" s="10" t="s">
        <v>67</v>
      </c>
      <c r="D1311" s="8" t="s">
        <v>46</v>
      </c>
    </row>
    <row r="1312" customFormat="false" ht="15" hidden="false" customHeight="false" outlineLevel="0" collapsed="false">
      <c r="A1312" s="7" t="s">
        <v>1423</v>
      </c>
      <c r="B1312" s="7" t="s">
        <v>71</v>
      </c>
      <c r="C1312" s="10" t="s">
        <v>67</v>
      </c>
      <c r="D1312" s="8" t="s">
        <v>33</v>
      </c>
    </row>
    <row r="1313" customFormat="false" ht="15" hidden="false" customHeight="false" outlineLevel="0" collapsed="false">
      <c r="A1313" s="7" t="s">
        <v>1424</v>
      </c>
      <c r="B1313" s="7" t="s">
        <v>58</v>
      </c>
      <c r="C1313" s="14" t="s">
        <v>29</v>
      </c>
      <c r="D1313" s="8" t="s">
        <v>46</v>
      </c>
    </row>
    <row r="1314" customFormat="false" ht="15" hidden="false" customHeight="false" outlineLevel="0" collapsed="false">
      <c r="A1314" s="7" t="s">
        <v>1425</v>
      </c>
      <c r="B1314" s="7" t="s">
        <v>47</v>
      </c>
      <c r="C1314" s="14" t="s">
        <v>29</v>
      </c>
      <c r="D1314" s="8" t="s">
        <v>46</v>
      </c>
    </row>
    <row r="1315" customFormat="false" ht="15" hidden="false" customHeight="false" outlineLevel="0" collapsed="false">
      <c r="A1315" s="7" t="s">
        <v>1425</v>
      </c>
      <c r="B1315" s="7" t="s">
        <v>58</v>
      </c>
      <c r="C1315" s="10" t="s">
        <v>67</v>
      </c>
      <c r="D1315" s="8" t="s">
        <v>46</v>
      </c>
    </row>
    <row r="1316" customFormat="false" ht="15" hidden="false" customHeight="false" outlineLevel="0" collapsed="false">
      <c r="A1316" s="7" t="s">
        <v>1426</v>
      </c>
      <c r="B1316" s="7" t="s">
        <v>37</v>
      </c>
      <c r="C1316" s="14" t="s">
        <v>29</v>
      </c>
      <c r="D1316" s="8" t="s">
        <v>38</v>
      </c>
    </row>
    <row r="1317" customFormat="false" ht="15" hidden="false" customHeight="false" outlineLevel="0" collapsed="false">
      <c r="A1317" s="7" t="s">
        <v>1427</v>
      </c>
      <c r="B1317" s="7" t="s">
        <v>55</v>
      </c>
      <c r="C1317" s="14" t="s">
        <v>29</v>
      </c>
      <c r="D1317" s="8" t="s">
        <v>46</v>
      </c>
    </row>
    <row r="1318" customFormat="false" ht="15" hidden="false" customHeight="false" outlineLevel="0" collapsed="false">
      <c r="A1318" s="7" t="s">
        <v>1428</v>
      </c>
      <c r="B1318" s="7" t="s">
        <v>82</v>
      </c>
      <c r="C1318" s="10" t="s">
        <v>67</v>
      </c>
      <c r="D1318" s="8" t="s">
        <v>46</v>
      </c>
    </row>
    <row r="1319" customFormat="false" ht="15" hidden="false" customHeight="false" outlineLevel="0" collapsed="false">
      <c r="A1319" s="7" t="s">
        <v>1429</v>
      </c>
      <c r="B1319" s="7" t="s">
        <v>47</v>
      </c>
      <c r="C1319" s="14" t="s">
        <v>29</v>
      </c>
      <c r="D1319" s="8" t="s">
        <v>46</v>
      </c>
    </row>
    <row r="1320" customFormat="false" ht="15" hidden="false" customHeight="false" outlineLevel="0" collapsed="false">
      <c r="A1320" s="7" t="s">
        <v>1430</v>
      </c>
      <c r="B1320" s="7" t="s">
        <v>47</v>
      </c>
      <c r="C1320" s="14" t="s">
        <v>29</v>
      </c>
      <c r="D1320" s="8" t="s">
        <v>46</v>
      </c>
    </row>
    <row r="1321" customFormat="false" ht="15" hidden="false" customHeight="false" outlineLevel="0" collapsed="false">
      <c r="A1321" s="7" t="s">
        <v>1431</v>
      </c>
      <c r="B1321" s="7" t="s">
        <v>47</v>
      </c>
      <c r="C1321" s="14" t="s">
        <v>29</v>
      </c>
      <c r="D1321" s="8" t="s">
        <v>46</v>
      </c>
    </row>
    <row r="1322" customFormat="false" ht="15" hidden="false" customHeight="false" outlineLevel="0" collapsed="false">
      <c r="A1322" s="7" t="s">
        <v>1432</v>
      </c>
      <c r="B1322" s="7" t="s">
        <v>47</v>
      </c>
      <c r="C1322" s="14" t="s">
        <v>29</v>
      </c>
      <c r="D1322" s="8" t="s">
        <v>46</v>
      </c>
    </row>
    <row r="1323" customFormat="false" ht="15" hidden="false" customHeight="false" outlineLevel="0" collapsed="false">
      <c r="A1323" s="7" t="s">
        <v>1433</v>
      </c>
      <c r="B1323" s="7" t="s">
        <v>47</v>
      </c>
      <c r="C1323" s="14" t="s">
        <v>29</v>
      </c>
      <c r="D1323" s="8" t="s">
        <v>46</v>
      </c>
    </row>
    <row r="1324" customFormat="false" ht="15" hidden="false" customHeight="false" outlineLevel="0" collapsed="false">
      <c r="A1324" s="7" t="s">
        <v>1434</v>
      </c>
      <c r="B1324" s="7" t="s">
        <v>47</v>
      </c>
      <c r="C1324" s="14" t="s">
        <v>29</v>
      </c>
      <c r="D1324" s="8" t="s">
        <v>46</v>
      </c>
    </row>
    <row r="1325" customFormat="false" ht="15" hidden="false" customHeight="false" outlineLevel="0" collapsed="false">
      <c r="A1325" s="7" t="s">
        <v>1435</v>
      </c>
      <c r="B1325" s="7" t="s">
        <v>47</v>
      </c>
      <c r="C1325" s="14" t="s">
        <v>29</v>
      </c>
      <c r="D1325" s="8" t="s">
        <v>46</v>
      </c>
    </row>
    <row r="1326" customFormat="false" ht="15" hidden="false" customHeight="false" outlineLevel="0" collapsed="false">
      <c r="A1326" s="7" t="s">
        <v>1436</v>
      </c>
      <c r="B1326" s="7" t="s">
        <v>55</v>
      </c>
      <c r="C1326" s="14" t="s">
        <v>29</v>
      </c>
      <c r="D1326" s="8" t="s">
        <v>46</v>
      </c>
    </row>
    <row r="1327" customFormat="false" ht="15" hidden="false" customHeight="false" outlineLevel="0" collapsed="false">
      <c r="A1327" s="7" t="s">
        <v>1436</v>
      </c>
      <c r="B1327" s="7" t="s">
        <v>47</v>
      </c>
      <c r="C1327" s="14" t="s">
        <v>29</v>
      </c>
      <c r="D1327" s="8" t="s">
        <v>46</v>
      </c>
    </row>
    <row r="1328" customFormat="false" ht="15" hidden="false" customHeight="false" outlineLevel="0" collapsed="false">
      <c r="A1328" s="7" t="s">
        <v>1436</v>
      </c>
      <c r="B1328" s="7" t="s">
        <v>37</v>
      </c>
      <c r="C1328" s="14" t="s">
        <v>29</v>
      </c>
      <c r="D1328" s="8" t="s">
        <v>38</v>
      </c>
    </row>
    <row r="1329" customFormat="false" ht="15" hidden="false" customHeight="false" outlineLevel="0" collapsed="false">
      <c r="A1329" s="7" t="s">
        <v>1437</v>
      </c>
      <c r="B1329" s="7" t="s">
        <v>64</v>
      </c>
      <c r="C1329" s="14" t="s">
        <v>29</v>
      </c>
      <c r="D1329" s="8" t="s">
        <v>38</v>
      </c>
    </row>
    <row r="1330" customFormat="false" ht="15" hidden="false" customHeight="false" outlineLevel="0" collapsed="false">
      <c r="A1330" s="7" t="s">
        <v>1438</v>
      </c>
      <c r="B1330" s="7" t="s">
        <v>40</v>
      </c>
      <c r="C1330" s="14" t="s">
        <v>29</v>
      </c>
      <c r="D1330" s="8" t="s">
        <v>33</v>
      </c>
    </row>
    <row r="1331" customFormat="false" ht="15" hidden="false" customHeight="false" outlineLevel="0" collapsed="false">
      <c r="A1331" s="7" t="s">
        <v>1438</v>
      </c>
      <c r="B1331" s="7" t="s">
        <v>62</v>
      </c>
      <c r="C1331" s="14" t="s">
        <v>29</v>
      </c>
      <c r="D1331" s="8" t="s">
        <v>46</v>
      </c>
    </row>
    <row r="1332" customFormat="false" ht="15" hidden="false" customHeight="false" outlineLevel="0" collapsed="false">
      <c r="A1332" s="7" t="s">
        <v>1438</v>
      </c>
      <c r="B1332" s="7" t="s">
        <v>51</v>
      </c>
      <c r="C1332" s="14" t="s">
        <v>29</v>
      </c>
      <c r="D1332" s="8" t="s">
        <v>33</v>
      </c>
    </row>
    <row r="1333" customFormat="false" ht="15" hidden="false" customHeight="false" outlineLevel="0" collapsed="false">
      <c r="A1333" s="7" t="s">
        <v>1438</v>
      </c>
      <c r="B1333" s="7" t="s">
        <v>69</v>
      </c>
      <c r="C1333" s="14" t="s">
        <v>29</v>
      </c>
      <c r="D1333" s="8" t="s">
        <v>33</v>
      </c>
    </row>
    <row r="1334" customFormat="false" ht="15" hidden="false" customHeight="false" outlineLevel="0" collapsed="false">
      <c r="A1334" s="7" t="s">
        <v>1439</v>
      </c>
      <c r="B1334" s="7" t="s">
        <v>37</v>
      </c>
      <c r="C1334" s="14" t="s">
        <v>29</v>
      </c>
      <c r="D1334" s="8" t="s">
        <v>38</v>
      </c>
    </row>
    <row r="1335" customFormat="false" ht="15" hidden="false" customHeight="false" outlineLevel="0" collapsed="false">
      <c r="A1335" s="7" t="s">
        <v>1439</v>
      </c>
      <c r="B1335" s="7" t="s">
        <v>51</v>
      </c>
      <c r="C1335" s="14" t="s">
        <v>29</v>
      </c>
      <c r="D1335" s="8" t="s">
        <v>33</v>
      </c>
    </row>
    <row r="1336" customFormat="false" ht="15" hidden="false" customHeight="false" outlineLevel="0" collapsed="false">
      <c r="A1336" s="7" t="s">
        <v>1440</v>
      </c>
      <c r="B1336" s="7" t="s">
        <v>62</v>
      </c>
      <c r="C1336" s="14" t="s">
        <v>29</v>
      </c>
      <c r="D1336" s="8" t="s">
        <v>46</v>
      </c>
    </row>
    <row r="1337" customFormat="false" ht="15" hidden="false" customHeight="false" outlineLevel="0" collapsed="false">
      <c r="A1337" s="7" t="s">
        <v>1440</v>
      </c>
      <c r="B1337" s="7" t="s">
        <v>40</v>
      </c>
      <c r="C1337" s="14" t="s">
        <v>29</v>
      </c>
      <c r="D1337" s="8" t="s">
        <v>33</v>
      </c>
    </row>
    <row r="1338" customFormat="false" ht="15" hidden="false" customHeight="false" outlineLevel="0" collapsed="false">
      <c r="A1338" s="7" t="s">
        <v>1440</v>
      </c>
      <c r="B1338" s="7" t="s">
        <v>69</v>
      </c>
      <c r="C1338" s="14" t="s">
        <v>29</v>
      </c>
      <c r="D1338" s="8" t="s">
        <v>33</v>
      </c>
    </row>
    <row r="1339" customFormat="false" ht="15" hidden="false" customHeight="false" outlineLevel="0" collapsed="false">
      <c r="A1339" s="7" t="s">
        <v>1441</v>
      </c>
      <c r="B1339" s="7" t="s">
        <v>51</v>
      </c>
      <c r="C1339" s="14" t="s">
        <v>29</v>
      </c>
      <c r="D1339" s="8" t="s">
        <v>33</v>
      </c>
    </row>
    <row r="1340" customFormat="false" ht="15" hidden="false" customHeight="false" outlineLevel="0" collapsed="false">
      <c r="A1340" s="7" t="s">
        <v>1442</v>
      </c>
      <c r="B1340" s="7" t="s">
        <v>58</v>
      </c>
      <c r="C1340" s="14" t="s">
        <v>29</v>
      </c>
      <c r="D1340" s="8" t="s">
        <v>46</v>
      </c>
    </row>
    <row r="1341" customFormat="false" ht="15" hidden="false" customHeight="false" outlineLevel="0" collapsed="false">
      <c r="A1341" s="7" t="s">
        <v>1442</v>
      </c>
      <c r="B1341" s="7" t="s">
        <v>93</v>
      </c>
      <c r="C1341" s="14" t="s">
        <v>29</v>
      </c>
      <c r="D1341" s="8" t="s">
        <v>87</v>
      </c>
    </row>
    <row r="1342" customFormat="false" ht="15" hidden="false" customHeight="false" outlineLevel="0" collapsed="false">
      <c r="A1342" s="7" t="s">
        <v>1442</v>
      </c>
      <c r="B1342" s="7" t="s">
        <v>40</v>
      </c>
      <c r="C1342" s="14" t="s">
        <v>29</v>
      </c>
      <c r="D1342" s="8" t="s">
        <v>33</v>
      </c>
    </row>
    <row r="1343" customFormat="false" ht="15" hidden="false" customHeight="false" outlineLevel="0" collapsed="false">
      <c r="A1343" s="7" t="s">
        <v>1442</v>
      </c>
      <c r="B1343" s="7" t="s">
        <v>89</v>
      </c>
      <c r="C1343" s="14" t="s">
        <v>29</v>
      </c>
      <c r="D1343" s="8" t="s">
        <v>87</v>
      </c>
    </row>
    <row r="1344" customFormat="false" ht="15" hidden="false" customHeight="false" outlineLevel="0" collapsed="false">
      <c r="A1344" s="7" t="s">
        <v>1443</v>
      </c>
      <c r="B1344" s="7" t="s">
        <v>58</v>
      </c>
      <c r="C1344" s="10" t="s">
        <v>67</v>
      </c>
      <c r="D1344" s="8" t="s">
        <v>46</v>
      </c>
    </row>
    <row r="1345" customFormat="false" ht="15" hidden="false" customHeight="false" outlineLevel="0" collapsed="false">
      <c r="A1345" s="7" t="s">
        <v>1444</v>
      </c>
      <c r="B1345" s="7" t="s">
        <v>51</v>
      </c>
      <c r="C1345" s="14" t="s">
        <v>29</v>
      </c>
      <c r="D1345" s="8" t="s">
        <v>33</v>
      </c>
    </row>
    <row r="1346" customFormat="false" ht="15" hidden="false" customHeight="false" outlineLevel="0" collapsed="false">
      <c r="A1346" s="7" t="s">
        <v>1444</v>
      </c>
      <c r="B1346" s="7" t="s">
        <v>45</v>
      </c>
      <c r="C1346" s="14" t="s">
        <v>29</v>
      </c>
      <c r="D1346" s="8" t="s">
        <v>46</v>
      </c>
    </row>
    <row r="1347" customFormat="false" ht="15" hidden="false" customHeight="false" outlineLevel="0" collapsed="false">
      <c r="A1347" s="7" t="s">
        <v>1445</v>
      </c>
      <c r="B1347" s="7" t="s">
        <v>37</v>
      </c>
      <c r="C1347" s="14" t="s">
        <v>29</v>
      </c>
      <c r="D1347" s="8" t="s">
        <v>38</v>
      </c>
    </row>
    <row r="1348" customFormat="false" ht="15" hidden="false" customHeight="false" outlineLevel="0" collapsed="false">
      <c r="A1348" s="7" t="s">
        <v>1445</v>
      </c>
      <c r="B1348" s="7" t="s">
        <v>32</v>
      </c>
      <c r="C1348" s="14" t="s">
        <v>29</v>
      </c>
      <c r="D1348" s="8" t="s">
        <v>33</v>
      </c>
    </row>
    <row r="1349" customFormat="false" ht="15" hidden="false" customHeight="false" outlineLevel="0" collapsed="false">
      <c r="A1349" s="7" t="s">
        <v>1445</v>
      </c>
      <c r="B1349" s="7" t="s">
        <v>71</v>
      </c>
      <c r="C1349" s="10" t="s">
        <v>67</v>
      </c>
      <c r="D1349" s="8" t="s">
        <v>33</v>
      </c>
    </row>
    <row r="1350" customFormat="false" ht="15" hidden="false" customHeight="false" outlineLevel="0" collapsed="false">
      <c r="A1350" s="7" t="s">
        <v>1446</v>
      </c>
      <c r="B1350" s="7" t="s">
        <v>71</v>
      </c>
      <c r="C1350" s="10" t="s">
        <v>67</v>
      </c>
      <c r="D1350" s="8" t="s">
        <v>33</v>
      </c>
    </row>
    <row r="1351" customFormat="false" ht="15" hidden="false" customHeight="false" outlineLevel="0" collapsed="false">
      <c r="A1351" s="7" t="s">
        <v>1447</v>
      </c>
      <c r="B1351" s="7" t="s">
        <v>55</v>
      </c>
      <c r="C1351" s="14" t="s">
        <v>29</v>
      </c>
      <c r="D1351" s="8" t="s">
        <v>46</v>
      </c>
    </row>
    <row r="1352" customFormat="false" ht="15" hidden="false" customHeight="false" outlineLevel="0" collapsed="false">
      <c r="A1352" s="7" t="s">
        <v>1448</v>
      </c>
      <c r="B1352" s="7" t="s">
        <v>86</v>
      </c>
      <c r="C1352" s="10" t="s">
        <v>67</v>
      </c>
      <c r="D1352" s="8" t="s">
        <v>87</v>
      </c>
    </row>
    <row r="1353" customFormat="false" ht="15" hidden="false" customHeight="false" outlineLevel="0" collapsed="false">
      <c r="A1353" s="7" t="s">
        <v>1449</v>
      </c>
      <c r="B1353" s="7" t="s">
        <v>71</v>
      </c>
      <c r="C1353" s="10" t="s">
        <v>67</v>
      </c>
      <c r="D1353" s="8" t="s">
        <v>33</v>
      </c>
    </row>
    <row r="1354" customFormat="false" ht="15" hidden="false" customHeight="false" outlineLevel="0" collapsed="false">
      <c r="A1354" s="7" t="s">
        <v>1450</v>
      </c>
      <c r="B1354" s="7" t="s">
        <v>47</v>
      </c>
      <c r="C1354" s="14" t="s">
        <v>29</v>
      </c>
      <c r="D1354" s="8" t="s">
        <v>46</v>
      </c>
    </row>
    <row r="1355" customFormat="false" ht="15" hidden="false" customHeight="false" outlineLevel="0" collapsed="false">
      <c r="A1355" s="7" t="s">
        <v>1451</v>
      </c>
      <c r="B1355" s="7" t="s">
        <v>47</v>
      </c>
      <c r="C1355" s="14" t="s">
        <v>29</v>
      </c>
      <c r="D1355" s="8" t="s">
        <v>46</v>
      </c>
    </row>
    <row r="1356" customFormat="false" ht="15" hidden="false" customHeight="false" outlineLevel="0" collapsed="false">
      <c r="A1356" s="7" t="s">
        <v>1452</v>
      </c>
      <c r="B1356" s="7" t="s">
        <v>55</v>
      </c>
      <c r="C1356" s="14" t="s">
        <v>29</v>
      </c>
      <c r="D1356" s="8" t="s">
        <v>46</v>
      </c>
    </row>
    <row r="1357" customFormat="false" ht="15" hidden="false" customHeight="false" outlineLevel="0" collapsed="false">
      <c r="A1357" s="7" t="s">
        <v>1453</v>
      </c>
      <c r="B1357" s="7" t="s">
        <v>47</v>
      </c>
      <c r="C1357" s="14" t="s">
        <v>29</v>
      </c>
      <c r="D1357" s="8" t="s">
        <v>46</v>
      </c>
    </row>
    <row r="1358" customFormat="false" ht="15" hidden="false" customHeight="false" outlineLevel="0" collapsed="false">
      <c r="A1358" s="7" t="s">
        <v>1454</v>
      </c>
      <c r="B1358" s="7" t="s">
        <v>55</v>
      </c>
      <c r="C1358" s="14" t="s">
        <v>29</v>
      </c>
      <c r="D1358" s="8" t="s">
        <v>46</v>
      </c>
    </row>
    <row r="1359" customFormat="false" ht="15" hidden="false" customHeight="false" outlineLevel="0" collapsed="false">
      <c r="A1359" s="7" t="s">
        <v>1455</v>
      </c>
      <c r="B1359" s="7" t="s">
        <v>37</v>
      </c>
      <c r="C1359" s="14" t="s">
        <v>29</v>
      </c>
      <c r="D1359" s="8" t="s">
        <v>38</v>
      </c>
    </row>
    <row r="1360" customFormat="false" ht="15" hidden="false" customHeight="false" outlineLevel="0" collapsed="false">
      <c r="A1360" s="7" t="s">
        <v>1456</v>
      </c>
      <c r="B1360" s="7" t="s">
        <v>51</v>
      </c>
      <c r="C1360" s="14" t="s">
        <v>29</v>
      </c>
      <c r="D1360" s="8" t="s">
        <v>33</v>
      </c>
    </row>
    <row r="1361" customFormat="false" ht="15" hidden="false" customHeight="false" outlineLevel="0" collapsed="false">
      <c r="A1361" s="7" t="s">
        <v>1456</v>
      </c>
      <c r="B1361" s="7" t="s">
        <v>69</v>
      </c>
      <c r="C1361" s="14" t="s">
        <v>29</v>
      </c>
      <c r="D1361" s="8" t="s">
        <v>33</v>
      </c>
    </row>
    <row r="1362" customFormat="false" ht="15" hidden="false" customHeight="false" outlineLevel="0" collapsed="false">
      <c r="A1362" s="7" t="s">
        <v>1456</v>
      </c>
      <c r="B1362" s="7" t="s">
        <v>62</v>
      </c>
      <c r="C1362" s="14" t="s">
        <v>29</v>
      </c>
      <c r="D1362" s="8" t="s">
        <v>46</v>
      </c>
    </row>
    <row r="1363" customFormat="false" ht="15" hidden="false" customHeight="false" outlineLevel="0" collapsed="false">
      <c r="A1363" s="7" t="s">
        <v>1456</v>
      </c>
      <c r="B1363" s="7" t="s">
        <v>40</v>
      </c>
      <c r="C1363" s="14" t="s">
        <v>29</v>
      </c>
      <c r="D1363" s="8" t="s">
        <v>33</v>
      </c>
    </row>
    <row r="1364" customFormat="false" ht="15" hidden="false" customHeight="false" outlineLevel="0" collapsed="false">
      <c r="A1364" s="7" t="s">
        <v>1457</v>
      </c>
      <c r="B1364" s="7" t="s">
        <v>64</v>
      </c>
      <c r="C1364" s="14" t="s">
        <v>29</v>
      </c>
      <c r="D1364" s="8" t="s">
        <v>38</v>
      </c>
    </row>
    <row r="1365" customFormat="false" ht="15" hidden="false" customHeight="false" outlineLevel="0" collapsed="false">
      <c r="A1365" s="7" t="s">
        <v>1458</v>
      </c>
      <c r="B1365" s="7" t="s">
        <v>51</v>
      </c>
      <c r="C1365" s="14" t="s">
        <v>29</v>
      </c>
      <c r="D1365" s="8" t="s">
        <v>33</v>
      </c>
    </row>
    <row r="1366" customFormat="false" ht="15" hidden="false" customHeight="false" outlineLevel="0" collapsed="false">
      <c r="A1366" s="7" t="s">
        <v>1459</v>
      </c>
      <c r="B1366" s="7" t="s">
        <v>37</v>
      </c>
      <c r="C1366" s="14" t="s">
        <v>29</v>
      </c>
      <c r="D1366" s="8" t="s">
        <v>38</v>
      </c>
    </row>
    <row r="1367" customFormat="false" ht="15" hidden="false" customHeight="false" outlineLevel="0" collapsed="false">
      <c r="A1367" s="7" t="s">
        <v>1460</v>
      </c>
      <c r="B1367" s="7" t="s">
        <v>60</v>
      </c>
      <c r="C1367" s="14" t="s">
        <v>29</v>
      </c>
      <c r="D1367" s="8" t="s">
        <v>46</v>
      </c>
    </row>
    <row r="1368" customFormat="false" ht="15" hidden="false" customHeight="false" outlineLevel="0" collapsed="false">
      <c r="A1368" s="7" t="s">
        <v>1461</v>
      </c>
      <c r="B1368" s="7" t="s">
        <v>40</v>
      </c>
      <c r="C1368" s="14" t="s">
        <v>29</v>
      </c>
      <c r="D1368" s="8" t="s">
        <v>33</v>
      </c>
    </row>
    <row r="1369" customFormat="false" ht="15" hidden="false" customHeight="false" outlineLevel="0" collapsed="false">
      <c r="A1369" s="7" t="s">
        <v>1462</v>
      </c>
      <c r="B1369" s="7" t="s">
        <v>37</v>
      </c>
      <c r="C1369" s="14" t="s">
        <v>29</v>
      </c>
      <c r="D1369" s="8" t="s">
        <v>38</v>
      </c>
    </row>
    <row r="1370" customFormat="false" ht="15" hidden="false" customHeight="false" outlineLevel="0" collapsed="false">
      <c r="A1370" s="7" t="s">
        <v>1463</v>
      </c>
      <c r="B1370" s="7" t="s">
        <v>69</v>
      </c>
      <c r="C1370" s="14" t="s">
        <v>29</v>
      </c>
      <c r="D1370" s="8" t="s">
        <v>33</v>
      </c>
    </row>
    <row r="1371" customFormat="false" ht="15" hidden="false" customHeight="false" outlineLevel="0" collapsed="false">
      <c r="A1371" s="7" t="s">
        <v>1463</v>
      </c>
      <c r="B1371" s="7" t="s">
        <v>62</v>
      </c>
      <c r="C1371" s="14" t="s">
        <v>29</v>
      </c>
      <c r="D1371" s="8" t="s">
        <v>46</v>
      </c>
    </row>
    <row r="1372" customFormat="false" ht="15" hidden="false" customHeight="false" outlineLevel="0" collapsed="false">
      <c r="A1372" s="7" t="s">
        <v>1463</v>
      </c>
      <c r="B1372" s="7" t="s">
        <v>40</v>
      </c>
      <c r="C1372" s="14" t="s">
        <v>29</v>
      </c>
      <c r="D1372" s="8" t="s">
        <v>33</v>
      </c>
    </row>
    <row r="1373" customFormat="false" ht="15" hidden="false" customHeight="false" outlineLevel="0" collapsed="false">
      <c r="A1373" s="7" t="s">
        <v>1464</v>
      </c>
      <c r="B1373" s="7" t="s">
        <v>43</v>
      </c>
      <c r="C1373" s="14" t="s">
        <v>29</v>
      </c>
      <c r="D1373" s="8" t="s">
        <v>38</v>
      </c>
    </row>
    <row r="1374" customFormat="false" ht="15" hidden="false" customHeight="false" outlineLevel="0" collapsed="false">
      <c r="A1374" s="7" t="s">
        <v>1465</v>
      </c>
      <c r="B1374" s="7" t="s">
        <v>37</v>
      </c>
      <c r="C1374" s="14" t="s">
        <v>29</v>
      </c>
      <c r="D1374" s="8" t="s">
        <v>38</v>
      </c>
    </row>
    <row r="1375" customFormat="false" ht="15" hidden="false" customHeight="false" outlineLevel="0" collapsed="false">
      <c r="A1375" s="7" t="s">
        <v>1466</v>
      </c>
      <c r="B1375" s="7" t="s">
        <v>40</v>
      </c>
      <c r="C1375" s="14" t="s">
        <v>29</v>
      </c>
      <c r="D1375" s="8" t="s">
        <v>33</v>
      </c>
    </row>
    <row r="1376" customFormat="false" ht="15" hidden="false" customHeight="false" outlineLevel="0" collapsed="false">
      <c r="A1376" s="7" t="s">
        <v>1466</v>
      </c>
      <c r="B1376" s="7" t="s">
        <v>55</v>
      </c>
      <c r="C1376" s="14" t="s">
        <v>29</v>
      </c>
      <c r="D1376" s="8" t="s">
        <v>46</v>
      </c>
    </row>
    <row r="1377" customFormat="false" ht="15" hidden="false" customHeight="false" outlineLevel="0" collapsed="false">
      <c r="A1377" s="7" t="s">
        <v>1467</v>
      </c>
      <c r="B1377" s="7" t="s">
        <v>71</v>
      </c>
      <c r="C1377" s="10" t="s">
        <v>67</v>
      </c>
      <c r="D1377" s="8" t="s">
        <v>33</v>
      </c>
    </row>
    <row r="1378" customFormat="false" ht="15" hidden="false" customHeight="false" outlineLevel="0" collapsed="false">
      <c r="A1378" s="7" t="s">
        <v>1468</v>
      </c>
      <c r="B1378" s="7" t="s">
        <v>40</v>
      </c>
      <c r="C1378" s="14" t="s">
        <v>29</v>
      </c>
      <c r="D1378" s="8" t="s">
        <v>33</v>
      </c>
    </row>
    <row r="1379" customFormat="false" ht="15" hidden="false" customHeight="false" outlineLevel="0" collapsed="false">
      <c r="A1379" s="7" t="s">
        <v>1468</v>
      </c>
      <c r="B1379" s="7" t="s">
        <v>62</v>
      </c>
      <c r="C1379" s="14" t="s">
        <v>29</v>
      </c>
      <c r="D1379" s="8" t="s">
        <v>46</v>
      </c>
    </row>
    <row r="1380" customFormat="false" ht="15" hidden="false" customHeight="false" outlineLevel="0" collapsed="false">
      <c r="A1380" s="7" t="s">
        <v>1469</v>
      </c>
      <c r="B1380" s="7" t="s">
        <v>37</v>
      </c>
      <c r="C1380" s="14" t="s">
        <v>29</v>
      </c>
      <c r="D1380" s="8" t="s">
        <v>38</v>
      </c>
    </row>
    <row r="1381" customFormat="false" ht="15" hidden="false" customHeight="false" outlineLevel="0" collapsed="false">
      <c r="A1381" s="7" t="s">
        <v>1469</v>
      </c>
      <c r="B1381" s="7" t="s">
        <v>71</v>
      </c>
      <c r="C1381" s="10" t="s">
        <v>67</v>
      </c>
      <c r="D1381" s="8" t="s">
        <v>33</v>
      </c>
    </row>
    <row r="1382" customFormat="false" ht="15" hidden="false" customHeight="false" outlineLevel="0" collapsed="false">
      <c r="A1382" s="7" t="s">
        <v>1470</v>
      </c>
      <c r="B1382" s="7" t="s">
        <v>91</v>
      </c>
      <c r="C1382" s="10" t="s">
        <v>67</v>
      </c>
      <c r="D1382" s="8" t="s">
        <v>87</v>
      </c>
    </row>
    <row r="1383" customFormat="false" ht="15" hidden="false" customHeight="false" outlineLevel="0" collapsed="false">
      <c r="A1383" s="7" t="s">
        <v>1471</v>
      </c>
      <c r="B1383" s="7" t="s">
        <v>37</v>
      </c>
      <c r="C1383" s="14" t="s">
        <v>29</v>
      </c>
      <c r="D1383" s="8" t="s">
        <v>38</v>
      </c>
    </row>
    <row r="1384" customFormat="false" ht="15" hidden="false" customHeight="false" outlineLevel="0" collapsed="false">
      <c r="A1384" s="7" t="s">
        <v>1472</v>
      </c>
      <c r="B1384" s="7" t="s">
        <v>71</v>
      </c>
      <c r="C1384" s="10" t="s">
        <v>67</v>
      </c>
      <c r="D1384" s="8" t="s">
        <v>33</v>
      </c>
    </row>
    <row r="1385" customFormat="false" ht="15" hidden="false" customHeight="false" outlineLevel="0" collapsed="false">
      <c r="A1385" s="7" t="s">
        <v>1472</v>
      </c>
      <c r="B1385" s="7" t="s">
        <v>43</v>
      </c>
      <c r="C1385" s="14" t="s">
        <v>29</v>
      </c>
      <c r="D1385" s="8" t="s">
        <v>38</v>
      </c>
    </row>
    <row r="1386" customFormat="false" ht="15" hidden="false" customHeight="false" outlineLevel="0" collapsed="false">
      <c r="A1386" s="7" t="s">
        <v>1473</v>
      </c>
      <c r="B1386" s="7" t="s">
        <v>55</v>
      </c>
      <c r="C1386" s="14" t="s">
        <v>29</v>
      </c>
      <c r="D1386" s="8" t="s">
        <v>46</v>
      </c>
    </row>
    <row r="1387" customFormat="false" ht="15" hidden="false" customHeight="false" outlineLevel="0" collapsed="false">
      <c r="A1387" s="7" t="s">
        <v>1474</v>
      </c>
      <c r="B1387" s="7" t="s">
        <v>32</v>
      </c>
      <c r="C1387" s="14" t="s">
        <v>29</v>
      </c>
      <c r="D1387" s="8" t="s">
        <v>33</v>
      </c>
    </row>
    <row r="1388" customFormat="false" ht="15" hidden="false" customHeight="false" outlineLevel="0" collapsed="false">
      <c r="A1388" s="7" t="s">
        <v>1474</v>
      </c>
      <c r="B1388" s="7" t="s">
        <v>37</v>
      </c>
      <c r="C1388" s="14" t="s">
        <v>29</v>
      </c>
      <c r="D1388" s="8" t="s">
        <v>38</v>
      </c>
    </row>
    <row r="1389" customFormat="false" ht="15" hidden="false" customHeight="false" outlineLevel="0" collapsed="false">
      <c r="A1389" s="7" t="s">
        <v>1475</v>
      </c>
      <c r="B1389" s="7" t="s">
        <v>40</v>
      </c>
      <c r="C1389" s="14" t="s">
        <v>29</v>
      </c>
      <c r="D1389" s="8" t="s">
        <v>33</v>
      </c>
    </row>
    <row r="1390" customFormat="false" ht="15" hidden="false" customHeight="false" outlineLevel="0" collapsed="false">
      <c r="A1390" s="7" t="s">
        <v>1476</v>
      </c>
      <c r="B1390" s="7" t="s">
        <v>32</v>
      </c>
      <c r="C1390" s="14" t="s">
        <v>29</v>
      </c>
      <c r="D1390" s="8" t="s">
        <v>33</v>
      </c>
    </row>
    <row r="1391" customFormat="false" ht="15" hidden="false" customHeight="false" outlineLevel="0" collapsed="false">
      <c r="A1391" s="7" t="s">
        <v>1476</v>
      </c>
      <c r="B1391" s="7" t="s">
        <v>37</v>
      </c>
      <c r="C1391" s="14" t="s">
        <v>29</v>
      </c>
      <c r="D1391" s="8" t="s">
        <v>38</v>
      </c>
    </row>
    <row r="1392" customFormat="false" ht="15" hidden="false" customHeight="false" outlineLevel="0" collapsed="false">
      <c r="A1392" s="7" t="s">
        <v>1477</v>
      </c>
      <c r="B1392" s="7" t="s">
        <v>71</v>
      </c>
      <c r="C1392" s="10" t="s">
        <v>67</v>
      </c>
      <c r="D1392" s="8" t="s">
        <v>33</v>
      </c>
    </row>
    <row r="1393" customFormat="false" ht="15" hidden="false" customHeight="false" outlineLevel="0" collapsed="false">
      <c r="A1393" s="7" t="s">
        <v>1478</v>
      </c>
      <c r="B1393" s="7" t="s">
        <v>71</v>
      </c>
      <c r="C1393" s="10" t="s">
        <v>67</v>
      </c>
      <c r="D1393" s="8" t="s">
        <v>33</v>
      </c>
    </row>
    <row r="1394" customFormat="false" ht="15" hidden="false" customHeight="false" outlineLevel="0" collapsed="false">
      <c r="A1394" s="7" t="s">
        <v>1479</v>
      </c>
      <c r="B1394" s="7" t="s">
        <v>47</v>
      </c>
      <c r="C1394" s="14" t="s">
        <v>29</v>
      </c>
      <c r="D1394" s="8" t="s">
        <v>46</v>
      </c>
    </row>
    <row r="1395" customFormat="false" ht="15" hidden="false" customHeight="false" outlineLevel="0" collapsed="false">
      <c r="A1395" s="7" t="s">
        <v>1479</v>
      </c>
      <c r="B1395" s="7" t="s">
        <v>49</v>
      </c>
      <c r="C1395" s="14" t="s">
        <v>29</v>
      </c>
      <c r="D1395" s="8" t="s">
        <v>33</v>
      </c>
    </row>
    <row r="1396" customFormat="false" ht="15" hidden="false" customHeight="false" outlineLevel="0" collapsed="false">
      <c r="A1396" s="7" t="s">
        <v>1480</v>
      </c>
      <c r="B1396" s="7" t="s">
        <v>37</v>
      </c>
      <c r="C1396" s="14" t="s">
        <v>29</v>
      </c>
      <c r="D1396" s="8" t="s">
        <v>38</v>
      </c>
    </row>
    <row r="1397" customFormat="false" ht="15" hidden="false" customHeight="false" outlineLevel="0" collapsed="false">
      <c r="A1397" s="7" t="s">
        <v>1481</v>
      </c>
      <c r="B1397" s="7" t="s">
        <v>55</v>
      </c>
      <c r="C1397" s="14" t="s">
        <v>29</v>
      </c>
      <c r="D1397" s="8" t="s">
        <v>46</v>
      </c>
    </row>
    <row r="1398" customFormat="false" ht="15" hidden="false" customHeight="false" outlineLevel="0" collapsed="false">
      <c r="A1398" s="7" t="s">
        <v>1482</v>
      </c>
      <c r="B1398" s="7" t="s">
        <v>37</v>
      </c>
      <c r="C1398" s="14" t="s">
        <v>29</v>
      </c>
      <c r="D1398" s="8" t="s">
        <v>38</v>
      </c>
    </row>
    <row r="1399" customFormat="false" ht="15" hidden="false" customHeight="false" outlineLevel="0" collapsed="false">
      <c r="A1399" s="7" t="s">
        <v>1483</v>
      </c>
      <c r="B1399" s="7" t="s">
        <v>64</v>
      </c>
      <c r="C1399" s="14" t="s">
        <v>29</v>
      </c>
      <c r="D1399" s="8" t="s">
        <v>38</v>
      </c>
    </row>
    <row r="1400" customFormat="false" ht="15" hidden="false" customHeight="false" outlineLevel="0" collapsed="false">
      <c r="A1400" s="7" t="s">
        <v>1484</v>
      </c>
      <c r="B1400" s="7" t="s">
        <v>47</v>
      </c>
      <c r="C1400" s="14" t="s">
        <v>29</v>
      </c>
      <c r="D1400" s="8" t="s">
        <v>46</v>
      </c>
    </row>
    <row r="1401" customFormat="false" ht="15" hidden="false" customHeight="false" outlineLevel="0" collapsed="false">
      <c r="A1401" s="7" t="s">
        <v>1485</v>
      </c>
      <c r="B1401" s="7" t="s">
        <v>47</v>
      </c>
      <c r="C1401" s="14" t="s">
        <v>29</v>
      </c>
      <c r="D1401" s="8" t="s">
        <v>46</v>
      </c>
    </row>
    <row r="1402" customFormat="false" ht="15" hidden="false" customHeight="false" outlineLevel="0" collapsed="false">
      <c r="A1402" s="7" t="s">
        <v>1486</v>
      </c>
      <c r="B1402" s="7" t="s">
        <v>47</v>
      </c>
      <c r="C1402" s="14" t="s">
        <v>29</v>
      </c>
      <c r="D1402" s="8" t="s">
        <v>46</v>
      </c>
    </row>
    <row r="1403" customFormat="false" ht="15" hidden="false" customHeight="false" outlineLevel="0" collapsed="false">
      <c r="A1403" s="7" t="s">
        <v>1487</v>
      </c>
      <c r="B1403" s="7" t="s">
        <v>47</v>
      </c>
      <c r="C1403" s="14" t="s">
        <v>29</v>
      </c>
      <c r="D1403" s="8" t="s">
        <v>46</v>
      </c>
    </row>
    <row r="1404" customFormat="false" ht="15" hidden="false" customHeight="false" outlineLevel="0" collapsed="false">
      <c r="A1404" s="7" t="s">
        <v>1488</v>
      </c>
      <c r="B1404" s="7" t="s">
        <v>47</v>
      </c>
      <c r="C1404" s="14" t="s">
        <v>29</v>
      </c>
      <c r="D1404" s="8" t="s">
        <v>46</v>
      </c>
    </row>
    <row r="1405" customFormat="false" ht="15" hidden="false" customHeight="false" outlineLevel="0" collapsed="false">
      <c r="A1405" s="7" t="s">
        <v>1489</v>
      </c>
      <c r="B1405" s="7" t="s">
        <v>37</v>
      </c>
      <c r="C1405" s="14" t="s">
        <v>29</v>
      </c>
      <c r="D1405" s="8" t="s">
        <v>38</v>
      </c>
    </row>
    <row r="1406" customFormat="false" ht="15" hidden="false" customHeight="false" outlineLevel="0" collapsed="false">
      <c r="A1406" s="7" t="s">
        <v>1490</v>
      </c>
      <c r="B1406" s="7" t="s">
        <v>47</v>
      </c>
      <c r="C1406" s="14" t="s">
        <v>29</v>
      </c>
      <c r="D1406" s="8" t="s">
        <v>46</v>
      </c>
    </row>
    <row r="1407" customFormat="false" ht="15" hidden="false" customHeight="false" outlineLevel="0" collapsed="false">
      <c r="A1407" s="7" t="s">
        <v>1491</v>
      </c>
      <c r="B1407" s="7" t="s">
        <v>47</v>
      </c>
      <c r="C1407" s="14" t="s">
        <v>29</v>
      </c>
      <c r="D1407" s="8" t="s">
        <v>46</v>
      </c>
    </row>
    <row r="1408" customFormat="false" ht="15" hidden="false" customHeight="false" outlineLevel="0" collapsed="false">
      <c r="A1408" s="7" t="s">
        <v>1492</v>
      </c>
      <c r="B1408" s="7" t="s">
        <v>84</v>
      </c>
      <c r="C1408" s="14" t="s">
        <v>29</v>
      </c>
      <c r="D1408" s="8" t="s">
        <v>38</v>
      </c>
    </row>
    <row r="1409" customFormat="false" ht="15" hidden="false" customHeight="false" outlineLevel="0" collapsed="false">
      <c r="A1409" s="7" t="s">
        <v>1492</v>
      </c>
      <c r="B1409" s="7" t="s">
        <v>40</v>
      </c>
      <c r="C1409" s="14" t="s">
        <v>29</v>
      </c>
      <c r="D1409" s="8" t="s">
        <v>33</v>
      </c>
    </row>
    <row r="1410" customFormat="false" ht="15" hidden="false" customHeight="false" outlineLevel="0" collapsed="false">
      <c r="A1410" s="7" t="s">
        <v>1493</v>
      </c>
      <c r="B1410" s="7" t="s">
        <v>64</v>
      </c>
      <c r="C1410" s="14" t="s">
        <v>29</v>
      </c>
      <c r="D1410" s="8" t="s">
        <v>38</v>
      </c>
    </row>
    <row r="1411" customFormat="false" ht="15" hidden="false" customHeight="false" outlineLevel="0" collapsed="false">
      <c r="A1411" s="7" t="s">
        <v>1493</v>
      </c>
      <c r="B1411" s="7" t="s">
        <v>55</v>
      </c>
      <c r="C1411" s="14" t="s">
        <v>29</v>
      </c>
      <c r="D1411" s="8" t="s">
        <v>46</v>
      </c>
    </row>
    <row r="1412" customFormat="false" ht="15" hidden="false" customHeight="false" outlineLevel="0" collapsed="false">
      <c r="A1412" s="7" t="s">
        <v>1494</v>
      </c>
      <c r="B1412" s="7" t="s">
        <v>40</v>
      </c>
      <c r="C1412" s="14" t="s">
        <v>29</v>
      </c>
      <c r="D1412" s="8" t="s">
        <v>33</v>
      </c>
    </row>
    <row r="1413" customFormat="false" ht="15" hidden="false" customHeight="false" outlineLevel="0" collapsed="false">
      <c r="A1413" s="7" t="s">
        <v>1495</v>
      </c>
      <c r="B1413" s="7" t="s">
        <v>47</v>
      </c>
      <c r="C1413" s="14" t="s">
        <v>29</v>
      </c>
      <c r="D1413" s="8" t="s">
        <v>46</v>
      </c>
    </row>
    <row r="1414" customFormat="false" ht="15" hidden="false" customHeight="false" outlineLevel="0" collapsed="false">
      <c r="A1414" s="7" t="s">
        <v>1496</v>
      </c>
      <c r="B1414" s="7" t="s">
        <v>47</v>
      </c>
      <c r="C1414" s="14" t="s">
        <v>29</v>
      </c>
      <c r="D1414" s="8" t="s">
        <v>46</v>
      </c>
    </row>
    <row r="1415" customFormat="false" ht="15" hidden="false" customHeight="false" outlineLevel="0" collapsed="false">
      <c r="A1415" s="7" t="s">
        <v>1497</v>
      </c>
      <c r="B1415" s="7" t="s">
        <v>47</v>
      </c>
      <c r="C1415" s="14" t="s">
        <v>29</v>
      </c>
      <c r="D1415" s="8" t="s">
        <v>46</v>
      </c>
    </row>
    <row r="1416" customFormat="false" ht="15" hidden="false" customHeight="false" outlineLevel="0" collapsed="false">
      <c r="A1416" s="7" t="s">
        <v>1498</v>
      </c>
      <c r="B1416" s="7" t="s">
        <v>47</v>
      </c>
      <c r="C1416" s="14" t="s">
        <v>29</v>
      </c>
      <c r="D1416" s="8" t="s">
        <v>46</v>
      </c>
    </row>
    <row r="1417" customFormat="false" ht="15" hidden="false" customHeight="false" outlineLevel="0" collapsed="false">
      <c r="A1417" s="7" t="s">
        <v>1499</v>
      </c>
      <c r="B1417" s="7" t="s">
        <v>47</v>
      </c>
      <c r="C1417" s="14" t="s">
        <v>29</v>
      </c>
      <c r="D1417" s="8" t="s">
        <v>46</v>
      </c>
    </row>
    <row r="1418" customFormat="false" ht="15" hidden="false" customHeight="false" outlineLevel="0" collapsed="false">
      <c r="A1418" s="7" t="s">
        <v>1500</v>
      </c>
      <c r="B1418" s="7" t="s">
        <v>47</v>
      </c>
      <c r="C1418" s="14" t="s">
        <v>29</v>
      </c>
      <c r="D1418" s="8" t="s">
        <v>46</v>
      </c>
    </row>
    <row r="1419" customFormat="false" ht="15" hidden="false" customHeight="false" outlineLevel="0" collapsed="false">
      <c r="A1419" s="7" t="s">
        <v>1501</v>
      </c>
      <c r="B1419" s="7" t="s">
        <v>47</v>
      </c>
      <c r="C1419" s="14" t="s">
        <v>29</v>
      </c>
      <c r="D1419" s="8" t="s">
        <v>46</v>
      </c>
    </row>
    <row r="1420" customFormat="false" ht="15" hidden="false" customHeight="false" outlineLevel="0" collapsed="false">
      <c r="A1420" s="7" t="s">
        <v>1502</v>
      </c>
      <c r="B1420" s="7" t="s">
        <v>47</v>
      </c>
      <c r="C1420" s="14" t="s">
        <v>29</v>
      </c>
      <c r="D1420" s="8" t="s">
        <v>46</v>
      </c>
    </row>
    <row r="1421" customFormat="false" ht="15" hidden="false" customHeight="false" outlineLevel="0" collapsed="false">
      <c r="A1421" s="7" t="s">
        <v>1503</v>
      </c>
      <c r="B1421" s="7" t="s">
        <v>40</v>
      </c>
      <c r="C1421" s="14" t="s">
        <v>29</v>
      </c>
      <c r="D1421" s="8" t="s">
        <v>33</v>
      </c>
    </row>
    <row r="1422" customFormat="false" ht="15" hidden="false" customHeight="false" outlineLevel="0" collapsed="false">
      <c r="A1422" s="7" t="s">
        <v>1503</v>
      </c>
      <c r="B1422" s="7" t="s">
        <v>62</v>
      </c>
      <c r="C1422" s="14" t="s">
        <v>29</v>
      </c>
      <c r="D1422" s="8" t="s">
        <v>46</v>
      </c>
    </row>
    <row r="1423" customFormat="false" ht="15" hidden="false" customHeight="false" outlineLevel="0" collapsed="false">
      <c r="A1423" s="7" t="s">
        <v>1503</v>
      </c>
      <c r="B1423" s="7" t="s">
        <v>69</v>
      </c>
      <c r="C1423" s="14" t="s">
        <v>29</v>
      </c>
      <c r="D1423" s="8" t="s">
        <v>33</v>
      </c>
    </row>
    <row r="1424" customFormat="false" ht="15" hidden="false" customHeight="false" outlineLevel="0" collapsed="false">
      <c r="A1424" s="7" t="s">
        <v>1504</v>
      </c>
      <c r="B1424" s="7" t="s">
        <v>40</v>
      </c>
      <c r="C1424" s="14" t="s">
        <v>29</v>
      </c>
      <c r="D1424" s="8" t="s">
        <v>33</v>
      </c>
    </row>
    <row r="1425" customFormat="false" ht="15" hidden="false" customHeight="false" outlineLevel="0" collapsed="false">
      <c r="A1425" s="7" t="s">
        <v>1505</v>
      </c>
      <c r="B1425" s="7" t="s">
        <v>43</v>
      </c>
      <c r="C1425" s="14" t="s">
        <v>29</v>
      </c>
      <c r="D1425" s="8" t="s">
        <v>38</v>
      </c>
    </row>
    <row r="1426" customFormat="false" ht="15" hidden="false" customHeight="false" outlineLevel="0" collapsed="false">
      <c r="A1426" s="7" t="s">
        <v>1506</v>
      </c>
      <c r="B1426" s="7" t="s">
        <v>89</v>
      </c>
      <c r="C1426" s="14" t="s">
        <v>29</v>
      </c>
      <c r="D1426" s="8" t="s">
        <v>87</v>
      </c>
    </row>
    <row r="1427" customFormat="false" ht="15" hidden="false" customHeight="false" outlineLevel="0" collapsed="false">
      <c r="A1427" s="7" t="s">
        <v>1507</v>
      </c>
      <c r="B1427" s="7" t="s">
        <v>100</v>
      </c>
      <c r="C1427" s="10" t="s">
        <v>67</v>
      </c>
      <c r="D1427" s="8" t="s">
        <v>38</v>
      </c>
    </row>
    <row r="1428" customFormat="false" ht="15" hidden="false" customHeight="false" outlineLevel="0" collapsed="false">
      <c r="A1428" s="7" t="s">
        <v>1508</v>
      </c>
      <c r="B1428" s="7" t="s">
        <v>51</v>
      </c>
      <c r="C1428" s="14" t="s">
        <v>29</v>
      </c>
      <c r="D1428" s="8" t="s">
        <v>33</v>
      </c>
    </row>
    <row r="1429" customFormat="false" ht="15" hidden="false" customHeight="false" outlineLevel="0" collapsed="false">
      <c r="A1429" s="7" t="s">
        <v>1508</v>
      </c>
      <c r="B1429" s="7" t="s">
        <v>100</v>
      </c>
      <c r="C1429" s="10" t="s">
        <v>67</v>
      </c>
      <c r="D1429" s="8" t="s">
        <v>38</v>
      </c>
    </row>
    <row r="1430" customFormat="false" ht="15" hidden="false" customHeight="false" outlineLevel="0" collapsed="false">
      <c r="A1430" s="7" t="s">
        <v>1509</v>
      </c>
      <c r="B1430" s="7" t="s">
        <v>58</v>
      </c>
      <c r="C1430" s="14" t="s">
        <v>29</v>
      </c>
      <c r="D1430" s="8" t="s">
        <v>46</v>
      </c>
    </row>
    <row r="1431" customFormat="false" ht="15" hidden="false" customHeight="false" outlineLevel="0" collapsed="false">
      <c r="A1431" s="7" t="s">
        <v>1510</v>
      </c>
      <c r="B1431" s="7" t="s">
        <v>58</v>
      </c>
      <c r="C1431" s="10" t="s">
        <v>67</v>
      </c>
      <c r="D1431" s="8" t="s">
        <v>46</v>
      </c>
    </row>
    <row r="1432" customFormat="false" ht="15" hidden="false" customHeight="false" outlineLevel="0" collapsed="false">
      <c r="A1432" s="7" t="s">
        <v>1510</v>
      </c>
      <c r="B1432" s="7" t="s">
        <v>79</v>
      </c>
      <c r="C1432" s="10" t="s">
        <v>67</v>
      </c>
      <c r="D1432" s="8" t="s">
        <v>33</v>
      </c>
    </row>
    <row r="1433" customFormat="false" ht="15" hidden="false" customHeight="false" outlineLevel="0" collapsed="false">
      <c r="A1433" s="7" t="s">
        <v>1511</v>
      </c>
      <c r="B1433" s="7" t="s">
        <v>58</v>
      </c>
      <c r="C1433" s="14" t="s">
        <v>29</v>
      </c>
      <c r="D1433" s="8" t="s">
        <v>46</v>
      </c>
    </row>
    <row r="1434" customFormat="false" ht="15" hidden="false" customHeight="false" outlineLevel="0" collapsed="false">
      <c r="A1434" s="7" t="s">
        <v>1512</v>
      </c>
      <c r="B1434" s="7" t="s">
        <v>100</v>
      </c>
      <c r="C1434" s="10" t="s">
        <v>67</v>
      </c>
      <c r="D1434" s="8" t="s">
        <v>38</v>
      </c>
    </row>
    <row r="1435" customFormat="false" ht="15" hidden="false" customHeight="false" outlineLevel="0" collapsed="false">
      <c r="A1435" s="7" t="s">
        <v>1513</v>
      </c>
      <c r="B1435" s="7" t="s">
        <v>100</v>
      </c>
      <c r="C1435" s="10" t="s">
        <v>67</v>
      </c>
      <c r="D1435" s="8" t="s">
        <v>38</v>
      </c>
    </row>
    <row r="1436" customFormat="false" ht="15" hidden="false" customHeight="false" outlineLevel="0" collapsed="false">
      <c r="A1436" s="7" t="s">
        <v>1514</v>
      </c>
      <c r="B1436" s="7" t="s">
        <v>71</v>
      </c>
      <c r="C1436" s="10" t="s">
        <v>67</v>
      </c>
      <c r="D1436" s="8" t="s">
        <v>33</v>
      </c>
    </row>
    <row r="1437" customFormat="false" ht="15" hidden="false" customHeight="false" outlineLevel="0" collapsed="false">
      <c r="A1437" s="7" t="s">
        <v>1515</v>
      </c>
      <c r="B1437" s="7" t="s">
        <v>55</v>
      </c>
      <c r="C1437" s="10" t="s">
        <v>67</v>
      </c>
      <c r="D1437" s="8" t="s">
        <v>46</v>
      </c>
    </row>
    <row r="1438" customFormat="false" ht="15" hidden="false" customHeight="false" outlineLevel="0" collapsed="false">
      <c r="A1438" s="7" t="s">
        <v>1516</v>
      </c>
      <c r="B1438" s="7" t="s">
        <v>100</v>
      </c>
      <c r="C1438" s="10" t="s">
        <v>67</v>
      </c>
      <c r="D1438" s="8" t="s">
        <v>38</v>
      </c>
    </row>
    <row r="1439" customFormat="false" ht="15" hidden="false" customHeight="false" outlineLevel="0" collapsed="false">
      <c r="A1439" s="7" t="s">
        <v>1517</v>
      </c>
      <c r="B1439" s="7" t="s">
        <v>100</v>
      </c>
      <c r="C1439" s="10" t="s">
        <v>67</v>
      </c>
      <c r="D1439" s="8" t="s">
        <v>38</v>
      </c>
    </row>
    <row r="1440" customFormat="false" ht="15" hidden="false" customHeight="false" outlineLevel="0" collapsed="false">
      <c r="A1440" s="7" t="s">
        <v>1518</v>
      </c>
      <c r="B1440" s="7" t="s">
        <v>66</v>
      </c>
      <c r="C1440" s="10" t="s">
        <v>67</v>
      </c>
      <c r="D1440" s="8" t="s">
        <v>33</v>
      </c>
    </row>
    <row r="1441" customFormat="false" ht="15" hidden="false" customHeight="false" outlineLevel="0" collapsed="false">
      <c r="A1441" s="7" t="s">
        <v>1519</v>
      </c>
      <c r="B1441" s="7" t="s">
        <v>58</v>
      </c>
      <c r="C1441" s="10" t="s">
        <v>67</v>
      </c>
      <c r="D1441" s="8" t="s">
        <v>46</v>
      </c>
    </row>
    <row r="1442" customFormat="false" ht="15" hidden="false" customHeight="false" outlineLevel="0" collapsed="false">
      <c r="A1442" s="7" t="s">
        <v>1519</v>
      </c>
      <c r="B1442" s="7" t="s">
        <v>79</v>
      </c>
      <c r="C1442" s="10" t="s">
        <v>67</v>
      </c>
      <c r="D1442" s="8" t="s">
        <v>33</v>
      </c>
    </row>
    <row r="1443" customFormat="false" ht="15" hidden="false" customHeight="false" outlineLevel="0" collapsed="false">
      <c r="A1443" s="7" t="s">
        <v>1520</v>
      </c>
      <c r="B1443" s="7" t="s">
        <v>80</v>
      </c>
      <c r="C1443" s="10" t="s">
        <v>67</v>
      </c>
      <c r="D1443" s="8" t="s">
        <v>38</v>
      </c>
    </row>
    <row r="1444" customFormat="false" ht="15" hidden="false" customHeight="false" outlineLevel="0" collapsed="false">
      <c r="A1444" s="7" t="s">
        <v>1521</v>
      </c>
      <c r="B1444" s="7" t="s">
        <v>79</v>
      </c>
      <c r="C1444" s="10" t="s">
        <v>67</v>
      </c>
      <c r="D1444" s="8" t="s">
        <v>33</v>
      </c>
    </row>
    <row r="1445" customFormat="false" ht="15" hidden="false" customHeight="false" outlineLevel="0" collapsed="false">
      <c r="A1445" s="7" t="s">
        <v>1522</v>
      </c>
      <c r="B1445" s="7" t="s">
        <v>100</v>
      </c>
      <c r="C1445" s="10" t="s">
        <v>67</v>
      </c>
      <c r="D1445" s="8" t="s">
        <v>38</v>
      </c>
    </row>
    <row r="1446" customFormat="false" ht="15" hidden="false" customHeight="false" outlineLevel="0" collapsed="false">
      <c r="A1446" s="7" t="s">
        <v>1522</v>
      </c>
      <c r="B1446" s="7" t="s">
        <v>82</v>
      </c>
      <c r="C1446" s="14" t="s">
        <v>29</v>
      </c>
      <c r="D1446" s="8" t="s">
        <v>46</v>
      </c>
    </row>
    <row r="1447" customFormat="false" ht="15" hidden="false" customHeight="false" outlineLevel="0" collapsed="false">
      <c r="A1447" s="7" t="s">
        <v>1523</v>
      </c>
      <c r="B1447" s="7" t="s">
        <v>97</v>
      </c>
      <c r="C1447" s="14" t="s">
        <v>29</v>
      </c>
      <c r="D1447" s="8" t="s">
        <v>87</v>
      </c>
    </row>
    <row r="1448" customFormat="false" ht="15" hidden="false" customHeight="false" outlineLevel="0" collapsed="false">
      <c r="A1448" s="7" t="s">
        <v>1524</v>
      </c>
      <c r="B1448" s="7" t="s">
        <v>32</v>
      </c>
      <c r="C1448" s="14" t="s">
        <v>29</v>
      </c>
      <c r="D1448" s="8" t="s">
        <v>33</v>
      </c>
    </row>
    <row r="1449" customFormat="false" ht="15" hidden="false" customHeight="false" outlineLevel="0" collapsed="false">
      <c r="A1449" s="7" t="s">
        <v>1524</v>
      </c>
      <c r="B1449" s="7" t="s">
        <v>37</v>
      </c>
      <c r="C1449" s="14" t="s">
        <v>29</v>
      </c>
      <c r="D1449" s="8" t="s">
        <v>38</v>
      </c>
    </row>
    <row r="1450" customFormat="false" ht="15" hidden="false" customHeight="false" outlineLevel="0" collapsed="false">
      <c r="A1450" s="7" t="s">
        <v>1525</v>
      </c>
      <c r="B1450" s="7" t="s">
        <v>69</v>
      </c>
      <c r="C1450" s="14" t="s">
        <v>29</v>
      </c>
      <c r="D1450" s="8" t="s">
        <v>33</v>
      </c>
    </row>
    <row r="1451" customFormat="false" ht="15" hidden="false" customHeight="false" outlineLevel="0" collapsed="false">
      <c r="A1451" s="7" t="s">
        <v>1525</v>
      </c>
      <c r="B1451" s="7" t="s">
        <v>62</v>
      </c>
      <c r="C1451" s="14" t="s">
        <v>29</v>
      </c>
      <c r="D1451" s="8" t="s">
        <v>46</v>
      </c>
    </row>
    <row r="1452" customFormat="false" ht="15" hidden="false" customHeight="false" outlineLevel="0" collapsed="false">
      <c r="A1452" s="7" t="s">
        <v>1526</v>
      </c>
      <c r="B1452" s="7" t="s">
        <v>100</v>
      </c>
      <c r="C1452" s="10" t="s">
        <v>67</v>
      </c>
      <c r="D1452" s="8" t="s">
        <v>38</v>
      </c>
    </row>
    <row r="1453" customFormat="false" ht="15" hidden="false" customHeight="false" outlineLevel="0" collapsed="false">
      <c r="A1453" s="7" t="s">
        <v>1526</v>
      </c>
      <c r="B1453" s="7" t="s">
        <v>32</v>
      </c>
      <c r="C1453" s="14" t="s">
        <v>29</v>
      </c>
      <c r="D1453" s="8" t="s">
        <v>33</v>
      </c>
    </row>
    <row r="1454" customFormat="false" ht="15" hidden="false" customHeight="false" outlineLevel="0" collapsed="false">
      <c r="A1454" s="7" t="s">
        <v>1526</v>
      </c>
      <c r="B1454" s="7" t="s">
        <v>37</v>
      </c>
      <c r="C1454" s="14" t="s">
        <v>29</v>
      </c>
      <c r="D1454" s="8" t="s">
        <v>38</v>
      </c>
    </row>
    <row r="1455" customFormat="false" ht="15" hidden="false" customHeight="false" outlineLevel="0" collapsed="false">
      <c r="A1455" s="7" t="s">
        <v>1527</v>
      </c>
      <c r="B1455" s="7" t="s">
        <v>71</v>
      </c>
      <c r="C1455" s="10" t="s">
        <v>67</v>
      </c>
      <c r="D1455" s="8" t="s">
        <v>33</v>
      </c>
    </row>
    <row r="1456" customFormat="false" ht="15" hidden="false" customHeight="false" outlineLevel="0" collapsed="false">
      <c r="A1456" s="7" t="s">
        <v>1528</v>
      </c>
      <c r="B1456" s="7" t="s">
        <v>49</v>
      </c>
      <c r="C1456" s="14" t="s">
        <v>29</v>
      </c>
      <c r="D1456" s="8" t="s">
        <v>33</v>
      </c>
    </row>
    <row r="1457" customFormat="false" ht="15" hidden="false" customHeight="false" outlineLevel="0" collapsed="false">
      <c r="A1457" s="7" t="s">
        <v>1529</v>
      </c>
      <c r="B1457" s="7" t="s">
        <v>43</v>
      </c>
      <c r="C1457" s="14" t="s">
        <v>29</v>
      </c>
      <c r="D1457" s="8" t="s">
        <v>38</v>
      </c>
    </row>
    <row r="1458" customFormat="false" ht="15" hidden="false" customHeight="false" outlineLevel="0" collapsed="false">
      <c r="A1458" s="7" t="s">
        <v>1530</v>
      </c>
      <c r="B1458" s="7" t="s">
        <v>82</v>
      </c>
      <c r="C1458" s="10" t="s">
        <v>67</v>
      </c>
      <c r="D1458" s="8" t="s">
        <v>46</v>
      </c>
    </row>
    <row r="1459" customFormat="false" ht="15" hidden="false" customHeight="false" outlineLevel="0" collapsed="false">
      <c r="A1459" s="7" t="s">
        <v>1531</v>
      </c>
      <c r="B1459" s="7" t="s">
        <v>69</v>
      </c>
      <c r="C1459" s="14" t="s">
        <v>29</v>
      </c>
      <c r="D1459" s="8" t="s">
        <v>33</v>
      </c>
    </row>
    <row r="1460" customFormat="false" ht="15" hidden="false" customHeight="false" outlineLevel="0" collapsed="false">
      <c r="A1460" s="7" t="s">
        <v>1532</v>
      </c>
      <c r="B1460" s="7" t="s">
        <v>89</v>
      </c>
      <c r="C1460" s="10" t="s">
        <v>67</v>
      </c>
      <c r="D1460" s="8" t="s">
        <v>87</v>
      </c>
    </row>
    <row r="1461" customFormat="false" ht="15" hidden="false" customHeight="false" outlineLevel="0" collapsed="false">
      <c r="A1461" s="7" t="s">
        <v>1533</v>
      </c>
      <c r="B1461" s="7" t="s">
        <v>47</v>
      </c>
      <c r="C1461" s="14" t="s">
        <v>29</v>
      </c>
      <c r="D1461" s="8" t="s">
        <v>46</v>
      </c>
    </row>
    <row r="1462" customFormat="false" ht="15" hidden="false" customHeight="false" outlineLevel="0" collapsed="false">
      <c r="A1462" s="7" t="s">
        <v>1534</v>
      </c>
      <c r="B1462" s="7" t="s">
        <v>47</v>
      </c>
      <c r="C1462" s="14" t="s">
        <v>29</v>
      </c>
      <c r="D1462" s="8" t="s">
        <v>46</v>
      </c>
    </row>
    <row r="1463" customFormat="false" ht="15" hidden="false" customHeight="false" outlineLevel="0" collapsed="false">
      <c r="A1463" s="7" t="s">
        <v>1535</v>
      </c>
      <c r="B1463" s="7" t="s">
        <v>47</v>
      </c>
      <c r="C1463" s="14" t="s">
        <v>29</v>
      </c>
      <c r="D1463" s="8" t="s">
        <v>46</v>
      </c>
    </row>
    <row r="1464" customFormat="false" ht="15" hidden="false" customHeight="false" outlineLevel="0" collapsed="false">
      <c r="A1464" s="7" t="s">
        <v>1536</v>
      </c>
      <c r="B1464" s="7" t="s">
        <v>69</v>
      </c>
      <c r="C1464" s="14" t="s">
        <v>29</v>
      </c>
      <c r="D1464" s="8" t="s">
        <v>33</v>
      </c>
    </row>
    <row r="1465" customFormat="false" ht="15" hidden="false" customHeight="false" outlineLevel="0" collapsed="false">
      <c r="A1465" s="7" t="s">
        <v>1537</v>
      </c>
      <c r="B1465" s="7" t="s">
        <v>37</v>
      </c>
      <c r="C1465" s="14" t="s">
        <v>29</v>
      </c>
      <c r="D1465" s="8" t="s">
        <v>38</v>
      </c>
    </row>
    <row r="1466" customFormat="false" ht="15" hidden="false" customHeight="false" outlineLevel="0" collapsed="false">
      <c r="A1466" s="7" t="s">
        <v>1537</v>
      </c>
      <c r="B1466" s="7" t="s">
        <v>32</v>
      </c>
      <c r="C1466" s="14" t="s">
        <v>29</v>
      </c>
      <c r="D1466" s="8" t="s">
        <v>33</v>
      </c>
    </row>
    <row r="1467" customFormat="false" ht="15" hidden="false" customHeight="false" outlineLevel="0" collapsed="false">
      <c r="A1467" s="7" t="s">
        <v>1538</v>
      </c>
      <c r="B1467" s="7" t="s">
        <v>100</v>
      </c>
      <c r="C1467" s="10" t="s">
        <v>67</v>
      </c>
      <c r="D1467" s="8" t="s">
        <v>38</v>
      </c>
    </row>
    <row r="1468" customFormat="false" ht="15" hidden="false" customHeight="false" outlineLevel="0" collapsed="false">
      <c r="A1468" s="7" t="s">
        <v>1539</v>
      </c>
      <c r="B1468" s="7" t="s">
        <v>55</v>
      </c>
      <c r="C1468" s="14" t="s">
        <v>29</v>
      </c>
      <c r="D1468" s="8" t="s">
        <v>46</v>
      </c>
    </row>
    <row r="1469" customFormat="false" ht="15" hidden="false" customHeight="false" outlineLevel="0" collapsed="false">
      <c r="A1469" s="7" t="s">
        <v>1540</v>
      </c>
      <c r="B1469" s="7" t="s">
        <v>47</v>
      </c>
      <c r="C1469" s="14" t="s">
        <v>29</v>
      </c>
      <c r="D1469" s="8" t="s">
        <v>46</v>
      </c>
    </row>
    <row r="1470" customFormat="false" ht="15" hidden="false" customHeight="false" outlineLevel="0" collapsed="false">
      <c r="A1470" s="7" t="s">
        <v>1541</v>
      </c>
      <c r="B1470" s="7" t="s">
        <v>47</v>
      </c>
      <c r="C1470" s="14" t="s">
        <v>29</v>
      </c>
      <c r="D1470" s="8" t="s">
        <v>46</v>
      </c>
    </row>
    <row r="1471" customFormat="false" ht="15" hidden="false" customHeight="false" outlineLevel="0" collapsed="false">
      <c r="A1471" s="7" t="s">
        <v>1541</v>
      </c>
      <c r="B1471" s="7" t="s">
        <v>64</v>
      </c>
      <c r="C1471" s="14" t="s">
        <v>29</v>
      </c>
      <c r="D1471" s="8" t="s">
        <v>38</v>
      </c>
    </row>
    <row r="1472" customFormat="false" ht="15" hidden="false" customHeight="false" outlineLevel="0" collapsed="false">
      <c r="A1472" s="7" t="s">
        <v>1542</v>
      </c>
      <c r="B1472" s="7" t="s">
        <v>69</v>
      </c>
      <c r="C1472" s="14" t="s">
        <v>29</v>
      </c>
      <c r="D1472" s="8" t="s">
        <v>33</v>
      </c>
    </row>
    <row r="1473" customFormat="false" ht="15" hidden="false" customHeight="false" outlineLevel="0" collapsed="false">
      <c r="A1473" s="7" t="s">
        <v>1542</v>
      </c>
      <c r="B1473" s="7" t="s">
        <v>32</v>
      </c>
      <c r="C1473" s="14" t="s">
        <v>29</v>
      </c>
      <c r="D1473" s="8" t="s">
        <v>33</v>
      </c>
    </row>
    <row r="1474" customFormat="false" ht="15" hidden="false" customHeight="false" outlineLevel="0" collapsed="false">
      <c r="A1474" s="7" t="s">
        <v>1543</v>
      </c>
      <c r="B1474" s="7" t="s">
        <v>43</v>
      </c>
      <c r="C1474" s="14" t="s">
        <v>29</v>
      </c>
      <c r="D1474" s="8" t="s">
        <v>38</v>
      </c>
    </row>
    <row r="1475" customFormat="false" ht="15" hidden="false" customHeight="false" outlineLevel="0" collapsed="false">
      <c r="A1475" s="7" t="s">
        <v>1543</v>
      </c>
      <c r="B1475" s="7" t="s">
        <v>69</v>
      </c>
      <c r="C1475" s="14" t="s">
        <v>29</v>
      </c>
      <c r="D1475" s="8" t="s">
        <v>33</v>
      </c>
    </row>
    <row r="1476" customFormat="false" ht="15" hidden="false" customHeight="false" outlineLevel="0" collapsed="false">
      <c r="A1476" s="7" t="s">
        <v>1543</v>
      </c>
      <c r="B1476" s="7" t="s">
        <v>32</v>
      </c>
      <c r="C1476" s="14" t="s">
        <v>29</v>
      </c>
      <c r="D1476" s="8" t="s">
        <v>33</v>
      </c>
    </row>
    <row r="1477" customFormat="false" ht="15" hidden="false" customHeight="false" outlineLevel="0" collapsed="false">
      <c r="A1477" s="7" t="s">
        <v>1544</v>
      </c>
      <c r="B1477" s="7" t="s">
        <v>55</v>
      </c>
      <c r="C1477" s="14" t="s">
        <v>29</v>
      </c>
      <c r="D1477" s="8" t="s">
        <v>46</v>
      </c>
    </row>
    <row r="1478" customFormat="false" ht="15" hidden="false" customHeight="false" outlineLevel="0" collapsed="false">
      <c r="A1478" s="7" t="s">
        <v>1545</v>
      </c>
      <c r="B1478" s="7" t="s">
        <v>51</v>
      </c>
      <c r="C1478" s="14" t="s">
        <v>29</v>
      </c>
      <c r="D1478" s="8" t="s">
        <v>33</v>
      </c>
    </row>
    <row r="1479" customFormat="false" ht="15" hidden="false" customHeight="false" outlineLevel="0" collapsed="false">
      <c r="A1479" s="7" t="s">
        <v>1545</v>
      </c>
      <c r="B1479" s="7" t="s">
        <v>47</v>
      </c>
      <c r="C1479" s="14" t="s">
        <v>29</v>
      </c>
      <c r="D1479" s="8" t="s">
        <v>46</v>
      </c>
    </row>
    <row r="1480" customFormat="false" ht="15" hidden="false" customHeight="false" outlineLevel="0" collapsed="false">
      <c r="A1480" s="7" t="s">
        <v>1546</v>
      </c>
      <c r="B1480" s="7" t="s">
        <v>47</v>
      </c>
      <c r="C1480" s="14" t="s">
        <v>29</v>
      </c>
      <c r="D1480" s="8" t="s">
        <v>46</v>
      </c>
    </row>
    <row r="1481" customFormat="false" ht="15" hidden="false" customHeight="false" outlineLevel="0" collapsed="false">
      <c r="A1481" s="7" t="s">
        <v>1547</v>
      </c>
      <c r="B1481" s="7" t="s">
        <v>51</v>
      </c>
      <c r="C1481" s="14" t="s">
        <v>29</v>
      </c>
      <c r="D1481" s="8" t="s">
        <v>33</v>
      </c>
    </row>
    <row r="1482" customFormat="false" ht="15" hidden="false" customHeight="false" outlineLevel="0" collapsed="false">
      <c r="A1482" s="7" t="s">
        <v>1547</v>
      </c>
      <c r="B1482" s="7" t="s">
        <v>47</v>
      </c>
      <c r="C1482" s="14" t="s">
        <v>29</v>
      </c>
      <c r="D1482" s="8" t="s">
        <v>46</v>
      </c>
    </row>
    <row r="1483" customFormat="false" ht="15" hidden="false" customHeight="false" outlineLevel="0" collapsed="false">
      <c r="A1483" s="7" t="s">
        <v>1548</v>
      </c>
      <c r="B1483" s="7" t="s">
        <v>69</v>
      </c>
      <c r="C1483" s="14" t="s">
        <v>29</v>
      </c>
      <c r="D1483" s="8" t="s">
        <v>33</v>
      </c>
    </row>
    <row r="1484" customFormat="false" ht="15" hidden="false" customHeight="false" outlineLevel="0" collapsed="false">
      <c r="A1484" s="7" t="s">
        <v>1549</v>
      </c>
      <c r="B1484" s="7" t="s">
        <v>71</v>
      </c>
      <c r="C1484" s="10" t="s">
        <v>67</v>
      </c>
      <c r="D1484" s="8" t="s">
        <v>33</v>
      </c>
    </row>
    <row r="1485" customFormat="false" ht="15" hidden="false" customHeight="false" outlineLevel="0" collapsed="false">
      <c r="A1485" s="7" t="s">
        <v>1550</v>
      </c>
      <c r="B1485" s="7" t="s">
        <v>69</v>
      </c>
      <c r="C1485" s="14" t="s">
        <v>29</v>
      </c>
      <c r="D1485" s="8" t="s">
        <v>33</v>
      </c>
    </row>
    <row r="1486" customFormat="false" ht="15" hidden="false" customHeight="false" outlineLevel="0" collapsed="false">
      <c r="A1486" s="7" t="s">
        <v>1551</v>
      </c>
      <c r="B1486" s="7" t="s">
        <v>55</v>
      </c>
      <c r="C1486" s="14" t="s">
        <v>29</v>
      </c>
      <c r="D1486" s="8" t="s">
        <v>46</v>
      </c>
    </row>
    <row r="1487" customFormat="false" ht="15" hidden="false" customHeight="false" outlineLevel="0" collapsed="false">
      <c r="A1487" s="7" t="s">
        <v>1552</v>
      </c>
      <c r="B1487" s="7" t="s">
        <v>69</v>
      </c>
      <c r="C1487" s="14" t="s">
        <v>29</v>
      </c>
      <c r="D1487" s="8" t="s">
        <v>33</v>
      </c>
    </row>
    <row r="1488" customFormat="false" ht="15" hidden="false" customHeight="false" outlineLevel="0" collapsed="false">
      <c r="A1488" s="7" t="s">
        <v>1553</v>
      </c>
      <c r="B1488" s="7" t="s">
        <v>55</v>
      </c>
      <c r="C1488" s="14" t="s">
        <v>29</v>
      </c>
      <c r="D1488" s="8" t="s">
        <v>46</v>
      </c>
    </row>
    <row r="1489" customFormat="false" ht="15" hidden="false" customHeight="false" outlineLevel="0" collapsed="false">
      <c r="A1489" s="7" t="s">
        <v>1554</v>
      </c>
      <c r="B1489" s="7" t="s">
        <v>69</v>
      </c>
      <c r="C1489" s="14" t="s">
        <v>29</v>
      </c>
      <c r="D1489" s="8" t="s">
        <v>33</v>
      </c>
    </row>
    <row r="1490" customFormat="false" ht="15" hidden="false" customHeight="false" outlineLevel="0" collapsed="false">
      <c r="A1490" s="7" t="s">
        <v>1555</v>
      </c>
      <c r="B1490" s="7" t="s">
        <v>47</v>
      </c>
      <c r="C1490" s="14" t="s">
        <v>29</v>
      </c>
      <c r="D1490" s="8" t="s">
        <v>46</v>
      </c>
    </row>
    <row r="1491" customFormat="false" ht="15" hidden="false" customHeight="false" outlineLevel="0" collapsed="false">
      <c r="A1491" s="7" t="s">
        <v>1556</v>
      </c>
      <c r="B1491" s="7" t="s">
        <v>47</v>
      </c>
      <c r="C1491" s="14" t="s">
        <v>29</v>
      </c>
      <c r="D1491" s="8" t="s">
        <v>46</v>
      </c>
    </row>
    <row r="1492" customFormat="false" ht="15" hidden="false" customHeight="false" outlineLevel="0" collapsed="false">
      <c r="A1492" s="7" t="s">
        <v>1557</v>
      </c>
      <c r="B1492" s="7" t="s">
        <v>47</v>
      </c>
      <c r="C1492" s="14" t="s">
        <v>29</v>
      </c>
      <c r="D1492" s="8" t="s">
        <v>46</v>
      </c>
    </row>
    <row r="1493" customFormat="false" ht="15" hidden="false" customHeight="false" outlineLevel="0" collapsed="false">
      <c r="A1493" s="7" t="s">
        <v>1558</v>
      </c>
      <c r="B1493" s="7" t="s">
        <v>55</v>
      </c>
      <c r="C1493" s="14" t="s">
        <v>29</v>
      </c>
      <c r="D1493" s="8" t="s">
        <v>46</v>
      </c>
    </row>
    <row r="1494" customFormat="false" ht="15" hidden="false" customHeight="false" outlineLevel="0" collapsed="false">
      <c r="A1494" s="7" t="s">
        <v>1559</v>
      </c>
      <c r="B1494" s="7" t="s">
        <v>47</v>
      </c>
      <c r="C1494" s="14" t="s">
        <v>29</v>
      </c>
      <c r="D1494" s="8" t="s">
        <v>46</v>
      </c>
    </row>
    <row r="1495" customFormat="false" ht="15" hidden="false" customHeight="false" outlineLevel="0" collapsed="false">
      <c r="A1495" s="7" t="s">
        <v>1560</v>
      </c>
      <c r="B1495" s="7" t="s">
        <v>43</v>
      </c>
      <c r="C1495" s="14" t="s">
        <v>29</v>
      </c>
      <c r="D1495" s="8" t="s">
        <v>38</v>
      </c>
    </row>
    <row r="1496" customFormat="false" ht="15" hidden="false" customHeight="false" outlineLevel="0" collapsed="false">
      <c r="A1496" s="7" t="s">
        <v>1560</v>
      </c>
      <c r="B1496" s="7" t="s">
        <v>69</v>
      </c>
      <c r="C1496" s="14" t="s">
        <v>29</v>
      </c>
      <c r="D1496" s="8" t="s">
        <v>33</v>
      </c>
    </row>
    <row r="1497" customFormat="false" ht="15" hidden="false" customHeight="false" outlineLevel="0" collapsed="false">
      <c r="A1497" s="7" t="s">
        <v>1561</v>
      </c>
      <c r="B1497" s="7" t="s">
        <v>62</v>
      </c>
      <c r="C1497" s="14" t="s">
        <v>29</v>
      </c>
      <c r="D1497" s="8" t="s">
        <v>46</v>
      </c>
    </row>
    <row r="1498" customFormat="false" ht="15" hidden="false" customHeight="false" outlineLevel="0" collapsed="false">
      <c r="A1498" s="7" t="s">
        <v>1562</v>
      </c>
      <c r="B1498" s="7" t="s">
        <v>64</v>
      </c>
      <c r="C1498" s="14" t="s">
        <v>29</v>
      </c>
      <c r="D1498" s="8" t="s">
        <v>38</v>
      </c>
    </row>
    <row r="1499" customFormat="false" ht="15" hidden="false" customHeight="false" outlineLevel="0" collapsed="false">
      <c r="A1499" s="7" t="s">
        <v>1563</v>
      </c>
      <c r="B1499" s="7" t="s">
        <v>40</v>
      </c>
      <c r="C1499" s="14" t="s">
        <v>29</v>
      </c>
      <c r="D1499" s="8" t="s">
        <v>33</v>
      </c>
    </row>
    <row r="1500" customFormat="false" ht="15" hidden="false" customHeight="false" outlineLevel="0" collapsed="false">
      <c r="A1500" s="7" t="s">
        <v>1564</v>
      </c>
      <c r="B1500" s="7" t="s">
        <v>71</v>
      </c>
      <c r="C1500" s="10" t="s">
        <v>67</v>
      </c>
      <c r="D1500" s="8" t="s">
        <v>33</v>
      </c>
    </row>
    <row r="1501" customFormat="false" ht="15" hidden="false" customHeight="false" outlineLevel="0" collapsed="false">
      <c r="A1501" s="7" t="s">
        <v>1565</v>
      </c>
      <c r="B1501" s="7" t="s">
        <v>69</v>
      </c>
      <c r="C1501" s="14" t="s">
        <v>29</v>
      </c>
      <c r="D1501" s="8" t="s">
        <v>33</v>
      </c>
    </row>
    <row r="1502" customFormat="false" ht="15" hidden="false" customHeight="false" outlineLevel="0" collapsed="false">
      <c r="A1502" s="7" t="s">
        <v>1565</v>
      </c>
      <c r="B1502" s="7" t="s">
        <v>37</v>
      </c>
      <c r="C1502" s="14" t="s">
        <v>29</v>
      </c>
      <c r="D1502" s="8" t="s">
        <v>38</v>
      </c>
    </row>
    <row r="1503" customFormat="false" ht="15" hidden="false" customHeight="false" outlineLevel="0" collapsed="false">
      <c r="A1503" s="7" t="s">
        <v>1566</v>
      </c>
      <c r="B1503" s="7" t="s">
        <v>69</v>
      </c>
      <c r="C1503" s="14" t="s">
        <v>29</v>
      </c>
      <c r="D1503" s="8" t="s">
        <v>33</v>
      </c>
    </row>
    <row r="1504" customFormat="false" ht="15" hidden="false" customHeight="false" outlineLevel="0" collapsed="false">
      <c r="A1504" s="7" t="s">
        <v>1566</v>
      </c>
      <c r="B1504" s="7" t="s">
        <v>62</v>
      </c>
      <c r="C1504" s="14" t="s">
        <v>29</v>
      </c>
      <c r="D1504" s="8" t="s">
        <v>46</v>
      </c>
    </row>
    <row r="1505" customFormat="false" ht="15" hidden="false" customHeight="false" outlineLevel="0" collapsed="false">
      <c r="A1505" s="7" t="s">
        <v>1567</v>
      </c>
      <c r="B1505" s="7" t="s">
        <v>62</v>
      </c>
      <c r="C1505" s="14" t="s">
        <v>29</v>
      </c>
      <c r="D1505" s="8" t="s">
        <v>46</v>
      </c>
    </row>
    <row r="1506" customFormat="false" ht="15" hidden="false" customHeight="false" outlineLevel="0" collapsed="false">
      <c r="A1506" s="7" t="s">
        <v>1568</v>
      </c>
      <c r="B1506" s="7" t="s">
        <v>62</v>
      </c>
      <c r="C1506" s="14" t="s">
        <v>29</v>
      </c>
      <c r="D1506" s="8" t="s">
        <v>46</v>
      </c>
    </row>
    <row r="1507" customFormat="false" ht="15" hidden="false" customHeight="false" outlineLevel="0" collapsed="false">
      <c r="A1507" s="7" t="s">
        <v>1569</v>
      </c>
      <c r="B1507" s="7" t="s">
        <v>43</v>
      </c>
      <c r="C1507" s="14" t="s">
        <v>29</v>
      </c>
      <c r="D1507" s="8" t="s">
        <v>38</v>
      </c>
    </row>
    <row r="1508" customFormat="false" ht="15" hidden="false" customHeight="false" outlineLevel="0" collapsed="false">
      <c r="A1508" s="7" t="s">
        <v>1570</v>
      </c>
      <c r="B1508" s="7" t="s">
        <v>71</v>
      </c>
      <c r="C1508" s="10" t="s">
        <v>67</v>
      </c>
      <c r="D1508" s="8" t="s">
        <v>33</v>
      </c>
    </row>
    <row r="1509" customFormat="false" ht="15" hidden="false" customHeight="false" outlineLevel="0" collapsed="false">
      <c r="A1509" s="7" t="s">
        <v>1570</v>
      </c>
      <c r="B1509" s="7" t="s">
        <v>100</v>
      </c>
      <c r="C1509" s="10" t="s">
        <v>67</v>
      </c>
      <c r="D1509" s="8" t="s">
        <v>38</v>
      </c>
    </row>
    <row r="1510" customFormat="false" ht="15" hidden="false" customHeight="false" outlineLevel="0" collapsed="false">
      <c r="A1510" s="7" t="s">
        <v>1571</v>
      </c>
      <c r="B1510" s="7" t="s">
        <v>37</v>
      </c>
      <c r="C1510" s="14" t="s">
        <v>29</v>
      </c>
      <c r="D1510" s="8" t="s">
        <v>38</v>
      </c>
    </row>
    <row r="1511" customFormat="false" ht="15" hidden="false" customHeight="false" outlineLevel="0" collapsed="false">
      <c r="A1511" s="7" t="s">
        <v>1572</v>
      </c>
      <c r="B1511" s="7" t="s">
        <v>62</v>
      </c>
      <c r="C1511" s="14" t="s">
        <v>29</v>
      </c>
      <c r="D1511" s="8" t="s">
        <v>46</v>
      </c>
    </row>
    <row r="1512" customFormat="false" ht="15" hidden="false" customHeight="false" outlineLevel="0" collapsed="false">
      <c r="A1512" s="7" t="s">
        <v>1573</v>
      </c>
      <c r="B1512" s="7" t="s">
        <v>37</v>
      </c>
      <c r="C1512" s="14" t="s">
        <v>29</v>
      </c>
      <c r="D1512" s="8" t="s">
        <v>38</v>
      </c>
    </row>
    <row r="1513" customFormat="false" ht="15" hidden="false" customHeight="false" outlineLevel="0" collapsed="false">
      <c r="A1513" s="7" t="s">
        <v>1574</v>
      </c>
      <c r="B1513" s="7" t="s">
        <v>86</v>
      </c>
      <c r="C1513" s="10" t="s">
        <v>67</v>
      </c>
      <c r="D1513" s="8" t="s">
        <v>87</v>
      </c>
    </row>
    <row r="1514" customFormat="false" ht="15" hidden="false" customHeight="false" outlineLevel="0" collapsed="false">
      <c r="A1514" s="7" t="s">
        <v>1575</v>
      </c>
      <c r="B1514" s="7" t="s">
        <v>47</v>
      </c>
      <c r="C1514" s="14" t="s">
        <v>29</v>
      </c>
      <c r="D1514" s="8" t="s">
        <v>46</v>
      </c>
    </row>
    <row r="1515" customFormat="false" ht="15" hidden="false" customHeight="false" outlineLevel="0" collapsed="false">
      <c r="A1515" s="7" t="s">
        <v>1576</v>
      </c>
      <c r="B1515" s="7" t="s">
        <v>47</v>
      </c>
      <c r="C1515" s="14" t="s">
        <v>29</v>
      </c>
      <c r="D1515" s="8" t="s">
        <v>46</v>
      </c>
    </row>
    <row r="1516" customFormat="false" ht="15" hidden="false" customHeight="false" outlineLevel="0" collapsed="false">
      <c r="A1516" s="7" t="s">
        <v>1577</v>
      </c>
      <c r="B1516" s="7" t="s">
        <v>47</v>
      </c>
      <c r="C1516" s="14" t="s">
        <v>29</v>
      </c>
      <c r="D1516" s="8" t="s">
        <v>46</v>
      </c>
    </row>
    <row r="1517" customFormat="false" ht="15" hidden="false" customHeight="false" outlineLevel="0" collapsed="false">
      <c r="A1517" s="7" t="s">
        <v>1578</v>
      </c>
      <c r="B1517" s="7" t="s">
        <v>47</v>
      </c>
      <c r="C1517" s="14" t="s">
        <v>29</v>
      </c>
      <c r="D1517" s="8" t="s">
        <v>46</v>
      </c>
    </row>
    <row r="1518" customFormat="false" ht="15" hidden="false" customHeight="false" outlineLevel="0" collapsed="false">
      <c r="A1518" s="7" t="s">
        <v>1579</v>
      </c>
      <c r="B1518" s="7" t="s">
        <v>47</v>
      </c>
      <c r="C1518" s="14" t="s">
        <v>29</v>
      </c>
      <c r="D1518" s="8" t="s">
        <v>46</v>
      </c>
    </row>
    <row r="1519" customFormat="false" ht="15" hidden="false" customHeight="false" outlineLevel="0" collapsed="false">
      <c r="A1519" s="7" t="s">
        <v>1580</v>
      </c>
      <c r="B1519" s="7" t="s">
        <v>47</v>
      </c>
      <c r="C1519" s="14" t="s">
        <v>29</v>
      </c>
      <c r="D1519" s="8" t="s">
        <v>46</v>
      </c>
    </row>
    <row r="1520" customFormat="false" ht="15" hidden="false" customHeight="false" outlineLevel="0" collapsed="false">
      <c r="A1520" s="7" t="s">
        <v>1581</v>
      </c>
      <c r="B1520" s="7" t="s">
        <v>55</v>
      </c>
      <c r="C1520" s="14" t="s">
        <v>29</v>
      </c>
      <c r="D1520" s="8" t="s">
        <v>46</v>
      </c>
    </row>
    <row r="1521" customFormat="false" ht="15" hidden="false" customHeight="false" outlineLevel="0" collapsed="false">
      <c r="A1521" s="7" t="s">
        <v>1582</v>
      </c>
      <c r="B1521" s="7" t="s">
        <v>47</v>
      </c>
      <c r="C1521" s="14" t="s">
        <v>29</v>
      </c>
      <c r="D1521" s="8" t="s">
        <v>46</v>
      </c>
    </row>
    <row r="1522" customFormat="false" ht="15" hidden="false" customHeight="false" outlineLevel="0" collapsed="false">
      <c r="A1522" s="7" t="s">
        <v>1583</v>
      </c>
      <c r="B1522" s="7" t="s">
        <v>47</v>
      </c>
      <c r="C1522" s="14" t="s">
        <v>29</v>
      </c>
      <c r="D1522" s="8" t="s">
        <v>46</v>
      </c>
    </row>
    <row r="1523" customFormat="false" ht="15" hidden="false" customHeight="false" outlineLevel="0" collapsed="false">
      <c r="A1523" s="7" t="s">
        <v>1584</v>
      </c>
      <c r="B1523" s="7" t="s">
        <v>47</v>
      </c>
      <c r="C1523" s="14" t="s">
        <v>29</v>
      </c>
      <c r="D1523" s="8" t="s">
        <v>46</v>
      </c>
    </row>
    <row r="1524" customFormat="false" ht="15" hidden="false" customHeight="false" outlineLevel="0" collapsed="false">
      <c r="A1524" s="7" t="s">
        <v>1585</v>
      </c>
      <c r="B1524" s="7" t="s">
        <v>64</v>
      </c>
      <c r="C1524" s="14" t="s">
        <v>29</v>
      </c>
      <c r="D1524" s="8" t="s">
        <v>38</v>
      </c>
    </row>
    <row r="1525" customFormat="false" ht="15" hidden="false" customHeight="false" outlineLevel="0" collapsed="false">
      <c r="A1525" s="7" t="s">
        <v>1586</v>
      </c>
      <c r="B1525" s="7" t="s">
        <v>47</v>
      </c>
      <c r="C1525" s="14" t="s">
        <v>29</v>
      </c>
      <c r="D1525" s="8" t="s">
        <v>46</v>
      </c>
    </row>
    <row r="1526" customFormat="false" ht="15" hidden="false" customHeight="false" outlineLevel="0" collapsed="false">
      <c r="A1526" s="7" t="s">
        <v>1586</v>
      </c>
      <c r="B1526" s="7" t="s">
        <v>37</v>
      </c>
      <c r="C1526" s="14" t="s">
        <v>29</v>
      </c>
      <c r="D1526" s="8" t="s">
        <v>38</v>
      </c>
    </row>
    <row r="1527" customFormat="false" ht="15" hidden="false" customHeight="false" outlineLevel="0" collapsed="false">
      <c r="A1527" s="7" t="s">
        <v>1587</v>
      </c>
      <c r="B1527" s="7" t="s">
        <v>47</v>
      </c>
      <c r="C1527" s="14" t="s">
        <v>29</v>
      </c>
      <c r="D1527" s="8" t="s">
        <v>46</v>
      </c>
    </row>
    <row r="1528" customFormat="false" ht="15" hidden="false" customHeight="false" outlineLevel="0" collapsed="false">
      <c r="A1528" s="7" t="s">
        <v>1588</v>
      </c>
      <c r="B1528" s="7" t="s">
        <v>100</v>
      </c>
      <c r="C1528" s="10" t="s">
        <v>67</v>
      </c>
      <c r="D1528" s="8" t="s">
        <v>38</v>
      </c>
    </row>
    <row r="1529" customFormat="false" ht="15" hidden="false" customHeight="false" outlineLevel="0" collapsed="false">
      <c r="A1529" s="7" t="s">
        <v>1589</v>
      </c>
      <c r="B1529" s="7" t="s">
        <v>64</v>
      </c>
      <c r="C1529" s="14" t="s">
        <v>29</v>
      </c>
      <c r="D1529" s="8" t="s">
        <v>38</v>
      </c>
    </row>
    <row r="1530" customFormat="false" ht="15" hidden="false" customHeight="false" outlineLevel="0" collapsed="false">
      <c r="A1530" s="7" t="s">
        <v>1590</v>
      </c>
      <c r="B1530" s="7" t="s">
        <v>100</v>
      </c>
      <c r="C1530" s="10" t="s">
        <v>67</v>
      </c>
      <c r="D1530" s="8" t="s">
        <v>38</v>
      </c>
    </row>
    <row r="1531" customFormat="false" ht="15" hidden="false" customHeight="false" outlineLevel="0" collapsed="false">
      <c r="A1531" s="7" t="s">
        <v>1590</v>
      </c>
      <c r="B1531" s="7" t="s">
        <v>69</v>
      </c>
      <c r="C1531" s="14" t="s">
        <v>29</v>
      </c>
      <c r="D1531" s="8" t="s">
        <v>33</v>
      </c>
    </row>
    <row r="1532" customFormat="false" ht="15" hidden="false" customHeight="false" outlineLevel="0" collapsed="false">
      <c r="A1532" s="7" t="s">
        <v>1590</v>
      </c>
      <c r="B1532" s="7" t="s">
        <v>55</v>
      </c>
      <c r="C1532" s="14" t="s">
        <v>29</v>
      </c>
      <c r="D1532" s="8" t="s">
        <v>46</v>
      </c>
    </row>
    <row r="1533" customFormat="false" ht="15" hidden="false" customHeight="false" outlineLevel="0" collapsed="false">
      <c r="A1533" s="7" t="s">
        <v>1591</v>
      </c>
      <c r="B1533" s="7" t="s">
        <v>47</v>
      </c>
      <c r="C1533" s="14" t="s">
        <v>29</v>
      </c>
      <c r="D1533" s="8" t="s">
        <v>46</v>
      </c>
    </row>
    <row r="1534" customFormat="false" ht="15" hidden="false" customHeight="false" outlineLevel="0" collapsed="false">
      <c r="A1534" s="7" t="s">
        <v>1592</v>
      </c>
      <c r="B1534" s="7" t="s">
        <v>47</v>
      </c>
      <c r="C1534" s="14" t="s">
        <v>29</v>
      </c>
      <c r="D1534" s="8" t="s">
        <v>46</v>
      </c>
    </row>
    <row r="1535" customFormat="false" ht="15" hidden="false" customHeight="false" outlineLevel="0" collapsed="false">
      <c r="A1535" s="7" t="s">
        <v>1593</v>
      </c>
      <c r="B1535" s="7" t="s">
        <v>47</v>
      </c>
      <c r="C1535" s="14" t="s">
        <v>29</v>
      </c>
      <c r="D1535" s="8" t="s">
        <v>46</v>
      </c>
    </row>
    <row r="1536" customFormat="false" ht="15" hidden="false" customHeight="false" outlineLevel="0" collapsed="false">
      <c r="A1536" s="7" t="s">
        <v>1594</v>
      </c>
      <c r="B1536" s="7" t="s">
        <v>47</v>
      </c>
      <c r="C1536" s="14" t="s">
        <v>29</v>
      </c>
      <c r="D1536" s="8" t="s">
        <v>46</v>
      </c>
    </row>
    <row r="1537" customFormat="false" ht="15" hidden="false" customHeight="false" outlineLevel="0" collapsed="false">
      <c r="A1537" s="7" t="s">
        <v>1595</v>
      </c>
      <c r="B1537" s="7" t="s">
        <v>47</v>
      </c>
      <c r="C1537" s="14" t="s">
        <v>29</v>
      </c>
      <c r="D1537" s="8" t="s">
        <v>46</v>
      </c>
    </row>
    <row r="1538" customFormat="false" ht="15" hidden="false" customHeight="false" outlineLevel="0" collapsed="false">
      <c r="A1538" s="7" t="s">
        <v>1596</v>
      </c>
      <c r="B1538" s="7" t="s">
        <v>55</v>
      </c>
      <c r="C1538" s="14" t="s">
        <v>29</v>
      </c>
      <c r="D1538" s="8" t="s">
        <v>46</v>
      </c>
    </row>
    <row r="1539" customFormat="false" ht="15" hidden="false" customHeight="false" outlineLevel="0" collapsed="false">
      <c r="A1539" s="7" t="s">
        <v>1597</v>
      </c>
      <c r="B1539" s="7" t="s">
        <v>69</v>
      </c>
      <c r="C1539" s="14" t="s">
        <v>29</v>
      </c>
      <c r="D1539" s="8" t="s">
        <v>33</v>
      </c>
    </row>
    <row r="1540" customFormat="false" ht="15" hidden="false" customHeight="false" outlineLevel="0" collapsed="false">
      <c r="A1540" s="7" t="s">
        <v>1597</v>
      </c>
      <c r="B1540" s="7" t="s">
        <v>62</v>
      </c>
      <c r="C1540" s="14" t="s">
        <v>29</v>
      </c>
      <c r="D1540" s="8" t="s">
        <v>46</v>
      </c>
    </row>
    <row r="1541" customFormat="false" ht="15" hidden="false" customHeight="false" outlineLevel="0" collapsed="false">
      <c r="A1541" s="7" t="s">
        <v>1598</v>
      </c>
      <c r="B1541" s="7" t="s">
        <v>60</v>
      </c>
      <c r="C1541" s="14" t="s">
        <v>29</v>
      </c>
      <c r="D1541" s="8" t="s">
        <v>46</v>
      </c>
    </row>
    <row r="1542" customFormat="false" ht="15" hidden="false" customHeight="false" outlineLevel="0" collapsed="false">
      <c r="A1542" s="7" t="s">
        <v>1599</v>
      </c>
      <c r="B1542" s="7" t="s">
        <v>37</v>
      </c>
      <c r="C1542" s="14" t="s">
        <v>29</v>
      </c>
      <c r="D1542" s="8" t="s">
        <v>38</v>
      </c>
    </row>
    <row r="1543" customFormat="false" ht="15" hidden="false" customHeight="false" outlineLevel="0" collapsed="false">
      <c r="A1543" s="7" t="s">
        <v>1600</v>
      </c>
      <c r="B1543" s="7" t="s">
        <v>62</v>
      </c>
      <c r="C1543" s="14" t="s">
        <v>29</v>
      </c>
      <c r="D1543" s="8" t="s">
        <v>46</v>
      </c>
    </row>
    <row r="1544" customFormat="false" ht="15" hidden="false" customHeight="false" outlineLevel="0" collapsed="false">
      <c r="A1544" s="7" t="s">
        <v>1600</v>
      </c>
      <c r="B1544" s="7" t="s">
        <v>69</v>
      </c>
      <c r="C1544" s="14" t="s">
        <v>29</v>
      </c>
      <c r="D1544" s="8" t="s">
        <v>33</v>
      </c>
    </row>
    <row r="1545" customFormat="false" ht="15" hidden="false" customHeight="false" outlineLevel="0" collapsed="false">
      <c r="A1545" s="7" t="s">
        <v>1601</v>
      </c>
      <c r="B1545" s="7" t="s">
        <v>43</v>
      </c>
      <c r="C1545" s="14" t="s">
        <v>29</v>
      </c>
      <c r="D1545" s="8" t="s">
        <v>38</v>
      </c>
    </row>
    <row r="1546" customFormat="false" ht="15" hidden="false" customHeight="false" outlineLevel="0" collapsed="false">
      <c r="A1546" s="7" t="s">
        <v>1602</v>
      </c>
      <c r="B1546" s="7" t="s">
        <v>62</v>
      </c>
      <c r="C1546" s="14" t="s">
        <v>29</v>
      </c>
      <c r="D1546" s="8" t="s">
        <v>46</v>
      </c>
    </row>
    <row r="1547" customFormat="false" ht="15" hidden="false" customHeight="false" outlineLevel="0" collapsed="false">
      <c r="A1547" s="7" t="s">
        <v>1603</v>
      </c>
      <c r="B1547" s="7" t="s">
        <v>37</v>
      </c>
      <c r="C1547" s="14" t="s">
        <v>29</v>
      </c>
      <c r="D1547" s="8" t="s">
        <v>38</v>
      </c>
    </row>
    <row r="1548" customFormat="false" ht="15" hidden="false" customHeight="false" outlineLevel="0" collapsed="false">
      <c r="A1548" s="7" t="s">
        <v>1604</v>
      </c>
      <c r="B1548" s="7" t="s">
        <v>62</v>
      </c>
      <c r="C1548" s="14" t="s">
        <v>29</v>
      </c>
      <c r="D1548" s="8" t="s">
        <v>46</v>
      </c>
    </row>
    <row r="1549" customFormat="false" ht="15" hidden="false" customHeight="false" outlineLevel="0" collapsed="false">
      <c r="A1549" s="7" t="s">
        <v>1604</v>
      </c>
      <c r="B1549" s="7" t="s">
        <v>69</v>
      </c>
      <c r="C1549" s="14" t="s">
        <v>29</v>
      </c>
      <c r="D1549" s="8" t="s">
        <v>33</v>
      </c>
    </row>
    <row r="1550" customFormat="false" ht="15" hidden="false" customHeight="false" outlineLevel="0" collapsed="false">
      <c r="A1550" s="7" t="s">
        <v>1605</v>
      </c>
      <c r="B1550" s="7" t="s">
        <v>51</v>
      </c>
      <c r="C1550" s="14" t="s">
        <v>29</v>
      </c>
      <c r="D1550" s="8" t="s">
        <v>33</v>
      </c>
    </row>
    <row r="1551" customFormat="false" ht="15" hidden="false" customHeight="false" outlineLevel="0" collapsed="false">
      <c r="A1551" s="7" t="s">
        <v>1606</v>
      </c>
      <c r="B1551" s="7" t="s">
        <v>69</v>
      </c>
      <c r="C1551" s="14" t="s">
        <v>29</v>
      </c>
      <c r="D1551" s="8" t="s">
        <v>33</v>
      </c>
    </row>
    <row r="1552" customFormat="false" ht="15" hidden="false" customHeight="false" outlineLevel="0" collapsed="false">
      <c r="A1552" s="7" t="s">
        <v>1606</v>
      </c>
      <c r="B1552" s="7" t="s">
        <v>62</v>
      </c>
      <c r="C1552" s="14" t="s">
        <v>29</v>
      </c>
      <c r="D1552" s="8" t="s">
        <v>46</v>
      </c>
    </row>
    <row r="1553" customFormat="false" ht="15" hidden="false" customHeight="false" outlineLevel="0" collapsed="false">
      <c r="A1553" s="7" t="s">
        <v>1607</v>
      </c>
      <c r="B1553" s="7" t="s">
        <v>69</v>
      </c>
      <c r="C1553" s="14" t="s">
        <v>29</v>
      </c>
      <c r="D1553" s="8" t="s">
        <v>33</v>
      </c>
    </row>
    <row r="1554" customFormat="false" ht="15" hidden="false" customHeight="false" outlineLevel="0" collapsed="false">
      <c r="A1554" s="7" t="s">
        <v>1608</v>
      </c>
      <c r="B1554" s="7" t="s">
        <v>37</v>
      </c>
      <c r="C1554" s="14" t="s">
        <v>29</v>
      </c>
      <c r="D1554" s="8" t="s">
        <v>38</v>
      </c>
    </row>
    <row r="1555" customFormat="false" ht="15" hidden="false" customHeight="false" outlineLevel="0" collapsed="false">
      <c r="A1555" s="7" t="s">
        <v>1609</v>
      </c>
      <c r="B1555" s="7" t="s">
        <v>71</v>
      </c>
      <c r="C1555" s="10" t="s">
        <v>67</v>
      </c>
      <c r="D1555" s="8" t="s">
        <v>33</v>
      </c>
    </row>
    <row r="1556" customFormat="false" ht="15" hidden="false" customHeight="false" outlineLevel="0" collapsed="false">
      <c r="A1556" s="7" t="s">
        <v>1610</v>
      </c>
      <c r="B1556" s="7" t="s">
        <v>71</v>
      </c>
      <c r="C1556" s="10" t="s">
        <v>67</v>
      </c>
      <c r="D1556" s="8" t="s">
        <v>33</v>
      </c>
    </row>
    <row r="1557" customFormat="false" ht="15" hidden="false" customHeight="false" outlineLevel="0" collapsed="false">
      <c r="A1557" s="7" t="s">
        <v>1611</v>
      </c>
      <c r="B1557" s="7" t="s">
        <v>71</v>
      </c>
      <c r="C1557" s="10" t="s">
        <v>67</v>
      </c>
      <c r="D1557" s="8" t="s">
        <v>33</v>
      </c>
    </row>
    <row r="1558" customFormat="false" ht="15" hidden="false" customHeight="false" outlineLevel="0" collapsed="false">
      <c r="A1558" s="7" t="s">
        <v>1612</v>
      </c>
      <c r="B1558" s="7" t="s">
        <v>51</v>
      </c>
      <c r="C1558" s="14" t="s">
        <v>29</v>
      </c>
      <c r="D1558" s="8" t="s">
        <v>33</v>
      </c>
    </row>
    <row r="1559" customFormat="false" ht="15" hidden="false" customHeight="false" outlineLevel="0" collapsed="false">
      <c r="A1559" s="7" t="s">
        <v>1613</v>
      </c>
      <c r="B1559" s="7" t="s">
        <v>55</v>
      </c>
      <c r="C1559" s="14" t="s">
        <v>29</v>
      </c>
      <c r="D1559" s="8" t="s">
        <v>46</v>
      </c>
    </row>
    <row r="1560" customFormat="false" ht="15" hidden="false" customHeight="false" outlineLevel="0" collapsed="false">
      <c r="A1560" s="7" t="s">
        <v>1614</v>
      </c>
      <c r="B1560" s="7" t="s">
        <v>55</v>
      </c>
      <c r="C1560" s="14" t="s">
        <v>29</v>
      </c>
      <c r="D1560" s="8" t="s">
        <v>46</v>
      </c>
    </row>
    <row r="1561" customFormat="false" ht="15" hidden="false" customHeight="false" outlineLevel="0" collapsed="false">
      <c r="A1561" s="7" t="s">
        <v>1615</v>
      </c>
      <c r="B1561" s="7" t="s">
        <v>60</v>
      </c>
      <c r="C1561" s="14" t="s">
        <v>29</v>
      </c>
      <c r="D1561" s="8" t="s">
        <v>46</v>
      </c>
    </row>
    <row r="1562" customFormat="false" ht="15" hidden="false" customHeight="false" outlineLevel="0" collapsed="false">
      <c r="A1562" s="7" t="s">
        <v>1616</v>
      </c>
      <c r="B1562" s="7" t="s">
        <v>55</v>
      </c>
      <c r="C1562" s="14" t="s">
        <v>29</v>
      </c>
      <c r="D1562" s="8" t="s">
        <v>46</v>
      </c>
    </row>
    <row r="1563" customFormat="false" ht="15" hidden="false" customHeight="false" outlineLevel="0" collapsed="false">
      <c r="A1563" s="7" t="s">
        <v>1617</v>
      </c>
      <c r="B1563" s="7" t="s">
        <v>37</v>
      </c>
      <c r="C1563" s="14" t="s">
        <v>29</v>
      </c>
      <c r="D1563" s="8" t="s">
        <v>38</v>
      </c>
    </row>
    <row r="1564" customFormat="false" ht="15" hidden="false" customHeight="false" outlineLevel="0" collapsed="false">
      <c r="A1564" s="7" t="s">
        <v>1618</v>
      </c>
      <c r="B1564" s="7" t="s">
        <v>40</v>
      </c>
      <c r="C1564" s="14" t="s">
        <v>29</v>
      </c>
      <c r="D1564" s="8" t="s">
        <v>33</v>
      </c>
    </row>
    <row r="1565" customFormat="false" ht="15" hidden="false" customHeight="false" outlineLevel="0" collapsed="false">
      <c r="A1565" s="7" t="s">
        <v>1619</v>
      </c>
      <c r="B1565" s="7" t="s">
        <v>62</v>
      </c>
      <c r="C1565" s="14" t="s">
        <v>29</v>
      </c>
      <c r="D1565" s="8" t="s">
        <v>46</v>
      </c>
    </row>
    <row r="1566" customFormat="false" ht="15" hidden="false" customHeight="false" outlineLevel="0" collapsed="false">
      <c r="A1566" s="7" t="s">
        <v>1619</v>
      </c>
      <c r="B1566" s="7" t="s">
        <v>69</v>
      </c>
      <c r="C1566" s="14" t="s">
        <v>29</v>
      </c>
      <c r="D1566" s="8" t="s">
        <v>33</v>
      </c>
    </row>
    <row r="1567" customFormat="false" ht="15" hidden="false" customHeight="false" outlineLevel="0" collapsed="false">
      <c r="A1567" s="7" t="s">
        <v>1619</v>
      </c>
      <c r="B1567" s="7" t="s">
        <v>51</v>
      </c>
      <c r="C1567" s="14" t="s">
        <v>29</v>
      </c>
      <c r="D1567" s="8" t="s">
        <v>33</v>
      </c>
    </row>
    <row r="1568" customFormat="false" ht="15" hidden="false" customHeight="false" outlineLevel="0" collapsed="false">
      <c r="A1568" s="7" t="s">
        <v>1619</v>
      </c>
      <c r="B1568" s="7" t="s">
        <v>64</v>
      </c>
      <c r="C1568" s="14" t="s">
        <v>29</v>
      </c>
      <c r="D1568" s="8" t="s">
        <v>38</v>
      </c>
    </row>
    <row r="1569" customFormat="false" ht="15" hidden="false" customHeight="false" outlineLevel="0" collapsed="false">
      <c r="A1569" s="7" t="s">
        <v>1620</v>
      </c>
      <c r="B1569" s="7" t="s">
        <v>37</v>
      </c>
      <c r="C1569" s="14" t="s">
        <v>29</v>
      </c>
      <c r="D1569" s="8" t="s">
        <v>38</v>
      </c>
    </row>
    <row r="1570" customFormat="false" ht="15" hidden="false" customHeight="false" outlineLevel="0" collapsed="false">
      <c r="A1570" s="7" t="s">
        <v>1620</v>
      </c>
      <c r="B1570" s="7" t="s">
        <v>71</v>
      </c>
      <c r="C1570" s="10" t="s">
        <v>67</v>
      </c>
      <c r="D1570" s="8" t="s">
        <v>33</v>
      </c>
    </row>
    <row r="1571" customFormat="false" ht="15" hidden="false" customHeight="false" outlineLevel="0" collapsed="false">
      <c r="A1571" s="7" t="s">
        <v>1621</v>
      </c>
      <c r="B1571" s="7" t="s">
        <v>40</v>
      </c>
      <c r="C1571" s="14" t="s">
        <v>29</v>
      </c>
      <c r="D1571" s="8" t="s">
        <v>33</v>
      </c>
    </row>
    <row r="1572" customFormat="false" ht="15" hidden="false" customHeight="false" outlineLevel="0" collapsed="false">
      <c r="A1572" s="7" t="s">
        <v>1622</v>
      </c>
      <c r="B1572" s="7" t="s">
        <v>37</v>
      </c>
      <c r="C1572" s="14" t="s">
        <v>29</v>
      </c>
      <c r="D1572" s="8" t="s">
        <v>38</v>
      </c>
    </row>
    <row r="1573" customFormat="false" ht="15" hidden="false" customHeight="false" outlineLevel="0" collapsed="false">
      <c r="A1573" s="7" t="s">
        <v>1623</v>
      </c>
      <c r="B1573" s="7" t="s">
        <v>32</v>
      </c>
      <c r="C1573" s="14" t="s">
        <v>29</v>
      </c>
      <c r="D1573" s="8" t="s">
        <v>33</v>
      </c>
    </row>
    <row r="1574" customFormat="false" ht="15" hidden="false" customHeight="false" outlineLevel="0" collapsed="false">
      <c r="A1574" s="7" t="s">
        <v>1624</v>
      </c>
      <c r="B1574" s="7" t="s">
        <v>71</v>
      </c>
      <c r="C1574" s="10" t="s">
        <v>67</v>
      </c>
      <c r="D1574" s="8" t="s">
        <v>33</v>
      </c>
    </row>
    <row r="1575" customFormat="false" ht="15" hidden="false" customHeight="false" outlineLevel="0" collapsed="false">
      <c r="A1575" s="7" t="s">
        <v>1625</v>
      </c>
      <c r="B1575" s="7" t="s">
        <v>95</v>
      </c>
      <c r="C1575" s="14" t="s">
        <v>29</v>
      </c>
      <c r="D1575" s="8" t="s">
        <v>87</v>
      </c>
    </row>
    <row r="1576" customFormat="false" ht="15" hidden="false" customHeight="false" outlineLevel="0" collapsed="false">
      <c r="A1576" s="7" t="s">
        <v>1626</v>
      </c>
      <c r="B1576" s="7" t="s">
        <v>71</v>
      </c>
      <c r="C1576" s="10" t="s">
        <v>67</v>
      </c>
      <c r="D1576" s="8" t="s">
        <v>33</v>
      </c>
    </row>
    <row r="1577" customFormat="false" ht="15" hidden="false" customHeight="false" outlineLevel="0" collapsed="false">
      <c r="A1577" s="7" t="s">
        <v>1627</v>
      </c>
      <c r="B1577" s="7" t="s">
        <v>71</v>
      </c>
      <c r="C1577" s="10" t="s">
        <v>67</v>
      </c>
      <c r="D1577" s="8" t="s">
        <v>33</v>
      </c>
    </row>
    <row r="1578" customFormat="false" ht="15" hidden="false" customHeight="false" outlineLevel="0" collapsed="false">
      <c r="A1578" s="7" t="s">
        <v>1628</v>
      </c>
      <c r="B1578" s="7" t="s">
        <v>71</v>
      </c>
      <c r="C1578" s="10" t="s">
        <v>67</v>
      </c>
      <c r="D1578" s="8" t="s">
        <v>33</v>
      </c>
    </row>
    <row r="1579" customFormat="false" ht="15" hidden="false" customHeight="false" outlineLevel="0" collapsed="false">
      <c r="A1579" s="7" t="s">
        <v>1629</v>
      </c>
      <c r="B1579" s="7" t="s">
        <v>55</v>
      </c>
      <c r="C1579" s="14" t="s">
        <v>29</v>
      </c>
      <c r="D1579" s="8" t="s">
        <v>46</v>
      </c>
    </row>
    <row r="1580" customFormat="false" ht="15" hidden="false" customHeight="false" outlineLevel="0" collapsed="false">
      <c r="A1580" s="7" t="s">
        <v>1630</v>
      </c>
      <c r="B1580" s="7" t="s">
        <v>71</v>
      </c>
      <c r="C1580" s="10" t="s">
        <v>67</v>
      </c>
      <c r="D1580" s="8" t="s">
        <v>33</v>
      </c>
    </row>
    <row r="1581" customFormat="false" ht="15" hidden="false" customHeight="false" outlineLevel="0" collapsed="false">
      <c r="A1581" s="7" t="s">
        <v>1631</v>
      </c>
      <c r="B1581" s="7" t="s">
        <v>47</v>
      </c>
      <c r="C1581" s="14" t="s">
        <v>29</v>
      </c>
      <c r="D1581" s="8" t="s">
        <v>46</v>
      </c>
    </row>
    <row r="1582" customFormat="false" ht="15" hidden="false" customHeight="false" outlineLevel="0" collapsed="false">
      <c r="A1582" s="7" t="s">
        <v>1632</v>
      </c>
      <c r="B1582" s="7" t="s">
        <v>47</v>
      </c>
      <c r="C1582" s="14" t="s">
        <v>29</v>
      </c>
      <c r="D1582" s="8" t="s">
        <v>46</v>
      </c>
    </row>
    <row r="1583" customFormat="false" ht="15" hidden="false" customHeight="false" outlineLevel="0" collapsed="false">
      <c r="A1583" s="7" t="s">
        <v>1633</v>
      </c>
      <c r="B1583" s="7" t="s">
        <v>47</v>
      </c>
      <c r="C1583" s="14" t="s">
        <v>29</v>
      </c>
      <c r="D1583" s="8" t="s">
        <v>46</v>
      </c>
    </row>
    <row r="1584" customFormat="false" ht="15" hidden="false" customHeight="false" outlineLevel="0" collapsed="false">
      <c r="A1584" s="7" t="s">
        <v>1634</v>
      </c>
      <c r="B1584" s="7" t="s">
        <v>40</v>
      </c>
      <c r="C1584" s="14" t="s">
        <v>29</v>
      </c>
      <c r="D1584" s="8" t="s">
        <v>33</v>
      </c>
    </row>
    <row r="1585" customFormat="false" ht="15" hidden="false" customHeight="false" outlineLevel="0" collapsed="false">
      <c r="A1585" s="7" t="s">
        <v>1635</v>
      </c>
      <c r="B1585" s="7" t="s">
        <v>71</v>
      </c>
      <c r="C1585" s="10" t="s">
        <v>67</v>
      </c>
      <c r="D1585" s="8" t="s">
        <v>33</v>
      </c>
    </row>
    <row r="1586" customFormat="false" ht="15" hidden="false" customHeight="false" outlineLevel="0" collapsed="false">
      <c r="A1586" s="7" t="s">
        <v>1635</v>
      </c>
      <c r="B1586" s="7" t="s">
        <v>64</v>
      </c>
      <c r="C1586" s="14" t="s">
        <v>29</v>
      </c>
      <c r="D1586" s="8" t="s">
        <v>38</v>
      </c>
    </row>
    <row r="1587" customFormat="false" ht="15" hidden="false" customHeight="false" outlineLevel="0" collapsed="false">
      <c r="A1587" s="7" t="s">
        <v>1636</v>
      </c>
      <c r="B1587" s="7" t="s">
        <v>40</v>
      </c>
      <c r="C1587" s="14" t="s">
        <v>29</v>
      </c>
      <c r="D1587" s="8" t="s">
        <v>33</v>
      </c>
    </row>
    <row r="1588" customFormat="false" ht="15" hidden="false" customHeight="false" outlineLevel="0" collapsed="false">
      <c r="A1588" s="7" t="s">
        <v>1637</v>
      </c>
      <c r="B1588" s="7" t="s">
        <v>71</v>
      </c>
      <c r="C1588" s="10" t="s">
        <v>67</v>
      </c>
      <c r="D1588" s="8" t="s">
        <v>33</v>
      </c>
    </row>
    <row r="1589" customFormat="false" ht="15" hidden="false" customHeight="false" outlineLevel="0" collapsed="false">
      <c r="A1589" s="7" t="s">
        <v>1638</v>
      </c>
      <c r="B1589" s="7" t="s">
        <v>55</v>
      </c>
      <c r="C1589" s="14" t="s">
        <v>29</v>
      </c>
      <c r="D1589" s="8" t="s">
        <v>46</v>
      </c>
    </row>
    <row r="1590" customFormat="false" ht="15" hidden="false" customHeight="false" outlineLevel="0" collapsed="false">
      <c r="A1590" s="7" t="s">
        <v>1639</v>
      </c>
      <c r="B1590" s="7" t="s">
        <v>55</v>
      </c>
      <c r="C1590" s="14" t="s">
        <v>29</v>
      </c>
      <c r="D1590" s="8" t="s">
        <v>46</v>
      </c>
    </row>
    <row r="1591" customFormat="false" ht="15" hidden="false" customHeight="false" outlineLevel="0" collapsed="false">
      <c r="A1591" s="7" t="s">
        <v>1640</v>
      </c>
      <c r="B1591" s="7" t="s">
        <v>40</v>
      </c>
      <c r="C1591" s="14" t="s">
        <v>29</v>
      </c>
      <c r="D1591" s="8" t="s">
        <v>33</v>
      </c>
    </row>
    <row r="1592" customFormat="false" ht="15" hidden="false" customHeight="false" outlineLevel="0" collapsed="false">
      <c r="A1592" s="7" t="s">
        <v>1641</v>
      </c>
      <c r="B1592" s="7" t="s">
        <v>49</v>
      </c>
      <c r="C1592" s="14" t="s">
        <v>29</v>
      </c>
      <c r="D1592" s="8" t="s">
        <v>33</v>
      </c>
    </row>
    <row r="1593" customFormat="false" ht="15" hidden="false" customHeight="false" outlineLevel="0" collapsed="false">
      <c r="A1593" s="7" t="s">
        <v>1641</v>
      </c>
      <c r="B1593" s="7" t="s">
        <v>71</v>
      </c>
      <c r="C1593" s="10" t="s">
        <v>67</v>
      </c>
      <c r="D1593" s="8" t="s">
        <v>33</v>
      </c>
    </row>
    <row r="1594" customFormat="false" ht="15" hidden="false" customHeight="false" outlineLevel="0" collapsed="false">
      <c r="A1594" s="7" t="s">
        <v>1641</v>
      </c>
      <c r="B1594" s="7" t="s">
        <v>47</v>
      </c>
      <c r="C1594" s="14" t="s">
        <v>29</v>
      </c>
      <c r="D1594" s="8" t="s">
        <v>46</v>
      </c>
    </row>
    <row r="1595" customFormat="false" ht="15" hidden="false" customHeight="false" outlineLevel="0" collapsed="false">
      <c r="A1595" s="7" t="s">
        <v>1642</v>
      </c>
      <c r="B1595" s="7" t="s">
        <v>71</v>
      </c>
      <c r="C1595" s="10" t="s">
        <v>67</v>
      </c>
      <c r="D1595" s="8" t="s">
        <v>33</v>
      </c>
    </row>
    <row r="1596" customFormat="false" ht="15" hidden="false" customHeight="false" outlineLevel="0" collapsed="false">
      <c r="A1596" s="7" t="s">
        <v>1643</v>
      </c>
      <c r="B1596" s="7" t="s">
        <v>40</v>
      </c>
      <c r="C1596" s="14" t="s">
        <v>29</v>
      </c>
      <c r="D1596" s="8" t="s">
        <v>33</v>
      </c>
    </row>
    <row r="1597" customFormat="false" ht="15" hidden="false" customHeight="false" outlineLevel="0" collapsed="false">
      <c r="A1597" s="7" t="s">
        <v>1644</v>
      </c>
      <c r="B1597" s="7" t="s">
        <v>55</v>
      </c>
      <c r="C1597" s="14" t="s">
        <v>29</v>
      </c>
      <c r="D1597" s="8" t="s">
        <v>46</v>
      </c>
    </row>
    <row r="1598" customFormat="false" ht="15" hidden="false" customHeight="false" outlineLevel="0" collapsed="false">
      <c r="A1598" s="7" t="s">
        <v>1645</v>
      </c>
      <c r="B1598" s="7" t="s">
        <v>69</v>
      </c>
      <c r="C1598" s="14" t="s">
        <v>29</v>
      </c>
      <c r="D1598" s="8" t="s">
        <v>33</v>
      </c>
    </row>
    <row r="1599" customFormat="false" ht="15" hidden="false" customHeight="false" outlineLevel="0" collapsed="false">
      <c r="A1599" s="7" t="s">
        <v>1645</v>
      </c>
      <c r="B1599" s="7" t="s">
        <v>64</v>
      </c>
      <c r="C1599" s="14" t="s">
        <v>29</v>
      </c>
      <c r="D1599" s="8" t="s">
        <v>38</v>
      </c>
    </row>
    <row r="1600" customFormat="false" ht="15" hidden="false" customHeight="false" outlineLevel="0" collapsed="false">
      <c r="A1600" s="7" t="s">
        <v>1645</v>
      </c>
      <c r="B1600" s="7" t="s">
        <v>37</v>
      </c>
      <c r="C1600" s="14" t="s">
        <v>29</v>
      </c>
      <c r="D1600" s="8" t="s">
        <v>38</v>
      </c>
    </row>
    <row r="1601" customFormat="false" ht="15" hidden="false" customHeight="false" outlineLevel="0" collapsed="false">
      <c r="A1601" s="7" t="s">
        <v>1645</v>
      </c>
      <c r="B1601" s="7" t="s">
        <v>32</v>
      </c>
      <c r="C1601" s="14" t="s">
        <v>29</v>
      </c>
      <c r="D1601" s="8" t="s">
        <v>33</v>
      </c>
    </row>
    <row r="1602" customFormat="false" ht="15" hidden="false" customHeight="false" outlineLevel="0" collapsed="false">
      <c r="A1602" s="7" t="s">
        <v>1645</v>
      </c>
      <c r="B1602" s="7" t="s">
        <v>51</v>
      </c>
      <c r="C1602" s="14" t="s">
        <v>29</v>
      </c>
      <c r="D1602" s="8" t="s">
        <v>33</v>
      </c>
    </row>
    <row r="1603" customFormat="false" ht="15" hidden="false" customHeight="false" outlineLevel="0" collapsed="false">
      <c r="A1603" s="7" t="s">
        <v>1645</v>
      </c>
      <c r="B1603" s="7" t="s">
        <v>40</v>
      </c>
      <c r="C1603" s="14" t="s">
        <v>29</v>
      </c>
      <c r="D1603" s="8" t="s">
        <v>33</v>
      </c>
    </row>
    <row r="1604" customFormat="false" ht="15" hidden="false" customHeight="false" outlineLevel="0" collapsed="false">
      <c r="A1604" s="7" t="s">
        <v>1646</v>
      </c>
      <c r="B1604" s="7" t="s">
        <v>71</v>
      </c>
      <c r="C1604" s="10" t="s">
        <v>67</v>
      </c>
      <c r="D1604" s="8" t="s">
        <v>33</v>
      </c>
    </row>
    <row r="1605" customFormat="false" ht="15" hidden="false" customHeight="false" outlineLevel="0" collapsed="false">
      <c r="A1605" s="7" t="s">
        <v>1647</v>
      </c>
      <c r="B1605" s="7" t="s">
        <v>60</v>
      </c>
      <c r="C1605" s="14" t="s">
        <v>29</v>
      </c>
      <c r="D1605" s="8" t="s">
        <v>46</v>
      </c>
    </row>
    <row r="1606" customFormat="false" ht="15" hidden="false" customHeight="false" outlineLevel="0" collapsed="false">
      <c r="A1606" s="7" t="s">
        <v>1648</v>
      </c>
      <c r="B1606" s="7" t="s">
        <v>51</v>
      </c>
      <c r="C1606" s="14" t="s">
        <v>29</v>
      </c>
      <c r="D1606" s="8" t="s">
        <v>33</v>
      </c>
    </row>
    <row r="1607" customFormat="false" ht="15" hidden="false" customHeight="false" outlineLevel="0" collapsed="false">
      <c r="A1607" s="7" t="s">
        <v>1648</v>
      </c>
      <c r="B1607" s="7" t="s">
        <v>40</v>
      </c>
      <c r="C1607" s="14" t="s">
        <v>29</v>
      </c>
      <c r="D1607" s="8" t="s">
        <v>33</v>
      </c>
    </row>
    <row r="1608" customFormat="false" ht="15" hidden="false" customHeight="false" outlineLevel="0" collapsed="false">
      <c r="A1608" s="7" t="s">
        <v>1649</v>
      </c>
      <c r="B1608" s="7" t="s">
        <v>62</v>
      </c>
      <c r="C1608" s="14" t="s">
        <v>29</v>
      </c>
      <c r="D1608" s="8" t="s">
        <v>46</v>
      </c>
    </row>
    <row r="1609" customFormat="false" ht="15" hidden="false" customHeight="false" outlineLevel="0" collapsed="false">
      <c r="A1609" s="7" t="s">
        <v>1649</v>
      </c>
      <c r="B1609" s="7" t="s">
        <v>69</v>
      </c>
      <c r="C1609" s="14" t="s">
        <v>29</v>
      </c>
      <c r="D1609" s="8" t="s">
        <v>33</v>
      </c>
    </row>
    <row r="1610" customFormat="false" ht="15" hidden="false" customHeight="false" outlineLevel="0" collapsed="false">
      <c r="A1610" s="7" t="s">
        <v>1650</v>
      </c>
      <c r="B1610" s="7" t="s">
        <v>69</v>
      </c>
      <c r="C1610" s="14" t="s">
        <v>29</v>
      </c>
      <c r="D1610" s="8" t="s">
        <v>33</v>
      </c>
    </row>
    <row r="1611" customFormat="false" ht="15" hidden="false" customHeight="false" outlineLevel="0" collapsed="false">
      <c r="A1611" s="7" t="s">
        <v>1650</v>
      </c>
      <c r="B1611" s="7" t="s">
        <v>62</v>
      </c>
      <c r="C1611" s="14" t="s">
        <v>29</v>
      </c>
      <c r="D1611" s="8" t="s">
        <v>46</v>
      </c>
    </row>
    <row r="1612" customFormat="false" ht="15" hidden="false" customHeight="false" outlineLevel="0" collapsed="false">
      <c r="A1612" s="7" t="s">
        <v>1650</v>
      </c>
      <c r="B1612" s="7" t="s">
        <v>51</v>
      </c>
      <c r="C1612" s="14" t="s">
        <v>29</v>
      </c>
      <c r="D1612" s="8" t="s">
        <v>33</v>
      </c>
    </row>
    <row r="1613" customFormat="false" ht="15" hidden="false" customHeight="false" outlineLevel="0" collapsed="false">
      <c r="A1613" s="7" t="s">
        <v>1651</v>
      </c>
      <c r="B1613" s="7" t="s">
        <v>71</v>
      </c>
      <c r="C1613" s="10" t="s">
        <v>67</v>
      </c>
      <c r="D1613" s="8" t="s">
        <v>33</v>
      </c>
    </row>
    <row r="1614" customFormat="false" ht="15" hidden="false" customHeight="false" outlineLevel="0" collapsed="false">
      <c r="A1614" s="7" t="s">
        <v>1652</v>
      </c>
      <c r="B1614" s="7" t="s">
        <v>37</v>
      </c>
      <c r="C1614" s="14" t="s">
        <v>29</v>
      </c>
      <c r="D1614" s="8" t="s">
        <v>38</v>
      </c>
    </row>
    <row r="1615" customFormat="false" ht="15" hidden="false" customHeight="false" outlineLevel="0" collapsed="false">
      <c r="A1615" s="7" t="s">
        <v>1652</v>
      </c>
      <c r="B1615" s="7" t="s">
        <v>32</v>
      </c>
      <c r="C1615" s="14" t="s">
        <v>29</v>
      </c>
      <c r="D1615" s="8" t="s">
        <v>33</v>
      </c>
    </row>
    <row r="1616" customFormat="false" ht="15" hidden="false" customHeight="false" outlineLevel="0" collapsed="false">
      <c r="A1616" s="7" t="s">
        <v>1653</v>
      </c>
      <c r="B1616" s="7" t="s">
        <v>62</v>
      </c>
      <c r="C1616" s="14" t="s">
        <v>29</v>
      </c>
      <c r="D1616" s="8" t="s">
        <v>46</v>
      </c>
    </row>
    <row r="1617" customFormat="false" ht="15" hidden="false" customHeight="false" outlineLevel="0" collapsed="false">
      <c r="A1617" s="7" t="s">
        <v>1654</v>
      </c>
      <c r="B1617" s="7" t="s">
        <v>37</v>
      </c>
      <c r="C1617" s="14" t="s">
        <v>29</v>
      </c>
      <c r="D1617" s="8" t="s">
        <v>38</v>
      </c>
    </row>
    <row r="1618" customFormat="false" ht="15" hidden="false" customHeight="false" outlineLevel="0" collapsed="false">
      <c r="A1618" s="7" t="s">
        <v>1654</v>
      </c>
      <c r="B1618" s="7" t="s">
        <v>32</v>
      </c>
      <c r="C1618" s="14" t="s">
        <v>29</v>
      </c>
      <c r="D1618" s="8" t="s">
        <v>33</v>
      </c>
    </row>
    <row r="1619" customFormat="false" ht="15" hidden="false" customHeight="false" outlineLevel="0" collapsed="false">
      <c r="A1619" s="7" t="s">
        <v>1655</v>
      </c>
      <c r="B1619" s="7" t="s">
        <v>71</v>
      </c>
      <c r="C1619" s="10" t="s">
        <v>67</v>
      </c>
      <c r="D1619" s="8" t="s">
        <v>33</v>
      </c>
    </row>
    <row r="1620" customFormat="false" ht="15" hidden="false" customHeight="false" outlineLevel="0" collapsed="false">
      <c r="A1620" s="7" t="s">
        <v>1655</v>
      </c>
      <c r="B1620" s="7" t="s">
        <v>32</v>
      </c>
      <c r="C1620" s="14" t="s">
        <v>29</v>
      </c>
      <c r="D1620" s="8" t="s">
        <v>33</v>
      </c>
    </row>
    <row r="1621" customFormat="false" ht="15" hidden="false" customHeight="false" outlineLevel="0" collapsed="false">
      <c r="A1621" s="7" t="s">
        <v>1656</v>
      </c>
      <c r="B1621" s="7" t="s">
        <v>49</v>
      </c>
      <c r="C1621" s="14" t="s">
        <v>29</v>
      </c>
      <c r="D1621" s="8" t="s">
        <v>33</v>
      </c>
    </row>
    <row r="1622" customFormat="false" ht="15" hidden="false" customHeight="false" outlineLevel="0" collapsed="false">
      <c r="A1622" s="7" t="s">
        <v>1656</v>
      </c>
      <c r="B1622" s="7" t="s">
        <v>47</v>
      </c>
      <c r="C1622" s="14" t="s">
        <v>29</v>
      </c>
      <c r="D1622" s="8" t="s">
        <v>46</v>
      </c>
    </row>
    <row r="1623" customFormat="false" ht="15" hidden="false" customHeight="false" outlineLevel="0" collapsed="false">
      <c r="A1623" s="7" t="s">
        <v>1657</v>
      </c>
      <c r="B1623" s="7" t="s">
        <v>86</v>
      </c>
      <c r="C1623" s="10" t="s">
        <v>67</v>
      </c>
      <c r="D1623" s="8" t="s">
        <v>87</v>
      </c>
    </row>
    <row r="1624" customFormat="false" ht="15" hidden="false" customHeight="false" outlineLevel="0" collapsed="false">
      <c r="A1624" s="7" t="s">
        <v>1658</v>
      </c>
      <c r="B1624" s="7" t="s">
        <v>32</v>
      </c>
      <c r="C1624" s="14" t="s">
        <v>29</v>
      </c>
      <c r="D1624" s="8" t="s">
        <v>33</v>
      </c>
    </row>
    <row r="1625" customFormat="false" ht="15" hidden="false" customHeight="false" outlineLevel="0" collapsed="false">
      <c r="A1625" s="7" t="s">
        <v>1659</v>
      </c>
      <c r="B1625" s="7" t="s">
        <v>71</v>
      </c>
      <c r="C1625" s="10" t="s">
        <v>67</v>
      </c>
      <c r="D1625" s="8" t="s">
        <v>33</v>
      </c>
    </row>
    <row r="1626" customFormat="false" ht="15" hidden="false" customHeight="false" outlineLevel="0" collapsed="false">
      <c r="A1626" s="7" t="s">
        <v>1660</v>
      </c>
      <c r="B1626" s="7" t="s">
        <v>37</v>
      </c>
      <c r="C1626" s="14" t="s">
        <v>29</v>
      </c>
      <c r="D1626" s="8" t="s">
        <v>38</v>
      </c>
    </row>
    <row r="1627" customFormat="false" ht="15" hidden="false" customHeight="false" outlineLevel="0" collapsed="false">
      <c r="A1627" s="7" t="s">
        <v>1661</v>
      </c>
      <c r="B1627" s="7" t="s">
        <v>55</v>
      </c>
      <c r="C1627" s="14" t="s">
        <v>29</v>
      </c>
      <c r="D1627" s="8" t="s">
        <v>46</v>
      </c>
    </row>
    <row r="1628" customFormat="false" ht="15" hidden="false" customHeight="false" outlineLevel="0" collapsed="false">
      <c r="A1628" s="7" t="s">
        <v>1662</v>
      </c>
      <c r="B1628" s="7" t="s">
        <v>49</v>
      </c>
      <c r="C1628" s="14" t="s">
        <v>29</v>
      </c>
      <c r="D1628" s="8" t="s">
        <v>33</v>
      </c>
    </row>
    <row r="1629" customFormat="false" ht="15" hidden="false" customHeight="false" outlineLevel="0" collapsed="false">
      <c r="A1629" s="7" t="s">
        <v>1662</v>
      </c>
      <c r="B1629" s="7" t="s">
        <v>47</v>
      </c>
      <c r="C1629" s="14" t="s">
        <v>29</v>
      </c>
      <c r="D1629" s="8" t="s">
        <v>46</v>
      </c>
    </row>
    <row r="1630" customFormat="false" ht="15" hidden="false" customHeight="false" outlineLevel="0" collapsed="false">
      <c r="A1630" s="7" t="s">
        <v>150</v>
      </c>
      <c r="B1630" s="7" t="s">
        <v>47</v>
      </c>
      <c r="C1630" s="14" t="s">
        <v>29</v>
      </c>
      <c r="D1630" s="8" t="s">
        <v>46</v>
      </c>
    </row>
    <row r="1631" customFormat="false" ht="15" hidden="false" customHeight="false" outlineLevel="0" collapsed="false">
      <c r="A1631" s="7" t="s">
        <v>1663</v>
      </c>
      <c r="B1631" s="7" t="s">
        <v>40</v>
      </c>
      <c r="C1631" s="14" t="s">
        <v>29</v>
      </c>
      <c r="D1631" s="8" t="s">
        <v>33</v>
      </c>
    </row>
    <row r="1632" customFormat="false" ht="15" hidden="false" customHeight="false" outlineLevel="0" collapsed="false">
      <c r="A1632" s="7" t="s">
        <v>1664</v>
      </c>
      <c r="B1632" s="7" t="s">
        <v>64</v>
      </c>
      <c r="C1632" s="14" t="s">
        <v>29</v>
      </c>
      <c r="D1632" s="8" t="s">
        <v>38</v>
      </c>
    </row>
    <row r="1633" customFormat="false" ht="15" hidden="false" customHeight="false" outlineLevel="0" collapsed="false">
      <c r="A1633" s="7" t="s">
        <v>1665</v>
      </c>
      <c r="B1633" s="7" t="s">
        <v>37</v>
      </c>
      <c r="C1633" s="14" t="s">
        <v>29</v>
      </c>
      <c r="D1633" s="8" t="s">
        <v>38</v>
      </c>
    </row>
    <row r="1634" customFormat="false" ht="15" hidden="false" customHeight="false" outlineLevel="0" collapsed="false">
      <c r="A1634" s="7" t="s">
        <v>1665</v>
      </c>
      <c r="B1634" s="7" t="s">
        <v>40</v>
      </c>
      <c r="C1634" s="14" t="s">
        <v>29</v>
      </c>
      <c r="D1634" s="8" t="s">
        <v>33</v>
      </c>
    </row>
    <row r="1635" customFormat="false" ht="15" hidden="false" customHeight="false" outlineLevel="0" collapsed="false">
      <c r="A1635" s="7" t="s">
        <v>1665</v>
      </c>
      <c r="B1635" s="7" t="s">
        <v>69</v>
      </c>
      <c r="C1635" s="14" t="s">
        <v>29</v>
      </c>
      <c r="D1635" s="8" t="s">
        <v>33</v>
      </c>
    </row>
    <row r="1636" customFormat="false" ht="15" hidden="false" customHeight="false" outlineLevel="0" collapsed="false">
      <c r="A1636" s="7" t="s">
        <v>1665</v>
      </c>
      <c r="B1636" s="7" t="s">
        <v>51</v>
      </c>
      <c r="C1636" s="14" t="s">
        <v>29</v>
      </c>
      <c r="D1636" s="8" t="s">
        <v>33</v>
      </c>
    </row>
    <row r="1637" customFormat="false" ht="15" hidden="false" customHeight="false" outlineLevel="0" collapsed="false">
      <c r="A1637" s="7" t="s">
        <v>1666</v>
      </c>
      <c r="B1637" s="7" t="s">
        <v>71</v>
      </c>
      <c r="C1637" s="10" t="s">
        <v>67</v>
      </c>
      <c r="D1637" s="8" t="s">
        <v>33</v>
      </c>
    </row>
    <row r="1638" customFormat="false" ht="15" hidden="false" customHeight="false" outlineLevel="0" collapsed="false">
      <c r="A1638" s="7" t="s">
        <v>1666</v>
      </c>
      <c r="B1638" s="7" t="s">
        <v>55</v>
      </c>
      <c r="C1638" s="14" t="s">
        <v>29</v>
      </c>
      <c r="D1638" s="8" t="s">
        <v>46</v>
      </c>
    </row>
    <row r="1639" customFormat="false" ht="15" hidden="false" customHeight="false" outlineLevel="0" collapsed="false">
      <c r="A1639" s="7" t="s">
        <v>1667</v>
      </c>
      <c r="B1639" s="7" t="s">
        <v>89</v>
      </c>
      <c r="C1639" s="14" t="s">
        <v>29</v>
      </c>
      <c r="D1639" s="8" t="s">
        <v>87</v>
      </c>
    </row>
    <row r="1640" customFormat="false" ht="15" hidden="false" customHeight="false" outlineLevel="0" collapsed="false">
      <c r="A1640" s="7" t="s">
        <v>1667</v>
      </c>
      <c r="B1640" s="7" t="s">
        <v>69</v>
      </c>
      <c r="C1640" s="14" t="s">
        <v>29</v>
      </c>
      <c r="D1640" s="8" t="s">
        <v>33</v>
      </c>
    </row>
    <row r="1641" customFormat="false" ht="15" hidden="false" customHeight="false" outlineLevel="0" collapsed="false">
      <c r="A1641" s="7" t="s">
        <v>1668</v>
      </c>
      <c r="B1641" s="7" t="s">
        <v>60</v>
      </c>
      <c r="C1641" s="14" t="s">
        <v>29</v>
      </c>
      <c r="D1641" s="8" t="s">
        <v>46</v>
      </c>
    </row>
    <row r="1642" customFormat="false" ht="15" hidden="false" customHeight="false" outlineLevel="0" collapsed="false">
      <c r="A1642" s="7" t="s">
        <v>1669</v>
      </c>
      <c r="B1642" s="7" t="s">
        <v>37</v>
      </c>
      <c r="C1642" s="14" t="s">
        <v>29</v>
      </c>
      <c r="D1642" s="8" t="s">
        <v>38</v>
      </c>
    </row>
    <row r="1643" customFormat="false" ht="15" hidden="false" customHeight="false" outlineLevel="0" collapsed="false">
      <c r="A1643" s="7" t="s">
        <v>1670</v>
      </c>
      <c r="B1643" s="7" t="s">
        <v>71</v>
      </c>
      <c r="C1643" s="10" t="s">
        <v>67</v>
      </c>
      <c r="D1643" s="8" t="s">
        <v>33</v>
      </c>
    </row>
    <row r="1644" customFormat="false" ht="15" hidden="false" customHeight="false" outlineLevel="0" collapsed="false">
      <c r="A1644" s="7" t="s">
        <v>1671</v>
      </c>
      <c r="B1644" s="7" t="s">
        <v>40</v>
      </c>
      <c r="C1644" s="14" t="s">
        <v>29</v>
      </c>
      <c r="D1644" s="8" t="s">
        <v>33</v>
      </c>
    </row>
    <row r="1645" customFormat="false" ht="15" hidden="false" customHeight="false" outlineLevel="0" collapsed="false">
      <c r="A1645" s="7" t="s">
        <v>1672</v>
      </c>
      <c r="B1645" s="7" t="s">
        <v>43</v>
      </c>
      <c r="C1645" s="14" t="s">
        <v>29</v>
      </c>
      <c r="D1645" s="8" t="s">
        <v>38</v>
      </c>
    </row>
    <row r="1646" customFormat="false" ht="15" hidden="false" customHeight="false" outlineLevel="0" collapsed="false">
      <c r="A1646" s="7" t="s">
        <v>1673</v>
      </c>
      <c r="B1646" s="7" t="s">
        <v>55</v>
      </c>
      <c r="C1646" s="14" t="s">
        <v>29</v>
      </c>
      <c r="D1646" s="8" t="s">
        <v>46</v>
      </c>
    </row>
    <row r="1647" customFormat="false" ht="15" hidden="false" customHeight="false" outlineLevel="0" collapsed="false">
      <c r="A1647" s="7" t="s">
        <v>1673</v>
      </c>
      <c r="B1647" s="7" t="s">
        <v>60</v>
      </c>
      <c r="C1647" s="14" t="s">
        <v>29</v>
      </c>
      <c r="D1647" s="8" t="s">
        <v>46</v>
      </c>
    </row>
    <row r="1648" customFormat="false" ht="15" hidden="false" customHeight="false" outlineLevel="0" collapsed="false">
      <c r="A1648" s="7" t="s">
        <v>1673</v>
      </c>
      <c r="B1648" s="7" t="s">
        <v>69</v>
      </c>
      <c r="C1648" s="14" t="s">
        <v>29</v>
      </c>
      <c r="D1648" s="8" t="s">
        <v>33</v>
      </c>
    </row>
    <row r="1649" customFormat="false" ht="15" hidden="false" customHeight="false" outlineLevel="0" collapsed="false">
      <c r="A1649" s="7" t="s">
        <v>1673</v>
      </c>
      <c r="B1649" s="7" t="s">
        <v>40</v>
      </c>
      <c r="C1649" s="14" t="s">
        <v>29</v>
      </c>
      <c r="D1649" s="8" t="s">
        <v>33</v>
      </c>
    </row>
    <row r="1650" customFormat="false" ht="15" hidden="false" customHeight="false" outlineLevel="0" collapsed="false">
      <c r="A1650" s="7" t="s">
        <v>1674</v>
      </c>
      <c r="B1650" s="7" t="s">
        <v>37</v>
      </c>
      <c r="C1650" s="14" t="s">
        <v>29</v>
      </c>
      <c r="D1650" s="8" t="s">
        <v>38</v>
      </c>
    </row>
    <row r="1651" customFormat="false" ht="15" hidden="false" customHeight="false" outlineLevel="0" collapsed="false">
      <c r="A1651" s="7" t="s">
        <v>1675</v>
      </c>
      <c r="B1651" s="7" t="s">
        <v>86</v>
      </c>
      <c r="C1651" s="10" t="s">
        <v>67</v>
      </c>
      <c r="D1651" s="8" t="s">
        <v>87</v>
      </c>
    </row>
    <row r="1652" customFormat="false" ht="15" hidden="false" customHeight="false" outlineLevel="0" collapsed="false">
      <c r="A1652" s="7" t="s">
        <v>1676</v>
      </c>
      <c r="B1652" s="7" t="s">
        <v>55</v>
      </c>
      <c r="C1652" s="14" t="s">
        <v>29</v>
      </c>
      <c r="D1652" s="8" t="s">
        <v>46</v>
      </c>
    </row>
    <row r="1653" customFormat="false" ht="15" hidden="false" customHeight="false" outlineLevel="0" collapsed="false">
      <c r="A1653" s="7" t="s">
        <v>1677</v>
      </c>
      <c r="B1653" s="7" t="s">
        <v>71</v>
      </c>
      <c r="C1653" s="10" t="s">
        <v>67</v>
      </c>
      <c r="D1653" s="8" t="s">
        <v>33</v>
      </c>
    </row>
    <row r="1654" customFormat="false" ht="15" hidden="false" customHeight="false" outlineLevel="0" collapsed="false">
      <c r="A1654" s="7" t="s">
        <v>1677</v>
      </c>
      <c r="B1654" s="7" t="s">
        <v>37</v>
      </c>
      <c r="C1654" s="14" t="s">
        <v>29</v>
      </c>
      <c r="D1654" s="8" t="s">
        <v>38</v>
      </c>
    </row>
    <row r="1655" customFormat="false" ht="15" hidden="false" customHeight="false" outlineLevel="0" collapsed="false">
      <c r="A1655" s="7" t="s">
        <v>1678</v>
      </c>
      <c r="B1655" s="7" t="s">
        <v>69</v>
      </c>
      <c r="C1655" s="14" t="s">
        <v>29</v>
      </c>
      <c r="D1655" s="8" t="s">
        <v>33</v>
      </c>
    </row>
    <row r="1656" customFormat="false" ht="15" hidden="false" customHeight="false" outlineLevel="0" collapsed="false">
      <c r="A1656" s="7" t="s">
        <v>1678</v>
      </c>
      <c r="B1656" s="7" t="s">
        <v>62</v>
      </c>
      <c r="C1656" s="14" t="s">
        <v>29</v>
      </c>
      <c r="D1656" s="8" t="s">
        <v>46</v>
      </c>
    </row>
    <row r="1657" customFormat="false" ht="15" hidden="false" customHeight="false" outlineLevel="0" collapsed="false">
      <c r="A1657" s="7" t="s">
        <v>1679</v>
      </c>
      <c r="B1657" s="7" t="s">
        <v>69</v>
      </c>
      <c r="C1657" s="14" t="s">
        <v>29</v>
      </c>
      <c r="D1657" s="8" t="s">
        <v>33</v>
      </c>
    </row>
    <row r="1658" customFormat="false" ht="15" hidden="false" customHeight="false" outlineLevel="0" collapsed="false">
      <c r="A1658" s="7" t="s">
        <v>1679</v>
      </c>
      <c r="B1658" s="7" t="s">
        <v>62</v>
      </c>
      <c r="C1658" s="14" t="s">
        <v>29</v>
      </c>
      <c r="D1658" s="8" t="s">
        <v>46</v>
      </c>
    </row>
    <row r="1659" customFormat="false" ht="15" hidden="false" customHeight="false" outlineLevel="0" collapsed="false">
      <c r="A1659" s="7" t="s">
        <v>1680</v>
      </c>
      <c r="B1659" s="7" t="s">
        <v>40</v>
      </c>
      <c r="C1659" s="14" t="s">
        <v>29</v>
      </c>
      <c r="D1659" s="8" t="s">
        <v>33</v>
      </c>
    </row>
    <row r="1660" customFormat="false" ht="15" hidden="false" customHeight="false" outlineLevel="0" collapsed="false">
      <c r="A1660" s="7" t="s">
        <v>1680</v>
      </c>
      <c r="B1660" s="7" t="s">
        <v>58</v>
      </c>
      <c r="C1660" s="14" t="s">
        <v>29</v>
      </c>
      <c r="D1660" s="8" t="s">
        <v>46</v>
      </c>
    </row>
    <row r="1661" customFormat="false" ht="15" hidden="false" customHeight="false" outlineLevel="0" collapsed="false">
      <c r="A1661" s="7" t="s">
        <v>1681</v>
      </c>
      <c r="B1661" s="7" t="s">
        <v>71</v>
      </c>
      <c r="C1661" s="10" t="s">
        <v>67</v>
      </c>
      <c r="D1661" s="8" t="s">
        <v>33</v>
      </c>
    </row>
    <row r="1662" customFormat="false" ht="15" hidden="false" customHeight="false" outlineLevel="0" collapsed="false">
      <c r="A1662" s="7" t="s">
        <v>1681</v>
      </c>
      <c r="B1662" s="7" t="s">
        <v>89</v>
      </c>
      <c r="C1662" s="14" t="s">
        <v>29</v>
      </c>
      <c r="D1662" s="8" t="s">
        <v>87</v>
      </c>
    </row>
    <row r="1663" customFormat="false" ht="15" hidden="false" customHeight="false" outlineLevel="0" collapsed="false">
      <c r="A1663" s="7" t="s">
        <v>1681</v>
      </c>
      <c r="B1663" s="7" t="s">
        <v>79</v>
      </c>
      <c r="C1663" s="10" t="s">
        <v>67</v>
      </c>
      <c r="D1663" s="8" t="s">
        <v>33</v>
      </c>
    </row>
    <row r="1664" customFormat="false" ht="15" hidden="false" customHeight="false" outlineLevel="0" collapsed="false">
      <c r="A1664" s="7" t="s">
        <v>1682</v>
      </c>
      <c r="B1664" s="7" t="s">
        <v>58</v>
      </c>
      <c r="C1664" s="10" t="s">
        <v>67</v>
      </c>
      <c r="D1664" s="8" t="s">
        <v>46</v>
      </c>
    </row>
    <row r="1665" customFormat="false" ht="15" hidden="false" customHeight="false" outlineLevel="0" collapsed="false">
      <c r="A1665" s="7" t="s">
        <v>1683</v>
      </c>
      <c r="B1665" s="7" t="s">
        <v>58</v>
      </c>
      <c r="C1665" s="14" t="s">
        <v>29</v>
      </c>
      <c r="D1665" s="8" t="s">
        <v>46</v>
      </c>
    </row>
    <row r="1666" customFormat="false" ht="15" hidden="false" customHeight="false" outlineLevel="0" collapsed="false">
      <c r="A1666" s="7" t="s">
        <v>1684</v>
      </c>
      <c r="B1666" s="7" t="s">
        <v>79</v>
      </c>
      <c r="C1666" s="10" t="s">
        <v>67</v>
      </c>
      <c r="D1666" s="8" t="s">
        <v>33</v>
      </c>
    </row>
    <row r="1667" customFormat="false" ht="15" hidden="false" customHeight="false" outlineLevel="0" collapsed="false">
      <c r="A1667" s="7" t="s">
        <v>1685</v>
      </c>
      <c r="B1667" s="7" t="s">
        <v>40</v>
      </c>
      <c r="C1667" s="14" t="s">
        <v>29</v>
      </c>
      <c r="D1667" s="8" t="s">
        <v>33</v>
      </c>
    </row>
    <row r="1668" customFormat="false" ht="15" hidden="false" customHeight="false" outlineLevel="0" collapsed="false">
      <c r="A1668" s="7" t="s">
        <v>1686</v>
      </c>
      <c r="B1668" s="7" t="s">
        <v>58</v>
      </c>
      <c r="C1668" s="10" t="s">
        <v>67</v>
      </c>
      <c r="D1668" s="8" t="s">
        <v>46</v>
      </c>
    </row>
    <row r="1669" customFormat="false" ht="15" hidden="false" customHeight="false" outlineLevel="0" collapsed="false">
      <c r="A1669" s="7" t="s">
        <v>1687</v>
      </c>
      <c r="B1669" s="7" t="s">
        <v>40</v>
      </c>
      <c r="C1669" s="14" t="s">
        <v>29</v>
      </c>
      <c r="D1669" s="8" t="s">
        <v>33</v>
      </c>
    </row>
    <row r="1670" customFormat="false" ht="15" hidden="false" customHeight="false" outlineLevel="0" collapsed="false">
      <c r="A1670" s="7" t="s">
        <v>1687</v>
      </c>
      <c r="B1670" s="7" t="s">
        <v>69</v>
      </c>
      <c r="C1670" s="14" t="s">
        <v>29</v>
      </c>
      <c r="D1670" s="8" t="s">
        <v>33</v>
      </c>
    </row>
    <row r="1671" customFormat="false" ht="15" hidden="false" customHeight="false" outlineLevel="0" collapsed="false">
      <c r="A1671" s="7" t="s">
        <v>1687</v>
      </c>
      <c r="B1671" s="7" t="s">
        <v>58</v>
      </c>
      <c r="C1671" s="14" t="s">
        <v>29</v>
      </c>
      <c r="D1671" s="8" t="s">
        <v>46</v>
      </c>
    </row>
    <row r="1672" customFormat="false" ht="15" hidden="false" customHeight="false" outlineLevel="0" collapsed="false">
      <c r="A1672" s="7" t="s">
        <v>1688</v>
      </c>
      <c r="B1672" s="7" t="s">
        <v>71</v>
      </c>
      <c r="C1672" s="10" t="s">
        <v>67</v>
      </c>
      <c r="D1672" s="8" t="s">
        <v>33</v>
      </c>
    </row>
    <row r="1673" customFormat="false" ht="15" hidden="false" customHeight="false" outlineLevel="0" collapsed="false">
      <c r="A1673" s="7" t="s">
        <v>1689</v>
      </c>
      <c r="B1673" s="7" t="s">
        <v>77</v>
      </c>
      <c r="C1673" s="10" t="s">
        <v>67</v>
      </c>
      <c r="D1673" s="8" t="s">
        <v>46</v>
      </c>
    </row>
    <row r="1674" customFormat="false" ht="15" hidden="false" customHeight="false" outlineLevel="0" collapsed="false">
      <c r="A1674" s="7" t="s">
        <v>1690</v>
      </c>
      <c r="B1674" s="7" t="s">
        <v>77</v>
      </c>
      <c r="C1674" s="10" t="s">
        <v>67</v>
      </c>
      <c r="D1674" s="8" t="s">
        <v>46</v>
      </c>
    </row>
    <row r="1675" customFormat="false" ht="15" hidden="false" customHeight="false" outlineLevel="0" collapsed="false">
      <c r="A1675" s="7" t="s">
        <v>1691</v>
      </c>
      <c r="B1675" s="7" t="s">
        <v>66</v>
      </c>
      <c r="C1675" s="10" t="s">
        <v>67</v>
      </c>
      <c r="D1675" s="8" t="s">
        <v>33</v>
      </c>
    </row>
    <row r="1676" customFormat="false" ht="15" hidden="false" customHeight="false" outlineLevel="0" collapsed="false">
      <c r="A1676" s="7" t="s">
        <v>1692</v>
      </c>
      <c r="B1676" s="7" t="s">
        <v>82</v>
      </c>
      <c r="C1676" s="14" t="s">
        <v>29</v>
      </c>
      <c r="D1676" s="8" t="s">
        <v>46</v>
      </c>
    </row>
    <row r="1677" customFormat="false" ht="15" hidden="false" customHeight="false" outlineLevel="0" collapsed="false">
      <c r="A1677" s="7" t="s">
        <v>1693</v>
      </c>
      <c r="B1677" s="7" t="s">
        <v>40</v>
      </c>
      <c r="C1677" s="14" t="s">
        <v>29</v>
      </c>
      <c r="D1677" s="8" t="s">
        <v>33</v>
      </c>
    </row>
    <row r="1678" customFormat="false" ht="15" hidden="false" customHeight="false" outlineLevel="0" collapsed="false">
      <c r="A1678" s="7" t="s">
        <v>1694</v>
      </c>
      <c r="B1678" s="7" t="s">
        <v>77</v>
      </c>
      <c r="C1678" s="10" t="s">
        <v>67</v>
      </c>
      <c r="D1678" s="8" t="s">
        <v>46</v>
      </c>
    </row>
    <row r="1679" customFormat="false" ht="15" hidden="false" customHeight="false" outlineLevel="0" collapsed="false">
      <c r="A1679" s="7" t="s">
        <v>1695</v>
      </c>
      <c r="B1679" s="7" t="s">
        <v>100</v>
      </c>
      <c r="C1679" s="10" t="s">
        <v>67</v>
      </c>
      <c r="D1679" s="8" t="s">
        <v>38</v>
      </c>
    </row>
    <row r="1680" customFormat="false" ht="15" hidden="false" customHeight="false" outlineLevel="0" collapsed="false">
      <c r="A1680" s="7" t="s">
        <v>1695</v>
      </c>
      <c r="B1680" s="7" t="s">
        <v>71</v>
      </c>
      <c r="C1680" s="10" t="s">
        <v>67</v>
      </c>
      <c r="D1680" s="8" t="s">
        <v>33</v>
      </c>
    </row>
    <row r="1681" customFormat="false" ht="15" hidden="false" customHeight="false" outlineLevel="0" collapsed="false">
      <c r="A1681" s="7" t="s">
        <v>151</v>
      </c>
      <c r="B1681" s="7" t="s">
        <v>77</v>
      </c>
      <c r="C1681" s="10" t="s">
        <v>67</v>
      </c>
      <c r="D1681" s="8" t="s">
        <v>46</v>
      </c>
    </row>
    <row r="1682" customFormat="false" ht="15" hidden="false" customHeight="false" outlineLevel="0" collapsed="false">
      <c r="A1682" s="7" t="s">
        <v>1696</v>
      </c>
      <c r="B1682" s="7" t="s">
        <v>71</v>
      </c>
      <c r="C1682" s="10" t="s">
        <v>67</v>
      </c>
      <c r="D1682" s="8" t="s">
        <v>33</v>
      </c>
    </row>
    <row r="1683" customFormat="false" ht="15" hidden="false" customHeight="false" outlineLevel="0" collapsed="false">
      <c r="A1683" s="7" t="s">
        <v>1697</v>
      </c>
      <c r="B1683" s="7" t="s">
        <v>66</v>
      </c>
      <c r="C1683" s="10" t="s">
        <v>67</v>
      </c>
      <c r="D1683" s="8" t="s">
        <v>33</v>
      </c>
    </row>
    <row r="1684" customFormat="false" ht="15" hidden="false" customHeight="false" outlineLevel="0" collapsed="false">
      <c r="A1684" s="7" t="s">
        <v>1698</v>
      </c>
      <c r="B1684" s="7" t="s">
        <v>55</v>
      </c>
      <c r="C1684" s="10" t="s">
        <v>67</v>
      </c>
      <c r="D1684" s="8" t="s">
        <v>46</v>
      </c>
    </row>
    <row r="1685" customFormat="false" ht="15" hidden="false" customHeight="false" outlineLevel="0" collapsed="false">
      <c r="A1685" s="7" t="s">
        <v>1699</v>
      </c>
      <c r="B1685" s="7" t="s">
        <v>79</v>
      </c>
      <c r="C1685" s="10" t="s">
        <v>67</v>
      </c>
      <c r="D1685" s="8" t="s">
        <v>33</v>
      </c>
    </row>
    <row r="1686" customFormat="false" ht="15" hidden="false" customHeight="false" outlineLevel="0" collapsed="false">
      <c r="A1686" s="7" t="s">
        <v>152</v>
      </c>
      <c r="B1686" s="7" t="s">
        <v>58</v>
      </c>
      <c r="C1686" s="10" t="s">
        <v>67</v>
      </c>
      <c r="D1686" s="8" t="s">
        <v>46</v>
      </c>
    </row>
    <row r="1687" customFormat="false" ht="15" hidden="false" customHeight="false" outlineLevel="0" collapsed="false">
      <c r="A1687" s="7" t="s">
        <v>1700</v>
      </c>
      <c r="B1687" s="7" t="s">
        <v>69</v>
      </c>
      <c r="C1687" s="14" t="s">
        <v>29</v>
      </c>
      <c r="D1687" s="8" t="s">
        <v>33</v>
      </c>
    </row>
    <row r="1688" customFormat="false" ht="15" hidden="false" customHeight="false" outlineLevel="0" collapsed="false">
      <c r="A1688" s="7" t="s">
        <v>1700</v>
      </c>
      <c r="B1688" s="7" t="s">
        <v>58</v>
      </c>
      <c r="C1688" s="14" t="s">
        <v>29</v>
      </c>
      <c r="D1688" s="8" t="s">
        <v>46</v>
      </c>
    </row>
    <row r="1689" customFormat="false" ht="15" hidden="false" customHeight="false" outlineLevel="0" collapsed="false">
      <c r="A1689" s="7" t="s">
        <v>1701</v>
      </c>
      <c r="B1689" s="7" t="s">
        <v>91</v>
      </c>
      <c r="C1689" s="14" t="s">
        <v>29</v>
      </c>
      <c r="D1689" s="8" t="s">
        <v>87</v>
      </c>
    </row>
    <row r="1690" customFormat="false" ht="15" hidden="false" customHeight="false" outlineLevel="0" collapsed="false">
      <c r="A1690" s="7" t="s">
        <v>1701</v>
      </c>
      <c r="B1690" s="7" t="s">
        <v>86</v>
      </c>
      <c r="C1690" s="10" t="s">
        <v>67</v>
      </c>
      <c r="D1690" s="8" t="s">
        <v>87</v>
      </c>
    </row>
    <row r="1691" customFormat="false" ht="15" hidden="false" customHeight="false" outlineLevel="0" collapsed="false">
      <c r="A1691" s="7" t="s">
        <v>1702</v>
      </c>
      <c r="B1691" s="7" t="s">
        <v>58</v>
      </c>
      <c r="C1691" s="10" t="s">
        <v>67</v>
      </c>
      <c r="D1691" s="8" t="s">
        <v>46</v>
      </c>
    </row>
    <row r="1692" customFormat="false" ht="15" hidden="false" customHeight="false" outlineLevel="0" collapsed="false">
      <c r="A1692" s="7" t="s">
        <v>1703</v>
      </c>
      <c r="B1692" s="7" t="s">
        <v>58</v>
      </c>
      <c r="C1692" s="14" t="s">
        <v>29</v>
      </c>
      <c r="D1692" s="8" t="s">
        <v>46</v>
      </c>
    </row>
    <row r="1693" customFormat="false" ht="15" hidden="false" customHeight="false" outlineLevel="0" collapsed="false">
      <c r="A1693" s="7" t="s">
        <v>1704</v>
      </c>
      <c r="B1693" s="7" t="s">
        <v>40</v>
      </c>
      <c r="C1693" s="14" t="s">
        <v>29</v>
      </c>
      <c r="D1693" s="8" t="s">
        <v>33</v>
      </c>
    </row>
    <row r="1694" customFormat="false" ht="15" hidden="false" customHeight="false" outlineLevel="0" collapsed="false">
      <c r="A1694" s="7" t="s">
        <v>1705</v>
      </c>
      <c r="B1694" s="7" t="s">
        <v>45</v>
      </c>
      <c r="C1694" s="14" t="s">
        <v>29</v>
      </c>
      <c r="D1694" s="8" t="s">
        <v>46</v>
      </c>
    </row>
    <row r="1695" customFormat="false" ht="15" hidden="false" customHeight="false" outlineLevel="0" collapsed="false">
      <c r="A1695" s="7" t="s">
        <v>1706</v>
      </c>
      <c r="B1695" s="7" t="s">
        <v>71</v>
      </c>
      <c r="C1695" s="10" t="s">
        <v>67</v>
      </c>
      <c r="D1695" s="8" t="s">
        <v>33</v>
      </c>
    </row>
    <row r="1696" customFormat="false" ht="15" hidden="false" customHeight="false" outlineLevel="0" collapsed="false">
      <c r="A1696" s="7" t="s">
        <v>1707</v>
      </c>
      <c r="B1696" s="7" t="s">
        <v>77</v>
      </c>
      <c r="C1696" s="10" t="s">
        <v>67</v>
      </c>
      <c r="D1696" s="8" t="s">
        <v>46</v>
      </c>
    </row>
    <row r="1697" customFormat="false" ht="15" hidden="false" customHeight="false" outlineLevel="0" collapsed="false">
      <c r="A1697" s="7" t="s">
        <v>1708</v>
      </c>
      <c r="B1697" s="7" t="s">
        <v>77</v>
      </c>
      <c r="C1697" s="10" t="s">
        <v>67</v>
      </c>
      <c r="D1697" s="8" t="s">
        <v>46</v>
      </c>
    </row>
    <row r="1698" customFormat="false" ht="15" hidden="false" customHeight="false" outlineLevel="0" collapsed="false">
      <c r="A1698" s="7" t="s">
        <v>1709</v>
      </c>
      <c r="B1698" s="7" t="s">
        <v>71</v>
      </c>
      <c r="C1698" s="10" t="s">
        <v>67</v>
      </c>
      <c r="D1698" s="8" t="s">
        <v>33</v>
      </c>
    </row>
    <row r="1699" customFormat="false" ht="15" hidden="false" customHeight="false" outlineLevel="0" collapsed="false">
      <c r="A1699" s="7" t="s">
        <v>1710</v>
      </c>
      <c r="B1699" s="7" t="s">
        <v>71</v>
      </c>
      <c r="C1699" s="10" t="s">
        <v>67</v>
      </c>
      <c r="D1699" s="8" t="s">
        <v>33</v>
      </c>
    </row>
    <row r="1700" customFormat="false" ht="15" hidden="false" customHeight="false" outlineLevel="0" collapsed="false">
      <c r="A1700" s="7" t="s">
        <v>1711</v>
      </c>
      <c r="B1700" s="7" t="s">
        <v>71</v>
      </c>
      <c r="C1700" s="10" t="s">
        <v>67</v>
      </c>
      <c r="D1700" s="8" t="s">
        <v>33</v>
      </c>
    </row>
    <row r="1701" customFormat="false" ht="15" hidden="false" customHeight="false" outlineLevel="0" collapsed="false">
      <c r="A1701" s="7" t="s">
        <v>1712</v>
      </c>
      <c r="B1701" s="7" t="s">
        <v>77</v>
      </c>
      <c r="C1701" s="10" t="s">
        <v>67</v>
      </c>
      <c r="D1701" s="8" t="s">
        <v>46</v>
      </c>
    </row>
    <row r="1702" customFormat="false" ht="15" hidden="false" customHeight="false" outlineLevel="0" collapsed="false">
      <c r="A1702" s="7" t="s">
        <v>1713</v>
      </c>
      <c r="B1702" s="7" t="s">
        <v>71</v>
      </c>
      <c r="C1702" s="10" t="s">
        <v>67</v>
      </c>
      <c r="D1702" s="8" t="s">
        <v>33</v>
      </c>
    </row>
    <row r="1703" customFormat="false" ht="15" hidden="false" customHeight="false" outlineLevel="0" collapsed="false">
      <c r="A1703" s="7" t="s">
        <v>1714</v>
      </c>
      <c r="B1703" s="7" t="s">
        <v>55</v>
      </c>
      <c r="C1703" s="10" t="s">
        <v>67</v>
      </c>
      <c r="D1703" s="8" t="s">
        <v>46</v>
      </c>
    </row>
    <row r="1704" customFormat="false" ht="15" hidden="false" customHeight="false" outlineLevel="0" collapsed="false">
      <c r="A1704" s="7" t="s">
        <v>1715</v>
      </c>
      <c r="B1704" s="7" t="s">
        <v>71</v>
      </c>
      <c r="C1704" s="10" t="s">
        <v>67</v>
      </c>
      <c r="D1704" s="8" t="s">
        <v>33</v>
      </c>
    </row>
    <row r="1705" customFormat="false" ht="15" hidden="false" customHeight="false" outlineLevel="0" collapsed="false">
      <c r="A1705" s="7" t="s">
        <v>1715</v>
      </c>
      <c r="B1705" s="7" t="s">
        <v>55</v>
      </c>
      <c r="C1705" s="10" t="s">
        <v>67</v>
      </c>
      <c r="D1705" s="8" t="s">
        <v>46</v>
      </c>
    </row>
    <row r="1706" customFormat="false" ht="15" hidden="false" customHeight="false" outlineLevel="0" collapsed="false">
      <c r="A1706" s="7" t="s">
        <v>1716</v>
      </c>
      <c r="B1706" s="7" t="s">
        <v>71</v>
      </c>
      <c r="C1706" s="10" t="s">
        <v>67</v>
      </c>
      <c r="D1706" s="8" t="s">
        <v>33</v>
      </c>
    </row>
    <row r="1707" customFormat="false" ht="15" hidden="false" customHeight="false" outlineLevel="0" collapsed="false">
      <c r="A1707" s="7" t="s">
        <v>1717</v>
      </c>
      <c r="B1707" s="7" t="s">
        <v>55</v>
      </c>
      <c r="C1707" s="10" t="s">
        <v>67</v>
      </c>
      <c r="D1707" s="8" t="s">
        <v>46</v>
      </c>
    </row>
    <row r="1708" customFormat="false" ht="15" hidden="false" customHeight="false" outlineLevel="0" collapsed="false">
      <c r="A1708" s="7" t="s">
        <v>1718</v>
      </c>
      <c r="B1708" s="7" t="s">
        <v>55</v>
      </c>
      <c r="C1708" s="10" t="s">
        <v>67</v>
      </c>
      <c r="D1708" s="8" t="s">
        <v>46</v>
      </c>
    </row>
    <row r="1709" customFormat="false" ht="15" hidden="false" customHeight="false" outlineLevel="0" collapsed="false">
      <c r="A1709" s="7" t="s">
        <v>1719</v>
      </c>
      <c r="B1709" s="7" t="s">
        <v>60</v>
      </c>
      <c r="C1709" s="10" t="s">
        <v>67</v>
      </c>
      <c r="D1709" s="8" t="s">
        <v>46</v>
      </c>
    </row>
    <row r="1710" customFormat="false" ht="15" hidden="false" customHeight="false" outlineLevel="0" collapsed="false">
      <c r="A1710" s="7" t="s">
        <v>1720</v>
      </c>
      <c r="B1710" s="7" t="s">
        <v>71</v>
      </c>
      <c r="C1710" s="10" t="s">
        <v>67</v>
      </c>
      <c r="D1710" s="8" t="s">
        <v>33</v>
      </c>
    </row>
    <row r="1711" customFormat="false" ht="15" hidden="false" customHeight="false" outlineLevel="0" collapsed="false">
      <c r="A1711" s="7" t="s">
        <v>1721</v>
      </c>
      <c r="B1711" s="7" t="s">
        <v>71</v>
      </c>
      <c r="C1711" s="10" t="s">
        <v>67</v>
      </c>
      <c r="D1711" s="8" t="s">
        <v>33</v>
      </c>
    </row>
    <row r="1712" customFormat="false" ht="15" hidden="false" customHeight="false" outlineLevel="0" collapsed="false">
      <c r="A1712" s="7" t="s">
        <v>1721</v>
      </c>
      <c r="B1712" s="7" t="s">
        <v>66</v>
      </c>
      <c r="C1712" s="10" t="s">
        <v>67</v>
      </c>
      <c r="D1712" s="8" t="s">
        <v>33</v>
      </c>
    </row>
    <row r="1713" customFormat="false" ht="15" hidden="false" customHeight="false" outlineLevel="0" collapsed="false">
      <c r="A1713" s="7" t="s">
        <v>1722</v>
      </c>
      <c r="B1713" s="7" t="s">
        <v>49</v>
      </c>
      <c r="C1713" s="14" t="s">
        <v>29</v>
      </c>
      <c r="D1713" s="8" t="s">
        <v>33</v>
      </c>
    </row>
    <row r="1714" customFormat="false" ht="15" hidden="false" customHeight="false" outlineLevel="0" collapsed="false">
      <c r="A1714" s="7" t="s">
        <v>1723</v>
      </c>
      <c r="B1714" s="7" t="s">
        <v>40</v>
      </c>
      <c r="C1714" s="14" t="s">
        <v>29</v>
      </c>
      <c r="D1714" s="8" t="s">
        <v>33</v>
      </c>
    </row>
    <row r="1715" customFormat="false" ht="15" hidden="false" customHeight="false" outlineLevel="0" collapsed="false">
      <c r="A1715" s="7" t="s">
        <v>1724</v>
      </c>
      <c r="B1715" s="7" t="s">
        <v>66</v>
      </c>
      <c r="C1715" s="10" t="s">
        <v>67</v>
      </c>
      <c r="D1715" s="8" t="s">
        <v>33</v>
      </c>
    </row>
    <row r="1716" customFormat="false" ht="15" hidden="false" customHeight="false" outlineLevel="0" collapsed="false">
      <c r="A1716" s="7" t="s">
        <v>1725</v>
      </c>
      <c r="B1716" s="7" t="s">
        <v>40</v>
      </c>
      <c r="C1716" s="14" t="s">
        <v>29</v>
      </c>
      <c r="D1716" s="8" t="s">
        <v>33</v>
      </c>
    </row>
    <row r="1717" customFormat="false" ht="15" hidden="false" customHeight="false" outlineLevel="0" collapsed="false">
      <c r="A1717" s="7" t="s">
        <v>1726</v>
      </c>
      <c r="B1717" s="7" t="s">
        <v>40</v>
      </c>
      <c r="C1717" s="14" t="s">
        <v>29</v>
      </c>
      <c r="D1717" s="8" t="s">
        <v>33</v>
      </c>
    </row>
    <row r="1718" customFormat="false" ht="15" hidden="false" customHeight="false" outlineLevel="0" collapsed="false">
      <c r="A1718" s="7" t="s">
        <v>1727</v>
      </c>
      <c r="B1718" s="7" t="s">
        <v>40</v>
      </c>
      <c r="C1718" s="14" t="s">
        <v>29</v>
      </c>
      <c r="D1718" s="8" t="s">
        <v>33</v>
      </c>
    </row>
    <row r="1719" customFormat="false" ht="15" hidden="false" customHeight="false" outlineLevel="0" collapsed="false">
      <c r="A1719" s="7" t="s">
        <v>1728</v>
      </c>
      <c r="B1719" s="7" t="s">
        <v>40</v>
      </c>
      <c r="C1719" s="14" t="s">
        <v>29</v>
      </c>
      <c r="D1719" s="8" t="s">
        <v>33</v>
      </c>
    </row>
    <row r="1720" customFormat="false" ht="15" hidden="false" customHeight="false" outlineLevel="0" collapsed="false">
      <c r="A1720" s="7" t="s">
        <v>1728</v>
      </c>
      <c r="B1720" s="7" t="s">
        <v>55</v>
      </c>
      <c r="C1720" s="10" t="s">
        <v>67</v>
      </c>
      <c r="D1720" s="8" t="s">
        <v>46</v>
      </c>
    </row>
    <row r="1721" customFormat="false" ht="15" hidden="false" customHeight="false" outlineLevel="0" collapsed="false">
      <c r="A1721" s="7" t="s">
        <v>1729</v>
      </c>
      <c r="B1721" s="7" t="s">
        <v>77</v>
      </c>
      <c r="C1721" s="10" t="s">
        <v>67</v>
      </c>
      <c r="D1721" s="8" t="s">
        <v>46</v>
      </c>
    </row>
    <row r="1722" customFormat="false" ht="15" hidden="false" customHeight="false" outlineLevel="0" collapsed="false">
      <c r="A1722" s="7" t="s">
        <v>1730</v>
      </c>
      <c r="B1722" s="7" t="s">
        <v>77</v>
      </c>
      <c r="C1722" s="10" t="s">
        <v>67</v>
      </c>
      <c r="D1722" s="8" t="s">
        <v>46</v>
      </c>
    </row>
    <row r="1723" customFormat="false" ht="15" hidden="false" customHeight="false" outlineLevel="0" collapsed="false">
      <c r="A1723" s="7" t="s">
        <v>1731</v>
      </c>
      <c r="B1723" s="7" t="s">
        <v>77</v>
      </c>
      <c r="C1723" s="10" t="s">
        <v>67</v>
      </c>
      <c r="D1723" s="8" t="s">
        <v>46</v>
      </c>
    </row>
    <row r="1724" customFormat="false" ht="15" hidden="false" customHeight="false" outlineLevel="0" collapsed="false">
      <c r="A1724" s="7" t="s">
        <v>1732</v>
      </c>
      <c r="B1724" s="7" t="s">
        <v>77</v>
      </c>
      <c r="C1724" s="10" t="s">
        <v>67</v>
      </c>
      <c r="D1724" s="8" t="s">
        <v>46</v>
      </c>
    </row>
    <row r="1725" customFormat="false" ht="15" hidden="false" customHeight="false" outlineLevel="0" collapsed="false">
      <c r="A1725" s="7" t="s">
        <v>1733</v>
      </c>
      <c r="B1725" s="7" t="s">
        <v>55</v>
      </c>
      <c r="C1725" s="10" t="s">
        <v>67</v>
      </c>
      <c r="D1725" s="8" t="s">
        <v>46</v>
      </c>
    </row>
    <row r="1726" customFormat="false" ht="15" hidden="false" customHeight="false" outlineLevel="0" collapsed="false">
      <c r="A1726" s="7" t="s">
        <v>1734</v>
      </c>
      <c r="B1726" s="7" t="s">
        <v>71</v>
      </c>
      <c r="C1726" s="10" t="s">
        <v>67</v>
      </c>
      <c r="D1726" s="8" t="s">
        <v>33</v>
      </c>
    </row>
    <row r="1727" customFormat="false" ht="15" hidden="false" customHeight="false" outlineLevel="0" collapsed="false">
      <c r="A1727" s="7" t="s">
        <v>1735</v>
      </c>
      <c r="B1727" s="7" t="s">
        <v>93</v>
      </c>
      <c r="C1727" s="14" t="s">
        <v>29</v>
      </c>
      <c r="D1727" s="8" t="s">
        <v>87</v>
      </c>
    </row>
    <row r="1728" customFormat="false" ht="15" hidden="false" customHeight="false" outlineLevel="0" collapsed="false">
      <c r="A1728" s="7" t="s">
        <v>1735</v>
      </c>
      <c r="B1728" s="7" t="s">
        <v>97</v>
      </c>
      <c r="C1728" s="14" t="s">
        <v>29</v>
      </c>
      <c r="D1728" s="8" t="s">
        <v>87</v>
      </c>
    </row>
    <row r="1729" customFormat="false" ht="15" hidden="false" customHeight="false" outlineLevel="0" collapsed="false">
      <c r="A1729" s="7" t="s">
        <v>1736</v>
      </c>
      <c r="B1729" s="7" t="s">
        <v>77</v>
      </c>
      <c r="C1729" s="10" t="s">
        <v>67</v>
      </c>
      <c r="D1729" s="8" t="s">
        <v>46</v>
      </c>
    </row>
    <row r="1730" customFormat="false" ht="15" hidden="false" customHeight="false" outlineLevel="0" collapsed="false">
      <c r="A1730" s="7" t="s">
        <v>1737</v>
      </c>
      <c r="B1730" s="7" t="s">
        <v>66</v>
      </c>
      <c r="C1730" s="10" t="s">
        <v>67</v>
      </c>
      <c r="D1730" s="8" t="s">
        <v>33</v>
      </c>
    </row>
    <row r="1731" customFormat="false" ht="15" hidden="false" customHeight="false" outlineLevel="0" collapsed="false">
      <c r="A1731" s="7" t="s">
        <v>1738</v>
      </c>
      <c r="B1731" s="7" t="s">
        <v>60</v>
      </c>
      <c r="C1731" s="10" t="s">
        <v>67</v>
      </c>
      <c r="D1731" s="8" t="s">
        <v>46</v>
      </c>
    </row>
    <row r="1732" customFormat="false" ht="15" hidden="false" customHeight="false" outlineLevel="0" collapsed="false">
      <c r="A1732" s="7" t="s">
        <v>1738</v>
      </c>
      <c r="B1732" s="7" t="s">
        <v>55</v>
      </c>
      <c r="C1732" s="10" t="s">
        <v>67</v>
      </c>
      <c r="D1732" s="8" t="s">
        <v>46</v>
      </c>
    </row>
    <row r="1733" customFormat="false" ht="15" hidden="false" customHeight="false" outlineLevel="0" collapsed="false">
      <c r="A1733" s="7" t="s">
        <v>1739</v>
      </c>
      <c r="B1733" s="7" t="s">
        <v>71</v>
      </c>
      <c r="C1733" s="10" t="s">
        <v>67</v>
      </c>
      <c r="D1733" s="8" t="s">
        <v>33</v>
      </c>
    </row>
    <row r="1734" customFormat="false" ht="15" hidden="false" customHeight="false" outlineLevel="0" collapsed="false">
      <c r="A1734" s="7" t="s">
        <v>1739</v>
      </c>
      <c r="B1734" s="7" t="s">
        <v>86</v>
      </c>
      <c r="C1734" s="10" t="s">
        <v>67</v>
      </c>
      <c r="D1734" s="8" t="s">
        <v>87</v>
      </c>
    </row>
    <row r="1735" customFormat="false" ht="15" hidden="false" customHeight="false" outlineLevel="0" collapsed="false">
      <c r="A1735" s="7" t="s">
        <v>1740</v>
      </c>
      <c r="B1735" s="7" t="s">
        <v>71</v>
      </c>
      <c r="C1735" s="10" t="s">
        <v>67</v>
      </c>
      <c r="D1735" s="8" t="s">
        <v>33</v>
      </c>
    </row>
    <row r="1736" customFormat="false" ht="15" hidden="false" customHeight="false" outlineLevel="0" collapsed="false">
      <c r="A1736" s="7" t="s">
        <v>1741</v>
      </c>
      <c r="B1736" s="7" t="s">
        <v>40</v>
      </c>
      <c r="C1736" s="14" t="s">
        <v>29</v>
      </c>
      <c r="D1736" s="8" t="s">
        <v>33</v>
      </c>
    </row>
    <row r="1737" customFormat="false" ht="15" hidden="false" customHeight="false" outlineLevel="0" collapsed="false">
      <c r="A1737" s="7" t="s">
        <v>1742</v>
      </c>
      <c r="B1737" s="7" t="s">
        <v>55</v>
      </c>
      <c r="C1737" s="10" t="s">
        <v>67</v>
      </c>
      <c r="D1737" s="8" t="s">
        <v>46</v>
      </c>
    </row>
    <row r="1738" customFormat="false" ht="15" hidden="false" customHeight="false" outlineLevel="0" collapsed="false">
      <c r="A1738" s="7" t="s">
        <v>1743</v>
      </c>
      <c r="B1738" s="7" t="s">
        <v>79</v>
      </c>
      <c r="C1738" s="10" t="s">
        <v>67</v>
      </c>
      <c r="D1738" s="8" t="s">
        <v>33</v>
      </c>
    </row>
    <row r="1739" customFormat="false" ht="15" hidden="false" customHeight="false" outlineLevel="0" collapsed="false">
      <c r="A1739" s="7" t="s">
        <v>1744</v>
      </c>
      <c r="B1739" s="7" t="s">
        <v>71</v>
      </c>
      <c r="C1739" s="10" t="s">
        <v>67</v>
      </c>
      <c r="D1739" s="8" t="s">
        <v>33</v>
      </c>
    </row>
    <row r="1740" customFormat="false" ht="15" hidden="false" customHeight="false" outlineLevel="0" collapsed="false">
      <c r="A1740" s="7" t="s">
        <v>1745</v>
      </c>
      <c r="B1740" s="7" t="s">
        <v>58</v>
      </c>
      <c r="C1740" s="10" t="s">
        <v>67</v>
      </c>
      <c r="D1740" s="8" t="s">
        <v>46</v>
      </c>
    </row>
    <row r="1741" customFormat="false" ht="15" hidden="false" customHeight="false" outlineLevel="0" collapsed="false">
      <c r="A1741" s="7" t="s">
        <v>1746</v>
      </c>
      <c r="B1741" s="7" t="s">
        <v>58</v>
      </c>
      <c r="C1741" s="14" t="s">
        <v>29</v>
      </c>
      <c r="D1741" s="8" t="s">
        <v>46</v>
      </c>
    </row>
    <row r="1742" customFormat="false" ht="15" hidden="false" customHeight="false" outlineLevel="0" collapsed="false">
      <c r="A1742" s="7" t="s">
        <v>1747</v>
      </c>
      <c r="B1742" s="7" t="s">
        <v>86</v>
      </c>
      <c r="C1742" s="10" t="s">
        <v>67</v>
      </c>
      <c r="D1742" s="8" t="s">
        <v>87</v>
      </c>
    </row>
    <row r="1743" customFormat="false" ht="15" hidden="false" customHeight="false" outlineLevel="0" collapsed="false">
      <c r="A1743" s="7" t="s">
        <v>1747</v>
      </c>
      <c r="B1743" s="7" t="s">
        <v>58</v>
      </c>
      <c r="C1743" s="10" t="s">
        <v>67</v>
      </c>
      <c r="D1743" s="8" t="s">
        <v>46</v>
      </c>
    </row>
    <row r="1744" customFormat="false" ht="15" hidden="false" customHeight="false" outlineLevel="0" collapsed="false">
      <c r="A1744" s="7" t="s">
        <v>1748</v>
      </c>
      <c r="B1744" s="7" t="s">
        <v>71</v>
      </c>
      <c r="C1744" s="10" t="s">
        <v>67</v>
      </c>
      <c r="D1744" s="8" t="s">
        <v>33</v>
      </c>
    </row>
    <row r="1745" customFormat="false" ht="15" hidden="false" customHeight="false" outlineLevel="0" collapsed="false">
      <c r="A1745" s="7" t="s">
        <v>1749</v>
      </c>
      <c r="B1745" s="7" t="s">
        <v>43</v>
      </c>
      <c r="C1745" s="14" t="s">
        <v>29</v>
      </c>
      <c r="D1745" s="8" t="s">
        <v>38</v>
      </c>
    </row>
    <row r="1746" customFormat="false" ht="15" hidden="false" customHeight="false" outlineLevel="0" collapsed="false">
      <c r="A1746" s="7" t="s">
        <v>1750</v>
      </c>
      <c r="B1746" s="7" t="s">
        <v>43</v>
      </c>
      <c r="C1746" s="14" t="s">
        <v>29</v>
      </c>
      <c r="D1746" s="8" t="s">
        <v>38</v>
      </c>
    </row>
    <row r="1747" customFormat="false" ht="15" hidden="false" customHeight="false" outlineLevel="0" collapsed="false">
      <c r="A1747" s="7" t="s">
        <v>1751</v>
      </c>
      <c r="B1747" s="7" t="s">
        <v>79</v>
      </c>
      <c r="C1747" s="10" t="s">
        <v>67</v>
      </c>
      <c r="D1747" s="8" t="s">
        <v>33</v>
      </c>
    </row>
    <row r="1748" customFormat="false" ht="15" hidden="false" customHeight="false" outlineLevel="0" collapsed="false">
      <c r="A1748" s="7" t="s">
        <v>1752</v>
      </c>
      <c r="B1748" s="7" t="s">
        <v>82</v>
      </c>
      <c r="C1748" s="10" t="s">
        <v>67</v>
      </c>
      <c r="D1748" s="8" t="s">
        <v>46</v>
      </c>
    </row>
    <row r="1749" customFormat="false" ht="15" hidden="false" customHeight="false" outlineLevel="0" collapsed="false">
      <c r="A1749" s="7" t="s">
        <v>1752</v>
      </c>
      <c r="B1749" s="7" t="s">
        <v>58</v>
      </c>
      <c r="C1749" s="14" t="s">
        <v>29</v>
      </c>
      <c r="D1749" s="8" t="s">
        <v>46</v>
      </c>
    </row>
    <row r="1750" customFormat="false" ht="15" hidden="false" customHeight="false" outlineLevel="0" collapsed="false">
      <c r="A1750" s="7" t="s">
        <v>1753</v>
      </c>
      <c r="B1750" s="7" t="s">
        <v>40</v>
      </c>
      <c r="C1750" s="14" t="s">
        <v>29</v>
      </c>
      <c r="D1750" s="8" t="s">
        <v>33</v>
      </c>
    </row>
    <row r="1751" customFormat="false" ht="15" hidden="false" customHeight="false" outlineLevel="0" collapsed="false">
      <c r="A1751" s="7" t="s">
        <v>1753</v>
      </c>
      <c r="B1751" s="7" t="s">
        <v>58</v>
      </c>
      <c r="C1751" s="10" t="s">
        <v>67</v>
      </c>
      <c r="D1751" s="8" t="s">
        <v>46</v>
      </c>
    </row>
    <row r="1752" customFormat="false" ht="15" hidden="false" customHeight="false" outlineLevel="0" collapsed="false">
      <c r="A1752" s="7" t="s">
        <v>1754</v>
      </c>
      <c r="B1752" s="7" t="s">
        <v>40</v>
      </c>
      <c r="C1752" s="14" t="s">
        <v>29</v>
      </c>
      <c r="D1752" s="8" t="s">
        <v>33</v>
      </c>
    </row>
    <row r="1753" customFormat="false" ht="15" hidden="false" customHeight="false" outlineLevel="0" collapsed="false">
      <c r="A1753" s="7" t="s">
        <v>1755</v>
      </c>
      <c r="B1753" s="7" t="s">
        <v>71</v>
      </c>
      <c r="C1753" s="10" t="s">
        <v>67</v>
      </c>
      <c r="D1753" s="8" t="s">
        <v>33</v>
      </c>
    </row>
    <row r="1754" customFormat="false" ht="15" hidden="false" customHeight="false" outlineLevel="0" collapsed="false">
      <c r="A1754" s="7" t="s">
        <v>1756</v>
      </c>
      <c r="B1754" s="7" t="s">
        <v>71</v>
      </c>
      <c r="C1754" s="10" t="s">
        <v>67</v>
      </c>
      <c r="D1754" s="8" t="s">
        <v>33</v>
      </c>
    </row>
    <row r="1755" customFormat="false" ht="15" hidden="false" customHeight="false" outlineLevel="0" collapsed="false">
      <c r="A1755" s="7" t="s">
        <v>1757</v>
      </c>
      <c r="B1755" s="7" t="s">
        <v>49</v>
      </c>
      <c r="C1755" s="14" t="s">
        <v>29</v>
      </c>
      <c r="D1755" s="8" t="s">
        <v>33</v>
      </c>
    </row>
    <row r="1756" customFormat="false" ht="15" hidden="false" customHeight="false" outlineLevel="0" collapsed="false">
      <c r="A1756" s="7" t="s">
        <v>1757</v>
      </c>
      <c r="B1756" s="7" t="s">
        <v>47</v>
      </c>
      <c r="C1756" s="14" t="s">
        <v>29</v>
      </c>
      <c r="D1756" s="8" t="s">
        <v>46</v>
      </c>
    </row>
    <row r="1757" customFormat="false" ht="15" hidden="false" customHeight="false" outlineLevel="0" collapsed="false">
      <c r="A1757" s="7" t="s">
        <v>1758</v>
      </c>
      <c r="B1757" s="7" t="s">
        <v>47</v>
      </c>
      <c r="C1757" s="14" t="s">
        <v>29</v>
      </c>
      <c r="D1757" s="8" t="s">
        <v>46</v>
      </c>
    </row>
    <row r="1758" customFormat="false" ht="15" hidden="false" customHeight="false" outlineLevel="0" collapsed="false">
      <c r="A1758" s="7" t="s">
        <v>1759</v>
      </c>
      <c r="B1758" s="7" t="s">
        <v>47</v>
      </c>
      <c r="C1758" s="14" t="s">
        <v>29</v>
      </c>
      <c r="D1758" s="8" t="s">
        <v>46</v>
      </c>
    </row>
    <row r="1759" customFormat="false" ht="15" hidden="false" customHeight="false" outlineLevel="0" collapsed="false">
      <c r="A1759" s="7" t="s">
        <v>1760</v>
      </c>
      <c r="B1759" s="7" t="s">
        <v>69</v>
      </c>
      <c r="C1759" s="14" t="s">
        <v>29</v>
      </c>
      <c r="D1759" s="8" t="s">
        <v>33</v>
      </c>
    </row>
    <row r="1760" customFormat="false" ht="15" hidden="false" customHeight="false" outlineLevel="0" collapsed="false">
      <c r="A1760" s="7" t="s">
        <v>1761</v>
      </c>
      <c r="B1760" s="7" t="s">
        <v>62</v>
      </c>
      <c r="C1760" s="14" t="s">
        <v>29</v>
      </c>
      <c r="D1760" s="8" t="s">
        <v>46</v>
      </c>
    </row>
    <row r="1761" customFormat="false" ht="15" hidden="false" customHeight="false" outlineLevel="0" collapsed="false">
      <c r="A1761" s="7" t="s">
        <v>1761</v>
      </c>
      <c r="B1761" s="7" t="s">
        <v>69</v>
      </c>
      <c r="C1761" s="14" t="s">
        <v>29</v>
      </c>
      <c r="D1761" s="8" t="s">
        <v>33</v>
      </c>
    </row>
    <row r="1762" customFormat="false" ht="15" hidden="false" customHeight="false" outlineLevel="0" collapsed="false">
      <c r="A1762" s="7" t="s">
        <v>1762</v>
      </c>
      <c r="B1762" s="7" t="s">
        <v>47</v>
      </c>
      <c r="C1762" s="14" t="s">
        <v>29</v>
      </c>
      <c r="D1762" s="8" t="s">
        <v>46</v>
      </c>
    </row>
    <row r="1763" customFormat="false" ht="15" hidden="false" customHeight="false" outlineLevel="0" collapsed="false">
      <c r="A1763" s="7" t="s">
        <v>1763</v>
      </c>
      <c r="B1763" s="7" t="s">
        <v>89</v>
      </c>
      <c r="C1763" s="10" t="s">
        <v>67</v>
      </c>
      <c r="D1763" s="8" t="s">
        <v>87</v>
      </c>
    </row>
    <row r="1764" customFormat="false" ht="15" hidden="false" customHeight="false" outlineLevel="0" collapsed="false">
      <c r="A1764" s="7" t="s">
        <v>1764</v>
      </c>
      <c r="B1764" s="7" t="s">
        <v>47</v>
      </c>
      <c r="C1764" s="14" t="s">
        <v>29</v>
      </c>
      <c r="D1764" s="8" t="s">
        <v>46</v>
      </c>
    </row>
    <row r="1765" customFormat="false" ht="15" hidden="false" customHeight="false" outlineLevel="0" collapsed="false">
      <c r="A1765" s="7" t="s">
        <v>1765</v>
      </c>
      <c r="B1765" s="7" t="s">
        <v>47</v>
      </c>
      <c r="C1765" s="14" t="s">
        <v>29</v>
      </c>
      <c r="D1765" s="8" t="s">
        <v>46</v>
      </c>
    </row>
    <row r="1766" customFormat="false" ht="15" hidden="false" customHeight="false" outlineLevel="0" collapsed="false">
      <c r="A1766" s="7" t="s">
        <v>1766</v>
      </c>
      <c r="B1766" s="7" t="s">
        <v>47</v>
      </c>
      <c r="C1766" s="14" t="s">
        <v>29</v>
      </c>
      <c r="D1766" s="8" t="s">
        <v>46</v>
      </c>
    </row>
    <row r="1767" customFormat="false" ht="15" hidden="false" customHeight="false" outlineLevel="0" collapsed="false">
      <c r="A1767" s="7" t="s">
        <v>1767</v>
      </c>
      <c r="B1767" s="7" t="s">
        <v>47</v>
      </c>
      <c r="C1767" s="14" t="s">
        <v>29</v>
      </c>
      <c r="D1767" s="8" t="s">
        <v>46</v>
      </c>
    </row>
    <row r="1768" customFormat="false" ht="15" hidden="false" customHeight="false" outlineLevel="0" collapsed="false">
      <c r="A1768" s="7" t="s">
        <v>1767</v>
      </c>
      <c r="B1768" s="7" t="s">
        <v>49</v>
      </c>
      <c r="C1768" s="14" t="s">
        <v>29</v>
      </c>
      <c r="D1768" s="8" t="s">
        <v>33</v>
      </c>
    </row>
    <row r="1769" customFormat="false" ht="15" hidden="false" customHeight="false" outlineLevel="0" collapsed="false">
      <c r="A1769" s="7" t="s">
        <v>1768</v>
      </c>
      <c r="B1769" s="7" t="s">
        <v>49</v>
      </c>
      <c r="C1769" s="14" t="s">
        <v>29</v>
      </c>
      <c r="D1769" s="8" t="s">
        <v>33</v>
      </c>
    </row>
    <row r="1770" customFormat="false" ht="15" hidden="false" customHeight="false" outlineLevel="0" collapsed="false">
      <c r="A1770" s="7" t="s">
        <v>1769</v>
      </c>
      <c r="B1770" s="7" t="s">
        <v>37</v>
      </c>
      <c r="C1770" s="14" t="s">
        <v>29</v>
      </c>
      <c r="D1770" s="8" t="s">
        <v>38</v>
      </c>
    </row>
    <row r="1771" customFormat="false" ht="15" hidden="false" customHeight="false" outlineLevel="0" collapsed="false">
      <c r="A1771" s="7" t="s">
        <v>1770</v>
      </c>
      <c r="B1771" s="7" t="s">
        <v>71</v>
      </c>
      <c r="C1771" s="10" t="s">
        <v>67</v>
      </c>
      <c r="D1771" s="8" t="s">
        <v>33</v>
      </c>
    </row>
    <row r="1772" customFormat="false" ht="15" hidden="false" customHeight="false" outlineLevel="0" collapsed="false">
      <c r="A1772" s="7" t="s">
        <v>1771</v>
      </c>
      <c r="B1772" s="7" t="s">
        <v>37</v>
      </c>
      <c r="C1772" s="14" t="s">
        <v>29</v>
      </c>
      <c r="D1772" s="8" t="s">
        <v>38</v>
      </c>
    </row>
    <row r="1773" customFormat="false" ht="15" hidden="false" customHeight="false" outlineLevel="0" collapsed="false">
      <c r="A1773" s="7" t="s">
        <v>1772</v>
      </c>
      <c r="B1773" s="7" t="s">
        <v>55</v>
      </c>
      <c r="C1773" s="14" t="s">
        <v>29</v>
      </c>
      <c r="D1773" s="8" t="s">
        <v>46</v>
      </c>
    </row>
    <row r="1774" customFormat="false" ht="15" hidden="false" customHeight="false" outlineLevel="0" collapsed="false">
      <c r="A1774" s="7" t="s">
        <v>1773</v>
      </c>
      <c r="B1774" s="7" t="s">
        <v>49</v>
      </c>
      <c r="C1774" s="14" t="s">
        <v>29</v>
      </c>
      <c r="D1774" s="8" t="s">
        <v>33</v>
      </c>
    </row>
    <row r="1775" customFormat="false" ht="15" hidden="false" customHeight="false" outlineLevel="0" collapsed="false">
      <c r="A1775" s="7" t="s">
        <v>1773</v>
      </c>
      <c r="B1775" s="7" t="s">
        <v>47</v>
      </c>
      <c r="C1775" s="14" t="s">
        <v>29</v>
      </c>
      <c r="D1775" s="8" t="s">
        <v>46</v>
      </c>
    </row>
    <row r="1776" customFormat="false" ht="15" hidden="false" customHeight="false" outlineLevel="0" collapsed="false">
      <c r="A1776" s="7" t="s">
        <v>1774</v>
      </c>
      <c r="B1776" s="7" t="s">
        <v>47</v>
      </c>
      <c r="C1776" s="14" t="s">
        <v>29</v>
      </c>
      <c r="D1776" s="8" t="s">
        <v>46</v>
      </c>
    </row>
    <row r="1777" customFormat="false" ht="15" hidden="false" customHeight="false" outlineLevel="0" collapsed="false">
      <c r="A1777" s="7" t="s">
        <v>1775</v>
      </c>
      <c r="B1777" s="7" t="s">
        <v>47</v>
      </c>
      <c r="C1777" s="14" t="s">
        <v>29</v>
      </c>
      <c r="D1777" s="8" t="s">
        <v>46</v>
      </c>
    </row>
    <row r="1778" customFormat="false" ht="15" hidden="false" customHeight="false" outlineLevel="0" collapsed="false">
      <c r="A1778" s="7" t="s">
        <v>1776</v>
      </c>
      <c r="B1778" s="7" t="s">
        <v>47</v>
      </c>
      <c r="C1778" s="14" t="s">
        <v>29</v>
      </c>
      <c r="D1778" s="8" t="s">
        <v>46</v>
      </c>
    </row>
    <row r="1779" customFormat="false" ht="15" hidden="false" customHeight="false" outlineLevel="0" collapsed="false">
      <c r="A1779" s="7" t="s">
        <v>1777</v>
      </c>
      <c r="B1779" s="7" t="s">
        <v>55</v>
      </c>
      <c r="C1779" s="14" t="s">
        <v>29</v>
      </c>
      <c r="D1779" s="8" t="s">
        <v>46</v>
      </c>
    </row>
    <row r="1780" customFormat="false" ht="15" hidden="false" customHeight="false" outlineLevel="0" collapsed="false">
      <c r="A1780" s="7" t="s">
        <v>1778</v>
      </c>
      <c r="B1780" s="7" t="s">
        <v>55</v>
      </c>
      <c r="C1780" s="14" t="s">
        <v>29</v>
      </c>
      <c r="D1780" s="8" t="s">
        <v>46</v>
      </c>
    </row>
    <row r="1781" customFormat="false" ht="15" hidden="false" customHeight="false" outlineLevel="0" collapsed="false">
      <c r="A1781" s="7" t="s">
        <v>1779</v>
      </c>
      <c r="B1781" s="7" t="s">
        <v>64</v>
      </c>
      <c r="C1781" s="14" t="s">
        <v>29</v>
      </c>
      <c r="D1781" s="8" t="s">
        <v>38</v>
      </c>
    </row>
    <row r="1782" customFormat="false" ht="15" hidden="false" customHeight="false" outlineLevel="0" collapsed="false">
      <c r="A1782" s="7" t="s">
        <v>1780</v>
      </c>
      <c r="B1782" s="7" t="s">
        <v>62</v>
      </c>
      <c r="C1782" s="14" t="s">
        <v>29</v>
      </c>
      <c r="D1782" s="8" t="s">
        <v>46</v>
      </c>
    </row>
    <row r="1783" customFormat="false" ht="15" hidden="false" customHeight="false" outlineLevel="0" collapsed="false">
      <c r="A1783" s="7" t="s">
        <v>1780</v>
      </c>
      <c r="B1783" s="7" t="s">
        <v>69</v>
      </c>
      <c r="C1783" s="14" t="s">
        <v>29</v>
      </c>
      <c r="D1783" s="8" t="s">
        <v>33</v>
      </c>
    </row>
    <row r="1784" customFormat="false" ht="15" hidden="false" customHeight="false" outlineLevel="0" collapsed="false">
      <c r="A1784" s="7" t="s">
        <v>1781</v>
      </c>
      <c r="B1784" s="7" t="s">
        <v>60</v>
      </c>
      <c r="C1784" s="14" t="s">
        <v>29</v>
      </c>
      <c r="D1784" s="8" t="s">
        <v>46</v>
      </c>
    </row>
    <row r="1785" customFormat="false" ht="15" hidden="false" customHeight="false" outlineLevel="0" collapsed="false">
      <c r="A1785" s="7" t="s">
        <v>1782</v>
      </c>
      <c r="B1785" s="7" t="s">
        <v>62</v>
      </c>
      <c r="C1785" s="14" t="s">
        <v>29</v>
      </c>
      <c r="D1785" s="8" t="s">
        <v>46</v>
      </c>
    </row>
    <row r="1786" customFormat="false" ht="15" hidden="false" customHeight="false" outlineLevel="0" collapsed="false">
      <c r="A1786" s="7" t="s">
        <v>1783</v>
      </c>
      <c r="B1786" s="7" t="s">
        <v>37</v>
      </c>
      <c r="C1786" s="14" t="s">
        <v>29</v>
      </c>
      <c r="D1786" s="8" t="s">
        <v>38</v>
      </c>
    </row>
    <row r="1787" customFormat="false" ht="15" hidden="false" customHeight="false" outlineLevel="0" collapsed="false">
      <c r="A1787" s="7" t="s">
        <v>1784</v>
      </c>
      <c r="B1787" s="7" t="s">
        <v>32</v>
      </c>
      <c r="C1787" s="14" t="s">
        <v>29</v>
      </c>
      <c r="D1787" s="8" t="s">
        <v>33</v>
      </c>
    </row>
    <row r="1788" customFormat="false" ht="15" hidden="false" customHeight="false" outlineLevel="0" collapsed="false">
      <c r="A1788" s="7" t="s">
        <v>1785</v>
      </c>
      <c r="B1788" s="7" t="s">
        <v>37</v>
      </c>
      <c r="C1788" s="14" t="s">
        <v>29</v>
      </c>
      <c r="D1788" s="8" t="s">
        <v>38</v>
      </c>
    </row>
    <row r="1789" customFormat="false" ht="15" hidden="false" customHeight="false" outlineLevel="0" collapsed="false">
      <c r="A1789" s="7" t="s">
        <v>1785</v>
      </c>
      <c r="B1789" s="7" t="s">
        <v>55</v>
      </c>
      <c r="C1789" s="14" t="s">
        <v>29</v>
      </c>
      <c r="D1789" s="8" t="s">
        <v>46</v>
      </c>
    </row>
    <row r="1790" customFormat="false" ht="15" hidden="false" customHeight="false" outlineLevel="0" collapsed="false">
      <c r="A1790" s="7" t="s">
        <v>1786</v>
      </c>
      <c r="B1790" s="7" t="s">
        <v>37</v>
      </c>
      <c r="C1790" s="14" t="s">
        <v>29</v>
      </c>
      <c r="D1790" s="8" t="s">
        <v>38</v>
      </c>
    </row>
    <row r="1791" customFormat="false" ht="15" hidden="false" customHeight="false" outlineLevel="0" collapsed="false">
      <c r="A1791" s="7" t="s">
        <v>1787</v>
      </c>
      <c r="B1791" s="7" t="s">
        <v>62</v>
      </c>
      <c r="C1791" s="14" t="s">
        <v>29</v>
      </c>
      <c r="D1791" s="8" t="s">
        <v>46</v>
      </c>
    </row>
    <row r="1792" customFormat="false" ht="15" hidden="false" customHeight="false" outlineLevel="0" collapsed="false">
      <c r="A1792" s="7" t="s">
        <v>1787</v>
      </c>
      <c r="B1792" s="7" t="s">
        <v>69</v>
      </c>
      <c r="C1792" s="14" t="s">
        <v>29</v>
      </c>
      <c r="D1792" s="8" t="s">
        <v>33</v>
      </c>
    </row>
    <row r="1793" customFormat="false" ht="15" hidden="false" customHeight="false" outlineLevel="0" collapsed="false">
      <c r="A1793" s="7" t="s">
        <v>1788</v>
      </c>
      <c r="B1793" s="7" t="s">
        <v>89</v>
      </c>
      <c r="C1793" s="14" t="s">
        <v>29</v>
      </c>
      <c r="D1793" s="8" t="s">
        <v>87</v>
      </c>
    </row>
    <row r="1794" customFormat="false" ht="15" hidden="false" customHeight="false" outlineLevel="0" collapsed="false">
      <c r="A1794" s="7" t="s">
        <v>1789</v>
      </c>
      <c r="B1794" s="7" t="s">
        <v>40</v>
      </c>
      <c r="C1794" s="14" t="s">
        <v>29</v>
      </c>
      <c r="D1794" s="8" t="s">
        <v>33</v>
      </c>
    </row>
    <row r="1795" customFormat="false" ht="15" hidden="false" customHeight="false" outlineLevel="0" collapsed="false">
      <c r="A1795" s="7" t="s">
        <v>1790</v>
      </c>
      <c r="B1795" s="7" t="s">
        <v>51</v>
      </c>
      <c r="C1795" s="14" t="s">
        <v>29</v>
      </c>
      <c r="D1795" s="8" t="s">
        <v>33</v>
      </c>
    </row>
    <row r="1796" customFormat="false" ht="15" hidden="false" customHeight="false" outlineLevel="0" collapsed="false">
      <c r="A1796" s="7" t="s">
        <v>1791</v>
      </c>
      <c r="B1796" s="7" t="s">
        <v>51</v>
      </c>
      <c r="C1796" s="14" t="s">
        <v>29</v>
      </c>
      <c r="D1796" s="8" t="s">
        <v>33</v>
      </c>
    </row>
    <row r="1797" customFormat="false" ht="15" hidden="false" customHeight="false" outlineLevel="0" collapsed="false">
      <c r="A1797" s="7" t="s">
        <v>1792</v>
      </c>
      <c r="B1797" s="7" t="s">
        <v>32</v>
      </c>
      <c r="C1797" s="14" t="s">
        <v>29</v>
      </c>
      <c r="D1797" s="8" t="s">
        <v>33</v>
      </c>
    </row>
    <row r="1798" customFormat="false" ht="15" hidden="false" customHeight="false" outlineLevel="0" collapsed="false">
      <c r="A1798" s="7" t="s">
        <v>1793</v>
      </c>
      <c r="B1798" s="7" t="s">
        <v>40</v>
      </c>
      <c r="C1798" s="14" t="s">
        <v>29</v>
      </c>
      <c r="D1798" s="8" t="s">
        <v>33</v>
      </c>
    </row>
    <row r="1799" customFormat="false" ht="15" hidden="false" customHeight="false" outlineLevel="0" collapsed="false">
      <c r="A1799" s="7" t="s">
        <v>1794</v>
      </c>
      <c r="B1799" s="7" t="s">
        <v>51</v>
      </c>
      <c r="C1799" s="14" t="s">
        <v>29</v>
      </c>
      <c r="D1799" s="8" t="s">
        <v>33</v>
      </c>
    </row>
    <row r="1800" customFormat="false" ht="15" hidden="false" customHeight="false" outlineLevel="0" collapsed="false">
      <c r="A1800" s="7" t="s">
        <v>1795</v>
      </c>
      <c r="B1800" s="7" t="s">
        <v>51</v>
      </c>
      <c r="C1800" s="14" t="s">
        <v>29</v>
      </c>
      <c r="D1800" s="8" t="s">
        <v>33</v>
      </c>
    </row>
    <row r="1801" customFormat="false" ht="15" hidden="false" customHeight="false" outlineLevel="0" collapsed="false">
      <c r="A1801" s="7" t="s">
        <v>1796</v>
      </c>
      <c r="B1801" s="7" t="s">
        <v>69</v>
      </c>
      <c r="C1801" s="14" t="s">
        <v>29</v>
      </c>
      <c r="D1801" s="8" t="s">
        <v>33</v>
      </c>
    </row>
    <row r="1802" customFormat="false" ht="15" hidden="false" customHeight="false" outlineLevel="0" collapsed="false">
      <c r="A1802" s="7" t="s">
        <v>1796</v>
      </c>
      <c r="B1802" s="7" t="s">
        <v>62</v>
      </c>
      <c r="C1802" s="14" t="s">
        <v>29</v>
      </c>
      <c r="D1802" s="8" t="s">
        <v>46</v>
      </c>
    </row>
    <row r="1803" customFormat="false" ht="15" hidden="false" customHeight="false" outlineLevel="0" collapsed="false">
      <c r="A1803" s="7" t="s">
        <v>1797</v>
      </c>
      <c r="B1803" s="7" t="s">
        <v>51</v>
      </c>
      <c r="C1803" s="14" t="s">
        <v>29</v>
      </c>
      <c r="D1803" s="8" t="s">
        <v>33</v>
      </c>
    </row>
    <row r="1804" customFormat="false" ht="15" hidden="false" customHeight="false" outlineLevel="0" collapsed="false">
      <c r="A1804" s="7" t="s">
        <v>1798</v>
      </c>
      <c r="B1804" s="7" t="s">
        <v>77</v>
      </c>
      <c r="C1804" s="10" t="s">
        <v>67</v>
      </c>
      <c r="D1804" s="8" t="s">
        <v>46</v>
      </c>
    </row>
    <row r="1805" customFormat="false" ht="15" hidden="false" customHeight="false" outlineLevel="0" collapsed="false">
      <c r="A1805" s="7" t="s">
        <v>1799</v>
      </c>
      <c r="B1805" s="7" t="s">
        <v>40</v>
      </c>
      <c r="C1805" s="14" t="s">
        <v>29</v>
      </c>
      <c r="D1805" s="8" t="s">
        <v>33</v>
      </c>
    </row>
    <row r="1806" customFormat="false" ht="15" hidden="false" customHeight="false" outlineLevel="0" collapsed="false">
      <c r="A1806" s="7" t="s">
        <v>1800</v>
      </c>
      <c r="B1806" s="7" t="s">
        <v>71</v>
      </c>
      <c r="C1806" s="10" t="s">
        <v>67</v>
      </c>
      <c r="D1806" s="8" t="s">
        <v>33</v>
      </c>
    </row>
    <row r="1807" customFormat="false" ht="15" hidden="false" customHeight="false" outlineLevel="0" collapsed="false">
      <c r="A1807" s="7" t="s">
        <v>1801</v>
      </c>
      <c r="B1807" s="7" t="s">
        <v>37</v>
      </c>
      <c r="C1807" s="14" t="s">
        <v>29</v>
      </c>
      <c r="D1807" s="8" t="s">
        <v>38</v>
      </c>
    </row>
    <row r="1808" customFormat="false" ht="15" hidden="false" customHeight="false" outlineLevel="0" collapsed="false">
      <c r="A1808" s="7" t="s">
        <v>1802</v>
      </c>
      <c r="B1808" s="7" t="s">
        <v>71</v>
      </c>
      <c r="C1808" s="10" t="s">
        <v>67</v>
      </c>
      <c r="D1808" s="8" t="s">
        <v>33</v>
      </c>
    </row>
    <row r="1809" customFormat="false" ht="15" hidden="false" customHeight="false" outlineLevel="0" collapsed="false">
      <c r="A1809" s="7" t="s">
        <v>1803</v>
      </c>
      <c r="B1809" s="7" t="s">
        <v>49</v>
      </c>
      <c r="C1809" s="14" t="s">
        <v>29</v>
      </c>
      <c r="D1809" s="8" t="s">
        <v>33</v>
      </c>
    </row>
    <row r="1810" customFormat="false" ht="15" hidden="false" customHeight="false" outlineLevel="0" collapsed="false">
      <c r="A1810" s="7" t="s">
        <v>1804</v>
      </c>
      <c r="B1810" s="7" t="s">
        <v>71</v>
      </c>
      <c r="C1810" s="10" t="s">
        <v>67</v>
      </c>
      <c r="D1810" s="8" t="s">
        <v>33</v>
      </c>
    </row>
    <row r="1811" customFormat="false" ht="15" hidden="false" customHeight="false" outlineLevel="0" collapsed="false">
      <c r="A1811" s="7" t="s">
        <v>1805</v>
      </c>
      <c r="B1811" s="7" t="s">
        <v>47</v>
      </c>
      <c r="C1811" s="14" t="s">
        <v>29</v>
      </c>
      <c r="D1811" s="8" t="s">
        <v>46</v>
      </c>
    </row>
    <row r="1812" customFormat="false" ht="15" hidden="false" customHeight="false" outlineLevel="0" collapsed="false">
      <c r="A1812" s="7" t="s">
        <v>1806</v>
      </c>
      <c r="B1812" s="7" t="s">
        <v>55</v>
      </c>
      <c r="C1812" s="14" t="s">
        <v>29</v>
      </c>
      <c r="D1812" s="8" t="s">
        <v>46</v>
      </c>
    </row>
    <row r="1813" customFormat="false" ht="15" hidden="false" customHeight="false" outlineLevel="0" collapsed="false">
      <c r="A1813" s="7" t="s">
        <v>1807</v>
      </c>
      <c r="B1813" s="7" t="s">
        <v>47</v>
      </c>
      <c r="C1813" s="14" t="s">
        <v>29</v>
      </c>
      <c r="D1813" s="8" t="s">
        <v>46</v>
      </c>
    </row>
    <row r="1814" customFormat="false" ht="15" hidden="false" customHeight="false" outlineLevel="0" collapsed="false">
      <c r="A1814" s="7" t="s">
        <v>1808</v>
      </c>
      <c r="B1814" s="7" t="s">
        <v>47</v>
      </c>
      <c r="C1814" s="14" t="s">
        <v>29</v>
      </c>
      <c r="D1814" s="8" t="s">
        <v>46</v>
      </c>
    </row>
    <row r="1815" customFormat="false" ht="15" hidden="false" customHeight="false" outlineLevel="0" collapsed="false">
      <c r="A1815" s="7" t="s">
        <v>1809</v>
      </c>
      <c r="B1815" s="7" t="s">
        <v>37</v>
      </c>
      <c r="C1815" s="14" t="s">
        <v>29</v>
      </c>
      <c r="D1815" s="8" t="s">
        <v>38</v>
      </c>
    </row>
    <row r="1816" customFormat="false" ht="15" hidden="false" customHeight="false" outlineLevel="0" collapsed="false">
      <c r="A1816" s="7" t="s">
        <v>1810</v>
      </c>
      <c r="B1816" s="7" t="s">
        <v>55</v>
      </c>
      <c r="C1816" s="14" t="s">
        <v>29</v>
      </c>
      <c r="D1816" s="8" t="s">
        <v>46</v>
      </c>
    </row>
    <row r="1817" customFormat="false" ht="15" hidden="false" customHeight="false" outlineLevel="0" collapsed="false">
      <c r="A1817" s="7" t="s">
        <v>1811</v>
      </c>
      <c r="B1817" s="7" t="s">
        <v>47</v>
      </c>
      <c r="C1817" s="14" t="s">
        <v>29</v>
      </c>
      <c r="D1817" s="8" t="s">
        <v>46</v>
      </c>
    </row>
    <row r="1818" customFormat="false" ht="15" hidden="false" customHeight="false" outlineLevel="0" collapsed="false">
      <c r="A1818" s="7" t="s">
        <v>1812</v>
      </c>
      <c r="B1818" s="7" t="s">
        <v>86</v>
      </c>
      <c r="C1818" s="14" t="s">
        <v>29</v>
      </c>
      <c r="D1818" s="8" t="s">
        <v>87</v>
      </c>
    </row>
    <row r="1819" customFormat="false" ht="15" hidden="false" customHeight="false" outlineLevel="0" collapsed="false">
      <c r="A1819" s="7" t="s">
        <v>1813</v>
      </c>
      <c r="B1819" s="7" t="s">
        <v>55</v>
      </c>
      <c r="C1819" s="14" t="s">
        <v>29</v>
      </c>
      <c r="D1819" s="8" t="s">
        <v>46</v>
      </c>
    </row>
    <row r="1820" customFormat="false" ht="15" hidden="false" customHeight="false" outlineLevel="0" collapsed="false">
      <c r="A1820" s="7" t="s">
        <v>1814</v>
      </c>
      <c r="B1820" s="7" t="s">
        <v>47</v>
      </c>
      <c r="C1820" s="14" t="s">
        <v>29</v>
      </c>
      <c r="D1820" s="8" t="s">
        <v>46</v>
      </c>
    </row>
    <row r="1821" customFormat="false" ht="15" hidden="false" customHeight="false" outlineLevel="0" collapsed="false">
      <c r="A1821" s="7" t="s">
        <v>1814</v>
      </c>
      <c r="B1821" s="7" t="s">
        <v>49</v>
      </c>
      <c r="C1821" s="14" t="s">
        <v>29</v>
      </c>
      <c r="D1821" s="8" t="s">
        <v>33</v>
      </c>
    </row>
    <row r="1822" customFormat="false" ht="15" hidden="false" customHeight="false" outlineLevel="0" collapsed="false">
      <c r="A1822" s="7" t="s">
        <v>1815</v>
      </c>
      <c r="B1822" s="7" t="s">
        <v>55</v>
      </c>
      <c r="C1822" s="14" t="s">
        <v>29</v>
      </c>
      <c r="D1822" s="8" t="s">
        <v>46</v>
      </c>
    </row>
    <row r="1823" customFormat="false" ht="15" hidden="false" customHeight="false" outlineLevel="0" collapsed="false">
      <c r="A1823" s="7" t="s">
        <v>1816</v>
      </c>
      <c r="B1823" s="7" t="s">
        <v>47</v>
      </c>
      <c r="C1823" s="14" t="s">
        <v>29</v>
      </c>
      <c r="D1823" s="8" t="s">
        <v>46</v>
      </c>
    </row>
    <row r="1824" customFormat="false" ht="15" hidden="false" customHeight="false" outlineLevel="0" collapsed="false">
      <c r="A1824" s="7" t="s">
        <v>1817</v>
      </c>
      <c r="B1824" s="7" t="s">
        <v>47</v>
      </c>
      <c r="C1824" s="14" t="s">
        <v>29</v>
      </c>
      <c r="D1824" s="8" t="s">
        <v>46</v>
      </c>
    </row>
    <row r="1825" customFormat="false" ht="15" hidden="false" customHeight="false" outlineLevel="0" collapsed="false">
      <c r="A1825" s="7" t="s">
        <v>1818</v>
      </c>
      <c r="B1825" s="7" t="s">
        <v>47</v>
      </c>
      <c r="C1825" s="14" t="s">
        <v>29</v>
      </c>
      <c r="D1825" s="8" t="s">
        <v>46</v>
      </c>
    </row>
    <row r="1826" customFormat="false" ht="15" hidden="false" customHeight="false" outlineLevel="0" collapsed="false">
      <c r="A1826" s="7" t="s">
        <v>1819</v>
      </c>
      <c r="B1826" s="7" t="s">
        <v>55</v>
      </c>
      <c r="C1826" s="14" t="s">
        <v>29</v>
      </c>
      <c r="D1826" s="8" t="s">
        <v>46</v>
      </c>
    </row>
    <row r="1827" customFormat="false" ht="15" hidden="false" customHeight="false" outlineLevel="0" collapsed="false">
      <c r="A1827" s="7" t="s">
        <v>1820</v>
      </c>
      <c r="B1827" s="7" t="s">
        <v>47</v>
      </c>
      <c r="C1827" s="14" t="s">
        <v>29</v>
      </c>
      <c r="D1827" s="8" t="s">
        <v>46</v>
      </c>
    </row>
    <row r="1828" customFormat="false" ht="15" hidden="false" customHeight="false" outlineLevel="0" collapsed="false">
      <c r="A1828" s="7" t="s">
        <v>1821</v>
      </c>
      <c r="B1828" s="7" t="s">
        <v>47</v>
      </c>
      <c r="C1828" s="14" t="s">
        <v>29</v>
      </c>
      <c r="D1828" s="8" t="s">
        <v>46</v>
      </c>
    </row>
    <row r="1829" customFormat="false" ht="15" hidden="false" customHeight="false" outlineLevel="0" collapsed="false">
      <c r="A1829" s="7" t="s">
        <v>1822</v>
      </c>
      <c r="B1829" s="7" t="s">
        <v>47</v>
      </c>
      <c r="C1829" s="14" t="s">
        <v>29</v>
      </c>
      <c r="D1829" s="8" t="s">
        <v>46</v>
      </c>
    </row>
    <row r="1830" customFormat="false" ht="15" hidden="false" customHeight="false" outlineLevel="0" collapsed="false">
      <c r="A1830" s="7" t="s">
        <v>1823</v>
      </c>
      <c r="B1830" s="7" t="s">
        <v>55</v>
      </c>
      <c r="C1830" s="14" t="s">
        <v>29</v>
      </c>
      <c r="D1830" s="8" t="s">
        <v>46</v>
      </c>
    </row>
    <row r="1831" customFormat="false" ht="15" hidden="false" customHeight="false" outlineLevel="0" collapsed="false">
      <c r="A1831" s="7" t="s">
        <v>1824</v>
      </c>
      <c r="B1831" s="7" t="s">
        <v>55</v>
      </c>
      <c r="C1831" s="14" t="s">
        <v>29</v>
      </c>
      <c r="D1831" s="8" t="s">
        <v>46</v>
      </c>
    </row>
    <row r="1832" customFormat="false" ht="15" hidden="false" customHeight="false" outlineLevel="0" collapsed="false">
      <c r="A1832" s="7" t="s">
        <v>1825</v>
      </c>
      <c r="B1832" s="7" t="s">
        <v>47</v>
      </c>
      <c r="C1832" s="14" t="s">
        <v>29</v>
      </c>
      <c r="D1832" s="8" t="s">
        <v>46</v>
      </c>
    </row>
    <row r="1833" customFormat="false" ht="15" hidden="false" customHeight="false" outlineLevel="0" collapsed="false">
      <c r="A1833" s="7" t="s">
        <v>1826</v>
      </c>
      <c r="B1833" s="7" t="s">
        <v>47</v>
      </c>
      <c r="C1833" s="14" t="s">
        <v>29</v>
      </c>
      <c r="D1833" s="8" t="s">
        <v>46</v>
      </c>
    </row>
    <row r="1834" customFormat="false" ht="15" hidden="false" customHeight="false" outlineLevel="0" collapsed="false">
      <c r="A1834" s="7" t="s">
        <v>1827</v>
      </c>
      <c r="B1834" s="7" t="s">
        <v>55</v>
      </c>
      <c r="C1834" s="14" t="s">
        <v>29</v>
      </c>
      <c r="D1834" s="8" t="s">
        <v>46</v>
      </c>
    </row>
    <row r="1835" customFormat="false" ht="15" hidden="false" customHeight="false" outlineLevel="0" collapsed="false">
      <c r="A1835" s="7" t="s">
        <v>1828</v>
      </c>
      <c r="B1835" s="7" t="s">
        <v>60</v>
      </c>
      <c r="C1835" s="14" t="s">
        <v>29</v>
      </c>
      <c r="D1835" s="8" t="s">
        <v>46</v>
      </c>
    </row>
    <row r="1836" customFormat="false" ht="15" hidden="false" customHeight="false" outlineLevel="0" collapsed="false">
      <c r="A1836" s="7" t="s">
        <v>1829</v>
      </c>
      <c r="B1836" s="7" t="s">
        <v>84</v>
      </c>
      <c r="C1836" s="14" t="s">
        <v>29</v>
      </c>
      <c r="D1836" s="8" t="s">
        <v>38</v>
      </c>
    </row>
    <row r="1837" customFormat="false" ht="15" hidden="false" customHeight="false" outlineLevel="0" collapsed="false">
      <c r="A1837" s="7" t="s">
        <v>1830</v>
      </c>
      <c r="B1837" s="7" t="s">
        <v>55</v>
      </c>
      <c r="C1837" s="14" t="s">
        <v>29</v>
      </c>
      <c r="D1837" s="8" t="s">
        <v>46</v>
      </c>
    </row>
    <row r="1838" customFormat="false" ht="15" hidden="false" customHeight="false" outlineLevel="0" collapsed="false">
      <c r="A1838" s="7" t="s">
        <v>1830</v>
      </c>
      <c r="B1838" s="7" t="s">
        <v>64</v>
      </c>
      <c r="C1838" s="14" t="s">
        <v>29</v>
      </c>
      <c r="D1838" s="8" t="s">
        <v>38</v>
      </c>
    </row>
    <row r="1839" customFormat="false" ht="15" hidden="false" customHeight="false" outlineLevel="0" collapsed="false">
      <c r="A1839" s="7" t="s">
        <v>1830</v>
      </c>
      <c r="B1839" s="7" t="s">
        <v>37</v>
      </c>
      <c r="C1839" s="14" t="s">
        <v>29</v>
      </c>
      <c r="D1839" s="8" t="s">
        <v>38</v>
      </c>
    </row>
    <row r="1840" customFormat="false" ht="15" hidden="false" customHeight="false" outlineLevel="0" collapsed="false">
      <c r="A1840" s="7" t="s">
        <v>1831</v>
      </c>
      <c r="B1840" s="7" t="s">
        <v>40</v>
      </c>
      <c r="C1840" s="14" t="s">
        <v>29</v>
      </c>
      <c r="D1840" s="8" t="s">
        <v>33</v>
      </c>
    </row>
    <row r="1841" customFormat="false" ht="15" hidden="false" customHeight="false" outlineLevel="0" collapsed="false">
      <c r="A1841" s="7" t="s">
        <v>1831</v>
      </c>
      <c r="B1841" s="7" t="s">
        <v>37</v>
      </c>
      <c r="C1841" s="14" t="s">
        <v>29</v>
      </c>
      <c r="D1841" s="8" t="s">
        <v>38</v>
      </c>
    </row>
    <row r="1842" customFormat="false" ht="15" hidden="false" customHeight="false" outlineLevel="0" collapsed="false">
      <c r="A1842" s="7" t="s">
        <v>1832</v>
      </c>
      <c r="B1842" s="7" t="s">
        <v>40</v>
      </c>
      <c r="C1842" s="14" t="s">
        <v>29</v>
      </c>
      <c r="D1842" s="8" t="s">
        <v>33</v>
      </c>
    </row>
    <row r="1843" customFormat="false" ht="15" hidden="false" customHeight="false" outlineLevel="0" collapsed="false">
      <c r="A1843" s="7" t="s">
        <v>1832</v>
      </c>
      <c r="B1843" s="7" t="s">
        <v>62</v>
      </c>
      <c r="C1843" s="14" t="s">
        <v>29</v>
      </c>
      <c r="D1843" s="8" t="s">
        <v>46</v>
      </c>
    </row>
    <row r="1844" customFormat="false" ht="15" hidden="false" customHeight="false" outlineLevel="0" collapsed="false">
      <c r="A1844" s="7" t="s">
        <v>1833</v>
      </c>
      <c r="B1844" s="7" t="s">
        <v>37</v>
      </c>
      <c r="C1844" s="14" t="s">
        <v>29</v>
      </c>
      <c r="D1844" s="8" t="s">
        <v>38</v>
      </c>
    </row>
    <row r="1845" customFormat="false" ht="15" hidden="false" customHeight="false" outlineLevel="0" collapsed="false">
      <c r="A1845" s="7" t="s">
        <v>1834</v>
      </c>
      <c r="B1845" s="7" t="s">
        <v>37</v>
      </c>
      <c r="C1845" s="14" t="s">
        <v>29</v>
      </c>
      <c r="D1845" s="8" t="s">
        <v>38</v>
      </c>
    </row>
    <row r="1846" customFormat="false" ht="15" hidden="false" customHeight="false" outlineLevel="0" collapsed="false">
      <c r="A1846" s="7" t="s">
        <v>1835</v>
      </c>
      <c r="B1846" s="7" t="s">
        <v>55</v>
      </c>
      <c r="C1846" s="14" t="s">
        <v>29</v>
      </c>
      <c r="D1846" s="8" t="s">
        <v>46</v>
      </c>
    </row>
    <row r="1847" customFormat="false" ht="15" hidden="false" customHeight="false" outlineLevel="0" collapsed="false">
      <c r="A1847" s="7" t="s">
        <v>1836</v>
      </c>
      <c r="B1847" s="7" t="s">
        <v>37</v>
      </c>
      <c r="C1847" s="14" t="s">
        <v>29</v>
      </c>
      <c r="D1847" s="8" t="s">
        <v>38</v>
      </c>
    </row>
    <row r="1848" customFormat="false" ht="15" hidden="false" customHeight="false" outlineLevel="0" collapsed="false">
      <c r="A1848" s="7" t="s">
        <v>1837</v>
      </c>
      <c r="B1848" s="7" t="s">
        <v>37</v>
      </c>
      <c r="C1848" s="14" t="s">
        <v>29</v>
      </c>
      <c r="D1848" s="8" t="s">
        <v>38</v>
      </c>
    </row>
    <row r="1849" customFormat="false" ht="15" hidden="false" customHeight="false" outlineLevel="0" collapsed="false">
      <c r="A1849" s="7" t="s">
        <v>1838</v>
      </c>
      <c r="B1849" s="7" t="s">
        <v>55</v>
      </c>
      <c r="C1849" s="14" t="s">
        <v>29</v>
      </c>
      <c r="D1849" s="8" t="s">
        <v>46</v>
      </c>
    </row>
    <row r="1850" customFormat="false" ht="15" hidden="false" customHeight="false" outlineLevel="0" collapsed="false">
      <c r="A1850" s="7" t="s">
        <v>1839</v>
      </c>
      <c r="B1850" s="7" t="s">
        <v>47</v>
      </c>
      <c r="C1850" s="14" t="s">
        <v>29</v>
      </c>
      <c r="D1850" s="8" t="s">
        <v>46</v>
      </c>
    </row>
    <row r="1851" customFormat="false" ht="15" hidden="false" customHeight="false" outlineLevel="0" collapsed="false">
      <c r="A1851" s="7" t="s">
        <v>1840</v>
      </c>
      <c r="B1851" s="7" t="s">
        <v>47</v>
      </c>
      <c r="C1851" s="14" t="s">
        <v>29</v>
      </c>
      <c r="D1851" s="8" t="s">
        <v>46</v>
      </c>
    </row>
    <row r="1852" customFormat="false" ht="15" hidden="false" customHeight="false" outlineLevel="0" collapsed="false">
      <c r="A1852" s="7" t="s">
        <v>1841</v>
      </c>
      <c r="B1852" s="7" t="s">
        <v>47</v>
      </c>
      <c r="C1852" s="14" t="s">
        <v>29</v>
      </c>
      <c r="D1852" s="8" t="s">
        <v>46</v>
      </c>
    </row>
    <row r="1853" customFormat="false" ht="15" hidden="false" customHeight="false" outlineLevel="0" collapsed="false">
      <c r="A1853" s="7" t="s">
        <v>1842</v>
      </c>
      <c r="B1853" s="7" t="s">
        <v>47</v>
      </c>
      <c r="C1853" s="14" t="s">
        <v>29</v>
      </c>
      <c r="D1853" s="8" t="s">
        <v>46</v>
      </c>
    </row>
    <row r="1854" customFormat="false" ht="15" hidden="false" customHeight="false" outlineLevel="0" collapsed="false">
      <c r="A1854" s="7" t="s">
        <v>1843</v>
      </c>
      <c r="B1854" s="7" t="s">
        <v>47</v>
      </c>
      <c r="C1854" s="14" t="s">
        <v>29</v>
      </c>
      <c r="D1854" s="8" t="s">
        <v>46</v>
      </c>
    </row>
    <row r="1855" customFormat="false" ht="15" hidden="false" customHeight="false" outlineLevel="0" collapsed="false">
      <c r="A1855" s="7" t="s">
        <v>1844</v>
      </c>
      <c r="B1855" s="7" t="s">
        <v>37</v>
      </c>
      <c r="C1855" s="14" t="s">
        <v>29</v>
      </c>
      <c r="D1855" s="8" t="s">
        <v>38</v>
      </c>
    </row>
    <row r="1856" customFormat="false" ht="15" hidden="false" customHeight="false" outlineLevel="0" collapsed="false">
      <c r="A1856" s="7" t="s">
        <v>1845</v>
      </c>
      <c r="B1856" s="7" t="s">
        <v>55</v>
      </c>
      <c r="C1856" s="14" t="s">
        <v>29</v>
      </c>
      <c r="D1856" s="8" t="s">
        <v>46</v>
      </c>
    </row>
    <row r="1857" customFormat="false" ht="15" hidden="false" customHeight="false" outlineLevel="0" collapsed="false">
      <c r="A1857" s="7" t="s">
        <v>1846</v>
      </c>
      <c r="B1857" s="7" t="s">
        <v>37</v>
      </c>
      <c r="C1857" s="14" t="s">
        <v>29</v>
      </c>
      <c r="D1857" s="8" t="s">
        <v>38</v>
      </c>
    </row>
    <row r="1858" customFormat="false" ht="15" hidden="false" customHeight="false" outlineLevel="0" collapsed="false">
      <c r="A1858" s="7" t="s">
        <v>1846</v>
      </c>
      <c r="B1858" s="7" t="s">
        <v>64</v>
      </c>
      <c r="C1858" s="14" t="s">
        <v>29</v>
      </c>
      <c r="D1858" s="8" t="s">
        <v>38</v>
      </c>
    </row>
    <row r="1859" customFormat="false" ht="15" hidden="false" customHeight="false" outlineLevel="0" collapsed="false">
      <c r="A1859" s="7" t="s">
        <v>1847</v>
      </c>
      <c r="B1859" s="7" t="s">
        <v>62</v>
      </c>
      <c r="C1859" s="14" t="s">
        <v>29</v>
      </c>
      <c r="D1859" s="8" t="s">
        <v>46</v>
      </c>
    </row>
    <row r="1860" customFormat="false" ht="15" hidden="false" customHeight="false" outlineLevel="0" collapsed="false">
      <c r="A1860" s="7" t="s">
        <v>1847</v>
      </c>
      <c r="B1860" s="7" t="s">
        <v>84</v>
      </c>
      <c r="C1860" s="14" t="s">
        <v>29</v>
      </c>
      <c r="D1860" s="8" t="s">
        <v>38</v>
      </c>
    </row>
    <row r="1861" customFormat="false" ht="15" hidden="false" customHeight="false" outlineLevel="0" collapsed="false">
      <c r="A1861" s="7" t="s">
        <v>1848</v>
      </c>
      <c r="B1861" s="7" t="s">
        <v>60</v>
      </c>
      <c r="C1861" s="14" t="s">
        <v>29</v>
      </c>
      <c r="D1861" s="8" t="s">
        <v>46</v>
      </c>
    </row>
    <row r="1862" customFormat="false" ht="15" hidden="false" customHeight="false" outlineLevel="0" collapsed="false">
      <c r="A1862" s="7" t="s">
        <v>1849</v>
      </c>
      <c r="B1862" s="7" t="s">
        <v>43</v>
      </c>
      <c r="C1862" s="14" t="s">
        <v>29</v>
      </c>
      <c r="D1862" s="8" t="s">
        <v>38</v>
      </c>
    </row>
    <row r="1863" customFormat="false" ht="15" hidden="false" customHeight="false" outlineLevel="0" collapsed="false">
      <c r="A1863" s="7" t="s">
        <v>1850</v>
      </c>
      <c r="B1863" s="7" t="s">
        <v>69</v>
      </c>
      <c r="C1863" s="14" t="s">
        <v>29</v>
      </c>
      <c r="D1863" s="8" t="s">
        <v>33</v>
      </c>
    </row>
    <row r="1864" customFormat="false" ht="15" hidden="false" customHeight="false" outlineLevel="0" collapsed="false">
      <c r="A1864" s="7" t="s">
        <v>1850</v>
      </c>
      <c r="B1864" s="7" t="s">
        <v>40</v>
      </c>
      <c r="C1864" s="14" t="s">
        <v>29</v>
      </c>
      <c r="D1864" s="8" t="s">
        <v>33</v>
      </c>
    </row>
    <row r="1865" customFormat="false" ht="15" hidden="false" customHeight="false" outlineLevel="0" collapsed="false">
      <c r="A1865" s="7" t="s">
        <v>1851</v>
      </c>
      <c r="B1865" s="7" t="s">
        <v>100</v>
      </c>
      <c r="C1865" s="10" t="s">
        <v>67</v>
      </c>
      <c r="D1865" s="8" t="s">
        <v>38</v>
      </c>
    </row>
    <row r="1866" customFormat="false" ht="15" hidden="false" customHeight="false" outlineLevel="0" collapsed="false">
      <c r="A1866" s="7" t="s">
        <v>1852</v>
      </c>
      <c r="B1866" s="7" t="s">
        <v>40</v>
      </c>
      <c r="C1866" s="14" t="s">
        <v>29</v>
      </c>
      <c r="D1866" s="8" t="s">
        <v>33</v>
      </c>
    </row>
    <row r="1867" customFormat="false" ht="15" hidden="false" customHeight="false" outlineLevel="0" collapsed="false">
      <c r="A1867" s="7" t="s">
        <v>1853</v>
      </c>
      <c r="B1867" s="7" t="s">
        <v>37</v>
      </c>
      <c r="C1867" s="14" t="s">
        <v>29</v>
      </c>
      <c r="D1867" s="8" t="s">
        <v>38</v>
      </c>
    </row>
    <row r="1868" customFormat="false" ht="15" hidden="false" customHeight="false" outlineLevel="0" collapsed="false">
      <c r="A1868" s="7" t="s">
        <v>1854</v>
      </c>
      <c r="B1868" s="7" t="s">
        <v>37</v>
      </c>
      <c r="C1868" s="14" t="s">
        <v>29</v>
      </c>
      <c r="D1868" s="8" t="s">
        <v>38</v>
      </c>
    </row>
    <row r="1869" customFormat="false" ht="15" hidden="false" customHeight="false" outlineLevel="0" collapsed="false">
      <c r="A1869" s="7" t="s">
        <v>1855</v>
      </c>
      <c r="B1869" s="7" t="s">
        <v>62</v>
      </c>
      <c r="C1869" s="14" t="s">
        <v>29</v>
      </c>
      <c r="D1869" s="8" t="s">
        <v>46</v>
      </c>
    </row>
    <row r="1870" customFormat="false" ht="15" hidden="false" customHeight="false" outlineLevel="0" collapsed="false">
      <c r="A1870" s="7" t="s">
        <v>1856</v>
      </c>
      <c r="B1870" s="7" t="s">
        <v>62</v>
      </c>
      <c r="C1870" s="14" t="s">
        <v>29</v>
      </c>
      <c r="D1870" s="8" t="s">
        <v>46</v>
      </c>
    </row>
    <row r="1871" customFormat="false" ht="15" hidden="false" customHeight="false" outlineLevel="0" collapsed="false">
      <c r="A1871" s="7" t="s">
        <v>1856</v>
      </c>
      <c r="B1871" s="7" t="s">
        <v>69</v>
      </c>
      <c r="C1871" s="14" t="s">
        <v>29</v>
      </c>
      <c r="D1871" s="8" t="s">
        <v>33</v>
      </c>
    </row>
    <row r="1872" customFormat="false" ht="15" hidden="false" customHeight="false" outlineLevel="0" collapsed="false">
      <c r="A1872" s="7" t="s">
        <v>1857</v>
      </c>
      <c r="B1872" s="7" t="s">
        <v>69</v>
      </c>
      <c r="C1872" s="14" t="s">
        <v>29</v>
      </c>
      <c r="D1872" s="8" t="s">
        <v>33</v>
      </c>
    </row>
    <row r="1873" customFormat="false" ht="15" hidden="false" customHeight="false" outlineLevel="0" collapsed="false">
      <c r="A1873" s="7" t="s">
        <v>1858</v>
      </c>
      <c r="B1873" s="7" t="s">
        <v>62</v>
      </c>
      <c r="C1873" s="14" t="s">
        <v>29</v>
      </c>
      <c r="D1873" s="8" t="s">
        <v>46</v>
      </c>
    </row>
    <row r="1874" customFormat="false" ht="15" hidden="false" customHeight="false" outlineLevel="0" collapsed="false">
      <c r="A1874" s="7" t="s">
        <v>1859</v>
      </c>
      <c r="B1874" s="7" t="s">
        <v>37</v>
      </c>
      <c r="C1874" s="14" t="s">
        <v>29</v>
      </c>
      <c r="D1874" s="8" t="s">
        <v>38</v>
      </c>
    </row>
    <row r="1875" customFormat="false" ht="15" hidden="false" customHeight="false" outlineLevel="0" collapsed="false">
      <c r="A1875" s="7" t="s">
        <v>1860</v>
      </c>
      <c r="B1875" s="7" t="s">
        <v>32</v>
      </c>
      <c r="C1875" s="14" t="s">
        <v>29</v>
      </c>
      <c r="D1875" s="8" t="s">
        <v>33</v>
      </c>
    </row>
    <row r="1876" customFormat="false" ht="15" hidden="false" customHeight="false" outlineLevel="0" collapsed="false">
      <c r="A1876" s="7" t="s">
        <v>1861</v>
      </c>
      <c r="B1876" s="7" t="s">
        <v>32</v>
      </c>
      <c r="C1876" s="14" t="s">
        <v>29</v>
      </c>
      <c r="D1876" s="8" t="s">
        <v>33</v>
      </c>
    </row>
    <row r="1877" customFormat="false" ht="15" hidden="false" customHeight="false" outlineLevel="0" collapsed="false">
      <c r="A1877" s="7" t="s">
        <v>1861</v>
      </c>
      <c r="B1877" s="7" t="s">
        <v>91</v>
      </c>
      <c r="C1877" s="10" t="s">
        <v>67</v>
      </c>
      <c r="D1877" s="8" t="s">
        <v>87</v>
      </c>
    </row>
    <row r="1878" customFormat="false" ht="15" hidden="false" customHeight="false" outlineLevel="0" collapsed="false">
      <c r="A1878" s="7" t="s">
        <v>1862</v>
      </c>
      <c r="B1878" s="7" t="s">
        <v>55</v>
      </c>
      <c r="C1878" s="14" t="s">
        <v>29</v>
      </c>
      <c r="D1878" s="8" t="s">
        <v>46</v>
      </c>
    </row>
    <row r="1879" customFormat="false" ht="15" hidden="false" customHeight="false" outlineLevel="0" collapsed="false">
      <c r="A1879" s="7" t="s">
        <v>1863</v>
      </c>
      <c r="B1879" s="7" t="s">
        <v>32</v>
      </c>
      <c r="C1879" s="14" t="s">
        <v>29</v>
      </c>
      <c r="D1879" s="8" t="s">
        <v>33</v>
      </c>
    </row>
    <row r="1880" customFormat="false" ht="15" hidden="false" customHeight="false" outlineLevel="0" collapsed="false">
      <c r="A1880" s="7" t="s">
        <v>1864</v>
      </c>
      <c r="B1880" s="7" t="s">
        <v>55</v>
      </c>
      <c r="C1880" s="14" t="s">
        <v>29</v>
      </c>
      <c r="D1880" s="8" t="s">
        <v>46</v>
      </c>
    </row>
    <row r="1881" customFormat="false" ht="15" hidden="false" customHeight="false" outlineLevel="0" collapsed="false">
      <c r="A1881" s="7" t="s">
        <v>1865</v>
      </c>
      <c r="B1881" s="7" t="s">
        <v>49</v>
      </c>
      <c r="C1881" s="14" t="s">
        <v>29</v>
      </c>
      <c r="D1881" s="8" t="s">
        <v>33</v>
      </c>
    </row>
    <row r="1882" customFormat="false" ht="15" hidden="false" customHeight="false" outlineLevel="0" collapsed="false">
      <c r="A1882" s="7" t="s">
        <v>1865</v>
      </c>
      <c r="B1882" s="7" t="s">
        <v>47</v>
      </c>
      <c r="C1882" s="14" t="s">
        <v>29</v>
      </c>
      <c r="D1882" s="8" t="s">
        <v>46</v>
      </c>
    </row>
    <row r="1883" customFormat="false" ht="15" hidden="false" customHeight="false" outlineLevel="0" collapsed="false">
      <c r="A1883" s="7" t="s">
        <v>1866</v>
      </c>
      <c r="B1883" s="7" t="s">
        <v>32</v>
      </c>
      <c r="C1883" s="14" t="s">
        <v>29</v>
      </c>
      <c r="D1883" s="8" t="s">
        <v>33</v>
      </c>
    </row>
    <row r="1884" customFormat="false" ht="15" hidden="false" customHeight="false" outlineLevel="0" collapsed="false">
      <c r="A1884" s="7" t="s">
        <v>1867</v>
      </c>
      <c r="B1884" s="7" t="s">
        <v>37</v>
      </c>
      <c r="C1884" s="14" t="s">
        <v>29</v>
      </c>
      <c r="D1884" s="8" t="s">
        <v>38</v>
      </c>
    </row>
    <row r="1885" customFormat="false" ht="15" hidden="false" customHeight="false" outlineLevel="0" collapsed="false">
      <c r="A1885" s="7" t="s">
        <v>1868</v>
      </c>
      <c r="B1885" s="7" t="s">
        <v>55</v>
      </c>
      <c r="C1885" s="14" t="s">
        <v>29</v>
      </c>
      <c r="D1885" s="8" t="s">
        <v>46</v>
      </c>
    </row>
    <row r="1886" customFormat="false" ht="15" hidden="false" customHeight="false" outlineLevel="0" collapsed="false">
      <c r="A1886" s="7" t="s">
        <v>1869</v>
      </c>
      <c r="B1886" s="7" t="s">
        <v>37</v>
      </c>
      <c r="C1886" s="14" t="s">
        <v>29</v>
      </c>
      <c r="D1886" s="8" t="s">
        <v>38</v>
      </c>
    </row>
    <row r="1887" customFormat="false" ht="15" hidden="false" customHeight="false" outlineLevel="0" collapsed="false">
      <c r="A1887" s="7" t="s">
        <v>1869</v>
      </c>
      <c r="B1887" s="7" t="s">
        <v>47</v>
      </c>
      <c r="C1887" s="14" t="s">
        <v>29</v>
      </c>
      <c r="D1887" s="8" t="s">
        <v>46</v>
      </c>
    </row>
    <row r="1888" customFormat="false" ht="15" hidden="false" customHeight="false" outlineLevel="0" collapsed="false">
      <c r="A1888" s="7" t="s">
        <v>1870</v>
      </c>
      <c r="B1888" s="7" t="s">
        <v>32</v>
      </c>
      <c r="C1888" s="14" t="s">
        <v>29</v>
      </c>
      <c r="D1888" s="8" t="s">
        <v>33</v>
      </c>
    </row>
    <row r="1889" customFormat="false" ht="15" hidden="false" customHeight="false" outlineLevel="0" collapsed="false">
      <c r="A1889" s="7" t="s">
        <v>1871</v>
      </c>
      <c r="B1889" s="7" t="s">
        <v>55</v>
      </c>
      <c r="C1889" s="14" t="s">
        <v>29</v>
      </c>
      <c r="D1889" s="8" t="s">
        <v>46</v>
      </c>
    </row>
    <row r="1890" customFormat="false" ht="15" hidden="false" customHeight="false" outlineLevel="0" collapsed="false">
      <c r="A1890" s="7" t="s">
        <v>1872</v>
      </c>
      <c r="B1890" s="7" t="s">
        <v>47</v>
      </c>
      <c r="C1890" s="14" t="s">
        <v>29</v>
      </c>
      <c r="D1890" s="8" t="s">
        <v>46</v>
      </c>
    </row>
    <row r="1891" customFormat="false" ht="15" hidden="false" customHeight="false" outlineLevel="0" collapsed="false">
      <c r="A1891" s="7" t="s">
        <v>1873</v>
      </c>
      <c r="B1891" s="7" t="s">
        <v>47</v>
      </c>
      <c r="C1891" s="14" t="s">
        <v>29</v>
      </c>
      <c r="D1891" s="8" t="s">
        <v>46</v>
      </c>
    </row>
    <row r="1892" customFormat="false" ht="15" hidden="false" customHeight="false" outlineLevel="0" collapsed="false">
      <c r="A1892" s="7" t="s">
        <v>1874</v>
      </c>
      <c r="B1892" s="7" t="s">
        <v>32</v>
      </c>
      <c r="C1892" s="14" t="s">
        <v>29</v>
      </c>
      <c r="D1892" s="8" t="s">
        <v>33</v>
      </c>
    </row>
    <row r="1893" customFormat="false" ht="15" hidden="false" customHeight="false" outlineLevel="0" collapsed="false">
      <c r="A1893" s="7" t="s">
        <v>1875</v>
      </c>
      <c r="B1893" s="7" t="s">
        <v>69</v>
      </c>
      <c r="C1893" s="14" t="s">
        <v>29</v>
      </c>
      <c r="D1893" s="8" t="s">
        <v>33</v>
      </c>
    </row>
    <row r="1894" customFormat="false" ht="15" hidden="false" customHeight="false" outlineLevel="0" collapsed="false">
      <c r="A1894" s="7" t="s">
        <v>1875</v>
      </c>
      <c r="B1894" s="7" t="s">
        <v>37</v>
      </c>
      <c r="C1894" s="14" t="s">
        <v>29</v>
      </c>
      <c r="D1894" s="8" t="s">
        <v>38</v>
      </c>
    </row>
    <row r="1895" customFormat="false" ht="15" hidden="false" customHeight="false" outlineLevel="0" collapsed="false">
      <c r="A1895" s="7" t="s">
        <v>1876</v>
      </c>
      <c r="B1895" s="7" t="s">
        <v>55</v>
      </c>
      <c r="C1895" s="14" t="s">
        <v>29</v>
      </c>
      <c r="D1895" s="8" t="s">
        <v>46</v>
      </c>
    </row>
    <row r="1896" customFormat="false" ht="15" hidden="false" customHeight="false" outlineLevel="0" collapsed="false">
      <c r="A1896" s="7" t="s">
        <v>1877</v>
      </c>
      <c r="B1896" s="7" t="s">
        <v>64</v>
      </c>
      <c r="C1896" s="14" t="s">
        <v>29</v>
      </c>
      <c r="D1896" s="8" t="s">
        <v>38</v>
      </c>
    </row>
    <row r="1897" customFormat="false" ht="15" hidden="false" customHeight="false" outlineLevel="0" collapsed="false">
      <c r="A1897" s="7" t="s">
        <v>1878</v>
      </c>
      <c r="B1897" s="7" t="s">
        <v>32</v>
      </c>
      <c r="C1897" s="14" t="s">
        <v>29</v>
      </c>
      <c r="D1897" s="8" t="s">
        <v>33</v>
      </c>
    </row>
    <row r="1898" customFormat="false" ht="15" hidden="false" customHeight="false" outlineLevel="0" collapsed="false">
      <c r="A1898" s="7" t="s">
        <v>1878</v>
      </c>
      <c r="B1898" s="7" t="s">
        <v>37</v>
      </c>
      <c r="C1898" s="14" t="s">
        <v>29</v>
      </c>
      <c r="D1898" s="8" t="s">
        <v>38</v>
      </c>
    </row>
    <row r="1899" customFormat="false" ht="15" hidden="false" customHeight="false" outlineLevel="0" collapsed="false">
      <c r="A1899" s="7" t="s">
        <v>1879</v>
      </c>
      <c r="B1899" s="7" t="s">
        <v>60</v>
      </c>
      <c r="C1899" s="14" t="s">
        <v>29</v>
      </c>
      <c r="D1899" s="8" t="s">
        <v>46</v>
      </c>
    </row>
    <row r="1900" customFormat="false" ht="15" hidden="false" customHeight="false" outlineLevel="0" collapsed="false">
      <c r="A1900" s="7" t="s">
        <v>1880</v>
      </c>
      <c r="B1900" s="7" t="s">
        <v>62</v>
      </c>
      <c r="C1900" s="14" t="s">
        <v>29</v>
      </c>
      <c r="D1900" s="8" t="s">
        <v>46</v>
      </c>
    </row>
    <row r="1901" customFormat="false" ht="15" hidden="false" customHeight="false" outlineLevel="0" collapsed="false">
      <c r="A1901" s="7" t="s">
        <v>1881</v>
      </c>
      <c r="B1901" s="7" t="s">
        <v>32</v>
      </c>
      <c r="C1901" s="14" t="s">
        <v>29</v>
      </c>
      <c r="D1901" s="8" t="s">
        <v>33</v>
      </c>
    </row>
    <row r="1902" customFormat="false" ht="15" hidden="false" customHeight="false" outlineLevel="0" collapsed="false">
      <c r="A1902" s="7" t="s">
        <v>1881</v>
      </c>
      <c r="B1902" s="7" t="s">
        <v>37</v>
      </c>
      <c r="C1902" s="14" t="s">
        <v>29</v>
      </c>
      <c r="D1902" s="8" t="s">
        <v>38</v>
      </c>
    </row>
    <row r="1903" customFormat="false" ht="15" hidden="false" customHeight="false" outlineLevel="0" collapsed="false">
      <c r="A1903" s="7" t="s">
        <v>1882</v>
      </c>
      <c r="B1903" s="7" t="s">
        <v>32</v>
      </c>
      <c r="C1903" s="14" t="s">
        <v>29</v>
      </c>
      <c r="D1903" s="8" t="s">
        <v>33</v>
      </c>
    </row>
    <row r="1904" customFormat="false" ht="15" hidden="false" customHeight="false" outlineLevel="0" collapsed="false">
      <c r="A1904" s="7" t="s">
        <v>1883</v>
      </c>
      <c r="B1904" s="7" t="s">
        <v>55</v>
      </c>
      <c r="C1904" s="14" t="s">
        <v>29</v>
      </c>
      <c r="D1904" s="8" t="s">
        <v>46</v>
      </c>
    </row>
    <row r="1905" customFormat="false" ht="15" hidden="false" customHeight="false" outlineLevel="0" collapsed="false">
      <c r="A1905" s="7" t="s">
        <v>1884</v>
      </c>
      <c r="B1905" s="7" t="s">
        <v>32</v>
      </c>
      <c r="C1905" s="14" t="s">
        <v>29</v>
      </c>
      <c r="D1905" s="8" t="s">
        <v>33</v>
      </c>
    </row>
    <row r="1906" customFormat="false" ht="15" hidden="false" customHeight="false" outlineLevel="0" collapsed="false">
      <c r="A1906" s="7" t="s">
        <v>1885</v>
      </c>
      <c r="B1906" s="7" t="s">
        <v>47</v>
      </c>
      <c r="C1906" s="14" t="s">
        <v>29</v>
      </c>
      <c r="D1906" s="8" t="s">
        <v>46</v>
      </c>
    </row>
    <row r="1907" customFormat="false" ht="15" hidden="false" customHeight="false" outlineLevel="0" collapsed="false">
      <c r="A1907" s="7" t="s">
        <v>1885</v>
      </c>
      <c r="B1907" s="7" t="s">
        <v>49</v>
      </c>
      <c r="C1907" s="14" t="s">
        <v>29</v>
      </c>
      <c r="D1907" s="8" t="s">
        <v>33</v>
      </c>
    </row>
    <row r="1908" customFormat="false" ht="15" hidden="false" customHeight="false" outlineLevel="0" collapsed="false">
      <c r="A1908" s="7" t="s">
        <v>1886</v>
      </c>
      <c r="B1908" s="7" t="s">
        <v>47</v>
      </c>
      <c r="C1908" s="14" t="s">
        <v>29</v>
      </c>
      <c r="D1908" s="8" t="s">
        <v>46</v>
      </c>
    </row>
    <row r="1909" customFormat="false" ht="15" hidden="false" customHeight="false" outlineLevel="0" collapsed="false">
      <c r="A1909" s="7" t="s">
        <v>156</v>
      </c>
      <c r="B1909" s="7" t="s">
        <v>47</v>
      </c>
      <c r="C1909" s="14" t="s">
        <v>29</v>
      </c>
      <c r="D1909" s="8" t="s">
        <v>46</v>
      </c>
    </row>
    <row r="1910" customFormat="false" ht="15" hidden="false" customHeight="false" outlineLevel="0" collapsed="false">
      <c r="A1910" s="7" t="s">
        <v>1887</v>
      </c>
      <c r="B1910" s="7" t="s">
        <v>32</v>
      </c>
      <c r="C1910" s="14" t="s">
        <v>29</v>
      </c>
      <c r="D1910" s="8" t="s">
        <v>33</v>
      </c>
    </row>
    <row r="1911" customFormat="false" ht="15" hidden="false" customHeight="false" outlineLevel="0" collapsed="false">
      <c r="A1911" s="7" t="s">
        <v>1888</v>
      </c>
      <c r="B1911" s="7" t="s">
        <v>55</v>
      </c>
      <c r="C1911" s="14" t="s">
        <v>29</v>
      </c>
      <c r="D1911" s="8" t="s">
        <v>46</v>
      </c>
    </row>
    <row r="1912" customFormat="false" ht="15" hidden="false" customHeight="false" outlineLevel="0" collapsed="false">
      <c r="A1912" s="7" t="s">
        <v>1889</v>
      </c>
      <c r="B1912" s="7" t="s">
        <v>62</v>
      </c>
      <c r="C1912" s="14" t="s">
        <v>29</v>
      </c>
      <c r="D1912" s="8" t="s">
        <v>46</v>
      </c>
    </row>
    <row r="1913" customFormat="false" ht="15" hidden="false" customHeight="false" outlineLevel="0" collapsed="false">
      <c r="A1913" s="7" t="s">
        <v>1889</v>
      </c>
      <c r="B1913" s="7" t="s">
        <v>69</v>
      </c>
      <c r="C1913" s="14" t="s">
        <v>29</v>
      </c>
      <c r="D1913" s="8" t="s">
        <v>33</v>
      </c>
    </row>
    <row r="1914" customFormat="false" ht="15" hidden="false" customHeight="false" outlineLevel="0" collapsed="false">
      <c r="A1914" s="7" t="s">
        <v>1890</v>
      </c>
      <c r="B1914" s="7" t="s">
        <v>64</v>
      </c>
      <c r="C1914" s="14" t="s">
        <v>29</v>
      </c>
      <c r="D1914" s="8" t="s">
        <v>38</v>
      </c>
    </row>
    <row r="1915" customFormat="false" ht="15" hidden="false" customHeight="false" outlineLevel="0" collapsed="false">
      <c r="A1915" s="7" t="s">
        <v>1891</v>
      </c>
      <c r="B1915" s="7" t="s">
        <v>62</v>
      </c>
      <c r="C1915" s="14" t="s">
        <v>29</v>
      </c>
      <c r="D1915" s="8" t="s">
        <v>46</v>
      </c>
    </row>
    <row r="1916" customFormat="false" ht="15" hidden="false" customHeight="false" outlineLevel="0" collapsed="false">
      <c r="A1916" s="7" t="s">
        <v>1891</v>
      </c>
      <c r="B1916" s="7" t="s">
        <v>69</v>
      </c>
      <c r="C1916" s="14" t="s">
        <v>29</v>
      </c>
      <c r="D1916" s="8" t="s">
        <v>33</v>
      </c>
    </row>
    <row r="1917" customFormat="false" ht="15" hidden="false" customHeight="false" outlineLevel="0" collapsed="false">
      <c r="A1917" s="7" t="s">
        <v>1892</v>
      </c>
      <c r="B1917" s="7" t="s">
        <v>58</v>
      </c>
      <c r="C1917" s="14" t="s">
        <v>29</v>
      </c>
      <c r="D1917" s="8" t="s">
        <v>46</v>
      </c>
    </row>
    <row r="1918" customFormat="false" ht="15" hidden="false" customHeight="false" outlineLevel="0" collapsed="false">
      <c r="A1918" s="7" t="s">
        <v>1893</v>
      </c>
      <c r="B1918" s="7" t="s">
        <v>40</v>
      </c>
      <c r="C1918" s="14" t="s">
        <v>29</v>
      </c>
      <c r="D1918" s="8" t="s">
        <v>33</v>
      </c>
    </row>
    <row r="1919" customFormat="false" ht="15" hidden="false" customHeight="false" outlineLevel="0" collapsed="false">
      <c r="A1919" s="7" t="s">
        <v>1894</v>
      </c>
      <c r="B1919" s="7" t="s">
        <v>79</v>
      </c>
      <c r="C1919" s="10" t="s">
        <v>67</v>
      </c>
      <c r="D1919" s="8" t="s">
        <v>33</v>
      </c>
    </row>
    <row r="1920" customFormat="false" ht="15" hidden="false" customHeight="false" outlineLevel="0" collapsed="false">
      <c r="A1920" s="7" t="s">
        <v>1895</v>
      </c>
      <c r="B1920" s="7" t="s">
        <v>66</v>
      </c>
      <c r="C1920" s="10" t="s">
        <v>67</v>
      </c>
      <c r="D1920" s="8" t="s">
        <v>33</v>
      </c>
    </row>
    <row r="1921" customFormat="false" ht="15" hidden="false" customHeight="false" outlineLevel="0" collapsed="false">
      <c r="A1921" s="7" t="s">
        <v>1896</v>
      </c>
      <c r="B1921" s="7" t="s">
        <v>86</v>
      </c>
      <c r="C1921" s="14" t="s">
        <v>29</v>
      </c>
      <c r="D1921" s="8" t="s">
        <v>87</v>
      </c>
    </row>
    <row r="1922" customFormat="false" ht="15" hidden="false" customHeight="false" outlineLevel="0" collapsed="false">
      <c r="A1922" s="7" t="s">
        <v>1896</v>
      </c>
      <c r="B1922" s="7" t="s">
        <v>89</v>
      </c>
      <c r="C1922" s="14" t="s">
        <v>29</v>
      </c>
      <c r="D1922" s="8" t="s">
        <v>87</v>
      </c>
    </row>
    <row r="1923" customFormat="false" ht="15" hidden="false" customHeight="false" outlineLevel="0" collapsed="false">
      <c r="A1923" s="7" t="s">
        <v>1897</v>
      </c>
      <c r="B1923" s="7" t="s">
        <v>77</v>
      </c>
      <c r="C1923" s="10" t="s">
        <v>67</v>
      </c>
      <c r="D1923" s="8" t="s">
        <v>46</v>
      </c>
    </row>
    <row r="1924" customFormat="false" ht="15" hidden="false" customHeight="false" outlineLevel="0" collapsed="false">
      <c r="A1924" s="7" t="s">
        <v>1897</v>
      </c>
      <c r="B1924" s="7" t="s">
        <v>40</v>
      </c>
      <c r="C1924" s="14" t="s">
        <v>29</v>
      </c>
      <c r="D1924" s="8" t="s">
        <v>33</v>
      </c>
    </row>
    <row r="1925" customFormat="false" ht="15" hidden="false" customHeight="false" outlineLevel="0" collapsed="false">
      <c r="A1925" s="7" t="s">
        <v>1898</v>
      </c>
      <c r="B1925" s="7" t="s">
        <v>100</v>
      </c>
      <c r="C1925" s="10" t="s">
        <v>67</v>
      </c>
      <c r="D1925" s="8" t="s">
        <v>38</v>
      </c>
    </row>
    <row r="1926" customFormat="false" ht="15" hidden="false" customHeight="false" outlineLevel="0" collapsed="false">
      <c r="A1926" s="7" t="s">
        <v>1899</v>
      </c>
      <c r="B1926" s="7" t="s">
        <v>82</v>
      </c>
      <c r="C1926" s="14" t="s">
        <v>29</v>
      </c>
      <c r="D1926" s="8" t="s">
        <v>46</v>
      </c>
    </row>
    <row r="1927" customFormat="false" ht="15" hidden="false" customHeight="false" outlineLevel="0" collapsed="false">
      <c r="A1927" s="7" t="s">
        <v>1899</v>
      </c>
      <c r="B1927" s="7" t="s">
        <v>45</v>
      </c>
      <c r="C1927" s="14" t="s">
        <v>29</v>
      </c>
      <c r="D1927" s="8" t="s">
        <v>46</v>
      </c>
    </row>
    <row r="1928" customFormat="false" ht="15" hidden="false" customHeight="false" outlineLevel="0" collapsed="false">
      <c r="A1928" s="7" t="s">
        <v>1900</v>
      </c>
      <c r="B1928" s="7" t="s">
        <v>71</v>
      </c>
      <c r="C1928" s="10" t="s">
        <v>67</v>
      </c>
      <c r="D1928" s="8" t="s">
        <v>33</v>
      </c>
    </row>
    <row r="1929" customFormat="false" ht="15" hidden="false" customHeight="false" outlineLevel="0" collapsed="false">
      <c r="A1929" s="7" t="s">
        <v>1901</v>
      </c>
      <c r="B1929" s="7" t="s">
        <v>55</v>
      </c>
      <c r="C1929" s="10" t="s">
        <v>67</v>
      </c>
      <c r="D1929" s="8" t="s">
        <v>46</v>
      </c>
    </row>
    <row r="1930" customFormat="false" ht="15" hidden="false" customHeight="false" outlineLevel="0" collapsed="false">
      <c r="A1930" s="7" t="s">
        <v>1902</v>
      </c>
      <c r="B1930" s="7" t="s">
        <v>79</v>
      </c>
      <c r="C1930" s="10" t="s">
        <v>67</v>
      </c>
      <c r="D1930" s="8" t="s">
        <v>33</v>
      </c>
    </row>
    <row r="1931" customFormat="false" ht="15" hidden="false" customHeight="false" outlineLevel="0" collapsed="false">
      <c r="A1931" s="7" t="s">
        <v>1902</v>
      </c>
      <c r="B1931" s="7" t="s">
        <v>66</v>
      </c>
      <c r="C1931" s="10" t="s">
        <v>67</v>
      </c>
      <c r="D1931" s="8" t="s">
        <v>33</v>
      </c>
    </row>
    <row r="1932" customFormat="false" ht="15" hidden="false" customHeight="false" outlineLevel="0" collapsed="false">
      <c r="A1932" s="7" t="s">
        <v>1903</v>
      </c>
      <c r="B1932" s="7" t="s">
        <v>79</v>
      </c>
      <c r="C1932" s="10" t="s">
        <v>67</v>
      </c>
      <c r="D1932" s="8" t="s">
        <v>33</v>
      </c>
    </row>
    <row r="1933" customFormat="false" ht="15" hidden="false" customHeight="false" outlineLevel="0" collapsed="false">
      <c r="A1933" s="7" t="s">
        <v>1904</v>
      </c>
      <c r="B1933" s="7" t="s">
        <v>58</v>
      </c>
      <c r="C1933" s="10" t="s">
        <v>67</v>
      </c>
      <c r="D1933" s="8" t="s">
        <v>46</v>
      </c>
    </row>
    <row r="1934" customFormat="false" ht="15" hidden="false" customHeight="false" outlineLevel="0" collapsed="false">
      <c r="A1934" s="7" t="s">
        <v>1904</v>
      </c>
      <c r="B1934" s="7" t="s">
        <v>43</v>
      </c>
      <c r="C1934" s="14" t="s">
        <v>29</v>
      </c>
      <c r="D1934" s="8" t="s">
        <v>38</v>
      </c>
    </row>
    <row r="1935" customFormat="false" ht="15" hidden="false" customHeight="false" outlineLevel="0" collapsed="false">
      <c r="A1935" s="7" t="s">
        <v>1905</v>
      </c>
      <c r="B1935" s="7" t="s">
        <v>37</v>
      </c>
      <c r="C1935" s="14" t="s">
        <v>29</v>
      </c>
      <c r="D1935" s="8" t="s">
        <v>38</v>
      </c>
    </row>
    <row r="1936" customFormat="false" ht="15" hidden="false" customHeight="false" outlineLevel="0" collapsed="false">
      <c r="A1936" s="7" t="s">
        <v>1906</v>
      </c>
      <c r="B1936" s="7" t="s">
        <v>49</v>
      </c>
      <c r="C1936" s="14" t="s">
        <v>29</v>
      </c>
      <c r="D1936" s="8" t="s">
        <v>33</v>
      </c>
    </row>
    <row r="1937" customFormat="false" ht="15" hidden="false" customHeight="false" outlineLevel="0" collapsed="false">
      <c r="A1937" s="7" t="s">
        <v>1907</v>
      </c>
      <c r="B1937" s="7" t="s">
        <v>32</v>
      </c>
      <c r="C1937" s="14" t="s">
        <v>29</v>
      </c>
      <c r="D1937" s="8" t="s">
        <v>33</v>
      </c>
    </row>
    <row r="1938" customFormat="false" ht="15" hidden="false" customHeight="false" outlineLevel="0" collapsed="false">
      <c r="A1938" s="7" t="s">
        <v>1908</v>
      </c>
      <c r="B1938" s="7" t="s">
        <v>32</v>
      </c>
      <c r="C1938" s="14" t="s">
        <v>29</v>
      </c>
      <c r="D1938" s="8" t="s">
        <v>33</v>
      </c>
    </row>
    <row r="1939" customFormat="false" ht="15" hidden="false" customHeight="false" outlineLevel="0" collapsed="false">
      <c r="A1939" s="7" t="s">
        <v>1908</v>
      </c>
      <c r="B1939" s="7" t="s">
        <v>82</v>
      </c>
      <c r="C1939" s="10" t="s">
        <v>67</v>
      </c>
      <c r="D1939" s="8" t="s">
        <v>46</v>
      </c>
    </row>
    <row r="1940" customFormat="false" ht="15" hidden="false" customHeight="false" outlineLevel="0" collapsed="false">
      <c r="A1940" s="7" t="s">
        <v>1908</v>
      </c>
      <c r="B1940" s="7" t="s">
        <v>55</v>
      </c>
      <c r="C1940" s="14" t="s">
        <v>29</v>
      </c>
      <c r="D1940" s="8" t="s">
        <v>46</v>
      </c>
    </row>
    <row r="1941" customFormat="false" ht="15" hidden="false" customHeight="false" outlineLevel="0" collapsed="false">
      <c r="A1941" s="7" t="s">
        <v>1909</v>
      </c>
      <c r="B1941" s="7" t="s">
        <v>49</v>
      </c>
      <c r="C1941" s="14" t="s">
        <v>29</v>
      </c>
      <c r="D1941" s="8" t="s">
        <v>33</v>
      </c>
    </row>
    <row r="1942" customFormat="false" ht="15" hidden="false" customHeight="false" outlineLevel="0" collapsed="false">
      <c r="A1942" s="7" t="s">
        <v>1910</v>
      </c>
      <c r="B1942" s="7" t="s">
        <v>47</v>
      </c>
      <c r="C1942" s="14" t="s">
        <v>29</v>
      </c>
      <c r="D1942" s="8" t="s">
        <v>46</v>
      </c>
    </row>
    <row r="1943" customFormat="false" ht="15" hidden="false" customHeight="false" outlineLevel="0" collapsed="false">
      <c r="A1943" s="7" t="s">
        <v>1911</v>
      </c>
      <c r="B1943" s="7" t="s">
        <v>49</v>
      </c>
      <c r="C1943" s="14" t="s">
        <v>29</v>
      </c>
      <c r="D1943" s="8" t="s">
        <v>33</v>
      </c>
    </row>
    <row r="1944" customFormat="false" ht="15" hidden="false" customHeight="false" outlineLevel="0" collapsed="false">
      <c r="A1944" s="7" t="s">
        <v>1911</v>
      </c>
      <c r="B1944" s="7" t="s">
        <v>47</v>
      </c>
      <c r="C1944" s="14" t="s">
        <v>29</v>
      </c>
      <c r="D1944" s="8" t="s">
        <v>46</v>
      </c>
    </row>
    <row r="1945" customFormat="false" ht="15" hidden="false" customHeight="false" outlineLevel="0" collapsed="false">
      <c r="A1945" s="7" t="s">
        <v>1912</v>
      </c>
      <c r="B1945" s="7" t="s">
        <v>47</v>
      </c>
      <c r="C1945" s="14" t="s">
        <v>29</v>
      </c>
      <c r="D1945" s="8" t="s">
        <v>46</v>
      </c>
    </row>
    <row r="1946" customFormat="false" ht="15" hidden="false" customHeight="false" outlineLevel="0" collapsed="false">
      <c r="A1946" s="7" t="s">
        <v>1913</v>
      </c>
      <c r="B1946" s="7" t="s">
        <v>32</v>
      </c>
      <c r="C1946" s="14" t="s">
        <v>29</v>
      </c>
      <c r="D1946" s="8" t="s">
        <v>33</v>
      </c>
    </row>
    <row r="1947" customFormat="false" ht="15" hidden="false" customHeight="false" outlineLevel="0" collapsed="false">
      <c r="A1947" s="7" t="s">
        <v>1914</v>
      </c>
      <c r="B1947" s="7" t="s">
        <v>37</v>
      </c>
      <c r="C1947" s="14" t="s">
        <v>29</v>
      </c>
      <c r="D1947" s="8" t="s">
        <v>38</v>
      </c>
    </row>
    <row r="1948" customFormat="false" ht="15" hidden="false" customHeight="false" outlineLevel="0" collapsed="false">
      <c r="A1948" s="7" t="s">
        <v>1914</v>
      </c>
      <c r="B1948" s="7" t="s">
        <v>40</v>
      </c>
      <c r="C1948" s="14" t="s">
        <v>29</v>
      </c>
      <c r="D1948" s="8" t="s">
        <v>33</v>
      </c>
    </row>
    <row r="1949" customFormat="false" ht="15" hidden="false" customHeight="false" outlineLevel="0" collapsed="false">
      <c r="A1949" s="7" t="s">
        <v>1915</v>
      </c>
      <c r="B1949" s="7" t="s">
        <v>55</v>
      </c>
      <c r="C1949" s="14" t="s">
        <v>29</v>
      </c>
      <c r="D1949" s="8" t="s">
        <v>46</v>
      </c>
    </row>
    <row r="1950" customFormat="false" ht="15" hidden="false" customHeight="false" outlineLevel="0" collapsed="false">
      <c r="A1950" s="7" t="s">
        <v>1916</v>
      </c>
      <c r="B1950" s="7" t="s">
        <v>49</v>
      </c>
      <c r="C1950" s="14" t="s">
        <v>29</v>
      </c>
      <c r="D1950" s="8" t="s">
        <v>33</v>
      </c>
    </row>
    <row r="1951" customFormat="false" ht="15" hidden="false" customHeight="false" outlineLevel="0" collapsed="false">
      <c r="A1951" s="7" t="s">
        <v>1916</v>
      </c>
      <c r="B1951" s="7" t="s">
        <v>47</v>
      </c>
      <c r="C1951" s="14" t="s">
        <v>29</v>
      </c>
      <c r="D1951" s="8" t="s">
        <v>46</v>
      </c>
    </row>
    <row r="1952" customFormat="false" ht="15" hidden="false" customHeight="false" outlineLevel="0" collapsed="false">
      <c r="A1952" s="7" t="s">
        <v>1917</v>
      </c>
      <c r="B1952" s="7" t="s">
        <v>47</v>
      </c>
      <c r="C1952" s="14" t="s">
        <v>29</v>
      </c>
      <c r="D1952" s="8" t="s">
        <v>46</v>
      </c>
    </row>
    <row r="1953" customFormat="false" ht="15" hidden="false" customHeight="false" outlineLevel="0" collapsed="false">
      <c r="A1953" s="7" t="s">
        <v>1918</v>
      </c>
      <c r="B1953" s="7" t="s">
        <v>47</v>
      </c>
      <c r="C1953" s="14" t="s">
        <v>29</v>
      </c>
      <c r="D1953" s="8" t="s">
        <v>46</v>
      </c>
    </row>
    <row r="1954" customFormat="false" ht="15" hidden="false" customHeight="false" outlineLevel="0" collapsed="false">
      <c r="A1954" s="7" t="s">
        <v>1919</v>
      </c>
      <c r="B1954" s="7" t="s">
        <v>47</v>
      </c>
      <c r="C1954" s="14" t="s">
        <v>29</v>
      </c>
      <c r="D1954" s="8" t="s">
        <v>46</v>
      </c>
    </row>
    <row r="1955" customFormat="false" ht="15" hidden="false" customHeight="false" outlineLevel="0" collapsed="false">
      <c r="A1955" s="7" t="s">
        <v>1920</v>
      </c>
      <c r="B1955" s="7" t="s">
        <v>55</v>
      </c>
      <c r="C1955" s="14" t="s">
        <v>29</v>
      </c>
      <c r="D1955" s="8" t="s">
        <v>46</v>
      </c>
    </row>
    <row r="1956" customFormat="false" ht="15" hidden="false" customHeight="false" outlineLevel="0" collapsed="false">
      <c r="A1956" s="7" t="s">
        <v>1921</v>
      </c>
      <c r="B1956" s="7" t="s">
        <v>55</v>
      </c>
      <c r="C1956" s="14" t="s">
        <v>29</v>
      </c>
      <c r="D1956" s="8" t="s">
        <v>46</v>
      </c>
    </row>
    <row r="1957" customFormat="false" ht="15" hidden="false" customHeight="false" outlineLevel="0" collapsed="false">
      <c r="A1957" s="7" t="s">
        <v>1922</v>
      </c>
      <c r="B1957" s="7" t="s">
        <v>32</v>
      </c>
      <c r="C1957" s="14" t="s">
        <v>29</v>
      </c>
      <c r="D1957" s="8" t="s">
        <v>33</v>
      </c>
    </row>
    <row r="1958" customFormat="false" ht="15" hidden="false" customHeight="false" outlineLevel="0" collapsed="false">
      <c r="A1958" s="7" t="s">
        <v>1922</v>
      </c>
      <c r="B1958" s="7" t="s">
        <v>49</v>
      </c>
      <c r="C1958" s="14" t="s">
        <v>29</v>
      </c>
      <c r="D1958" s="8" t="s">
        <v>33</v>
      </c>
    </row>
    <row r="1959" customFormat="false" ht="15" hidden="false" customHeight="false" outlineLevel="0" collapsed="false">
      <c r="A1959" s="7" t="s">
        <v>1922</v>
      </c>
      <c r="B1959" s="7" t="s">
        <v>47</v>
      </c>
      <c r="C1959" s="14" t="s">
        <v>29</v>
      </c>
      <c r="D1959" s="8" t="s">
        <v>46</v>
      </c>
    </row>
    <row r="1960" customFormat="false" ht="15" hidden="false" customHeight="false" outlineLevel="0" collapsed="false">
      <c r="A1960" s="7" t="s">
        <v>1923</v>
      </c>
      <c r="B1960" s="7" t="s">
        <v>47</v>
      </c>
      <c r="C1960" s="14" t="s">
        <v>29</v>
      </c>
      <c r="D1960" s="8" t="s">
        <v>46</v>
      </c>
    </row>
    <row r="1961" customFormat="false" ht="15" hidden="false" customHeight="false" outlineLevel="0" collapsed="false">
      <c r="A1961" s="7" t="s">
        <v>1924</v>
      </c>
      <c r="B1961" s="7" t="s">
        <v>47</v>
      </c>
      <c r="C1961" s="14" t="s">
        <v>29</v>
      </c>
      <c r="D1961" s="8" t="s">
        <v>46</v>
      </c>
    </row>
    <row r="1962" customFormat="false" ht="15" hidden="false" customHeight="false" outlineLevel="0" collapsed="false">
      <c r="A1962" s="7" t="s">
        <v>1925</v>
      </c>
      <c r="B1962" s="7" t="s">
        <v>32</v>
      </c>
      <c r="C1962" s="14" t="s">
        <v>29</v>
      </c>
      <c r="D1962" s="8" t="s">
        <v>33</v>
      </c>
    </row>
    <row r="1963" customFormat="false" ht="15" hidden="false" customHeight="false" outlineLevel="0" collapsed="false">
      <c r="A1963" s="7" t="s">
        <v>1926</v>
      </c>
      <c r="B1963" s="7" t="s">
        <v>32</v>
      </c>
      <c r="C1963" s="14" t="s">
        <v>29</v>
      </c>
      <c r="D1963" s="8" t="s">
        <v>33</v>
      </c>
    </row>
    <row r="1964" customFormat="false" ht="15" hidden="false" customHeight="false" outlineLevel="0" collapsed="false">
      <c r="A1964" s="7" t="s">
        <v>1927</v>
      </c>
      <c r="B1964" s="7" t="s">
        <v>32</v>
      </c>
      <c r="C1964" s="14" t="s">
        <v>29</v>
      </c>
      <c r="D1964" s="8" t="s">
        <v>33</v>
      </c>
    </row>
    <row r="1965" customFormat="false" ht="15" hidden="false" customHeight="false" outlineLevel="0" collapsed="false">
      <c r="A1965" s="7" t="s">
        <v>1928</v>
      </c>
      <c r="B1965" s="7" t="s">
        <v>32</v>
      </c>
      <c r="C1965" s="14" t="s">
        <v>29</v>
      </c>
      <c r="D1965" s="8" t="s">
        <v>33</v>
      </c>
    </row>
    <row r="1966" customFormat="false" ht="15" hidden="false" customHeight="false" outlineLevel="0" collapsed="false">
      <c r="A1966" s="7" t="s">
        <v>1928</v>
      </c>
      <c r="B1966" s="7" t="s">
        <v>91</v>
      </c>
      <c r="C1966" s="10" t="s">
        <v>67</v>
      </c>
      <c r="D1966" s="8" t="s">
        <v>87</v>
      </c>
    </row>
    <row r="1967" customFormat="false" ht="15" hidden="false" customHeight="false" outlineLevel="0" collapsed="false">
      <c r="A1967" s="7" t="s">
        <v>1929</v>
      </c>
      <c r="B1967" s="7" t="s">
        <v>32</v>
      </c>
      <c r="C1967" s="14" t="s">
        <v>29</v>
      </c>
      <c r="D1967" s="8" t="s">
        <v>33</v>
      </c>
    </row>
    <row r="1968" customFormat="false" ht="15" hidden="false" customHeight="false" outlineLevel="0" collapsed="false">
      <c r="A1968" s="7" t="s">
        <v>1930</v>
      </c>
      <c r="B1968" s="7" t="s">
        <v>49</v>
      </c>
      <c r="C1968" s="14" t="s">
        <v>29</v>
      </c>
      <c r="D1968" s="8" t="s">
        <v>33</v>
      </c>
    </row>
    <row r="1969" customFormat="false" ht="15" hidden="false" customHeight="false" outlineLevel="0" collapsed="false">
      <c r="A1969" s="7" t="s">
        <v>1930</v>
      </c>
      <c r="B1969" s="7" t="s">
        <v>47</v>
      </c>
      <c r="C1969" s="14" t="s">
        <v>29</v>
      </c>
      <c r="D1969" s="8" t="s">
        <v>46</v>
      </c>
    </row>
    <row r="1970" customFormat="false" ht="15" hidden="false" customHeight="false" outlineLevel="0" collapsed="false">
      <c r="A1970" s="7" t="s">
        <v>1931</v>
      </c>
      <c r="B1970" s="7" t="s">
        <v>47</v>
      </c>
      <c r="C1970" s="14" t="s">
        <v>29</v>
      </c>
      <c r="D1970" s="8" t="s">
        <v>46</v>
      </c>
    </row>
    <row r="1971" customFormat="false" ht="15" hidden="false" customHeight="false" outlineLevel="0" collapsed="false">
      <c r="A1971" s="7" t="s">
        <v>1931</v>
      </c>
      <c r="B1971" s="7" t="s">
        <v>37</v>
      </c>
      <c r="C1971" s="14" t="s">
        <v>29</v>
      </c>
      <c r="D1971" s="8" t="s">
        <v>38</v>
      </c>
    </row>
    <row r="1972" customFormat="false" ht="15" hidden="false" customHeight="false" outlineLevel="0" collapsed="false">
      <c r="A1972" s="7" t="s">
        <v>1932</v>
      </c>
      <c r="B1972" s="7" t="s">
        <v>64</v>
      </c>
      <c r="C1972" s="14" t="s">
        <v>29</v>
      </c>
      <c r="D1972" s="8" t="s">
        <v>38</v>
      </c>
    </row>
    <row r="1973" customFormat="false" ht="15" hidden="false" customHeight="false" outlineLevel="0" collapsed="false">
      <c r="A1973" s="7" t="s">
        <v>1932</v>
      </c>
      <c r="B1973" s="7" t="s">
        <v>40</v>
      </c>
      <c r="C1973" s="14" t="s">
        <v>29</v>
      </c>
      <c r="D1973" s="8" t="s">
        <v>33</v>
      </c>
    </row>
    <row r="1974" customFormat="false" ht="15" hidden="false" customHeight="false" outlineLevel="0" collapsed="false">
      <c r="A1974" s="7" t="s">
        <v>1933</v>
      </c>
      <c r="B1974" s="7" t="s">
        <v>55</v>
      </c>
      <c r="C1974" s="14" t="s">
        <v>29</v>
      </c>
      <c r="D1974" s="8" t="s">
        <v>46</v>
      </c>
    </row>
    <row r="1975" customFormat="false" ht="15" hidden="false" customHeight="false" outlineLevel="0" collapsed="false">
      <c r="A1975" s="7" t="s">
        <v>1934</v>
      </c>
      <c r="B1975" s="7" t="s">
        <v>40</v>
      </c>
      <c r="C1975" s="14" t="s">
        <v>29</v>
      </c>
      <c r="D1975" s="8" t="s">
        <v>33</v>
      </c>
    </row>
    <row r="1976" customFormat="false" ht="15" hidden="false" customHeight="false" outlineLevel="0" collapsed="false">
      <c r="A1976" s="7" t="s">
        <v>1934</v>
      </c>
      <c r="B1976" s="7" t="s">
        <v>69</v>
      </c>
      <c r="C1976" s="14" t="s">
        <v>29</v>
      </c>
      <c r="D1976" s="8" t="s">
        <v>33</v>
      </c>
    </row>
    <row r="1977" customFormat="false" ht="15" hidden="false" customHeight="false" outlineLevel="0" collapsed="false">
      <c r="A1977" s="7" t="s">
        <v>1935</v>
      </c>
      <c r="B1977" s="7" t="s">
        <v>47</v>
      </c>
      <c r="C1977" s="14" t="s">
        <v>29</v>
      </c>
      <c r="D1977" s="8" t="s">
        <v>46</v>
      </c>
    </row>
    <row r="1978" customFormat="false" ht="15" hidden="false" customHeight="false" outlineLevel="0" collapsed="false">
      <c r="A1978" s="7" t="s">
        <v>1936</v>
      </c>
      <c r="B1978" s="7" t="s">
        <v>47</v>
      </c>
      <c r="C1978" s="14" t="s">
        <v>29</v>
      </c>
      <c r="D1978" s="8" t="s">
        <v>46</v>
      </c>
    </row>
    <row r="1979" customFormat="false" ht="15" hidden="false" customHeight="false" outlineLevel="0" collapsed="false">
      <c r="A1979" s="7" t="s">
        <v>1937</v>
      </c>
      <c r="B1979" s="7" t="s">
        <v>47</v>
      </c>
      <c r="C1979" s="14" t="s">
        <v>29</v>
      </c>
      <c r="D1979" s="8" t="s">
        <v>46</v>
      </c>
    </row>
    <row r="1980" customFormat="false" ht="15" hidden="false" customHeight="false" outlineLevel="0" collapsed="false">
      <c r="A1980" s="7" t="s">
        <v>1938</v>
      </c>
      <c r="B1980" s="7" t="s">
        <v>32</v>
      </c>
      <c r="C1980" s="14" t="s">
        <v>29</v>
      </c>
      <c r="D1980" s="8" t="s">
        <v>33</v>
      </c>
    </row>
    <row r="1981" customFormat="false" ht="15" hidden="false" customHeight="false" outlineLevel="0" collapsed="false">
      <c r="A1981" s="7" t="s">
        <v>1939</v>
      </c>
      <c r="B1981" s="7" t="s">
        <v>55</v>
      </c>
      <c r="C1981" s="14" t="s">
        <v>29</v>
      </c>
      <c r="D1981" s="8" t="s">
        <v>46</v>
      </c>
    </row>
    <row r="1982" customFormat="false" ht="15" hidden="false" customHeight="false" outlineLevel="0" collapsed="false">
      <c r="A1982" s="7" t="s">
        <v>1940</v>
      </c>
      <c r="B1982" s="7" t="s">
        <v>62</v>
      </c>
      <c r="C1982" s="14" t="s">
        <v>29</v>
      </c>
      <c r="D1982" s="8" t="s">
        <v>46</v>
      </c>
    </row>
    <row r="1983" customFormat="false" ht="15" hidden="false" customHeight="false" outlineLevel="0" collapsed="false">
      <c r="A1983" s="7" t="s">
        <v>1941</v>
      </c>
      <c r="B1983" s="7" t="s">
        <v>62</v>
      </c>
      <c r="C1983" s="14" t="s">
        <v>29</v>
      </c>
      <c r="D1983" s="8" t="s">
        <v>46</v>
      </c>
    </row>
    <row r="1984" customFormat="false" ht="15" hidden="false" customHeight="false" outlineLevel="0" collapsed="false">
      <c r="A1984" s="7" t="s">
        <v>1941</v>
      </c>
      <c r="B1984" s="7" t="s">
        <v>69</v>
      </c>
      <c r="C1984" s="14" t="s">
        <v>29</v>
      </c>
      <c r="D1984" s="8" t="s">
        <v>33</v>
      </c>
    </row>
    <row r="1985" customFormat="false" ht="15" hidden="false" customHeight="false" outlineLevel="0" collapsed="false">
      <c r="A1985" s="7" t="s">
        <v>1942</v>
      </c>
      <c r="B1985" s="7" t="s">
        <v>60</v>
      </c>
      <c r="C1985" s="14" t="s">
        <v>29</v>
      </c>
      <c r="D1985" s="8" t="s">
        <v>46</v>
      </c>
    </row>
    <row r="1986" customFormat="false" ht="15" hidden="false" customHeight="false" outlineLevel="0" collapsed="false">
      <c r="A1986" s="7" t="s">
        <v>1942</v>
      </c>
      <c r="B1986" s="7" t="s">
        <v>40</v>
      </c>
      <c r="C1986" s="14" t="s">
        <v>29</v>
      </c>
      <c r="D1986" s="8" t="s">
        <v>33</v>
      </c>
    </row>
    <row r="1987" customFormat="false" ht="15" hidden="false" customHeight="false" outlineLevel="0" collapsed="false">
      <c r="A1987" s="7" t="s">
        <v>1943</v>
      </c>
      <c r="B1987" s="7" t="s">
        <v>37</v>
      </c>
      <c r="C1987" s="14" t="s">
        <v>29</v>
      </c>
      <c r="D1987" s="8" t="s">
        <v>38</v>
      </c>
    </row>
    <row r="1988" customFormat="false" ht="15" hidden="false" customHeight="false" outlineLevel="0" collapsed="false">
      <c r="A1988" s="7" t="s">
        <v>1943</v>
      </c>
      <c r="B1988" s="7" t="s">
        <v>64</v>
      </c>
      <c r="C1988" s="14" t="s">
        <v>29</v>
      </c>
      <c r="D1988" s="8" t="s">
        <v>38</v>
      </c>
    </row>
    <row r="1989" customFormat="false" ht="15" hidden="false" customHeight="false" outlineLevel="0" collapsed="false">
      <c r="A1989" s="7" t="s">
        <v>1944</v>
      </c>
      <c r="B1989" s="7" t="s">
        <v>55</v>
      </c>
      <c r="C1989" s="14" t="s">
        <v>29</v>
      </c>
      <c r="D1989" s="8" t="s">
        <v>46</v>
      </c>
    </row>
    <row r="1990" customFormat="false" ht="15" hidden="false" customHeight="false" outlineLevel="0" collapsed="false">
      <c r="A1990" s="7" t="s">
        <v>1945</v>
      </c>
      <c r="B1990" s="7" t="s">
        <v>37</v>
      </c>
      <c r="C1990" s="14" t="s">
        <v>29</v>
      </c>
      <c r="D1990" s="8" t="s">
        <v>38</v>
      </c>
    </row>
    <row r="1991" customFormat="false" ht="15" hidden="false" customHeight="false" outlineLevel="0" collapsed="false">
      <c r="A1991" s="7" t="s">
        <v>1946</v>
      </c>
      <c r="B1991" s="7" t="s">
        <v>55</v>
      </c>
      <c r="C1991" s="14" t="s">
        <v>29</v>
      </c>
      <c r="D1991" s="8" t="s">
        <v>46</v>
      </c>
    </row>
    <row r="1992" customFormat="false" ht="15" hidden="false" customHeight="false" outlineLevel="0" collapsed="false">
      <c r="A1992" s="7" t="s">
        <v>1947</v>
      </c>
      <c r="B1992" s="7" t="s">
        <v>55</v>
      </c>
      <c r="C1992" s="14" t="s">
        <v>29</v>
      </c>
      <c r="D1992" s="8" t="s">
        <v>46</v>
      </c>
    </row>
    <row r="1993" customFormat="false" ht="15" hidden="false" customHeight="false" outlineLevel="0" collapsed="false">
      <c r="A1993" s="7" t="s">
        <v>1948</v>
      </c>
      <c r="B1993" s="7" t="s">
        <v>37</v>
      </c>
      <c r="C1993" s="14" t="s">
        <v>29</v>
      </c>
      <c r="D1993" s="8" t="s">
        <v>38</v>
      </c>
    </row>
    <row r="1994" customFormat="false" ht="15" hidden="false" customHeight="false" outlineLevel="0" collapsed="false">
      <c r="A1994" s="7" t="s">
        <v>1949</v>
      </c>
      <c r="B1994" s="7" t="s">
        <v>55</v>
      </c>
      <c r="C1994" s="14" t="s">
        <v>29</v>
      </c>
      <c r="D1994" s="8" t="s">
        <v>46</v>
      </c>
    </row>
    <row r="1995" customFormat="false" ht="15" hidden="false" customHeight="false" outlineLevel="0" collapsed="false">
      <c r="A1995" s="7" t="s">
        <v>1950</v>
      </c>
      <c r="B1995" s="7" t="s">
        <v>62</v>
      </c>
      <c r="C1995" s="14" t="s">
        <v>29</v>
      </c>
      <c r="D1995" s="8" t="s">
        <v>46</v>
      </c>
    </row>
    <row r="1996" customFormat="false" ht="15" hidden="false" customHeight="false" outlineLevel="0" collapsed="false">
      <c r="A1996" s="7" t="s">
        <v>1951</v>
      </c>
      <c r="B1996" s="7" t="s">
        <v>37</v>
      </c>
      <c r="C1996" s="14" t="s">
        <v>29</v>
      </c>
      <c r="D1996" s="8" t="s">
        <v>38</v>
      </c>
    </row>
    <row r="1997" customFormat="false" ht="15" hidden="false" customHeight="false" outlineLevel="0" collapsed="false">
      <c r="A1997" s="7" t="s">
        <v>1952</v>
      </c>
      <c r="B1997" s="7" t="s">
        <v>37</v>
      </c>
      <c r="C1997" s="14" t="s">
        <v>29</v>
      </c>
      <c r="D1997" s="8" t="s">
        <v>38</v>
      </c>
    </row>
    <row r="1998" customFormat="false" ht="15" hidden="false" customHeight="false" outlineLevel="0" collapsed="false">
      <c r="A1998" s="7" t="s">
        <v>1953</v>
      </c>
      <c r="B1998" s="7" t="s">
        <v>37</v>
      </c>
      <c r="C1998" s="14" t="s">
        <v>29</v>
      </c>
      <c r="D1998" s="8" t="s">
        <v>38</v>
      </c>
    </row>
    <row r="1999" customFormat="false" ht="15" hidden="false" customHeight="false" outlineLevel="0" collapsed="false">
      <c r="A1999" s="7" t="s">
        <v>1954</v>
      </c>
      <c r="B1999" s="7" t="s">
        <v>37</v>
      </c>
      <c r="C1999" s="14" t="s">
        <v>29</v>
      </c>
      <c r="D1999" s="8" t="s">
        <v>38</v>
      </c>
    </row>
    <row r="2000" customFormat="false" ht="15" hidden="false" customHeight="false" outlineLevel="0" collapsed="false">
      <c r="A2000" s="7" t="s">
        <v>1955</v>
      </c>
      <c r="B2000" s="7" t="s">
        <v>37</v>
      </c>
      <c r="C2000" s="14" t="s">
        <v>29</v>
      </c>
      <c r="D2000" s="8" t="s">
        <v>38</v>
      </c>
    </row>
    <row r="2001" customFormat="false" ht="15" hidden="false" customHeight="false" outlineLevel="0" collapsed="false">
      <c r="A2001" s="7" t="s">
        <v>1955</v>
      </c>
      <c r="B2001" s="7" t="s">
        <v>55</v>
      </c>
      <c r="C2001" s="14" t="s">
        <v>29</v>
      </c>
      <c r="D2001" s="8" t="s">
        <v>46</v>
      </c>
    </row>
    <row r="2002" customFormat="false" ht="15" hidden="false" customHeight="false" outlineLevel="0" collapsed="false">
      <c r="A2002" s="7" t="s">
        <v>1956</v>
      </c>
      <c r="B2002" s="7" t="s">
        <v>37</v>
      </c>
      <c r="C2002" s="14" t="s">
        <v>29</v>
      </c>
      <c r="D2002" s="8" t="s">
        <v>38</v>
      </c>
    </row>
    <row r="2003" customFormat="false" ht="15" hidden="false" customHeight="false" outlineLevel="0" collapsed="false">
      <c r="A2003" s="7" t="s">
        <v>1956</v>
      </c>
      <c r="B2003" s="7" t="s">
        <v>40</v>
      </c>
      <c r="C2003" s="14" t="s">
        <v>29</v>
      </c>
      <c r="D2003" s="8" t="s">
        <v>33</v>
      </c>
    </row>
    <row r="2004" customFormat="false" ht="15" hidden="false" customHeight="false" outlineLevel="0" collapsed="false">
      <c r="A2004" s="7" t="s">
        <v>1957</v>
      </c>
      <c r="B2004" s="7" t="s">
        <v>62</v>
      </c>
      <c r="C2004" s="14" t="s">
        <v>29</v>
      </c>
      <c r="D2004" s="8" t="s">
        <v>46</v>
      </c>
    </row>
    <row r="2005" customFormat="false" ht="15" hidden="false" customHeight="false" outlineLevel="0" collapsed="false">
      <c r="A2005" s="7" t="s">
        <v>1957</v>
      </c>
      <c r="B2005" s="7" t="s">
        <v>40</v>
      </c>
      <c r="C2005" s="14" t="s">
        <v>29</v>
      </c>
      <c r="D2005" s="8" t="s">
        <v>33</v>
      </c>
    </row>
    <row r="2006" customFormat="false" ht="15" hidden="false" customHeight="false" outlineLevel="0" collapsed="false">
      <c r="A2006" s="7" t="s">
        <v>1958</v>
      </c>
      <c r="B2006" s="7" t="s">
        <v>69</v>
      </c>
      <c r="C2006" s="14" t="s">
        <v>29</v>
      </c>
      <c r="D2006" s="8" t="s">
        <v>33</v>
      </c>
    </row>
    <row r="2007" customFormat="false" ht="15" hidden="false" customHeight="false" outlineLevel="0" collapsed="false">
      <c r="A2007" s="7" t="s">
        <v>1959</v>
      </c>
      <c r="B2007" s="7" t="s">
        <v>69</v>
      </c>
      <c r="C2007" s="14" t="s">
        <v>29</v>
      </c>
      <c r="D2007" s="8" t="s">
        <v>33</v>
      </c>
    </row>
    <row r="2008" customFormat="false" ht="15" hidden="false" customHeight="false" outlineLevel="0" collapsed="false">
      <c r="A2008" s="7" t="s">
        <v>1959</v>
      </c>
      <c r="B2008" s="7" t="s">
        <v>62</v>
      </c>
      <c r="C2008" s="14" t="s">
        <v>29</v>
      </c>
      <c r="D2008" s="8" t="s">
        <v>46</v>
      </c>
    </row>
    <row r="2009" customFormat="false" ht="15" hidden="false" customHeight="false" outlineLevel="0" collapsed="false">
      <c r="A2009" s="7" t="s">
        <v>1959</v>
      </c>
      <c r="B2009" s="7" t="s">
        <v>40</v>
      </c>
      <c r="C2009" s="14" t="s">
        <v>29</v>
      </c>
      <c r="D2009" s="8" t="s">
        <v>33</v>
      </c>
    </row>
    <row r="2010" customFormat="false" ht="15" hidden="false" customHeight="false" outlineLevel="0" collapsed="false">
      <c r="A2010" s="7" t="s">
        <v>1960</v>
      </c>
      <c r="B2010" s="7" t="s">
        <v>58</v>
      </c>
      <c r="C2010" s="14" t="s">
        <v>29</v>
      </c>
      <c r="D2010" s="8" t="s">
        <v>46</v>
      </c>
    </row>
    <row r="2011" customFormat="false" ht="15" hidden="false" customHeight="false" outlineLevel="0" collapsed="false">
      <c r="A2011" s="7" t="s">
        <v>1960</v>
      </c>
      <c r="B2011" s="7" t="s">
        <v>40</v>
      </c>
      <c r="C2011" s="14" t="s">
        <v>29</v>
      </c>
      <c r="D2011" s="8" t="s">
        <v>33</v>
      </c>
    </row>
    <row r="2012" customFormat="false" ht="15" hidden="false" customHeight="false" outlineLevel="0" collapsed="false">
      <c r="A2012" s="7" t="s">
        <v>1961</v>
      </c>
      <c r="B2012" s="7" t="s">
        <v>40</v>
      </c>
      <c r="C2012" s="14" t="s">
        <v>29</v>
      </c>
      <c r="D2012" s="8" t="s">
        <v>33</v>
      </c>
    </row>
    <row r="2013" customFormat="false" ht="15" hidden="false" customHeight="false" outlineLevel="0" collapsed="false">
      <c r="A2013" s="7" t="s">
        <v>1962</v>
      </c>
      <c r="B2013" s="7" t="s">
        <v>58</v>
      </c>
      <c r="C2013" s="10" t="s">
        <v>67</v>
      </c>
      <c r="D2013" s="8" t="s">
        <v>46</v>
      </c>
    </row>
    <row r="2014" customFormat="false" ht="15" hidden="false" customHeight="false" outlineLevel="0" collapsed="false">
      <c r="A2014" s="7" t="s">
        <v>1962</v>
      </c>
      <c r="B2014" s="7" t="s">
        <v>37</v>
      </c>
      <c r="C2014" s="14" t="s">
        <v>29</v>
      </c>
      <c r="D2014" s="8" t="s">
        <v>38</v>
      </c>
    </row>
    <row r="2015" customFormat="false" ht="15" hidden="false" customHeight="false" outlineLevel="0" collapsed="false">
      <c r="A2015" s="7" t="s">
        <v>1963</v>
      </c>
      <c r="B2015" s="7" t="s">
        <v>82</v>
      </c>
      <c r="C2015" s="14" t="s">
        <v>29</v>
      </c>
      <c r="D2015" s="8" t="s">
        <v>46</v>
      </c>
    </row>
    <row r="2016" customFormat="false" ht="15" hidden="false" customHeight="false" outlineLevel="0" collapsed="false">
      <c r="A2016" s="7" t="s">
        <v>1964</v>
      </c>
      <c r="B2016" s="7" t="s">
        <v>82</v>
      </c>
      <c r="C2016" s="10" t="s">
        <v>67</v>
      </c>
      <c r="D2016" s="8" t="s">
        <v>46</v>
      </c>
    </row>
    <row r="2017" customFormat="false" ht="15" hidden="false" customHeight="false" outlineLevel="0" collapsed="false">
      <c r="A2017" s="7" t="s">
        <v>1965</v>
      </c>
      <c r="B2017" s="7" t="s">
        <v>69</v>
      </c>
      <c r="C2017" s="14" t="s">
        <v>29</v>
      </c>
      <c r="D2017" s="8" t="s">
        <v>33</v>
      </c>
    </row>
    <row r="2018" customFormat="false" ht="15" hidden="false" customHeight="false" outlineLevel="0" collapsed="false">
      <c r="A2018" s="7" t="s">
        <v>1966</v>
      </c>
      <c r="B2018" s="7" t="s">
        <v>69</v>
      </c>
      <c r="C2018" s="14" t="s">
        <v>29</v>
      </c>
      <c r="D2018" s="8" t="s">
        <v>33</v>
      </c>
    </row>
    <row r="2019" customFormat="false" ht="15" hidden="false" customHeight="false" outlineLevel="0" collapsed="false">
      <c r="A2019" s="7" t="s">
        <v>1966</v>
      </c>
      <c r="B2019" s="7" t="s">
        <v>55</v>
      </c>
      <c r="C2019" s="14" t="s">
        <v>29</v>
      </c>
      <c r="D2019" s="8" t="s">
        <v>46</v>
      </c>
    </row>
    <row r="2020" customFormat="false" ht="15" hidden="false" customHeight="false" outlineLevel="0" collapsed="false">
      <c r="A2020" s="7" t="s">
        <v>1967</v>
      </c>
      <c r="B2020" s="7" t="s">
        <v>47</v>
      </c>
      <c r="C2020" s="14" t="s">
        <v>29</v>
      </c>
      <c r="D2020" s="8" t="s">
        <v>46</v>
      </c>
    </row>
    <row r="2021" customFormat="false" ht="15" hidden="false" customHeight="false" outlineLevel="0" collapsed="false">
      <c r="A2021" s="7" t="s">
        <v>1968</v>
      </c>
      <c r="B2021" s="7" t="s">
        <v>47</v>
      </c>
      <c r="C2021" s="14" t="s">
        <v>29</v>
      </c>
      <c r="D2021" s="8" t="s">
        <v>46</v>
      </c>
    </row>
    <row r="2022" customFormat="false" ht="15" hidden="false" customHeight="false" outlineLevel="0" collapsed="false">
      <c r="A2022" s="7" t="s">
        <v>1969</v>
      </c>
      <c r="B2022" s="7" t="s">
        <v>47</v>
      </c>
      <c r="C2022" s="14" t="s">
        <v>29</v>
      </c>
      <c r="D2022" s="8" t="s">
        <v>46</v>
      </c>
    </row>
    <row r="2023" customFormat="false" ht="15" hidden="false" customHeight="false" outlineLevel="0" collapsed="false">
      <c r="A2023" s="7" t="s">
        <v>1970</v>
      </c>
      <c r="B2023" s="7" t="s">
        <v>97</v>
      </c>
      <c r="C2023" s="14" t="s">
        <v>29</v>
      </c>
      <c r="D2023" s="8" t="s">
        <v>87</v>
      </c>
    </row>
    <row r="2024" customFormat="false" ht="15" hidden="false" customHeight="false" outlineLevel="0" collapsed="false">
      <c r="A2024" s="7" t="s">
        <v>1971</v>
      </c>
      <c r="B2024" s="7" t="s">
        <v>47</v>
      </c>
      <c r="C2024" s="14" t="s">
        <v>29</v>
      </c>
      <c r="D2024" s="8" t="s">
        <v>46</v>
      </c>
    </row>
    <row r="2025" customFormat="false" ht="15" hidden="false" customHeight="false" outlineLevel="0" collapsed="false">
      <c r="A2025" s="7" t="s">
        <v>1972</v>
      </c>
      <c r="B2025" s="7" t="s">
        <v>49</v>
      </c>
      <c r="C2025" s="14" t="s">
        <v>29</v>
      </c>
      <c r="D2025" s="8" t="s">
        <v>33</v>
      </c>
    </row>
    <row r="2026" customFormat="false" ht="15" hidden="false" customHeight="false" outlineLevel="0" collapsed="false">
      <c r="A2026" s="7" t="s">
        <v>1973</v>
      </c>
      <c r="B2026" s="7" t="s">
        <v>69</v>
      </c>
      <c r="C2026" s="14" t="s">
        <v>29</v>
      </c>
      <c r="D2026" s="8" t="s">
        <v>33</v>
      </c>
    </row>
    <row r="2027" customFormat="false" ht="15" hidden="false" customHeight="false" outlineLevel="0" collapsed="false">
      <c r="A2027" s="7" t="s">
        <v>1974</v>
      </c>
      <c r="B2027" s="7" t="s">
        <v>37</v>
      </c>
      <c r="C2027" s="14" t="s">
        <v>29</v>
      </c>
      <c r="D2027" s="8" t="s">
        <v>38</v>
      </c>
    </row>
    <row r="2028" customFormat="false" ht="15" hidden="false" customHeight="false" outlineLevel="0" collapsed="false">
      <c r="A2028" s="7" t="s">
        <v>1974</v>
      </c>
      <c r="B2028" s="7" t="s">
        <v>55</v>
      </c>
      <c r="C2028" s="14" t="s">
        <v>29</v>
      </c>
      <c r="D2028" s="8" t="s">
        <v>46</v>
      </c>
    </row>
    <row r="2029" customFormat="false" ht="15" hidden="false" customHeight="false" outlineLevel="0" collapsed="false">
      <c r="A2029" s="7" t="s">
        <v>1975</v>
      </c>
      <c r="B2029" s="7" t="s">
        <v>69</v>
      </c>
      <c r="C2029" s="14" t="s">
        <v>29</v>
      </c>
      <c r="D2029" s="8" t="s">
        <v>33</v>
      </c>
    </row>
    <row r="2030" customFormat="false" ht="15" hidden="false" customHeight="false" outlineLevel="0" collapsed="false">
      <c r="A2030" s="7" t="s">
        <v>1976</v>
      </c>
      <c r="B2030" s="7" t="s">
        <v>62</v>
      </c>
      <c r="C2030" s="14" t="s">
        <v>29</v>
      </c>
      <c r="D2030" s="8" t="s">
        <v>46</v>
      </c>
    </row>
    <row r="2031" customFormat="false" ht="15" hidden="false" customHeight="false" outlineLevel="0" collapsed="false">
      <c r="A2031" s="7" t="s">
        <v>1977</v>
      </c>
      <c r="B2031" s="7" t="s">
        <v>43</v>
      </c>
      <c r="C2031" s="14" t="s">
        <v>29</v>
      </c>
      <c r="D2031" s="8" t="s">
        <v>38</v>
      </c>
    </row>
    <row r="2032" customFormat="false" ht="15" hidden="false" customHeight="false" outlineLevel="0" collapsed="false">
      <c r="A2032" s="7" t="s">
        <v>1977</v>
      </c>
      <c r="B2032" s="7" t="s">
        <v>37</v>
      </c>
      <c r="C2032" s="14" t="s">
        <v>29</v>
      </c>
      <c r="D2032" s="8" t="s">
        <v>38</v>
      </c>
    </row>
    <row r="2033" customFormat="false" ht="15" hidden="false" customHeight="false" outlineLevel="0" collapsed="false">
      <c r="A2033" s="7" t="s">
        <v>1977</v>
      </c>
      <c r="B2033" s="7" t="s">
        <v>79</v>
      </c>
      <c r="C2033" s="10" t="s">
        <v>67</v>
      </c>
      <c r="D2033" s="8" t="s">
        <v>33</v>
      </c>
    </row>
    <row r="2034" customFormat="false" ht="15" hidden="false" customHeight="false" outlineLevel="0" collapsed="false">
      <c r="A2034" s="7" t="s">
        <v>1978</v>
      </c>
      <c r="B2034" s="7" t="s">
        <v>69</v>
      </c>
      <c r="C2034" s="14" t="s">
        <v>29</v>
      </c>
      <c r="D2034" s="8" t="s">
        <v>33</v>
      </c>
    </row>
    <row r="2035" customFormat="false" ht="15" hidden="false" customHeight="false" outlineLevel="0" collapsed="false">
      <c r="A2035" s="7" t="s">
        <v>1979</v>
      </c>
      <c r="B2035" s="7" t="s">
        <v>55</v>
      </c>
      <c r="C2035" s="14" t="s">
        <v>29</v>
      </c>
      <c r="D2035" s="8" t="s">
        <v>46</v>
      </c>
    </row>
    <row r="2036" customFormat="false" ht="15" hidden="false" customHeight="false" outlineLevel="0" collapsed="false">
      <c r="A2036" s="7" t="s">
        <v>1980</v>
      </c>
      <c r="B2036" s="7" t="s">
        <v>69</v>
      </c>
      <c r="C2036" s="14" t="s">
        <v>29</v>
      </c>
      <c r="D2036" s="8" t="s">
        <v>33</v>
      </c>
    </row>
    <row r="2037" customFormat="false" ht="15" hidden="false" customHeight="false" outlineLevel="0" collapsed="false">
      <c r="A2037" s="7" t="s">
        <v>1981</v>
      </c>
      <c r="B2037" s="7" t="s">
        <v>37</v>
      </c>
      <c r="C2037" s="14" t="s">
        <v>29</v>
      </c>
      <c r="D2037" s="8" t="s">
        <v>38</v>
      </c>
    </row>
    <row r="2038" customFormat="false" ht="15" hidden="false" customHeight="false" outlineLevel="0" collapsed="false">
      <c r="A2038" s="7" t="s">
        <v>1982</v>
      </c>
      <c r="B2038" s="7" t="s">
        <v>91</v>
      </c>
      <c r="C2038" s="14" t="s">
        <v>29</v>
      </c>
      <c r="D2038" s="8" t="s">
        <v>87</v>
      </c>
    </row>
    <row r="2039" customFormat="false" ht="15" hidden="false" customHeight="false" outlineLevel="0" collapsed="false">
      <c r="A2039" s="7" t="s">
        <v>1983</v>
      </c>
      <c r="B2039" s="7" t="s">
        <v>55</v>
      </c>
      <c r="C2039" s="14" t="s">
        <v>29</v>
      </c>
      <c r="D2039" s="8" t="s">
        <v>46</v>
      </c>
    </row>
    <row r="2041" customFormat="false" ht="15" hidden="false" customHeight="false" outlineLevel="0" collapsed="false">
      <c r="A2041" s="12" t="s">
        <v>1984</v>
      </c>
      <c r="C2041" s="13" t="n">
        <f aca="false">COUNTIF(C3:C2039,"TOP")</f>
        <v>1599</v>
      </c>
    </row>
    <row r="2042" customFormat="false" ht="15" hidden="false" customHeight="false" outlineLevel="0" collapsed="false">
      <c r="A2042" s="12" t="s">
        <v>1985</v>
      </c>
      <c r="C2042" s="13" t="n">
        <f aca="false">COUNTIF(C3:C2039,"BOTTOM")</f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0"/>
    <col collapsed="false" customWidth="true" hidden="false" outlineLevel="0" max="7" min="7" style="0" width="15"/>
  </cols>
  <sheetData>
    <row r="1" customFormat="false" ht="16.4" hidden="false" customHeight="false" outlineLevel="0" collapsed="false">
      <c r="A1" s="5" t="s">
        <v>1986</v>
      </c>
    </row>
    <row r="2" customFormat="false" ht="15" hidden="false" customHeight="false" outlineLevel="0" collapsed="false">
      <c r="A2" s="6" t="s">
        <v>109</v>
      </c>
      <c r="B2" s="6" t="s">
        <v>1987</v>
      </c>
      <c r="C2" s="17" t="s">
        <v>1988</v>
      </c>
      <c r="D2" s="17" t="s">
        <v>1989</v>
      </c>
      <c r="E2" s="6" t="s">
        <v>1990</v>
      </c>
      <c r="F2" s="6" t="s">
        <v>1991</v>
      </c>
      <c r="G2" s="6" t="s">
        <v>1992</v>
      </c>
    </row>
    <row r="3" customFormat="false" ht="15" hidden="false" customHeight="false" outlineLevel="0" collapsed="false">
      <c r="A3" s="7" t="s">
        <v>1993</v>
      </c>
      <c r="B3" s="7" t="n">
        <v>2017.21</v>
      </c>
      <c r="F3" s="7" t="str">
        <f aca="false">IFERROR(INDEX(02_轉折點45個!B:B,MATCH(A3,02_轉折點45個!A:A,0)),"")</f>
        <v/>
      </c>
      <c r="G3" s="7" t="s">
        <v>1994</v>
      </c>
    </row>
    <row r="4" customFormat="false" ht="15" hidden="false" customHeight="false" outlineLevel="0" collapsed="false">
      <c r="A4" s="7" t="s">
        <v>1995</v>
      </c>
      <c r="B4" s="7" t="n">
        <v>2056.7</v>
      </c>
      <c r="F4" s="7" t="str">
        <f aca="false">IFERROR(INDEX(02_轉折點45個!B:B,MATCH(A4,02_轉折點45個!A:A,0)),"")</f>
        <v/>
      </c>
      <c r="G4" s="7" t="s">
        <v>1994</v>
      </c>
    </row>
    <row r="5" customFormat="false" ht="15" hidden="false" customHeight="false" outlineLevel="0" collapsed="false">
      <c r="A5" s="7" t="s">
        <v>1996</v>
      </c>
      <c r="B5" s="7" t="n">
        <v>2120.27</v>
      </c>
      <c r="F5" s="7" t="str">
        <f aca="false">IFERROR(INDEX(02_轉折點45個!B:B,MATCH(A5,02_轉折點45個!A:A,0)),"")</f>
        <v/>
      </c>
      <c r="G5" s="7" t="s">
        <v>1994</v>
      </c>
    </row>
    <row r="6" customFormat="false" ht="15" hidden="false" customHeight="false" outlineLevel="0" collapsed="false">
      <c r="A6" s="7" t="s">
        <v>1997</v>
      </c>
      <c r="B6" s="7" t="n">
        <v>2125.05</v>
      </c>
      <c r="F6" s="7" t="str">
        <f aca="false">IFERROR(INDEX(02_轉折點45個!B:B,MATCH(A6,02_轉折點45個!A:A,0)),"")</f>
        <v/>
      </c>
      <c r="G6" s="7" t="s">
        <v>1994</v>
      </c>
    </row>
    <row r="7" customFormat="false" ht="15" hidden="false" customHeight="false" outlineLevel="0" collapsed="false">
      <c r="A7" s="7" t="s">
        <v>1998</v>
      </c>
      <c r="B7" s="7" t="n">
        <v>2141.79</v>
      </c>
      <c r="F7" s="7" t="str">
        <f aca="false">IFERROR(INDEX(02_轉折點45個!B:B,MATCH(A7,02_轉折點45個!A:A,0)),"")</f>
        <v/>
      </c>
      <c r="G7" s="7" t="s">
        <v>1994</v>
      </c>
    </row>
    <row r="8" customFormat="false" ht="15" hidden="false" customHeight="false" outlineLevel="0" collapsed="false">
      <c r="A8" s="7" t="s">
        <v>1999</v>
      </c>
      <c r="B8" s="7" t="n">
        <v>2178.5</v>
      </c>
      <c r="F8" s="7" t="str">
        <f aca="false">IFERROR(INDEX(02_轉折點45個!B:B,MATCH(A8,02_轉折點45個!A:A,0)),"")</f>
        <v/>
      </c>
      <c r="G8" s="7" t="s">
        <v>1994</v>
      </c>
    </row>
    <row r="9" customFormat="false" ht="15" hidden="false" customHeight="false" outlineLevel="0" collapsed="false">
      <c r="A9" s="7" t="s">
        <v>2000</v>
      </c>
      <c r="B9" s="7" t="n">
        <v>2120.17</v>
      </c>
      <c r="F9" s="7" t="str">
        <f aca="false">IFERROR(INDEX(02_轉折點45個!B:B,MATCH(A9,02_轉折點45個!A:A,0)),"")</f>
        <v/>
      </c>
      <c r="G9" s="7" t="s">
        <v>1994</v>
      </c>
    </row>
    <row r="10" customFormat="false" ht="15" hidden="false" customHeight="false" outlineLevel="0" collapsed="false">
      <c r="A10" s="7" t="s">
        <v>2001</v>
      </c>
      <c r="B10" s="7" t="n">
        <v>2116.57</v>
      </c>
      <c r="F10" s="7" t="str">
        <f aca="false">IFERROR(INDEX(02_轉折點45個!B:B,MATCH(A10,02_轉折點45個!A:A,0)),"")</f>
        <v/>
      </c>
      <c r="G10" s="7" t="s">
        <v>1994</v>
      </c>
    </row>
    <row r="11" customFormat="false" ht="15" hidden="false" customHeight="false" outlineLevel="0" collapsed="false">
      <c r="A11" s="7" t="s">
        <v>2002</v>
      </c>
      <c r="B11" s="7" t="n">
        <v>2080.04</v>
      </c>
      <c r="F11" s="7" t="str">
        <f aca="false">IFERROR(INDEX(02_轉折點45個!B:B,MATCH(A11,02_轉折點45個!A:A,0)),"")</f>
        <v/>
      </c>
      <c r="G11" s="7" t="s">
        <v>1994</v>
      </c>
    </row>
    <row r="12" customFormat="false" ht="15" hidden="false" customHeight="false" outlineLevel="0" collapsed="false">
      <c r="A12" s="7" t="s">
        <v>2003</v>
      </c>
      <c r="B12" s="7" t="n">
        <v>2145.25</v>
      </c>
      <c r="F12" s="7" t="str">
        <f aca="false">IFERROR(INDEX(02_轉折點45個!B:B,MATCH(A12,02_轉折點45個!A:A,0)),"")</f>
        <v/>
      </c>
      <c r="G12" s="7" t="s">
        <v>1994</v>
      </c>
    </row>
    <row r="13" customFormat="false" ht="15" hidden="false" customHeight="false" outlineLevel="0" collapsed="false">
      <c r="A13" s="7" t="s">
        <v>2004</v>
      </c>
      <c r="B13" s="7" t="n">
        <v>2200.04</v>
      </c>
      <c r="F13" s="7" t="str">
        <f aca="false">IFERROR(INDEX(02_轉折點45個!B:B,MATCH(A13,02_轉折點45個!A:A,0)),"")</f>
        <v/>
      </c>
      <c r="G13" s="7" t="s">
        <v>1994</v>
      </c>
    </row>
    <row r="14" customFormat="false" ht="15" hidden="false" customHeight="false" outlineLevel="0" collapsed="false">
      <c r="A14" s="7" t="s">
        <v>2005</v>
      </c>
      <c r="B14" s="7" t="n">
        <v>2206.73</v>
      </c>
      <c r="F14" s="7" t="str">
        <f aca="false">IFERROR(INDEX(02_轉折點45個!B:B,MATCH(A14,02_轉折點45個!A:A,0)),"")</f>
        <v/>
      </c>
      <c r="G14" s="7" t="s">
        <v>1994</v>
      </c>
    </row>
    <row r="15" customFormat="false" ht="15" hidden="false" customHeight="false" outlineLevel="0" collapsed="false">
      <c r="A15" s="7" t="s">
        <v>2006</v>
      </c>
      <c r="B15" s="7" t="n">
        <v>2142.07</v>
      </c>
      <c r="F15" s="7" t="str">
        <f aca="false">IFERROR(INDEX(02_轉折點45個!B:B,MATCH(A15,02_轉折點45個!A:A,0)),"")</f>
        <v/>
      </c>
      <c r="G15" s="7" t="s">
        <v>1994</v>
      </c>
    </row>
    <row r="16" customFormat="false" ht="15" hidden="false" customHeight="false" outlineLevel="0" collapsed="false">
      <c r="A16" s="7" t="s">
        <v>2007</v>
      </c>
      <c r="B16" s="7" t="n">
        <v>2136.74</v>
      </c>
      <c r="F16" s="7" t="str">
        <f aca="false">IFERROR(INDEX(02_轉折點45個!B:B,MATCH(A16,02_轉折點45個!A:A,0)),"")</f>
        <v/>
      </c>
      <c r="G16" s="7" t="s">
        <v>1994</v>
      </c>
    </row>
    <row r="17" customFormat="false" ht="15" hidden="false" customHeight="false" outlineLevel="0" collapsed="false">
      <c r="A17" s="7" t="s">
        <v>2008</v>
      </c>
      <c r="B17" s="7" t="n">
        <v>2164.54</v>
      </c>
      <c r="F17" s="7" t="str">
        <f aca="false">IFERROR(INDEX(02_轉折點45個!B:B,MATCH(A17,02_轉折點45個!A:A,0)),"")</f>
        <v/>
      </c>
      <c r="G17" s="7" t="s">
        <v>1994</v>
      </c>
    </row>
    <row r="18" customFormat="false" ht="15" hidden="false" customHeight="false" outlineLevel="0" collapsed="false">
      <c r="A18" s="7" t="s">
        <v>2009</v>
      </c>
      <c r="B18" s="7" t="n">
        <v>2223.1</v>
      </c>
      <c r="F18" s="7" t="str">
        <f aca="false">IFERROR(INDEX(02_轉折點45個!B:B,MATCH(A18,02_轉折點45個!A:A,0)),"")</f>
        <v/>
      </c>
      <c r="G18" s="7" t="s">
        <v>1994</v>
      </c>
    </row>
    <row r="19" customFormat="false" ht="15" hidden="false" customHeight="false" outlineLevel="0" collapsed="false">
      <c r="A19" s="7" t="s">
        <v>2010</v>
      </c>
      <c r="B19" s="7" t="n">
        <v>2199.1</v>
      </c>
      <c r="F19" s="7" t="str">
        <f aca="false">IFERROR(INDEX(02_轉折點45個!B:B,MATCH(A19,02_轉折點45個!A:A,0)),"")</f>
        <v/>
      </c>
      <c r="G19" s="7" t="s">
        <v>1994</v>
      </c>
    </row>
    <row r="20" customFormat="false" ht="15" hidden="false" customHeight="false" outlineLevel="0" collapsed="false">
      <c r="A20" s="7" t="s">
        <v>2011</v>
      </c>
      <c r="B20" s="7" t="n">
        <v>2263.23</v>
      </c>
      <c r="F20" s="7" t="str">
        <f aca="false">IFERROR(INDEX(02_轉折點45個!B:B,MATCH(A20,02_轉折點45個!A:A,0)),"")</f>
        <v/>
      </c>
      <c r="G20" s="7" t="s">
        <v>1994</v>
      </c>
    </row>
    <row r="21" customFormat="false" ht="15" hidden="false" customHeight="false" outlineLevel="0" collapsed="false">
      <c r="A21" s="7" t="s">
        <v>2012</v>
      </c>
      <c r="B21" s="7" t="n">
        <v>2289.31</v>
      </c>
      <c r="F21" s="7" t="str">
        <f aca="false">IFERROR(INDEX(02_轉折點45個!B:B,MATCH(A21,02_轉折點45個!A:A,0)),"")</f>
        <v/>
      </c>
      <c r="G21" s="7" t="s">
        <v>1994</v>
      </c>
    </row>
    <row r="22" customFormat="false" ht="15" hidden="false" customHeight="false" outlineLevel="0" collapsed="false">
      <c r="A22" s="7" t="s">
        <v>2013</v>
      </c>
      <c r="B22" s="7" t="n">
        <v>2293.15</v>
      </c>
      <c r="F22" s="7" t="str">
        <f aca="false">IFERROR(INDEX(02_轉折點45個!B:B,MATCH(A22,02_轉折點45個!A:A,0)),"")</f>
        <v/>
      </c>
      <c r="G22" s="7" t="s">
        <v>1994</v>
      </c>
    </row>
    <row r="23" customFormat="false" ht="15" hidden="false" customHeight="false" outlineLevel="0" collapsed="false">
      <c r="A23" s="7" t="s">
        <v>2014</v>
      </c>
      <c r="B23" s="7" t="n">
        <v>2250.51</v>
      </c>
      <c r="F23" s="7" t="str">
        <f aca="false">IFERROR(INDEX(02_轉折點45個!B:B,MATCH(A23,02_轉折點45個!A:A,0)),"")</f>
        <v/>
      </c>
      <c r="G23" s="7" t="s">
        <v>1994</v>
      </c>
    </row>
    <row r="24" customFormat="false" ht="15" hidden="false" customHeight="false" outlineLevel="0" collapsed="false">
      <c r="A24" s="7" t="s">
        <v>2015</v>
      </c>
      <c r="B24" s="7" t="n">
        <v>2277.91</v>
      </c>
      <c r="F24" s="7" t="str">
        <f aca="false">IFERROR(INDEX(02_轉折點45個!B:B,MATCH(A24,02_轉折點45個!A:A,0)),"")</f>
        <v/>
      </c>
      <c r="G24" s="7" t="s">
        <v>1994</v>
      </c>
    </row>
    <row r="25" customFormat="false" ht="15" hidden="false" customHeight="false" outlineLevel="0" collapsed="false">
      <c r="A25" s="7" t="s">
        <v>2016</v>
      </c>
      <c r="B25" s="7" t="n">
        <v>2201.77</v>
      </c>
      <c r="F25" s="7" t="str">
        <f aca="false">IFERROR(INDEX(02_轉折點45個!B:B,MATCH(A25,02_轉折點45個!A:A,0)),"")</f>
        <v/>
      </c>
      <c r="G25" s="7" t="s">
        <v>1994</v>
      </c>
    </row>
    <row r="26" customFormat="false" ht="15" hidden="false" customHeight="false" outlineLevel="0" collapsed="false">
      <c r="A26" s="7" t="s">
        <v>2017</v>
      </c>
      <c r="B26" s="7" t="n">
        <v>2168.47</v>
      </c>
      <c r="F26" s="7" t="str">
        <f aca="false">IFERROR(INDEX(02_轉折點45個!B:B,MATCH(A26,02_轉折點45個!A:A,0)),"")</f>
        <v/>
      </c>
      <c r="G26" s="7" t="s">
        <v>1994</v>
      </c>
    </row>
    <row r="27" customFormat="false" ht="15" hidden="false" customHeight="false" outlineLevel="0" collapsed="false">
      <c r="A27" s="7" t="s">
        <v>2018</v>
      </c>
      <c r="B27" s="7" t="n">
        <v>2197.07</v>
      </c>
      <c r="F27" s="7" t="str">
        <f aca="false">IFERROR(INDEX(02_轉折點45個!B:B,MATCH(A27,02_轉折點45個!A:A,0)),"")</f>
        <v/>
      </c>
      <c r="G27" s="7" t="s">
        <v>1994</v>
      </c>
    </row>
    <row r="28" customFormat="false" ht="15" hidden="false" customHeight="false" outlineLevel="0" collapsed="false">
      <c r="A28" s="7" t="s">
        <v>2019</v>
      </c>
      <c r="B28" s="7" t="n">
        <v>2111.07</v>
      </c>
      <c r="F28" s="7" t="str">
        <f aca="false">IFERROR(INDEX(02_轉折點45個!B:B,MATCH(A28,02_轉折點45個!A:A,0)),"")</f>
        <v/>
      </c>
      <c r="G28" s="7" t="s">
        <v>1994</v>
      </c>
    </row>
    <row r="29" customFormat="false" ht="15" hidden="false" customHeight="false" outlineLevel="0" collapsed="false">
      <c r="A29" s="7" t="s">
        <v>2020</v>
      </c>
      <c r="B29" s="7" t="n">
        <v>2109.9</v>
      </c>
      <c r="F29" s="7" t="str">
        <f aca="false">IFERROR(INDEX(02_轉折點45個!B:B,MATCH(A29,02_轉折點45個!A:A,0)),"")</f>
        <v/>
      </c>
      <c r="G29" s="7" t="s">
        <v>1994</v>
      </c>
    </row>
    <row r="30" customFormat="false" ht="15" hidden="false" customHeight="false" outlineLevel="0" collapsed="false">
      <c r="A30" s="7" t="s">
        <v>2021</v>
      </c>
      <c r="B30" s="7" t="n">
        <v>2197.64</v>
      </c>
      <c r="F30" s="7" t="str">
        <f aca="false">IFERROR(INDEX(02_轉折點45個!B:B,MATCH(A30,02_轉折點45個!A:A,0)),"")</f>
        <v/>
      </c>
      <c r="G30" s="7" t="s">
        <v>1994</v>
      </c>
    </row>
    <row r="31" customFormat="false" ht="15" hidden="false" customHeight="false" outlineLevel="0" collapsed="false">
      <c r="A31" s="7" t="s">
        <v>2022</v>
      </c>
      <c r="B31" s="7" t="n">
        <v>2121.22</v>
      </c>
      <c r="F31" s="7" t="str">
        <f aca="false">IFERROR(INDEX(02_轉折點45個!B:B,MATCH(A31,02_轉折點45個!A:A,0)),"")</f>
        <v/>
      </c>
      <c r="G31" s="7" t="s">
        <v>1994</v>
      </c>
    </row>
    <row r="32" customFormat="false" ht="15" hidden="false" customHeight="false" outlineLevel="0" collapsed="false">
      <c r="A32" s="7" t="s">
        <v>2023</v>
      </c>
      <c r="B32" s="7" t="n">
        <v>2113.89</v>
      </c>
      <c r="F32" s="7" t="str">
        <f aca="false">IFERROR(INDEX(02_轉折點45個!B:B,MATCH(A32,02_轉折點45個!A:A,0)),"")</f>
        <v/>
      </c>
      <c r="G32" s="7" t="s">
        <v>1994</v>
      </c>
    </row>
    <row r="33" customFormat="false" ht="15" hidden="false" customHeight="false" outlineLevel="0" collapsed="false">
      <c r="A33" s="7" t="s">
        <v>2024</v>
      </c>
      <c r="B33" s="7" t="n">
        <v>2054.54</v>
      </c>
      <c r="F33" s="7" t="str">
        <f aca="false">IFERROR(INDEX(02_轉折點45個!B:B,MATCH(A33,02_轉折點45個!A:A,0)),"")</f>
        <v/>
      </c>
      <c r="G33" s="7" t="s">
        <v>1994</v>
      </c>
    </row>
    <row r="34" customFormat="false" ht="15" hidden="false" customHeight="false" outlineLevel="0" collapsed="false">
      <c r="A34" s="7" t="s">
        <v>2025</v>
      </c>
      <c r="B34" s="7" t="n">
        <v>2065.18</v>
      </c>
      <c r="F34" s="7" t="str">
        <f aca="false">IFERROR(INDEX(02_轉折點45個!B:B,MATCH(A34,02_轉折點45個!A:A,0)),"")</f>
        <v/>
      </c>
      <c r="G34" s="7" t="s">
        <v>1994</v>
      </c>
    </row>
    <row r="35" customFormat="false" ht="15" hidden="false" customHeight="false" outlineLevel="0" collapsed="false">
      <c r="A35" s="7" t="s">
        <v>2026</v>
      </c>
      <c r="B35" s="7" t="n">
        <v>2086.23</v>
      </c>
      <c r="F35" s="7" t="str">
        <f aca="false">IFERROR(INDEX(02_轉折點45個!B:B,MATCH(A35,02_轉折點45個!A:A,0)),"")</f>
        <v/>
      </c>
      <c r="G35" s="7" t="s">
        <v>1994</v>
      </c>
    </row>
    <row r="36" customFormat="false" ht="15" hidden="false" customHeight="false" outlineLevel="0" collapsed="false">
      <c r="A36" s="7" t="s">
        <v>2027</v>
      </c>
      <c r="B36" s="7" t="n">
        <v>2139.6</v>
      </c>
      <c r="F36" s="7" t="str">
        <f aca="false">IFERROR(INDEX(02_轉折點45個!B:B,MATCH(A36,02_轉折點45個!A:A,0)),"")</f>
        <v/>
      </c>
      <c r="G36" s="7" t="s">
        <v>1994</v>
      </c>
    </row>
    <row r="37" customFormat="false" ht="15" hidden="false" customHeight="false" outlineLevel="0" collapsed="false">
      <c r="A37" s="7" t="s">
        <v>2028</v>
      </c>
      <c r="B37" s="7" t="n">
        <v>2170.97</v>
      </c>
      <c r="F37" s="7" t="str">
        <f aca="false">IFERROR(INDEX(02_轉折點45個!B:B,MATCH(A37,02_轉折點45個!A:A,0)),"")</f>
        <v/>
      </c>
      <c r="G37" s="7" t="s">
        <v>1994</v>
      </c>
    </row>
    <row r="38" customFormat="false" ht="15" hidden="false" customHeight="false" outlineLevel="0" collapsed="false">
      <c r="A38" s="7" t="s">
        <v>2029</v>
      </c>
      <c r="B38" s="7" t="n">
        <v>2137.19</v>
      </c>
      <c r="F38" s="7" t="str">
        <f aca="false">IFERROR(INDEX(02_轉折點45個!B:B,MATCH(A38,02_轉折點45個!A:A,0)),"")</f>
        <v/>
      </c>
      <c r="G38" s="7" t="s">
        <v>1994</v>
      </c>
    </row>
    <row r="39" customFormat="false" ht="15" hidden="false" customHeight="false" outlineLevel="0" collapsed="false">
      <c r="A39" s="7" t="s">
        <v>2030</v>
      </c>
      <c r="B39" s="7" t="n">
        <v>2125.72</v>
      </c>
      <c r="F39" s="7" t="str">
        <f aca="false">IFERROR(INDEX(02_轉折點45個!B:B,MATCH(A39,02_轉折點45個!A:A,0)),"")</f>
        <v/>
      </c>
      <c r="G39" s="7" t="s">
        <v>1994</v>
      </c>
    </row>
    <row r="40" customFormat="false" ht="15" hidden="false" customHeight="false" outlineLevel="0" collapsed="false">
      <c r="A40" s="7" t="s">
        <v>2031</v>
      </c>
      <c r="B40" s="7" t="n">
        <v>2090.28</v>
      </c>
      <c r="F40" s="7" t="str">
        <f aca="false">IFERROR(INDEX(02_轉折點45個!B:B,MATCH(A40,02_轉折點45個!A:A,0)),"")</f>
        <v/>
      </c>
      <c r="G40" s="7" t="s">
        <v>1994</v>
      </c>
    </row>
    <row r="41" customFormat="false" ht="15" hidden="false" customHeight="false" outlineLevel="0" collapsed="false">
      <c r="A41" s="7" t="s">
        <v>2032</v>
      </c>
      <c r="B41" s="7" t="n">
        <v>2096.81</v>
      </c>
      <c r="F41" s="7" t="str">
        <f aca="false">IFERROR(INDEX(02_轉折點45個!B:B,MATCH(A41,02_轉折點45個!A:A,0)),"")</f>
        <v/>
      </c>
      <c r="G41" s="7" t="s">
        <v>1994</v>
      </c>
    </row>
    <row r="42" customFormat="false" ht="15" hidden="false" customHeight="false" outlineLevel="0" collapsed="false">
      <c r="A42" s="7" t="s">
        <v>2033</v>
      </c>
      <c r="B42" s="7" t="n">
        <v>2063.79</v>
      </c>
      <c r="F42" s="7" t="str">
        <f aca="false">IFERROR(INDEX(02_轉折點45個!B:B,MATCH(A42,02_轉折點45個!A:A,0)),"")</f>
        <v/>
      </c>
      <c r="G42" s="7" t="s">
        <v>1994</v>
      </c>
    </row>
    <row r="43" customFormat="false" ht="15" hidden="false" customHeight="false" outlineLevel="0" collapsed="false">
      <c r="A43" s="7" t="s">
        <v>2034</v>
      </c>
      <c r="B43" s="7" t="n">
        <v>2069.42</v>
      </c>
      <c r="F43" s="7" t="str">
        <f aca="false">IFERROR(INDEX(02_轉折點45個!B:B,MATCH(A43,02_轉折點45個!A:A,0)),"")</f>
        <v/>
      </c>
      <c r="G43" s="7" t="s">
        <v>1994</v>
      </c>
    </row>
    <row r="44" customFormat="false" ht="15" hidden="false" customHeight="false" outlineLevel="0" collapsed="false">
      <c r="A44" s="7" t="s">
        <v>2035</v>
      </c>
      <c r="B44" s="7" t="n">
        <v>2094.72</v>
      </c>
      <c r="F44" s="7" t="str">
        <f aca="false">IFERROR(INDEX(02_轉折點45個!B:B,MATCH(A44,02_轉折點45個!A:A,0)),"")</f>
        <v/>
      </c>
      <c r="G44" s="7" t="s">
        <v>1994</v>
      </c>
    </row>
    <row r="45" customFormat="false" ht="15" hidden="false" customHeight="false" outlineLevel="0" collapsed="false">
      <c r="A45" s="7" t="s">
        <v>2036</v>
      </c>
      <c r="B45" s="7" t="n">
        <v>2135.12</v>
      </c>
      <c r="F45" s="7" t="str">
        <f aca="false">IFERROR(INDEX(02_轉折點45個!B:B,MATCH(A45,02_轉折點45個!A:A,0)),"")</f>
        <v/>
      </c>
      <c r="G45" s="7" t="s">
        <v>1994</v>
      </c>
    </row>
    <row r="46" customFormat="false" ht="15" hidden="false" customHeight="false" outlineLevel="0" collapsed="false">
      <c r="A46" s="7" t="s">
        <v>2037</v>
      </c>
      <c r="B46" s="7" t="n">
        <v>2190.4</v>
      </c>
      <c r="F46" s="7" t="str">
        <f aca="false">IFERROR(INDEX(02_轉折點45個!B:B,MATCH(A46,02_轉折點45個!A:A,0)),"")</f>
        <v/>
      </c>
      <c r="G46" s="7" t="s">
        <v>1994</v>
      </c>
    </row>
    <row r="47" customFormat="false" ht="15" hidden="false" customHeight="false" outlineLevel="0" collapsed="false">
      <c r="A47" s="7" t="s">
        <v>2038</v>
      </c>
      <c r="B47" s="7" t="n">
        <v>2186.12</v>
      </c>
      <c r="F47" s="7" t="str">
        <f aca="false">IFERROR(INDEX(02_轉折點45個!B:B,MATCH(A47,02_轉折點45個!A:A,0)),"")</f>
        <v/>
      </c>
      <c r="G47" s="7" t="s">
        <v>1994</v>
      </c>
    </row>
    <row r="48" customFormat="false" ht="15" hidden="false" customHeight="false" outlineLevel="0" collapsed="false">
      <c r="A48" s="7" t="s">
        <v>2039</v>
      </c>
      <c r="B48" s="7" t="n">
        <v>2198.06</v>
      </c>
      <c r="F48" s="7" t="str">
        <f aca="false">IFERROR(INDEX(02_轉折點45個!B:B,MATCH(A48,02_轉折點45個!A:A,0)),"")</f>
        <v/>
      </c>
      <c r="G48" s="7" t="s">
        <v>1994</v>
      </c>
    </row>
    <row r="49" customFormat="false" ht="15" hidden="false" customHeight="false" outlineLevel="0" collapsed="false">
      <c r="A49" s="7" t="s">
        <v>2040</v>
      </c>
      <c r="B49" s="7" t="n">
        <v>2203.77</v>
      </c>
      <c r="F49" s="7" t="str">
        <f aca="false">IFERROR(INDEX(02_轉折點45個!B:B,MATCH(A49,02_轉折點45個!A:A,0)),"")</f>
        <v/>
      </c>
      <c r="G49" s="7" t="s">
        <v>1994</v>
      </c>
    </row>
    <row r="50" customFormat="false" ht="15" hidden="false" customHeight="false" outlineLevel="0" collapsed="false">
      <c r="A50" s="7" t="s">
        <v>2041</v>
      </c>
      <c r="B50" s="7" t="n">
        <v>2175.7</v>
      </c>
      <c r="F50" s="7" t="str">
        <f aca="false">IFERROR(INDEX(02_轉折點45個!B:B,MATCH(A50,02_轉折點45個!A:A,0)),"")</f>
        <v/>
      </c>
      <c r="G50" s="7" t="s">
        <v>1994</v>
      </c>
    </row>
    <row r="51" customFormat="false" ht="15" hidden="false" customHeight="false" outlineLevel="0" collapsed="false">
      <c r="A51" s="7" t="s">
        <v>2042</v>
      </c>
      <c r="B51" s="7" t="n">
        <v>2221.3</v>
      </c>
      <c r="F51" s="7" t="str">
        <f aca="false">IFERROR(INDEX(02_轉折點45個!B:B,MATCH(A51,02_轉折點45個!A:A,0)),"")</f>
        <v/>
      </c>
      <c r="G51" s="7" t="s">
        <v>1994</v>
      </c>
    </row>
    <row r="52" customFormat="false" ht="15" hidden="false" customHeight="false" outlineLevel="0" collapsed="false">
      <c r="A52" s="7" t="s">
        <v>2043</v>
      </c>
      <c r="B52" s="7" t="n">
        <v>2228.45</v>
      </c>
      <c r="C52" s="7" t="n">
        <f aca="false">AVERAGE(B3:B52)</f>
        <v>2154.0476</v>
      </c>
      <c r="F52" s="7" t="str">
        <f aca="false">IFERROR(INDEX(02_轉折點45個!B:B,MATCH(A52,02_轉折點45個!A:A,0)),"")</f>
        <v/>
      </c>
      <c r="G52" s="7" t="s">
        <v>1994</v>
      </c>
    </row>
    <row r="53" customFormat="false" ht="15" hidden="false" customHeight="false" outlineLevel="0" collapsed="false">
      <c r="A53" s="7" t="s">
        <v>2044</v>
      </c>
      <c r="B53" s="7" t="n">
        <v>2219.04</v>
      </c>
      <c r="C53" s="7" t="n">
        <f aca="false">AVERAGE(B4:B53)</f>
        <v>2158.0842</v>
      </c>
      <c r="F53" s="7" t="str">
        <f aca="false">IFERROR(INDEX(02_轉折點45個!B:B,MATCH(A53,02_轉折點45個!A:A,0)),"")</f>
        <v/>
      </c>
      <c r="G53" s="7" t="s">
        <v>1994</v>
      </c>
    </row>
    <row r="54" customFormat="false" ht="15" hidden="false" customHeight="false" outlineLevel="0" collapsed="false">
      <c r="A54" s="7" t="s">
        <v>2045</v>
      </c>
      <c r="B54" s="7" t="n">
        <v>2250.09</v>
      </c>
      <c r="C54" s="7" t="n">
        <f aca="false">AVERAGE(B5:B54)</f>
        <v>2161.952</v>
      </c>
      <c r="F54" s="7" t="str">
        <f aca="false">IFERROR(INDEX(02_轉折點45個!B:B,MATCH(A54,02_轉折點45個!A:A,0)),"")</f>
        <v/>
      </c>
      <c r="G54" s="7" t="s">
        <v>1994</v>
      </c>
    </row>
    <row r="55" customFormat="false" ht="15" hidden="false" customHeight="false" outlineLevel="0" collapsed="false">
      <c r="A55" s="7" t="s">
        <v>2046</v>
      </c>
      <c r="B55" s="7" t="n">
        <v>2212.01</v>
      </c>
      <c r="C55" s="7" t="n">
        <f aca="false">AVERAGE(B6:B55)</f>
        <v>2163.7868</v>
      </c>
      <c r="F55" s="7" t="str">
        <f aca="false">IFERROR(INDEX(02_轉折點45個!B:B,MATCH(A55,02_轉折點45個!A:A,0)),"")</f>
        <v/>
      </c>
      <c r="G55" s="7" t="s">
        <v>1994</v>
      </c>
    </row>
    <row r="56" customFormat="false" ht="15" hidden="false" customHeight="false" outlineLevel="0" collapsed="false">
      <c r="A56" s="7" t="s">
        <v>2047</v>
      </c>
      <c r="B56" s="7" t="n">
        <v>2188.87</v>
      </c>
      <c r="C56" s="7" t="n">
        <f aca="false">AVERAGE(B7:B56)</f>
        <v>2165.0632</v>
      </c>
      <c r="F56" s="7" t="str">
        <f aca="false">IFERROR(INDEX(02_轉折點45個!B:B,MATCH(A56,02_轉折點45個!A:A,0)),"")</f>
        <v/>
      </c>
      <c r="G56" s="7" t="s">
        <v>1994</v>
      </c>
    </row>
    <row r="57" customFormat="false" ht="15" hidden="false" customHeight="false" outlineLevel="0" collapsed="false">
      <c r="A57" s="7" t="s">
        <v>2048</v>
      </c>
      <c r="B57" s="7" t="n">
        <v>2122.08</v>
      </c>
      <c r="C57" s="7" t="n">
        <f aca="false">AVERAGE(B8:B57)</f>
        <v>2164.669</v>
      </c>
      <c r="F57" s="7" t="str">
        <f aca="false">IFERROR(INDEX(02_轉折點45個!B:B,MATCH(A57,02_轉折點45個!A:A,0)),"")</f>
        <v/>
      </c>
      <c r="G57" s="7" t="s">
        <v>1994</v>
      </c>
    </row>
    <row r="58" customFormat="false" ht="15" hidden="false" customHeight="false" outlineLevel="0" collapsed="false">
      <c r="A58" s="7" t="s">
        <v>2049</v>
      </c>
      <c r="B58" s="7" t="n">
        <v>2160.86</v>
      </c>
      <c r="C58" s="7" t="n">
        <f aca="false">AVERAGE(B9:B58)</f>
        <v>2164.3162</v>
      </c>
      <c r="F58" s="7" t="str">
        <f aca="false">IFERROR(INDEX(02_轉折點45個!B:B,MATCH(A58,02_轉折點45個!A:A,0)),"")</f>
        <v/>
      </c>
      <c r="G58" s="7" t="s">
        <v>1994</v>
      </c>
    </row>
    <row r="59" customFormat="false" ht="15" hidden="false" customHeight="false" outlineLevel="0" collapsed="false">
      <c r="A59" s="7" t="s">
        <v>2050</v>
      </c>
      <c r="B59" s="7" t="n">
        <v>2224.37</v>
      </c>
      <c r="C59" s="7" t="n">
        <f aca="false">AVERAGE(B10:B59)</f>
        <v>2166.4002</v>
      </c>
      <c r="F59" s="7" t="str">
        <f aca="false">IFERROR(INDEX(02_轉折點45個!B:B,MATCH(A59,02_轉折點45個!A:A,0)),"")</f>
        <v/>
      </c>
      <c r="G59" s="7" t="s">
        <v>1994</v>
      </c>
    </row>
    <row r="60" customFormat="false" ht="15" hidden="false" customHeight="false" outlineLevel="0" collapsed="false">
      <c r="A60" s="7" t="s">
        <v>2051</v>
      </c>
      <c r="B60" s="7" t="n">
        <v>2210.09</v>
      </c>
      <c r="C60" s="7" t="n">
        <f aca="false">AVERAGE(B11:B60)</f>
        <v>2168.2706</v>
      </c>
      <c r="F60" s="7" t="str">
        <f aca="false">IFERROR(INDEX(02_轉折點45個!B:B,MATCH(A60,02_轉折點45個!A:A,0)),"")</f>
        <v/>
      </c>
      <c r="G60" s="7" t="s">
        <v>1994</v>
      </c>
    </row>
    <row r="61" customFormat="false" ht="15" hidden="false" customHeight="false" outlineLevel="0" collapsed="false">
      <c r="A61" s="7" t="s">
        <v>2052</v>
      </c>
      <c r="B61" s="7" t="n">
        <v>2277.39</v>
      </c>
      <c r="C61" s="7" t="n">
        <f aca="false">AVERAGE(B12:B61)</f>
        <v>2172.2176</v>
      </c>
      <c r="F61" s="7" t="str">
        <f aca="false">IFERROR(INDEX(02_轉折點45個!B:B,MATCH(A61,02_轉折點45個!A:A,0)),"")</f>
        <v/>
      </c>
      <c r="G61" s="7" t="s">
        <v>1994</v>
      </c>
    </row>
    <row r="62" customFormat="false" ht="15" hidden="false" customHeight="false" outlineLevel="0" collapsed="false">
      <c r="A62" s="7" t="s">
        <v>2053</v>
      </c>
      <c r="B62" s="7" t="n">
        <v>2265.93</v>
      </c>
      <c r="C62" s="7" t="n">
        <f aca="false">AVERAGE(B13:B62)</f>
        <v>2174.6312</v>
      </c>
      <c r="F62" s="7" t="str">
        <f aca="false">IFERROR(INDEX(02_轉折點45個!B:B,MATCH(A62,02_轉折點45個!A:A,0)),"")</f>
        <v/>
      </c>
      <c r="G62" s="7" t="s">
        <v>1994</v>
      </c>
    </row>
    <row r="63" customFormat="false" ht="15" hidden="false" customHeight="false" outlineLevel="0" collapsed="false">
      <c r="A63" s="7" t="s">
        <v>2054</v>
      </c>
      <c r="B63" s="7" t="n">
        <v>2248.67</v>
      </c>
      <c r="C63" s="7" t="n">
        <f aca="false">AVERAGE(B14:B63)</f>
        <v>2175.6038</v>
      </c>
      <c r="F63" s="7" t="str">
        <f aca="false">IFERROR(INDEX(02_轉折點45個!B:B,MATCH(A63,02_轉折點45個!A:A,0)),"")</f>
        <v/>
      </c>
      <c r="G63" s="7" t="s">
        <v>1994</v>
      </c>
    </row>
    <row r="64" customFormat="false" ht="15" hidden="false" customHeight="false" outlineLevel="0" collapsed="false">
      <c r="A64" s="7" t="s">
        <v>2055</v>
      </c>
      <c r="B64" s="7" t="n">
        <v>2277.87</v>
      </c>
      <c r="C64" s="7" t="n">
        <f aca="false">AVERAGE(B15:B64)</f>
        <v>2177.0266</v>
      </c>
      <c r="F64" s="7" t="str">
        <f aca="false">IFERROR(INDEX(02_轉折點45個!B:B,MATCH(A64,02_轉折點45個!A:A,0)),"")</f>
        <v/>
      </c>
      <c r="G64" s="7" t="s">
        <v>1994</v>
      </c>
    </row>
    <row r="65" customFormat="false" ht="15" hidden="false" customHeight="false" outlineLevel="0" collapsed="false">
      <c r="A65" s="7" t="s">
        <v>2056</v>
      </c>
      <c r="B65" s="7" t="n">
        <v>2338.8</v>
      </c>
      <c r="C65" s="7" t="n">
        <f aca="false">AVERAGE(B16:B65)</f>
        <v>2180.9612</v>
      </c>
      <c r="F65" s="7" t="str">
        <f aca="false">IFERROR(INDEX(02_轉折點45個!B:B,MATCH(A65,02_轉折點45個!A:A,0)),"")</f>
        <v/>
      </c>
      <c r="G65" s="7" t="s">
        <v>1994</v>
      </c>
    </row>
    <row r="66" customFormat="false" ht="15" hidden="false" customHeight="false" outlineLevel="0" collapsed="false">
      <c r="A66" s="7" t="s">
        <v>2057</v>
      </c>
      <c r="B66" s="7" t="n">
        <v>2341.64</v>
      </c>
      <c r="C66" s="7" t="n">
        <f aca="false">AVERAGE(B17:B66)</f>
        <v>2185.0592</v>
      </c>
      <c r="F66" s="7" t="str">
        <f aca="false">IFERROR(INDEX(02_轉折點45個!B:B,MATCH(A66,02_轉折點45個!A:A,0)),"")</f>
        <v/>
      </c>
      <c r="G66" s="7" t="s">
        <v>1994</v>
      </c>
    </row>
    <row r="67" customFormat="false" ht="15" hidden="false" customHeight="false" outlineLevel="0" collapsed="false">
      <c r="A67" s="7" t="s">
        <v>2058</v>
      </c>
      <c r="B67" s="7" t="n">
        <v>2324.52</v>
      </c>
      <c r="C67" s="7" t="n">
        <f aca="false">AVERAGE(B18:B67)</f>
        <v>2188.2588</v>
      </c>
      <c r="F67" s="7" t="str">
        <f aca="false">IFERROR(INDEX(02_轉折點45個!B:B,MATCH(A67,02_轉折點45個!A:A,0)),"")</f>
        <v/>
      </c>
      <c r="G67" s="7" t="s">
        <v>1994</v>
      </c>
    </row>
    <row r="68" customFormat="false" ht="15" hidden="false" customHeight="false" outlineLevel="0" collapsed="false">
      <c r="A68" s="7" t="s">
        <v>2059</v>
      </c>
      <c r="B68" s="7" t="n">
        <v>2350.98</v>
      </c>
      <c r="C68" s="7" t="n">
        <f aca="false">AVERAGE(B19:B68)</f>
        <v>2190.8164</v>
      </c>
      <c r="F68" s="7" t="str">
        <f aca="false">IFERROR(INDEX(02_轉折點45個!B:B,MATCH(A68,02_轉折點45個!A:A,0)),"")</f>
        <v/>
      </c>
      <c r="G68" s="7" t="s">
        <v>1994</v>
      </c>
    </row>
    <row r="69" customFormat="false" ht="15" hidden="false" customHeight="false" outlineLevel="0" collapsed="false">
      <c r="A69" s="7" t="s">
        <v>2060</v>
      </c>
      <c r="B69" s="7" t="n">
        <v>2368.94</v>
      </c>
      <c r="C69" s="7" t="n">
        <f aca="false">AVERAGE(B20:B69)</f>
        <v>2194.2132</v>
      </c>
      <c r="F69" s="7" t="str">
        <f aca="false">IFERROR(INDEX(02_轉折點45個!B:B,MATCH(A69,02_轉折點45個!A:A,0)),"")</f>
        <v/>
      </c>
      <c r="G69" s="7" t="s">
        <v>1994</v>
      </c>
    </row>
    <row r="70" customFormat="false" ht="15" hidden="false" customHeight="false" outlineLevel="0" collapsed="false">
      <c r="A70" s="7" t="s">
        <v>2061</v>
      </c>
      <c r="B70" s="7" t="n">
        <v>2374.2</v>
      </c>
      <c r="C70" s="7" t="n">
        <f aca="false">AVERAGE(B21:B70)</f>
        <v>2196.4326</v>
      </c>
      <c r="F70" s="7" t="str">
        <f aca="false">IFERROR(INDEX(02_轉折點45個!B:B,MATCH(A70,02_轉折點45個!A:A,0)),"")</f>
        <v/>
      </c>
      <c r="G70" s="7" t="s">
        <v>1994</v>
      </c>
    </row>
    <row r="71" customFormat="false" ht="15" hidden="false" customHeight="false" outlineLevel="0" collapsed="false">
      <c r="A71" s="7" t="s">
        <v>2062</v>
      </c>
      <c r="B71" s="7" t="n">
        <v>2360.21</v>
      </c>
      <c r="C71" s="7" t="n">
        <f aca="false">AVERAGE(B22:B71)</f>
        <v>2197.8506</v>
      </c>
      <c r="F71" s="7" t="str">
        <f aca="false">IFERROR(INDEX(02_轉折點45個!B:B,MATCH(A71,02_轉折點45個!A:A,0)),"")</f>
        <v/>
      </c>
      <c r="G71" s="7" t="s">
        <v>1994</v>
      </c>
    </row>
    <row r="72" customFormat="false" ht="15" hidden="false" customHeight="false" outlineLevel="0" collapsed="false">
      <c r="A72" s="7" t="s">
        <v>2063</v>
      </c>
      <c r="B72" s="7" t="n">
        <v>2290.58</v>
      </c>
      <c r="C72" s="7" t="n">
        <f aca="false">AVERAGE(B23:B72)</f>
        <v>2197.7992</v>
      </c>
      <c r="F72" s="7" t="str">
        <f aca="false">IFERROR(INDEX(02_轉折點45個!B:B,MATCH(A72,02_轉折點45個!A:A,0)),"")</f>
        <v/>
      </c>
      <c r="G72" s="7" t="s">
        <v>1994</v>
      </c>
    </row>
    <row r="73" customFormat="false" ht="15" hidden="false" customHeight="false" outlineLevel="0" collapsed="false">
      <c r="A73" s="7" t="s">
        <v>2064</v>
      </c>
      <c r="B73" s="7" t="n">
        <v>2303.82</v>
      </c>
      <c r="C73" s="7" t="n">
        <f aca="false">AVERAGE(B24:B73)</f>
        <v>2198.8654</v>
      </c>
      <c r="F73" s="7" t="str">
        <f aca="false">IFERROR(INDEX(02_轉折點45個!B:B,MATCH(A73,02_轉折點45個!A:A,0)),"")</f>
        <v/>
      </c>
      <c r="G73" s="7" t="s">
        <v>1994</v>
      </c>
    </row>
    <row r="74" customFormat="false" ht="15" hidden="false" customHeight="false" outlineLevel="0" collapsed="false">
      <c r="A74" s="7" t="s">
        <v>2065</v>
      </c>
      <c r="B74" s="7" t="n">
        <v>2269.35</v>
      </c>
      <c r="C74" s="7" t="n">
        <f aca="false">AVERAGE(B25:B74)</f>
        <v>2198.6942</v>
      </c>
      <c r="F74" s="7" t="str">
        <f aca="false">IFERROR(INDEX(02_轉折點45個!B:B,MATCH(A74,02_轉折點45個!A:A,0)),"")</f>
        <v/>
      </c>
      <c r="G74" s="7" t="s">
        <v>1994</v>
      </c>
    </row>
    <row r="75" customFormat="false" ht="15" hidden="false" customHeight="false" outlineLevel="0" collapsed="false">
      <c r="A75" s="7" t="s">
        <v>2066</v>
      </c>
      <c r="B75" s="7" t="n">
        <v>2142.89</v>
      </c>
      <c r="C75" s="7" t="n">
        <f aca="false">AVERAGE(B26:B75)</f>
        <v>2197.5166</v>
      </c>
      <c r="F75" s="7" t="str">
        <f aca="false">IFERROR(INDEX(02_轉折點45個!B:B,MATCH(A75,02_轉折點45個!A:A,0)),"")</f>
        <v/>
      </c>
      <c r="G75" s="7" t="s">
        <v>1994</v>
      </c>
    </row>
    <row r="76" customFormat="false" ht="15" hidden="false" customHeight="false" outlineLevel="0" collapsed="false">
      <c r="A76" s="7" t="s">
        <v>2067</v>
      </c>
      <c r="B76" s="7" t="n">
        <v>2201.38</v>
      </c>
      <c r="C76" s="7" t="n">
        <f aca="false">AVERAGE(B27:B76)</f>
        <v>2198.1748</v>
      </c>
      <c r="F76" s="7" t="str">
        <f aca="false">IFERROR(INDEX(02_轉折點45個!B:B,MATCH(A76,02_轉折點45個!A:A,0)),"")</f>
        <v/>
      </c>
      <c r="G76" s="7" t="s">
        <v>1994</v>
      </c>
    </row>
    <row r="77" customFormat="false" ht="15" hidden="false" customHeight="false" outlineLevel="0" collapsed="false">
      <c r="A77" s="7" t="s">
        <v>2068</v>
      </c>
      <c r="B77" s="7" t="n">
        <v>2273.96</v>
      </c>
      <c r="C77" s="7" t="n">
        <f aca="false">AVERAGE(B28:B77)</f>
        <v>2199.7126</v>
      </c>
      <c r="F77" s="7" t="str">
        <f aca="false">IFERROR(INDEX(02_轉折點45個!B:B,MATCH(A77,02_轉折點45個!A:A,0)),"")</f>
        <v/>
      </c>
      <c r="G77" s="7" t="s">
        <v>1994</v>
      </c>
    </row>
    <row r="78" customFormat="false" ht="15" hidden="false" customHeight="false" outlineLevel="0" collapsed="false">
      <c r="A78" s="7" t="s">
        <v>2069</v>
      </c>
      <c r="B78" s="7" t="n">
        <v>2340.22</v>
      </c>
      <c r="C78" s="7" t="n">
        <f aca="false">AVERAGE(B29:B78)</f>
        <v>2204.2956</v>
      </c>
      <c r="F78" s="7" t="str">
        <f aca="false">IFERROR(INDEX(02_轉折點45個!B:B,MATCH(A78,02_轉折點45個!A:A,0)),"")</f>
        <v/>
      </c>
      <c r="G78" s="7" t="s">
        <v>1994</v>
      </c>
    </row>
    <row r="79" customFormat="false" ht="15" hidden="false" customHeight="false" outlineLevel="0" collapsed="false">
      <c r="A79" s="7" t="s">
        <v>2070</v>
      </c>
      <c r="B79" s="7" t="n">
        <v>2366.78</v>
      </c>
      <c r="C79" s="7" t="n">
        <f aca="false">AVERAGE(B30:B79)</f>
        <v>2209.4332</v>
      </c>
      <c r="F79" s="7" t="str">
        <f aca="false">IFERROR(INDEX(02_轉折點45個!B:B,MATCH(A79,02_轉折點45個!A:A,0)),"")</f>
        <v/>
      </c>
      <c r="G79" s="7" t="s">
        <v>1994</v>
      </c>
    </row>
    <row r="80" customFormat="false" ht="15" hidden="false" customHeight="false" outlineLevel="0" collapsed="false">
      <c r="A80" s="7" t="s">
        <v>373</v>
      </c>
      <c r="B80" s="7" t="n">
        <v>2422.84</v>
      </c>
      <c r="C80" s="7" t="n">
        <f aca="false">AVERAGE(B31:B80)</f>
        <v>2213.9372</v>
      </c>
      <c r="F80" s="7" t="str">
        <f aca="false">IFERROR(INDEX(02_轉折點45個!B:B,MATCH(A80,02_轉折點45個!A:A,0)),"")</f>
        <v/>
      </c>
      <c r="G80" s="7" t="s">
        <v>1994</v>
      </c>
    </row>
    <row r="81" customFormat="false" ht="15" hidden="false" customHeight="false" outlineLevel="0" collapsed="false">
      <c r="A81" s="7" t="s">
        <v>2071</v>
      </c>
      <c r="B81" s="7" t="n">
        <v>2377.49</v>
      </c>
      <c r="C81" s="7" t="n">
        <f aca="false">AVERAGE(B32:B81)</f>
        <v>2219.0626</v>
      </c>
      <c r="F81" s="7" t="str">
        <f aca="false">IFERROR(INDEX(02_轉折點45個!B:B,MATCH(A81,02_轉折點45個!A:A,0)),"")</f>
        <v/>
      </c>
      <c r="G81" s="7" t="s">
        <v>1994</v>
      </c>
    </row>
    <row r="82" customFormat="false" ht="15" hidden="false" customHeight="false" outlineLevel="0" collapsed="false">
      <c r="A82" s="7" t="s">
        <v>2072</v>
      </c>
      <c r="B82" s="7" t="n">
        <v>2329.95</v>
      </c>
      <c r="C82" s="7" t="n">
        <f aca="false">AVERAGE(B33:B82)</f>
        <v>2223.3838</v>
      </c>
      <c r="F82" s="7" t="str">
        <f aca="false">IFERROR(INDEX(02_轉折點45個!B:B,MATCH(A82,02_轉折點45個!A:A,0)),"")</f>
        <v/>
      </c>
      <c r="G82" s="7" t="s">
        <v>1994</v>
      </c>
    </row>
    <row r="83" customFormat="false" ht="15" hidden="false" customHeight="false" outlineLevel="0" collapsed="false">
      <c r="A83" s="7" t="s">
        <v>2073</v>
      </c>
      <c r="B83" s="7" t="n">
        <v>2309.91</v>
      </c>
      <c r="C83" s="7" t="n">
        <f aca="false">AVERAGE(B34:B83)</f>
        <v>2228.4912</v>
      </c>
      <c r="F83" s="7" t="str">
        <f aca="false">IFERROR(INDEX(02_轉折點45個!B:B,MATCH(A83,02_轉折點45個!A:A,0)),"")</f>
        <v/>
      </c>
      <c r="G83" s="7" t="s">
        <v>1994</v>
      </c>
    </row>
    <row r="84" customFormat="false" ht="15" hidden="false" customHeight="false" outlineLevel="0" collapsed="false">
      <c r="A84" s="7" t="s">
        <v>2074</v>
      </c>
      <c r="B84" s="7" t="n">
        <v>2323.09</v>
      </c>
      <c r="C84" s="7" t="n">
        <f aca="false">AVERAGE(B35:B84)</f>
        <v>2233.6494</v>
      </c>
      <c r="F84" s="7" t="str">
        <f aca="false">IFERROR(INDEX(02_轉折點45個!B:B,MATCH(A84,02_轉折點45個!A:A,0)),"")</f>
        <v/>
      </c>
      <c r="G84" s="7" t="s">
        <v>1994</v>
      </c>
    </row>
    <row r="85" customFormat="false" ht="15" hidden="false" customHeight="false" outlineLevel="0" collapsed="false">
      <c r="A85" s="7" t="s">
        <v>2075</v>
      </c>
      <c r="B85" s="7" t="n">
        <v>2316.44</v>
      </c>
      <c r="C85" s="7" t="n">
        <f aca="false">AVERAGE(B36:B85)</f>
        <v>2238.2536</v>
      </c>
      <c r="F85" s="7" t="str">
        <f aca="false">IFERROR(INDEX(02_轉折點45個!B:B,MATCH(A85,02_轉折點45個!A:A,0)),"")</f>
        <v/>
      </c>
      <c r="G85" s="7" t="s">
        <v>1994</v>
      </c>
    </row>
    <row r="86" customFormat="false" ht="15" hidden="false" customHeight="false" outlineLevel="0" collapsed="false">
      <c r="A86" s="7" t="s">
        <v>2076</v>
      </c>
      <c r="B86" s="7" t="n">
        <v>2270.34</v>
      </c>
      <c r="C86" s="7" t="n">
        <f aca="false">AVERAGE(B37:B86)</f>
        <v>2240.8684</v>
      </c>
      <c r="F86" s="7" t="str">
        <f aca="false">IFERROR(INDEX(02_轉折點45個!B:B,MATCH(A86,02_轉折點45個!A:A,0)),"")</f>
        <v/>
      </c>
      <c r="G86" s="7" t="s">
        <v>1994</v>
      </c>
    </row>
    <row r="87" customFormat="false" ht="15" hidden="false" customHeight="false" outlineLevel="0" collapsed="false">
      <c r="A87" s="7" t="s">
        <v>2077</v>
      </c>
      <c r="B87" s="7" t="n">
        <v>2315.4</v>
      </c>
      <c r="C87" s="7" t="n">
        <f aca="false">AVERAGE(B38:B87)</f>
        <v>2243.757</v>
      </c>
      <c r="F87" s="7" t="str">
        <f aca="false">IFERROR(INDEX(02_轉折點45個!B:B,MATCH(A87,02_轉折點45個!A:A,0)),"")</f>
        <v/>
      </c>
      <c r="G87" s="7" t="s">
        <v>1994</v>
      </c>
    </row>
    <row r="88" customFormat="false" ht="15" hidden="false" customHeight="false" outlineLevel="0" collapsed="false">
      <c r="A88" s="7" t="s">
        <v>2078</v>
      </c>
      <c r="B88" s="7" t="n">
        <v>2258.61</v>
      </c>
      <c r="C88" s="7" t="n">
        <f aca="false">AVERAGE(B39:B88)</f>
        <v>2246.1854</v>
      </c>
      <c r="F88" s="7" t="str">
        <f aca="false">IFERROR(INDEX(02_轉折點45個!B:B,MATCH(A88,02_轉折點45個!A:A,0)),"")</f>
        <v/>
      </c>
      <c r="G88" s="7" t="s">
        <v>1994</v>
      </c>
    </row>
    <row r="89" customFormat="false" ht="15" hidden="false" customHeight="false" outlineLevel="0" collapsed="false">
      <c r="A89" s="7" t="s">
        <v>2079</v>
      </c>
      <c r="B89" s="7" t="n">
        <v>2287.24</v>
      </c>
      <c r="C89" s="7" t="n">
        <f aca="false">AVERAGE(B40:B89)</f>
        <v>2249.4158</v>
      </c>
      <c r="F89" s="7" t="str">
        <f aca="false">IFERROR(INDEX(02_轉折點45個!B:B,MATCH(A89,02_轉折點45個!A:A,0)),"")</f>
        <v/>
      </c>
      <c r="G89" s="7" t="s">
        <v>1994</v>
      </c>
    </row>
    <row r="90" customFormat="false" ht="15" hidden="false" customHeight="false" outlineLevel="0" collapsed="false">
      <c r="A90" s="7" t="s">
        <v>2080</v>
      </c>
      <c r="B90" s="7" t="n">
        <v>2308.04</v>
      </c>
      <c r="C90" s="7" t="n">
        <f aca="false">AVERAGE(B41:B90)</f>
        <v>2253.771</v>
      </c>
      <c r="F90" s="7" t="str">
        <f aca="false">IFERROR(INDEX(02_轉折點45個!B:B,MATCH(A90,02_轉折點45個!A:A,0)),"")</f>
        <v/>
      </c>
      <c r="G90" s="7" t="s">
        <v>1994</v>
      </c>
    </row>
    <row r="91" customFormat="false" ht="15" hidden="false" customHeight="false" outlineLevel="0" collapsed="false">
      <c r="A91" s="7" t="s">
        <v>2081</v>
      </c>
      <c r="B91" s="7" t="n">
        <v>2344.85</v>
      </c>
      <c r="C91" s="7" t="n">
        <f aca="false">AVERAGE(B42:B91)</f>
        <v>2258.7318</v>
      </c>
      <c r="F91" s="7" t="str">
        <f aca="false">IFERROR(INDEX(02_轉折點45個!B:B,MATCH(A91,02_轉折點45個!A:A,0)),"")</f>
        <v/>
      </c>
      <c r="G91" s="7" t="s">
        <v>1994</v>
      </c>
    </row>
    <row r="92" customFormat="false" ht="15" hidden="false" customHeight="false" outlineLevel="0" collapsed="false">
      <c r="A92" s="7" t="s">
        <v>2082</v>
      </c>
      <c r="B92" s="7" t="n">
        <v>2381.26</v>
      </c>
      <c r="C92" s="7" t="n">
        <f aca="false">AVERAGE(B43:B92)</f>
        <v>2265.0812</v>
      </c>
      <c r="F92" s="7" t="str">
        <f aca="false">IFERROR(INDEX(02_轉折點45個!B:B,MATCH(A92,02_轉折點45個!A:A,0)),"")</f>
        <v/>
      </c>
      <c r="G92" s="7" t="s">
        <v>1994</v>
      </c>
    </row>
    <row r="93" customFormat="false" ht="15" hidden="false" customHeight="false" outlineLevel="0" collapsed="false">
      <c r="A93" s="7" t="s">
        <v>2083</v>
      </c>
      <c r="B93" s="7" t="n">
        <v>2358.84</v>
      </c>
      <c r="C93" s="7" t="n">
        <f aca="false">AVERAGE(B44:B93)</f>
        <v>2270.8696</v>
      </c>
      <c r="F93" s="7" t="str">
        <f aca="false">IFERROR(INDEX(02_轉折點45個!B:B,MATCH(A93,02_轉折點45個!A:A,0)),"")</f>
        <v/>
      </c>
      <c r="G93" s="7" t="s">
        <v>1994</v>
      </c>
    </row>
    <row r="94" customFormat="false" ht="15" hidden="false" customHeight="false" outlineLevel="0" collapsed="false">
      <c r="A94" s="7" t="s">
        <v>2084</v>
      </c>
      <c r="B94" s="7" t="n">
        <v>2309.38</v>
      </c>
      <c r="C94" s="7" t="n">
        <f aca="false">AVERAGE(B45:B94)</f>
        <v>2275.1628</v>
      </c>
      <c r="F94" s="7" t="str">
        <f aca="false">IFERROR(INDEX(02_轉折點45個!B:B,MATCH(A94,02_轉折點45個!A:A,0)),"")</f>
        <v/>
      </c>
      <c r="G94" s="7" t="s">
        <v>1994</v>
      </c>
    </row>
    <row r="95" customFormat="false" ht="15" hidden="false" customHeight="false" outlineLevel="0" collapsed="false">
      <c r="A95" s="7" t="s">
        <v>2085</v>
      </c>
      <c r="B95" s="7" t="n">
        <v>2340.43</v>
      </c>
      <c r="C95" s="7" t="n">
        <f aca="false">AVERAGE(B46:B95)</f>
        <v>2279.269</v>
      </c>
      <c r="F95" s="7" t="str">
        <f aca="false">IFERROR(INDEX(02_轉折點45個!B:B,MATCH(A95,02_轉折點45個!A:A,0)),"")</f>
        <v/>
      </c>
      <c r="G95" s="7" t="s">
        <v>1994</v>
      </c>
    </row>
    <row r="96" customFormat="false" ht="15" hidden="false" customHeight="false" outlineLevel="0" collapsed="false">
      <c r="A96" s="7" t="s">
        <v>2086</v>
      </c>
      <c r="B96" s="7" t="n">
        <v>2337.25</v>
      </c>
      <c r="C96" s="7" t="n">
        <f aca="false">AVERAGE(B47:B96)</f>
        <v>2282.206</v>
      </c>
      <c r="F96" s="7" t="str">
        <f aca="false">IFERROR(INDEX(02_轉折點45個!B:B,MATCH(A96,02_轉折點45個!A:A,0)),"")</f>
        <v/>
      </c>
      <c r="G96" s="7" t="s">
        <v>1994</v>
      </c>
    </row>
    <row r="97" customFormat="false" ht="15" hidden="false" customHeight="false" outlineLevel="0" collapsed="false">
      <c r="A97" s="7" t="s">
        <v>2087</v>
      </c>
      <c r="B97" s="7" t="n">
        <v>2354.64</v>
      </c>
      <c r="C97" s="7" t="n">
        <f aca="false">AVERAGE(B48:B97)</f>
        <v>2285.5764</v>
      </c>
      <c r="F97" s="7" t="str">
        <f aca="false">IFERROR(INDEX(02_轉折點45個!B:B,MATCH(A97,02_轉折點45個!A:A,0)),"")</f>
        <v/>
      </c>
      <c r="G97" s="7" t="s">
        <v>1994</v>
      </c>
    </row>
    <row r="98" customFormat="false" ht="15" hidden="false" customHeight="false" outlineLevel="0" collapsed="false">
      <c r="A98" s="7" t="s">
        <v>2088</v>
      </c>
      <c r="B98" s="7" t="n">
        <v>2322.51</v>
      </c>
      <c r="C98" s="7" t="n">
        <f aca="false">AVERAGE(B49:B98)</f>
        <v>2288.0654</v>
      </c>
      <c r="F98" s="7" t="str">
        <f aca="false">IFERROR(INDEX(02_轉折點45個!B:B,MATCH(A98,02_轉折點45個!A:A,0)),"")</f>
        <v/>
      </c>
      <c r="G98" s="7" t="s">
        <v>1994</v>
      </c>
    </row>
    <row r="99" customFormat="false" ht="15" hidden="false" customHeight="false" outlineLevel="0" collapsed="false">
      <c r="A99" s="7" t="s">
        <v>2089</v>
      </c>
      <c r="B99" s="7" t="n">
        <v>2302.33</v>
      </c>
      <c r="C99" s="7" t="n">
        <f aca="false">AVERAGE(B50:B99)</f>
        <v>2290.0366</v>
      </c>
      <c r="F99" s="7" t="str">
        <f aca="false">IFERROR(INDEX(02_轉折點45個!B:B,MATCH(A99,02_轉折點45個!A:A,0)),"")</f>
        <v/>
      </c>
      <c r="G99" s="7" t="s">
        <v>1994</v>
      </c>
    </row>
    <row r="100" customFormat="false" ht="15" hidden="false" customHeight="false" outlineLevel="0" collapsed="false">
      <c r="A100" s="7" t="s">
        <v>2090</v>
      </c>
      <c r="B100" s="7" t="n">
        <v>2241.6</v>
      </c>
      <c r="C100" s="7" t="n">
        <f aca="false">AVERAGE(B51:B100)</f>
        <v>2291.3546</v>
      </c>
      <c r="F100" s="7" t="str">
        <f aca="false">IFERROR(INDEX(02_轉折點45個!B:B,MATCH(A100,02_轉折點45個!A:A,0)),"")</f>
        <v/>
      </c>
      <c r="G100" s="7" t="s">
        <v>1994</v>
      </c>
    </row>
    <row r="101" customFormat="false" ht="15" hidden="false" customHeight="false" outlineLevel="0" collapsed="false">
      <c r="A101" s="7" t="s">
        <v>2091</v>
      </c>
      <c r="B101" s="7" t="n">
        <v>2175.12</v>
      </c>
      <c r="C101" s="7" t="n">
        <f aca="false">AVERAGE(B52:B101)</f>
        <v>2290.431</v>
      </c>
      <c r="F101" s="7" t="str">
        <f aca="false">IFERROR(INDEX(02_轉折點45個!B:B,MATCH(A101,02_轉折點45個!A:A,0)),"")</f>
        <v/>
      </c>
      <c r="G101" s="7" t="s">
        <v>1994</v>
      </c>
    </row>
    <row r="102" customFormat="false" ht="15" hidden="false" customHeight="false" outlineLevel="0" collapsed="false">
      <c r="A102" s="7" t="s">
        <v>2092</v>
      </c>
      <c r="B102" s="7" t="n">
        <v>2217.41</v>
      </c>
      <c r="C102" s="7" t="n">
        <f aca="false">AVERAGE(B53:B102)</f>
        <v>2290.2102</v>
      </c>
      <c r="F102" s="7" t="str">
        <f aca="false">IFERROR(INDEX(02_轉折點45個!B:B,MATCH(A102,02_轉折點45個!A:A,0)),"")</f>
        <v/>
      </c>
      <c r="G102" s="7" t="s">
        <v>1994</v>
      </c>
    </row>
    <row r="103" customFormat="false" ht="15" hidden="false" customHeight="false" outlineLevel="0" collapsed="false">
      <c r="A103" s="7" t="s">
        <v>2093</v>
      </c>
      <c r="B103" s="7" t="n">
        <v>2210.07</v>
      </c>
      <c r="C103" s="7" t="n">
        <f aca="false">AVERAGE(B54:B103)</f>
        <v>2290.0308</v>
      </c>
      <c r="F103" s="7" t="str">
        <f aca="false">IFERROR(INDEX(02_轉折點45個!B:B,MATCH(A103,02_轉折點45個!A:A,0)),"")</f>
        <v/>
      </c>
      <c r="G103" s="7" t="s">
        <v>1994</v>
      </c>
    </row>
    <row r="104" customFormat="false" ht="15" hidden="false" customHeight="false" outlineLevel="0" collapsed="false">
      <c r="A104" s="7" t="s">
        <v>2094</v>
      </c>
      <c r="B104" s="7" t="n">
        <v>2257</v>
      </c>
      <c r="C104" s="7" t="n">
        <f aca="false">AVERAGE(B55:B104)</f>
        <v>2290.169</v>
      </c>
      <c r="F104" s="7" t="str">
        <f aca="false">IFERROR(INDEX(02_轉折點45個!B:B,MATCH(A104,02_轉折點45個!A:A,0)),"")</f>
        <v/>
      </c>
      <c r="G104" s="7" t="s">
        <v>1994</v>
      </c>
    </row>
    <row r="105" customFormat="false" ht="15" hidden="false" customHeight="false" outlineLevel="0" collapsed="false">
      <c r="A105" s="7" t="s">
        <v>2095</v>
      </c>
      <c r="B105" s="7" t="n">
        <v>2203.56</v>
      </c>
      <c r="C105" s="7" t="n">
        <f aca="false">AVERAGE(B56:B105)</f>
        <v>2290</v>
      </c>
      <c r="F105" s="7" t="str">
        <f aca="false">IFERROR(INDEX(02_轉折點45個!B:B,MATCH(A105,02_轉折點45個!A:A,0)),"")</f>
        <v/>
      </c>
      <c r="G105" s="7" t="s">
        <v>1994</v>
      </c>
    </row>
    <row r="106" customFormat="false" ht="15" hidden="false" customHeight="false" outlineLevel="0" collapsed="false">
      <c r="A106" s="7" t="s">
        <v>2096</v>
      </c>
      <c r="B106" s="7" t="n">
        <v>2222.18</v>
      </c>
      <c r="C106" s="7" t="n">
        <f aca="false">AVERAGE(B57:B106)</f>
        <v>2290.6662</v>
      </c>
      <c r="F106" s="7" t="str">
        <f aca="false">IFERROR(INDEX(02_轉折點45個!B:B,MATCH(A106,02_轉折點45個!A:A,0)),"")</f>
        <v/>
      </c>
      <c r="G106" s="7" t="s">
        <v>1994</v>
      </c>
    </row>
    <row r="107" customFormat="false" ht="15" hidden="false" customHeight="false" outlineLevel="0" collapsed="false">
      <c r="A107" s="7" t="s">
        <v>2097</v>
      </c>
      <c r="B107" s="7" t="n">
        <v>2195.61</v>
      </c>
      <c r="C107" s="7" t="n">
        <f aca="false">AVERAGE(B58:B107)</f>
        <v>2292.1368</v>
      </c>
      <c r="F107" s="7" t="str">
        <f aca="false">IFERROR(INDEX(02_轉折點45個!B:B,MATCH(A107,02_轉折點45個!A:A,0)),"")</f>
        <v/>
      </c>
      <c r="G107" s="7" t="s">
        <v>1994</v>
      </c>
    </row>
    <row r="108" customFormat="false" ht="15" hidden="false" customHeight="false" outlineLevel="0" collapsed="false">
      <c r="A108" s="7" t="s">
        <v>2098</v>
      </c>
      <c r="B108" s="7" t="n">
        <v>2264.14</v>
      </c>
      <c r="C108" s="7" t="n">
        <f aca="false">AVERAGE(B59:B108)</f>
        <v>2294.2024</v>
      </c>
      <c r="F108" s="7" t="str">
        <f aca="false">IFERROR(INDEX(02_轉折點45個!B:B,MATCH(A108,02_轉折點45個!A:A,0)),"")</f>
        <v/>
      </c>
      <c r="G108" s="7" t="s">
        <v>1994</v>
      </c>
    </row>
    <row r="109" customFormat="false" ht="15" hidden="false" customHeight="false" outlineLevel="0" collapsed="false">
      <c r="A109" s="7" t="s">
        <v>2099</v>
      </c>
      <c r="B109" s="7" t="n">
        <v>2306.05</v>
      </c>
      <c r="C109" s="7" t="n">
        <f aca="false">AVERAGE(B60:B109)</f>
        <v>2295.836</v>
      </c>
      <c r="F109" s="7" t="str">
        <f aca="false">IFERROR(INDEX(02_轉折點45個!B:B,MATCH(A109,02_轉折點45個!A:A,0)),"")</f>
        <v/>
      </c>
      <c r="G109" s="7" t="s">
        <v>1994</v>
      </c>
    </row>
    <row r="110" customFormat="false" ht="15" hidden="false" customHeight="false" outlineLevel="0" collapsed="false">
      <c r="A110" s="7" t="s">
        <v>2100</v>
      </c>
      <c r="B110" s="7" t="n">
        <v>2260.69</v>
      </c>
      <c r="C110" s="7" t="n">
        <f aca="false">AVERAGE(B61:B110)</f>
        <v>2296.848</v>
      </c>
      <c r="F110" s="7" t="str">
        <f aca="false">IFERROR(INDEX(02_轉折點45個!B:B,MATCH(A110,02_轉折點45個!A:A,0)),"")</f>
        <v/>
      </c>
      <c r="G110" s="7" t="s">
        <v>1994</v>
      </c>
    </row>
    <row r="111" customFormat="false" ht="15" hidden="false" customHeight="false" outlineLevel="0" collapsed="false">
      <c r="A111" s="7" t="s">
        <v>2101</v>
      </c>
      <c r="B111" s="7" t="n">
        <v>2301.61</v>
      </c>
      <c r="C111" s="7" t="n">
        <f aca="false">AVERAGE(B62:B111)</f>
        <v>2297.3324</v>
      </c>
      <c r="F111" s="7" t="str">
        <f aca="false">IFERROR(INDEX(02_轉折點45個!B:B,MATCH(A111,02_轉折點45個!A:A,0)),"")</f>
        <v/>
      </c>
      <c r="G111" s="7" t="s">
        <v>1994</v>
      </c>
    </row>
    <row r="112" customFormat="false" ht="15" hidden="false" customHeight="false" outlineLevel="0" collapsed="false">
      <c r="A112" s="7" t="s">
        <v>2102</v>
      </c>
      <c r="B112" s="7" t="n">
        <v>2269.88</v>
      </c>
      <c r="C112" s="7" t="n">
        <f aca="false">AVERAGE(B63:B112)</f>
        <v>2297.4114</v>
      </c>
      <c r="F112" s="7" t="str">
        <f aca="false">IFERROR(INDEX(02_轉折點45個!B:B,MATCH(A112,02_轉折點45個!A:A,0)),"")</f>
        <v/>
      </c>
      <c r="G112" s="7" t="s">
        <v>1994</v>
      </c>
    </row>
    <row r="113" customFormat="false" ht="15" hidden="false" customHeight="false" outlineLevel="0" collapsed="false">
      <c r="A113" s="7" t="s">
        <v>2103</v>
      </c>
      <c r="B113" s="7" t="n">
        <v>2236.32</v>
      </c>
      <c r="C113" s="7" t="n">
        <f aca="false">AVERAGE(B64:B113)</f>
        <v>2297.1644</v>
      </c>
      <c r="F113" s="7" t="str">
        <f aca="false">IFERROR(INDEX(02_轉折點45個!B:B,MATCH(A113,02_轉折點45個!A:A,0)),"")</f>
        <v/>
      </c>
      <c r="G113" s="7" t="s">
        <v>1994</v>
      </c>
    </row>
    <row r="114" customFormat="false" ht="15" hidden="false" customHeight="false" outlineLevel="0" collapsed="false">
      <c r="A114" s="7" t="s">
        <v>2104</v>
      </c>
      <c r="B114" s="7" t="n">
        <v>2191.03</v>
      </c>
      <c r="C114" s="7" t="n">
        <f aca="false">AVERAGE(B65:B114)</f>
        <v>2295.4276</v>
      </c>
      <c r="F114" s="7" t="str">
        <f aca="false">IFERROR(INDEX(02_轉折點45個!B:B,MATCH(A114,02_轉折點45個!A:A,0)),"")</f>
        <v/>
      </c>
      <c r="G114" s="7" t="s">
        <v>1994</v>
      </c>
    </row>
    <row r="115" customFormat="false" ht="15" hidden="false" customHeight="false" outlineLevel="0" collapsed="false">
      <c r="A115" s="7" t="s">
        <v>2105</v>
      </c>
      <c r="B115" s="7" t="n">
        <v>2205.98</v>
      </c>
      <c r="C115" s="7" t="n">
        <f aca="false">AVERAGE(B66:B115)</f>
        <v>2292.7712</v>
      </c>
      <c r="F115" s="7" t="str">
        <f aca="false">IFERROR(INDEX(02_轉折點45個!B:B,MATCH(A115,02_轉折點45個!A:A,0)),"")</f>
        <v/>
      </c>
      <c r="G115" s="7" t="s">
        <v>1994</v>
      </c>
    </row>
    <row r="116" customFormat="false" ht="15" hidden="false" customHeight="false" outlineLevel="0" collapsed="false">
      <c r="A116" s="7" t="s">
        <v>2106</v>
      </c>
      <c r="B116" s="7" t="n">
        <v>2300.22</v>
      </c>
      <c r="C116" s="7" t="n">
        <f aca="false">AVERAGE(B67:B116)</f>
        <v>2291.9428</v>
      </c>
      <c r="F116" s="7" t="str">
        <f aca="false">IFERROR(INDEX(02_轉折點45個!B:B,MATCH(A116,02_轉折點45個!A:A,0)),"")</f>
        <v/>
      </c>
      <c r="G116" s="7" t="s">
        <v>1994</v>
      </c>
    </row>
    <row r="117" customFormat="false" ht="15" hidden="false" customHeight="false" outlineLevel="0" collapsed="false">
      <c r="A117" s="7" t="s">
        <v>2107</v>
      </c>
      <c r="B117" s="7" t="n">
        <v>2324.27</v>
      </c>
      <c r="C117" s="7" t="n">
        <f aca="false">AVERAGE(B68:B117)</f>
        <v>2291.9378</v>
      </c>
      <c r="F117" s="7" t="str">
        <f aca="false">IFERROR(INDEX(02_轉折點45個!B:B,MATCH(A117,02_轉折點45個!A:A,0)),"")</f>
        <v/>
      </c>
      <c r="G117" s="7" t="s">
        <v>1994</v>
      </c>
    </row>
    <row r="118" customFormat="false" ht="15" hidden="false" customHeight="false" outlineLevel="0" collapsed="false">
      <c r="A118" s="7" t="s">
        <v>2108</v>
      </c>
      <c r="B118" s="7" t="n">
        <v>2341.89</v>
      </c>
      <c r="C118" s="7" t="n">
        <f aca="false">AVERAGE(B69:B118)</f>
        <v>2291.756</v>
      </c>
      <c r="F118" s="7" t="str">
        <f aca="false">IFERROR(INDEX(02_轉折點45個!B:B,MATCH(A118,02_轉折點45個!A:A,0)),"")</f>
        <v/>
      </c>
      <c r="G118" s="7" t="s">
        <v>1994</v>
      </c>
    </row>
    <row r="119" customFormat="false" ht="15" hidden="false" customHeight="false" outlineLevel="0" collapsed="false">
      <c r="A119" s="7" t="s">
        <v>2109</v>
      </c>
      <c r="B119" s="7" t="n">
        <v>2402.95</v>
      </c>
      <c r="C119" s="7" t="n">
        <f aca="false">AVERAGE(B70:B119)</f>
        <v>2292.4362</v>
      </c>
      <c r="F119" s="7" t="str">
        <f aca="false">IFERROR(INDEX(02_轉折點45個!B:B,MATCH(A119,02_轉折點45個!A:A,0)),"")</f>
        <v/>
      </c>
      <c r="G119" s="7" t="s">
        <v>1994</v>
      </c>
    </row>
    <row r="120" customFormat="false" ht="15" hidden="false" customHeight="false" outlineLevel="0" collapsed="false">
      <c r="A120" s="7" t="s">
        <v>2110</v>
      </c>
      <c r="B120" s="7" t="n">
        <v>2357.25</v>
      </c>
      <c r="C120" s="7" t="n">
        <f aca="false">AVERAGE(B71:B120)</f>
        <v>2292.0972</v>
      </c>
      <c r="F120" s="7" t="str">
        <f aca="false">IFERROR(INDEX(02_轉折點45個!B:B,MATCH(A120,02_轉折點45個!A:A,0)),"")</f>
        <v/>
      </c>
      <c r="G120" s="7" t="s">
        <v>1994</v>
      </c>
    </row>
    <row r="121" customFormat="false" ht="15" hidden="false" customHeight="false" outlineLevel="0" collapsed="false">
      <c r="A121" s="7" t="s">
        <v>2111</v>
      </c>
      <c r="B121" s="7" t="n">
        <v>2373.57</v>
      </c>
      <c r="C121" s="7" t="n">
        <f aca="false">AVERAGE(B72:B121)</f>
        <v>2292.3644</v>
      </c>
      <c r="F121" s="7" t="str">
        <f aca="false">IFERROR(INDEX(02_轉折點45個!B:B,MATCH(A121,02_轉折點45個!A:A,0)),"")</f>
        <v/>
      </c>
      <c r="G121" s="7" t="s">
        <v>1994</v>
      </c>
    </row>
    <row r="122" customFormat="false" ht="15" hidden="false" customHeight="false" outlineLevel="0" collapsed="false">
      <c r="A122" s="7" t="s">
        <v>2112</v>
      </c>
      <c r="B122" s="7" t="n">
        <v>2333.26</v>
      </c>
      <c r="C122" s="7" t="n">
        <f aca="false">AVERAGE(B73:B122)</f>
        <v>2293.218</v>
      </c>
      <c r="F122" s="7" t="str">
        <f aca="false">IFERROR(INDEX(02_轉折點45個!B:B,MATCH(A122,02_轉折點45個!A:A,0)),"")</f>
        <v/>
      </c>
      <c r="G122" s="7" t="s">
        <v>1994</v>
      </c>
    </row>
    <row r="123" customFormat="false" ht="15" hidden="false" customHeight="false" outlineLevel="0" collapsed="false">
      <c r="A123" s="7" t="s">
        <v>2113</v>
      </c>
      <c r="B123" s="7" t="n">
        <v>2332.03</v>
      </c>
      <c r="C123" s="7" t="n">
        <f aca="false">AVERAGE(B74:B123)</f>
        <v>2293.7822</v>
      </c>
      <c r="F123" s="7" t="str">
        <f aca="false">IFERROR(INDEX(02_轉折點45個!B:B,MATCH(A123,02_轉折點45個!A:A,0)),"")</f>
        <v/>
      </c>
      <c r="G123" s="7" t="s">
        <v>1994</v>
      </c>
    </row>
    <row r="124" customFormat="false" ht="15" hidden="false" customHeight="false" outlineLevel="0" collapsed="false">
      <c r="A124" s="7" t="s">
        <v>2114</v>
      </c>
      <c r="B124" s="7" t="n">
        <v>2377.52</v>
      </c>
      <c r="C124" s="7" t="n">
        <f aca="false">AVERAGE(B75:B124)</f>
        <v>2295.9456</v>
      </c>
      <c r="F124" s="7" t="str">
        <f aca="false">IFERROR(INDEX(02_轉折點45個!B:B,MATCH(A124,02_轉折點45個!A:A,0)),"")</f>
        <v/>
      </c>
      <c r="G124" s="7" t="s">
        <v>1994</v>
      </c>
    </row>
    <row r="125" customFormat="false" ht="15" hidden="false" customHeight="false" outlineLevel="0" collapsed="false">
      <c r="A125" s="7" t="s">
        <v>2115</v>
      </c>
      <c r="B125" s="7" t="n">
        <v>2413.76</v>
      </c>
      <c r="C125" s="7" t="n">
        <f aca="false">AVERAGE(B76:B125)</f>
        <v>2301.363</v>
      </c>
      <c r="F125" s="7" t="str">
        <f aca="false">IFERROR(INDEX(02_轉折點45個!B:B,MATCH(A125,02_轉折點45個!A:A,0)),"")</f>
        <v/>
      </c>
      <c r="G125" s="7" t="s">
        <v>1994</v>
      </c>
    </row>
    <row r="126" customFormat="false" ht="15" hidden="false" customHeight="false" outlineLevel="0" collapsed="false">
      <c r="A126" s="7" t="s">
        <v>374</v>
      </c>
      <c r="B126" s="7" t="n">
        <v>2453.97</v>
      </c>
      <c r="C126" s="7" t="n">
        <f aca="false">AVERAGE(B77:B126)</f>
        <v>2306.4148</v>
      </c>
      <c r="F126" s="7" t="str">
        <f aca="false">IFERROR(INDEX(02_轉折點45個!B:B,MATCH(A126,02_轉折點45個!A:A,0)),"")</f>
        <v/>
      </c>
      <c r="G126" s="7" t="s">
        <v>1994</v>
      </c>
    </row>
    <row r="127" customFormat="false" ht="15" hidden="false" customHeight="false" outlineLevel="0" collapsed="false">
      <c r="A127" s="7" t="s">
        <v>2116</v>
      </c>
      <c r="B127" s="7" t="n">
        <v>2472.29</v>
      </c>
      <c r="C127" s="7" t="n">
        <f aca="false">AVERAGE(B78:B127)</f>
        <v>2310.3814</v>
      </c>
      <c r="F127" s="7" t="str">
        <f aca="false">IFERROR(INDEX(02_轉折點45個!B:B,MATCH(A127,02_轉折點45個!A:A,0)),"")</f>
        <v/>
      </c>
      <c r="G127" s="7" t="s">
        <v>1994</v>
      </c>
    </row>
    <row r="128" customFormat="false" ht="15" hidden="false" customHeight="false" outlineLevel="0" collapsed="false">
      <c r="A128" s="7" t="s">
        <v>2117</v>
      </c>
      <c r="B128" s="7" t="n">
        <v>2504.12</v>
      </c>
      <c r="C128" s="7" t="n">
        <f aca="false">AVERAGE(B79:B128)</f>
        <v>2313.6594</v>
      </c>
      <c r="F128" s="7" t="str">
        <f aca="false">IFERROR(INDEX(02_轉折點45個!B:B,MATCH(A128,02_轉折點45個!A:A,0)),"")</f>
        <v/>
      </c>
      <c r="G128" s="7" t="s">
        <v>1994</v>
      </c>
    </row>
    <row r="129" customFormat="false" ht="15" hidden="false" customHeight="false" outlineLevel="0" collapsed="false">
      <c r="A129" s="7" t="s">
        <v>2118</v>
      </c>
      <c r="B129" s="7" t="n">
        <v>2500.25</v>
      </c>
      <c r="C129" s="7" t="n">
        <f aca="false">AVERAGE(B80:B129)</f>
        <v>2316.3288</v>
      </c>
      <c r="F129" s="7" t="str">
        <f aca="false">IFERROR(INDEX(02_轉折點45個!B:B,MATCH(A129,02_轉折點45個!A:A,0)),"")</f>
        <v/>
      </c>
      <c r="G129" s="7" t="s">
        <v>1994</v>
      </c>
    </row>
    <row r="130" customFormat="false" ht="15" hidden="false" customHeight="false" outlineLevel="0" collapsed="false">
      <c r="A130" s="7" t="s">
        <v>2119</v>
      </c>
      <c r="B130" s="7" t="n">
        <v>2505.97</v>
      </c>
      <c r="C130" s="7" t="n">
        <f aca="false">AVERAGE(B81:B130)</f>
        <v>2317.9914</v>
      </c>
      <c r="F130" s="7" t="str">
        <f aca="false">IFERROR(INDEX(02_轉折點45個!B:B,MATCH(A130,02_轉折點45個!A:A,0)),"")</f>
        <v/>
      </c>
      <c r="G130" s="7" t="s">
        <v>1994</v>
      </c>
    </row>
    <row r="131" customFormat="false" ht="15" hidden="false" customHeight="false" outlineLevel="0" collapsed="false">
      <c r="A131" s="7" t="s">
        <v>2120</v>
      </c>
      <c r="B131" s="7" t="n">
        <v>2532.3</v>
      </c>
      <c r="C131" s="7" t="n">
        <f aca="false">AVERAGE(B82:B131)</f>
        <v>2321.0876</v>
      </c>
      <c r="F131" s="7" t="str">
        <f aca="false">IFERROR(INDEX(02_轉折點45個!B:B,MATCH(A131,02_轉折點45個!A:A,0)),"")</f>
        <v/>
      </c>
      <c r="G131" s="7" t="s">
        <v>1994</v>
      </c>
    </row>
    <row r="132" customFormat="false" ht="15" hidden="false" customHeight="false" outlineLevel="0" collapsed="false">
      <c r="A132" s="7" t="s">
        <v>2121</v>
      </c>
      <c r="B132" s="7" t="n">
        <v>2551.67</v>
      </c>
      <c r="C132" s="7" t="n">
        <f aca="false">AVERAGE(B83:B132)</f>
        <v>2325.522</v>
      </c>
      <c r="F132" s="7" t="str">
        <f aca="false">IFERROR(INDEX(02_轉折點45個!B:B,MATCH(A132,02_轉折點45個!A:A,0)),"")</f>
        <v/>
      </c>
      <c r="G132" s="7" t="s">
        <v>1994</v>
      </c>
    </row>
    <row r="133" customFormat="false" ht="15" hidden="false" customHeight="false" outlineLevel="0" collapsed="false">
      <c r="A133" s="7" t="s">
        <v>2122</v>
      </c>
      <c r="B133" s="7" t="n">
        <v>2549.27</v>
      </c>
      <c r="C133" s="7" t="n">
        <f aca="false">AVERAGE(B84:B133)</f>
        <v>2330.3092</v>
      </c>
      <c r="F133" s="7" t="str">
        <f aca="false">IFERROR(INDEX(02_轉折點45個!B:B,MATCH(A133,02_轉折點45個!A:A,0)),"")</f>
        <v/>
      </c>
      <c r="G133" s="7" t="s">
        <v>1994</v>
      </c>
    </row>
    <row r="134" customFormat="false" ht="15" hidden="false" customHeight="false" outlineLevel="0" collapsed="false">
      <c r="A134" s="7" t="s">
        <v>2123</v>
      </c>
      <c r="B134" s="7" t="n">
        <v>2538.11</v>
      </c>
      <c r="C134" s="7" t="n">
        <f aca="false">AVERAGE(B85:B134)</f>
        <v>2334.6096</v>
      </c>
      <c r="F134" s="7" t="str">
        <f aca="false">IFERROR(INDEX(02_轉折點45個!B:B,MATCH(A134,02_轉折點45個!A:A,0)),"")</f>
        <v/>
      </c>
      <c r="G134" s="7" t="s">
        <v>1994</v>
      </c>
    </row>
    <row r="135" customFormat="false" ht="15" hidden="false" customHeight="false" outlineLevel="0" collapsed="false">
      <c r="A135" s="7" t="s">
        <v>2124</v>
      </c>
      <c r="B135" s="7" t="n">
        <v>2574.57</v>
      </c>
      <c r="C135" s="7" t="n">
        <f aca="false">AVERAGE(B86:B135)</f>
        <v>2339.7722</v>
      </c>
      <c r="F135" s="7" t="str">
        <f aca="false">IFERROR(INDEX(02_轉折點45個!B:B,MATCH(A135,02_轉折點45個!A:A,0)),"")</f>
        <v/>
      </c>
      <c r="G135" s="7" t="s">
        <v>1994</v>
      </c>
    </row>
    <row r="136" customFormat="false" ht="15" hidden="false" customHeight="false" outlineLevel="0" collapsed="false">
      <c r="A136" s="7" t="s">
        <v>2125</v>
      </c>
      <c r="B136" s="7" t="n">
        <v>2593.97</v>
      </c>
      <c r="C136" s="7" t="n">
        <f aca="false">AVERAGE(B87:B136)</f>
        <v>2346.2448</v>
      </c>
      <c r="F136" s="7" t="str">
        <f aca="false">IFERROR(INDEX(02_轉折點45個!B:B,MATCH(A136,02_轉折點45個!A:A,0)),"")</f>
        <v/>
      </c>
      <c r="G136" s="7" t="s">
        <v>1994</v>
      </c>
    </row>
    <row r="137" customFormat="false" ht="15" hidden="false" customHeight="false" outlineLevel="0" collapsed="false">
      <c r="A137" s="7" t="s">
        <v>2126</v>
      </c>
      <c r="B137" s="7" t="n">
        <v>2616.91</v>
      </c>
      <c r="C137" s="7" t="n">
        <f aca="false">AVERAGE(B88:B137)</f>
        <v>2352.275</v>
      </c>
      <c r="F137" s="7" t="str">
        <f aca="false">IFERROR(INDEX(02_轉折點45個!B:B,MATCH(A137,02_轉折點45個!A:A,0)),"")</f>
        <v/>
      </c>
      <c r="G137" s="7" t="s">
        <v>1994</v>
      </c>
    </row>
    <row r="138" customFormat="false" ht="15" hidden="false" customHeight="false" outlineLevel="0" collapsed="false">
      <c r="A138" s="7" t="s">
        <v>2127</v>
      </c>
      <c r="B138" s="7" t="n">
        <v>2585.68</v>
      </c>
      <c r="C138" s="7" t="n">
        <f aca="false">AVERAGE(B89:B138)</f>
        <v>2358.8164</v>
      </c>
      <c r="F138" s="7" t="str">
        <f aca="false">IFERROR(INDEX(02_轉折點45個!B:B,MATCH(A138,02_轉折點45個!A:A,0)),"")</f>
        <v/>
      </c>
      <c r="G138" s="7" t="s">
        <v>1994</v>
      </c>
    </row>
    <row r="139" customFormat="false" ht="15" hidden="false" customHeight="false" outlineLevel="0" collapsed="false">
      <c r="A139" s="7" t="s">
        <v>2128</v>
      </c>
      <c r="B139" s="7" t="n">
        <v>2496.04</v>
      </c>
      <c r="C139" s="7" t="n">
        <f aca="false">AVERAGE(B90:B139)</f>
        <v>2362.9924</v>
      </c>
      <c r="F139" s="7" t="str">
        <f aca="false">IFERROR(INDEX(02_轉折點45個!B:B,MATCH(A139,02_轉折點45個!A:A,0)),"")</f>
        <v/>
      </c>
      <c r="G139" s="7" t="s">
        <v>1994</v>
      </c>
    </row>
    <row r="140" customFormat="false" ht="15" hidden="false" customHeight="false" outlineLevel="0" collapsed="false">
      <c r="A140" s="7" t="s">
        <v>2129</v>
      </c>
      <c r="B140" s="7" t="n">
        <v>2523.08</v>
      </c>
      <c r="C140" s="7" t="n">
        <f aca="false">AVERAGE(B91:B140)</f>
        <v>2367.2932</v>
      </c>
      <c r="F140" s="7" t="str">
        <f aca="false">IFERROR(INDEX(02_轉折點45個!B:B,MATCH(A140,02_轉折點45個!A:A,0)),"")</f>
        <v/>
      </c>
      <c r="G140" s="7" t="s">
        <v>1994</v>
      </c>
    </row>
    <row r="141" customFormat="false" ht="15" hidden="false" customHeight="false" outlineLevel="0" collapsed="false">
      <c r="A141" s="7" t="s">
        <v>2130</v>
      </c>
      <c r="B141" s="7" t="n">
        <v>2452.43</v>
      </c>
      <c r="C141" s="7" t="n">
        <f aca="false">AVERAGE(B92:B141)</f>
        <v>2369.4448</v>
      </c>
      <c r="F141" s="7" t="str">
        <f aca="false">IFERROR(INDEX(02_轉折點45個!B:B,MATCH(A141,02_轉折點45個!A:A,0)),"")</f>
        <v/>
      </c>
      <c r="G141" s="7" t="s">
        <v>1994</v>
      </c>
    </row>
    <row r="142" customFormat="false" ht="15" hidden="false" customHeight="false" outlineLevel="0" collapsed="false">
      <c r="A142" s="7" t="s">
        <v>2131</v>
      </c>
      <c r="B142" s="7" t="n">
        <v>2459.7</v>
      </c>
      <c r="C142" s="7" t="n">
        <f aca="false">AVERAGE(B93:B142)</f>
        <v>2371.0136</v>
      </c>
      <c r="F142" s="7" t="str">
        <f aca="false">IFERROR(INDEX(02_轉折點45個!B:B,MATCH(A142,02_轉折點45個!A:A,0)),"")</f>
        <v/>
      </c>
      <c r="G142" s="7" t="s">
        <v>1994</v>
      </c>
    </row>
    <row r="143" customFormat="false" ht="15" hidden="false" customHeight="false" outlineLevel="0" collapsed="false">
      <c r="A143" s="7" t="s">
        <v>2132</v>
      </c>
      <c r="B143" s="7" t="n">
        <v>2392.82</v>
      </c>
      <c r="C143" s="7" t="n">
        <f aca="false">AVERAGE(B94:B143)</f>
        <v>2371.6932</v>
      </c>
      <c r="F143" s="7" t="str">
        <f aca="false">IFERROR(INDEX(02_轉折點45個!B:B,MATCH(A143,02_轉折點45個!A:A,0)),"")</f>
        <v/>
      </c>
      <c r="G143" s="7" t="s">
        <v>1994</v>
      </c>
    </row>
    <row r="144" customFormat="false" ht="15" hidden="false" customHeight="false" outlineLevel="0" collapsed="false">
      <c r="A144" s="7" t="s">
        <v>2133</v>
      </c>
      <c r="B144" s="7" t="n">
        <v>2447.76</v>
      </c>
      <c r="C144" s="7" t="n">
        <f aca="false">AVERAGE(B95:B144)</f>
        <v>2374.4608</v>
      </c>
      <c r="F144" s="7" t="str">
        <f aca="false">IFERROR(INDEX(02_轉折點45個!B:B,MATCH(A144,02_轉折點45個!A:A,0)),"")</f>
        <v/>
      </c>
      <c r="G144" s="7" t="s">
        <v>1994</v>
      </c>
    </row>
    <row r="145" customFormat="false" ht="15" hidden="false" customHeight="false" outlineLevel="0" collapsed="false">
      <c r="A145" s="7" t="s">
        <v>2134</v>
      </c>
      <c r="B145" s="7" t="n">
        <v>2471.98</v>
      </c>
      <c r="C145" s="7" t="n">
        <f aca="false">AVERAGE(B96:B145)</f>
        <v>2377.0918</v>
      </c>
      <c r="F145" s="7" t="str">
        <f aca="false">IFERROR(INDEX(02_轉折點45個!B:B,MATCH(A145,02_轉折點45個!A:A,0)),"")</f>
        <v/>
      </c>
      <c r="G145" s="7" t="s">
        <v>1994</v>
      </c>
    </row>
    <row r="146" customFormat="false" ht="15" hidden="false" customHeight="false" outlineLevel="0" collapsed="false">
      <c r="A146" s="7" t="s">
        <v>2135</v>
      </c>
      <c r="B146" s="7" t="n">
        <v>2411.84</v>
      </c>
      <c r="C146" s="7" t="n">
        <f aca="false">AVERAGE(B97:B146)</f>
        <v>2378.5836</v>
      </c>
      <c r="F146" s="7" t="str">
        <f aca="false">IFERROR(INDEX(02_轉折點45個!B:B,MATCH(A146,02_轉折點45個!A:A,0)),"")</f>
        <v/>
      </c>
      <c r="G146" s="7" t="s">
        <v>1994</v>
      </c>
    </row>
    <row r="147" customFormat="false" ht="15" hidden="false" customHeight="false" outlineLevel="0" collapsed="false">
      <c r="A147" s="7" t="s">
        <v>2136</v>
      </c>
      <c r="B147" s="7" t="n">
        <v>2410.45</v>
      </c>
      <c r="C147" s="7" t="n">
        <f aca="false">AVERAGE(B98:B147)</f>
        <v>2379.6998</v>
      </c>
      <c r="F147" s="7" t="str">
        <f aca="false">IFERROR(INDEX(02_轉折點45個!B:B,MATCH(A147,02_轉折點45個!A:A,0)),"")</f>
        <v/>
      </c>
      <c r="G147" s="7" t="s">
        <v>1994</v>
      </c>
    </row>
    <row r="148" customFormat="false" ht="15" hidden="false" customHeight="false" outlineLevel="0" collapsed="false">
      <c r="A148" s="7" t="s">
        <v>2137</v>
      </c>
      <c r="B148" s="7" t="n">
        <v>2396.88</v>
      </c>
      <c r="C148" s="7" t="n">
        <f aca="false">AVERAGE(B99:B148)</f>
        <v>2381.1872</v>
      </c>
      <c r="F148" s="7" t="str">
        <f aca="false">IFERROR(INDEX(02_轉折點45個!B:B,MATCH(A148,02_轉折點45個!A:A,0)),"")</f>
        <v/>
      </c>
      <c r="G148" s="7" t="s">
        <v>1994</v>
      </c>
    </row>
    <row r="149" customFormat="false" ht="15" hidden="false" customHeight="false" outlineLevel="0" collapsed="false">
      <c r="A149" s="7" t="s">
        <v>2138</v>
      </c>
      <c r="B149" s="7" t="n">
        <v>2364.32</v>
      </c>
      <c r="C149" s="7" t="n">
        <f aca="false">AVERAGE(B100:B149)</f>
        <v>2382.427</v>
      </c>
      <c r="F149" s="7" t="str">
        <f aca="false">IFERROR(INDEX(02_轉折點45個!B:B,MATCH(A149,02_轉折點45個!A:A,0)),"")</f>
        <v/>
      </c>
      <c r="G149" s="7" t="s">
        <v>1994</v>
      </c>
    </row>
    <row r="150" customFormat="false" ht="15" hidden="false" customHeight="false" outlineLevel="0" collapsed="false">
      <c r="A150" s="7" t="s">
        <v>2139</v>
      </c>
      <c r="B150" s="7" t="n">
        <v>2320.47</v>
      </c>
      <c r="C150" s="7" t="n">
        <f aca="false">AVERAGE(B101:B150)</f>
        <v>2384.0044</v>
      </c>
      <c r="F150" s="7" t="str">
        <f aca="false">IFERROR(INDEX(02_轉折點45個!B:B,MATCH(A150,02_轉折點45個!A:A,0)),"")</f>
        <v/>
      </c>
      <c r="G150" s="7" t="s">
        <v>1994</v>
      </c>
    </row>
    <row r="151" customFormat="false" ht="15" hidden="false" customHeight="false" outlineLevel="0" collapsed="false">
      <c r="A151" s="7" t="s">
        <v>2140</v>
      </c>
      <c r="B151" s="7" t="n">
        <v>2344.07</v>
      </c>
      <c r="C151" s="7" t="n">
        <f aca="false">AVERAGE(B102:B151)</f>
        <v>2387.3834</v>
      </c>
      <c r="F151" s="7" t="str">
        <f aca="false">IFERROR(INDEX(02_轉折點45個!B:B,MATCH(A151,02_轉折點45個!A:A,0)),"")</f>
        <v/>
      </c>
      <c r="G151" s="7" t="s">
        <v>1994</v>
      </c>
    </row>
    <row r="152" customFormat="false" ht="15" hidden="false" customHeight="false" outlineLevel="0" collapsed="false">
      <c r="A152" s="7" t="s">
        <v>2141</v>
      </c>
      <c r="B152" s="7" t="n">
        <v>2327.76</v>
      </c>
      <c r="C152" s="7" t="n">
        <f aca="false">AVERAGE(B103:B152)</f>
        <v>2389.5904</v>
      </c>
      <c r="F152" s="7" t="str">
        <f aca="false">IFERROR(INDEX(02_轉折點45個!B:B,MATCH(A152,02_轉折點45個!A:A,0)),"")</f>
        <v/>
      </c>
      <c r="G152" s="7" t="s">
        <v>1994</v>
      </c>
    </row>
    <row r="153" customFormat="false" ht="15" hidden="false" customHeight="false" outlineLevel="0" collapsed="false">
      <c r="A153" s="7" t="s">
        <v>2142</v>
      </c>
      <c r="B153" s="7" t="n">
        <v>2301.27</v>
      </c>
      <c r="C153" s="7" t="n">
        <f aca="false">AVERAGE(B104:B153)</f>
        <v>2391.4144</v>
      </c>
      <c r="F153" s="7" t="str">
        <f aca="false">IFERROR(INDEX(02_轉折點45個!B:B,MATCH(A153,02_轉折點45個!A:A,0)),"")</f>
        <v/>
      </c>
      <c r="G153" s="7" t="s">
        <v>1994</v>
      </c>
    </row>
    <row r="154" customFormat="false" ht="15" hidden="false" customHeight="false" outlineLevel="0" collapsed="false">
      <c r="A154" s="7" t="s">
        <v>2143</v>
      </c>
      <c r="B154" s="7" t="n">
        <v>2274.9</v>
      </c>
      <c r="C154" s="7" t="n">
        <f aca="false">AVERAGE(B105:B154)</f>
        <v>2391.7724</v>
      </c>
      <c r="F154" s="7" t="str">
        <f aca="false">IFERROR(INDEX(02_轉折點45個!B:B,MATCH(A154,02_轉折點45個!A:A,0)),"")</f>
        <v/>
      </c>
      <c r="G154" s="7" t="s">
        <v>1994</v>
      </c>
    </row>
    <row r="155" customFormat="false" ht="15" hidden="false" customHeight="false" outlineLevel="0" collapsed="false">
      <c r="A155" s="7" t="s">
        <v>2144</v>
      </c>
      <c r="B155" s="7" t="n">
        <v>2343.3</v>
      </c>
      <c r="C155" s="7" t="n">
        <f aca="false">AVERAGE(B106:B155)</f>
        <v>2394.5672</v>
      </c>
      <c r="F155" s="7" t="str">
        <f aca="false">IFERROR(INDEX(02_轉折點45個!B:B,MATCH(A155,02_轉折點45個!A:A,0)),"")</f>
        <v/>
      </c>
      <c r="G155" s="7" t="s">
        <v>1994</v>
      </c>
    </row>
    <row r="156" customFormat="false" ht="15" hidden="false" customHeight="false" outlineLevel="0" collapsed="false">
      <c r="A156" s="7" t="s">
        <v>2145</v>
      </c>
      <c r="B156" s="7" t="n">
        <v>2329.14</v>
      </c>
      <c r="C156" s="7" t="n">
        <f aca="false">AVERAGE(B107:B156)</f>
        <v>2396.7064</v>
      </c>
      <c r="F156" s="7" t="str">
        <f aca="false">IFERROR(INDEX(02_轉折點45個!B:B,MATCH(A156,02_轉折點45個!A:A,0)),"")</f>
        <v/>
      </c>
      <c r="G156" s="7" t="s">
        <v>1994</v>
      </c>
    </row>
    <row r="157" customFormat="false" ht="15" hidden="false" customHeight="false" outlineLevel="0" collapsed="false">
      <c r="A157" s="7" t="s">
        <v>2146</v>
      </c>
      <c r="B157" s="7" t="n">
        <v>2409.83</v>
      </c>
      <c r="C157" s="7" t="n">
        <f aca="false">AVERAGE(B108:B157)</f>
        <v>2400.9908</v>
      </c>
      <c r="F157" s="7" t="str">
        <f aca="false">IFERROR(INDEX(02_轉折點45個!B:B,MATCH(A157,02_轉折點45個!A:A,0)),"")</f>
        <v/>
      </c>
      <c r="G157" s="7" t="s">
        <v>1994</v>
      </c>
    </row>
    <row r="158" customFormat="false" ht="15" hidden="false" customHeight="false" outlineLevel="0" collapsed="false">
      <c r="A158" s="7" t="s">
        <v>2147</v>
      </c>
      <c r="B158" s="7" t="n">
        <v>2416.66</v>
      </c>
      <c r="C158" s="7" t="n">
        <f aca="false">AVERAGE(B109:B158)</f>
        <v>2404.0412</v>
      </c>
      <c r="F158" s="7" t="str">
        <f aca="false">IFERROR(INDEX(02_轉折點45個!B:B,MATCH(A158,02_轉折點45個!A:A,0)),"")</f>
        <v/>
      </c>
      <c r="G158" s="7" t="s">
        <v>1994</v>
      </c>
    </row>
    <row r="159" customFormat="false" ht="15" hidden="false" customHeight="false" outlineLevel="0" collapsed="false">
      <c r="A159" s="7" t="s">
        <v>2148</v>
      </c>
      <c r="B159" s="7" t="n">
        <v>2440.36</v>
      </c>
      <c r="C159" s="7" t="n">
        <f aca="false">AVERAGE(B110:B159)</f>
        <v>2406.7274</v>
      </c>
      <c r="F159" s="7" t="str">
        <f aca="false">IFERROR(INDEX(02_轉折點45個!B:B,MATCH(A159,02_轉折點45個!A:A,0)),"")</f>
        <v/>
      </c>
      <c r="G159" s="7" t="s">
        <v>1994</v>
      </c>
    </row>
    <row r="160" customFormat="false" ht="15" hidden="false" customHeight="false" outlineLevel="0" collapsed="false">
      <c r="A160" s="7" t="s">
        <v>2149</v>
      </c>
      <c r="B160" s="7" t="n">
        <v>2428.03</v>
      </c>
      <c r="C160" s="7" t="n">
        <f aca="false">AVERAGE(B111:B160)</f>
        <v>2410.0742</v>
      </c>
      <c r="F160" s="7" t="str">
        <f aca="false">IFERROR(INDEX(02_轉折點45個!B:B,MATCH(A160,02_轉折點45個!A:A,0)),"")</f>
        <v/>
      </c>
      <c r="G160" s="7" t="s">
        <v>1994</v>
      </c>
    </row>
    <row r="161" customFormat="false" ht="15" hidden="false" customHeight="false" outlineLevel="0" collapsed="false">
      <c r="A161" s="7" t="s">
        <v>2150</v>
      </c>
      <c r="B161" s="7" t="n">
        <v>2394.87</v>
      </c>
      <c r="C161" s="7" t="n">
        <f aca="false">AVERAGE(B112:B161)</f>
        <v>2411.9394</v>
      </c>
      <c r="F161" s="7" t="str">
        <f aca="false">IFERROR(INDEX(02_轉折點45個!B:B,MATCH(A161,02_轉折點45個!A:A,0)),"")</f>
        <v/>
      </c>
      <c r="G161" s="7" t="s">
        <v>1994</v>
      </c>
    </row>
    <row r="162" customFormat="false" ht="15" hidden="false" customHeight="false" outlineLevel="0" collapsed="false">
      <c r="A162" s="7" t="s">
        <v>2151</v>
      </c>
      <c r="B162" s="7" t="n">
        <v>2419.44</v>
      </c>
      <c r="C162" s="7" t="n">
        <f aca="false">AVERAGE(B113:B162)</f>
        <v>2414.9306</v>
      </c>
      <c r="F162" s="7" t="str">
        <f aca="false">IFERROR(INDEX(02_轉折點45個!B:B,MATCH(A162,02_轉折點45個!A:A,0)),"")</f>
        <v/>
      </c>
      <c r="G162" s="7" t="s">
        <v>1994</v>
      </c>
    </row>
    <row r="163" customFormat="false" ht="15" hidden="false" customHeight="false" outlineLevel="0" collapsed="false">
      <c r="A163" s="7" t="s">
        <v>2152</v>
      </c>
      <c r="B163" s="7" t="n">
        <v>2484.52</v>
      </c>
      <c r="C163" s="7" t="n">
        <f aca="false">AVERAGE(B114:B163)</f>
        <v>2419.8946</v>
      </c>
      <c r="F163" s="7" t="str">
        <f aca="false">IFERROR(INDEX(02_轉折點45個!B:B,MATCH(A163,02_轉折點45個!A:A,0)),"")</f>
        <v/>
      </c>
      <c r="G163" s="7" t="s">
        <v>1994</v>
      </c>
    </row>
    <row r="164" customFormat="false" ht="15" hidden="false" customHeight="false" outlineLevel="0" collapsed="false">
      <c r="A164" s="7" t="s">
        <v>2153</v>
      </c>
      <c r="B164" s="7" t="n">
        <v>2514.49</v>
      </c>
      <c r="C164" s="7" t="n">
        <f aca="false">AVERAGE(B115:B164)</f>
        <v>2426.3638</v>
      </c>
      <c r="F164" s="7" t="str">
        <f aca="false">IFERROR(INDEX(02_轉折點45個!B:B,MATCH(A164,02_轉折點45個!A:A,0)),"")</f>
        <v/>
      </c>
      <c r="G164" s="7" t="s">
        <v>1994</v>
      </c>
    </row>
    <row r="165" customFormat="false" ht="15" hidden="false" customHeight="false" outlineLevel="0" collapsed="false">
      <c r="A165" s="7" t="s">
        <v>2154</v>
      </c>
      <c r="B165" s="7" t="n">
        <v>2563.12</v>
      </c>
      <c r="C165" s="7" t="n">
        <f aca="false">AVERAGE(B116:B165)</f>
        <v>2433.5066</v>
      </c>
      <c r="F165" s="7" t="str">
        <f aca="false">IFERROR(INDEX(02_轉折點45個!B:B,MATCH(A165,02_轉折點45個!A:A,0)),"")</f>
        <v/>
      </c>
      <c r="G165" s="7" t="s">
        <v>1994</v>
      </c>
    </row>
    <row r="166" customFormat="false" ht="15" hidden="false" customHeight="false" outlineLevel="0" collapsed="false">
      <c r="A166" s="7" t="s">
        <v>2155</v>
      </c>
      <c r="B166" s="7" t="n">
        <v>2534.82</v>
      </c>
      <c r="C166" s="7" t="n">
        <f aca="false">AVERAGE(B117:B166)</f>
        <v>2438.1986</v>
      </c>
      <c r="F166" s="7" t="str">
        <f aca="false">IFERROR(INDEX(02_轉折點45個!B:B,MATCH(A166,02_轉折點45個!A:A,0)),"")</f>
        <v/>
      </c>
      <c r="G166" s="7" t="s">
        <v>1994</v>
      </c>
    </row>
    <row r="167" customFormat="false" ht="15" hidden="false" customHeight="false" outlineLevel="0" collapsed="false">
      <c r="A167" s="7" t="s">
        <v>2156</v>
      </c>
      <c r="B167" s="7" t="n">
        <v>2520.46</v>
      </c>
      <c r="C167" s="7" t="n">
        <f aca="false">AVERAGE(B118:B167)</f>
        <v>2442.1224</v>
      </c>
      <c r="F167" s="7" t="str">
        <f aca="false">IFERROR(INDEX(02_轉折點45個!B:B,MATCH(A167,02_轉折點45個!A:A,0)),"")</f>
        <v/>
      </c>
      <c r="G167" s="7" t="s">
        <v>1994</v>
      </c>
    </row>
    <row r="168" customFormat="false" ht="15" hidden="false" customHeight="false" outlineLevel="0" collapsed="false">
      <c r="A168" s="7" t="s">
        <v>2157</v>
      </c>
      <c r="B168" s="7" t="n">
        <v>2478.24</v>
      </c>
      <c r="C168" s="7" t="n">
        <f aca="false">AVERAGE(B119:B168)</f>
        <v>2444.8494</v>
      </c>
      <c r="F168" s="7" t="str">
        <f aca="false">IFERROR(INDEX(02_轉折點45個!B:B,MATCH(A168,02_轉折點45個!A:A,0)),"")</f>
        <v/>
      </c>
      <c r="G168" s="7" t="s">
        <v>1994</v>
      </c>
    </row>
    <row r="169" customFormat="false" ht="15" hidden="false" customHeight="false" outlineLevel="0" collapsed="false">
      <c r="A169" s="7" t="s">
        <v>2158</v>
      </c>
      <c r="B169" s="7" t="n">
        <v>2502.6</v>
      </c>
      <c r="C169" s="7" t="n">
        <f aca="false">AVERAGE(B120:B169)</f>
        <v>2446.8424</v>
      </c>
      <c r="F169" s="7" t="str">
        <f aca="false">IFERROR(INDEX(02_轉折點45個!B:B,MATCH(A169,02_轉折點45個!A:A,0)),"")</f>
        <v/>
      </c>
      <c r="G169" s="7" t="s">
        <v>1994</v>
      </c>
    </row>
    <row r="170" customFormat="false" ht="15" hidden="false" customHeight="false" outlineLevel="0" collapsed="false">
      <c r="A170" s="7" t="s">
        <v>2159</v>
      </c>
      <c r="B170" s="7" t="n">
        <v>2513.06</v>
      </c>
      <c r="C170" s="7" t="n">
        <f aca="false">AVERAGE(B121:B170)</f>
        <v>2449.9586</v>
      </c>
      <c r="F170" s="7" t="str">
        <f aca="false">IFERROR(INDEX(02_轉折點45個!B:B,MATCH(A170,02_轉折點45個!A:A,0)),"")</f>
        <v/>
      </c>
      <c r="G170" s="7" t="s">
        <v>1994</v>
      </c>
    </row>
    <row r="171" customFormat="false" ht="15" hidden="false" customHeight="false" outlineLevel="0" collapsed="false">
      <c r="A171" s="7" t="s">
        <v>2160</v>
      </c>
      <c r="B171" s="7" t="n">
        <v>2497.93</v>
      </c>
      <c r="C171" s="7" t="n">
        <f aca="false">AVERAGE(B122:B171)</f>
        <v>2452.4458</v>
      </c>
      <c r="F171" s="7" t="str">
        <f aca="false">IFERROR(INDEX(02_轉折點45個!B:B,MATCH(A171,02_轉折點45個!A:A,0)),"")</f>
        <v/>
      </c>
      <c r="G171" s="7" t="s">
        <v>1994</v>
      </c>
    </row>
    <row r="172" customFormat="false" ht="15" hidden="false" customHeight="false" outlineLevel="0" collapsed="false">
      <c r="A172" s="7" t="s">
        <v>2161</v>
      </c>
      <c r="B172" s="7" t="n">
        <v>2597.39</v>
      </c>
      <c r="C172" s="7" t="n">
        <f aca="false">AVERAGE(B123:B172)</f>
        <v>2457.7284</v>
      </c>
      <c r="F172" s="7" t="str">
        <f aca="false">IFERROR(INDEX(02_轉折點45個!B:B,MATCH(A172,02_轉折點45個!A:A,0)),"")</f>
        <v/>
      </c>
      <c r="G172" s="7" t="s">
        <v>1994</v>
      </c>
    </row>
    <row r="173" customFormat="false" ht="15" hidden="false" customHeight="false" outlineLevel="0" collapsed="false">
      <c r="A173" s="7" t="s">
        <v>2162</v>
      </c>
      <c r="B173" s="7" t="n">
        <v>2592.04</v>
      </c>
      <c r="C173" s="7" t="n">
        <f aca="false">AVERAGE(B124:B173)</f>
        <v>2462.9286</v>
      </c>
      <c r="F173" s="7" t="str">
        <f aca="false">IFERROR(INDEX(02_轉折點45個!B:B,MATCH(A173,02_轉折點45個!A:A,0)),"")</f>
        <v/>
      </c>
      <c r="G173" s="7" t="s">
        <v>1994</v>
      </c>
    </row>
    <row r="174" customFormat="false" ht="15" hidden="false" customHeight="false" outlineLevel="0" collapsed="false">
      <c r="A174" s="7" t="s">
        <v>2163</v>
      </c>
      <c r="B174" s="7" t="n">
        <v>2565.99</v>
      </c>
      <c r="C174" s="7" t="n">
        <f aca="false">AVERAGE(B125:B174)</f>
        <v>2466.698</v>
      </c>
      <c r="F174" s="7" t="str">
        <f aca="false">IFERROR(INDEX(02_轉折點45個!B:B,MATCH(A174,02_轉折點45個!A:A,0)),"")</f>
        <v/>
      </c>
      <c r="G174" s="7" t="s">
        <v>1994</v>
      </c>
    </row>
    <row r="175" customFormat="false" ht="15" hidden="false" customHeight="false" outlineLevel="0" collapsed="false">
      <c r="A175" s="7" t="s">
        <v>2164</v>
      </c>
      <c r="B175" s="7" t="n">
        <v>2605.53</v>
      </c>
      <c r="C175" s="7" t="n">
        <f aca="false">AVERAGE(B126:B175)</f>
        <v>2470.5334</v>
      </c>
      <c r="F175" s="7" t="str">
        <f aca="false">IFERROR(INDEX(02_轉折點45個!B:B,MATCH(A175,02_轉折點45個!A:A,0)),"")</f>
        <v/>
      </c>
      <c r="G175" s="7" t="s">
        <v>1994</v>
      </c>
    </row>
    <row r="176" customFormat="false" ht="15" hidden="false" customHeight="false" outlineLevel="0" collapsed="false">
      <c r="A176" s="7" t="s">
        <v>375</v>
      </c>
      <c r="B176" s="7" t="n">
        <v>2637.54</v>
      </c>
      <c r="C176" s="7" t="n">
        <f aca="false">AVERAGE(B127:B176)</f>
        <v>2474.2048</v>
      </c>
      <c r="F176" s="7" t="str">
        <f aca="false">IFERROR(INDEX(02_轉折點45個!B:B,MATCH(A176,02_轉折點45個!A:A,0)),"")</f>
        <v/>
      </c>
      <c r="G176" s="7" t="s">
        <v>1994</v>
      </c>
    </row>
    <row r="177" customFormat="false" ht="15" hidden="false" customHeight="false" outlineLevel="0" collapsed="false">
      <c r="A177" s="7" t="s">
        <v>2165</v>
      </c>
      <c r="B177" s="7" t="n">
        <v>2598.9</v>
      </c>
      <c r="C177" s="7" t="n">
        <f aca="false">AVERAGE(B128:B177)</f>
        <v>2476.737</v>
      </c>
      <c r="F177" s="7" t="str">
        <f aca="false">IFERROR(INDEX(02_轉折點45個!B:B,MATCH(A177,02_轉折點45個!A:A,0)),"")</f>
        <v/>
      </c>
      <c r="G177" s="7" t="s">
        <v>1994</v>
      </c>
    </row>
    <row r="178" customFormat="false" ht="15" hidden="false" customHeight="false" outlineLevel="0" collapsed="false">
      <c r="A178" s="7" t="s">
        <v>2166</v>
      </c>
      <c r="B178" s="7" t="n">
        <v>2620.39</v>
      </c>
      <c r="C178" s="7" t="n">
        <f aca="false">AVERAGE(B129:B178)</f>
        <v>2479.0624</v>
      </c>
      <c r="F178" s="7" t="str">
        <f aca="false">IFERROR(INDEX(02_轉折點45個!B:B,MATCH(A178,02_轉折點45個!A:A,0)),"")</f>
        <v/>
      </c>
      <c r="G178" s="7" t="s">
        <v>1994</v>
      </c>
    </row>
    <row r="179" customFormat="false" ht="15" hidden="false" customHeight="false" outlineLevel="0" collapsed="false">
      <c r="A179" s="7" t="s">
        <v>2167</v>
      </c>
      <c r="B179" s="7" t="n">
        <v>2570.95</v>
      </c>
      <c r="C179" s="7" t="n">
        <f aca="false">AVERAGE(B130:B179)</f>
        <v>2480.4764</v>
      </c>
      <c r="F179" s="7" t="str">
        <f aca="false">IFERROR(INDEX(02_轉折點45個!B:B,MATCH(A179,02_轉折點45個!A:A,0)),"")</f>
        <v/>
      </c>
      <c r="G179" s="7" t="s">
        <v>1994</v>
      </c>
    </row>
    <row r="180" customFormat="false" ht="15" hidden="false" customHeight="false" outlineLevel="0" collapsed="false">
      <c r="A180" s="7" t="s">
        <v>2168</v>
      </c>
      <c r="B180" s="7" t="n">
        <v>2564.14</v>
      </c>
      <c r="C180" s="7" t="n">
        <f aca="false">AVERAGE(B131:B180)</f>
        <v>2481.6398</v>
      </c>
      <c r="F180" s="7" t="str">
        <f aca="false">IFERROR(INDEX(02_轉折點45個!B:B,MATCH(A180,02_轉折點45個!A:A,0)),"")</f>
        <v/>
      </c>
      <c r="G180" s="7" t="s">
        <v>1994</v>
      </c>
    </row>
    <row r="181" customFormat="false" ht="15" hidden="false" customHeight="false" outlineLevel="0" collapsed="false">
      <c r="A181" s="7" t="s">
        <v>2169</v>
      </c>
      <c r="B181" s="7" t="n">
        <v>2621.61</v>
      </c>
      <c r="C181" s="7" t="n">
        <f aca="false">AVERAGE(B132:B181)</f>
        <v>2483.426</v>
      </c>
      <c r="F181" s="7" t="str">
        <f aca="false">IFERROR(INDEX(02_轉折點45個!B:B,MATCH(A181,02_轉折點45個!A:A,0)),"")</f>
        <v/>
      </c>
      <c r="G181" s="7" t="s">
        <v>1994</v>
      </c>
    </row>
    <row r="182" customFormat="false" ht="15" hidden="false" customHeight="false" outlineLevel="0" collapsed="false">
      <c r="A182" s="7" t="s">
        <v>2170</v>
      </c>
      <c r="B182" s="7" t="n">
        <v>2636.71</v>
      </c>
      <c r="C182" s="7" t="n">
        <f aca="false">AVERAGE(B133:B182)</f>
        <v>2485.1268</v>
      </c>
      <c r="F182" s="7" t="str">
        <f aca="false">IFERROR(INDEX(02_轉折點45個!B:B,MATCH(A182,02_轉折點45個!A:A,0)),"")</f>
        <v/>
      </c>
      <c r="G182" s="7" t="s">
        <v>1994</v>
      </c>
    </row>
    <row r="183" customFormat="false" ht="15" hidden="false" customHeight="false" outlineLevel="0" collapsed="false">
      <c r="A183" s="7" t="s">
        <v>2171</v>
      </c>
      <c r="B183" s="7" t="n">
        <v>2577.28</v>
      </c>
      <c r="C183" s="7" t="n">
        <f aca="false">AVERAGE(B134:B183)</f>
        <v>2485.687</v>
      </c>
      <c r="F183" s="7" t="str">
        <f aca="false">IFERROR(INDEX(02_轉折點45個!B:B,MATCH(A183,02_轉折點45個!A:A,0)),"")</f>
        <v/>
      </c>
      <c r="G183" s="7" t="s">
        <v>1994</v>
      </c>
    </row>
    <row r="184" customFormat="false" ht="15" hidden="false" customHeight="false" outlineLevel="0" collapsed="false">
      <c r="A184" s="7" t="s">
        <v>2172</v>
      </c>
      <c r="B184" s="7" t="n">
        <v>2611.14</v>
      </c>
      <c r="C184" s="7" t="n">
        <f aca="false">AVERAGE(B135:B184)</f>
        <v>2487.1476</v>
      </c>
      <c r="F184" s="7" t="str">
        <f aca="false">IFERROR(INDEX(02_轉折點45個!B:B,MATCH(A184,02_轉折點45個!A:A,0)),"")</f>
        <v/>
      </c>
      <c r="G184" s="7" t="s">
        <v>1994</v>
      </c>
    </row>
    <row r="185" customFormat="false" ht="15" hidden="false" customHeight="false" outlineLevel="0" collapsed="false">
      <c r="A185" s="7" t="s">
        <v>2173</v>
      </c>
      <c r="B185" s="7" t="n">
        <v>2512.17</v>
      </c>
      <c r="C185" s="7" t="n">
        <f aca="false">AVERAGE(B136:B185)</f>
        <v>2485.8996</v>
      </c>
      <c r="F185" s="7" t="str">
        <f aca="false">IFERROR(INDEX(02_轉折點45個!B:B,MATCH(A185,02_轉折點45個!A:A,0)),"")</f>
        <v/>
      </c>
      <c r="G185" s="7" t="s">
        <v>1994</v>
      </c>
    </row>
    <row r="186" customFormat="false" ht="15" hidden="false" customHeight="false" outlineLevel="0" collapsed="false">
      <c r="A186" s="7" t="s">
        <v>2174</v>
      </c>
      <c r="B186" s="7" t="n">
        <v>2503.56</v>
      </c>
      <c r="C186" s="7" t="n">
        <f aca="false">AVERAGE(B137:B186)</f>
        <v>2484.0914</v>
      </c>
      <c r="F186" s="7" t="str">
        <f aca="false">IFERROR(INDEX(02_轉折點45個!B:B,MATCH(A186,02_轉折點45個!A:A,0)),"")</f>
        <v/>
      </c>
      <c r="G186" s="7" t="s">
        <v>1994</v>
      </c>
    </row>
    <row r="187" customFormat="false" ht="15" hidden="false" customHeight="false" outlineLevel="0" collapsed="false">
      <c r="A187" s="7" t="s">
        <v>2175</v>
      </c>
      <c r="B187" s="7" t="n">
        <v>2523.06</v>
      </c>
      <c r="C187" s="7" t="n">
        <f aca="false">AVERAGE(B138:B187)</f>
        <v>2482.2144</v>
      </c>
      <c r="F187" s="7" t="str">
        <f aca="false">IFERROR(INDEX(02_轉折點45個!B:B,MATCH(A187,02_轉折點45個!A:A,0)),"")</f>
        <v/>
      </c>
      <c r="G187" s="7" t="s">
        <v>1994</v>
      </c>
    </row>
    <row r="188" customFormat="false" ht="15" hidden="false" customHeight="false" outlineLevel="0" collapsed="false">
      <c r="A188" s="7" t="s">
        <v>2176</v>
      </c>
      <c r="B188" s="7" t="n">
        <v>2518.03</v>
      </c>
      <c r="C188" s="7" t="n">
        <f aca="false">AVERAGE(B139:B188)</f>
        <v>2480.8614</v>
      </c>
      <c r="F188" s="7" t="str">
        <f aca="false">IFERROR(INDEX(02_轉折點45個!B:B,MATCH(A188,02_轉折點45個!A:A,0)),"")</f>
        <v/>
      </c>
      <c r="G188" s="7" t="s">
        <v>1994</v>
      </c>
    </row>
    <row r="189" customFormat="false" ht="15" hidden="false" customHeight="false" outlineLevel="0" collapsed="false">
      <c r="A189" s="7" t="s">
        <v>2177</v>
      </c>
      <c r="B189" s="7" t="n">
        <v>2494.3</v>
      </c>
      <c r="C189" s="7" t="n">
        <f aca="false">AVERAGE(B140:B189)</f>
        <v>2480.8266</v>
      </c>
      <c r="F189" s="7" t="str">
        <f aca="false">IFERROR(INDEX(02_轉折點45個!B:B,MATCH(A189,02_轉折點45個!A:A,0)),"")</f>
        <v/>
      </c>
      <c r="G189" s="7" t="s">
        <v>1994</v>
      </c>
    </row>
    <row r="190" customFormat="false" ht="15" hidden="false" customHeight="false" outlineLevel="0" collapsed="false">
      <c r="A190" s="7" t="s">
        <v>2178</v>
      </c>
      <c r="B190" s="7" t="n">
        <v>2508.82</v>
      </c>
      <c r="C190" s="7" t="n">
        <f aca="false">AVERAGE(B141:B190)</f>
        <v>2480.5414</v>
      </c>
      <c r="F190" s="7" t="str">
        <f aca="false">IFERROR(INDEX(02_轉折點45個!B:B,MATCH(A190,02_轉折點45個!A:A,0)),"")</f>
        <v/>
      </c>
      <c r="G190" s="7" t="s">
        <v>1994</v>
      </c>
    </row>
    <row r="191" customFormat="false" ht="15" hidden="false" customHeight="false" outlineLevel="0" collapsed="false">
      <c r="A191" s="7" t="s">
        <v>2179</v>
      </c>
      <c r="B191" s="7" t="n">
        <v>2500.31</v>
      </c>
      <c r="C191" s="7" t="n">
        <f aca="false">AVERAGE(B142:B191)</f>
        <v>2481.499</v>
      </c>
      <c r="F191" s="7" t="str">
        <f aca="false">IFERROR(INDEX(02_轉折點45個!B:B,MATCH(A191,02_轉折點45個!A:A,0)),"")</f>
        <v/>
      </c>
      <c r="G191" s="7" t="s">
        <v>1994</v>
      </c>
    </row>
    <row r="192" customFormat="false" ht="15" hidden="false" customHeight="false" outlineLevel="0" collapsed="false">
      <c r="A192" s="7" t="s">
        <v>2180</v>
      </c>
      <c r="B192" s="7" t="n">
        <v>2554.32</v>
      </c>
      <c r="C192" s="7" t="n">
        <f aca="false">AVERAGE(B143:B192)</f>
        <v>2483.3914</v>
      </c>
      <c r="F192" s="7" t="str">
        <f aca="false">IFERROR(INDEX(02_轉折點45個!B:B,MATCH(A192,02_轉折點45個!A:A,0)),"")</f>
        <v/>
      </c>
      <c r="G192" s="7" t="s">
        <v>1994</v>
      </c>
    </row>
    <row r="193" customFormat="false" ht="15" hidden="false" customHeight="false" outlineLevel="0" collapsed="false">
      <c r="A193" s="7" t="s">
        <v>2181</v>
      </c>
      <c r="B193" s="7" t="n">
        <v>2557.7</v>
      </c>
      <c r="C193" s="7" t="n">
        <f aca="false">AVERAGE(B144:B193)</f>
        <v>2486.689</v>
      </c>
      <c r="F193" s="7" t="str">
        <f aca="false">IFERROR(INDEX(02_轉折點45個!B:B,MATCH(A193,02_轉折點45個!A:A,0)),"")</f>
        <v/>
      </c>
      <c r="G193" s="7" t="s">
        <v>1994</v>
      </c>
    </row>
    <row r="194" customFormat="false" ht="15" hidden="false" customHeight="false" outlineLevel="0" collapsed="false">
      <c r="A194" s="7" t="s">
        <v>2182</v>
      </c>
      <c r="B194" s="7" t="n">
        <v>2610.27</v>
      </c>
      <c r="C194" s="7" t="n">
        <f aca="false">AVERAGE(B145:B194)</f>
        <v>2489.9392</v>
      </c>
      <c r="F194" s="7" t="str">
        <f aca="false">IFERROR(INDEX(02_轉折點45個!B:B,MATCH(A194,02_轉折點45個!A:A,0)),"")</f>
        <v/>
      </c>
      <c r="G194" s="7" t="s">
        <v>1994</v>
      </c>
    </row>
    <row r="195" customFormat="false" ht="15" hidden="false" customHeight="false" outlineLevel="0" collapsed="false">
      <c r="A195" s="7" t="s">
        <v>2183</v>
      </c>
      <c r="B195" s="7" t="n">
        <v>2613.46</v>
      </c>
      <c r="C195" s="7" t="n">
        <f aca="false">AVERAGE(B146:B195)</f>
        <v>2492.7688</v>
      </c>
      <c r="F195" s="7" t="str">
        <f aca="false">IFERROR(INDEX(02_轉折點45個!B:B,MATCH(A195,02_轉折點45個!A:A,0)),"")</f>
        <v/>
      </c>
      <c r="G195" s="7" t="s">
        <v>1994</v>
      </c>
    </row>
    <row r="196" customFormat="false" ht="15" hidden="false" customHeight="false" outlineLevel="0" collapsed="false">
      <c r="A196" s="7" t="s">
        <v>2184</v>
      </c>
      <c r="B196" s="7" t="n">
        <v>2637.09</v>
      </c>
      <c r="C196" s="7" t="n">
        <f aca="false">AVERAGE(B147:B196)</f>
        <v>2497.2738</v>
      </c>
      <c r="F196" s="7" t="str">
        <f aca="false">IFERROR(INDEX(02_轉折點45個!B:B,MATCH(A196,02_轉折點45個!A:A,0)),"")</f>
        <v/>
      </c>
      <c r="G196" s="7" t="s">
        <v>1994</v>
      </c>
    </row>
    <row r="197" customFormat="false" ht="15" hidden="false" customHeight="false" outlineLevel="0" collapsed="false">
      <c r="A197" s="7" t="s">
        <v>2185</v>
      </c>
      <c r="B197" s="7" t="n">
        <v>2663.93</v>
      </c>
      <c r="C197" s="7" t="n">
        <f aca="false">AVERAGE(B148:B197)</f>
        <v>2502.3434</v>
      </c>
      <c r="F197" s="7" t="str">
        <f aca="false">IFERROR(INDEX(02_轉折點45個!B:B,MATCH(A197,02_轉折點45個!A:A,0)),"")</f>
        <v/>
      </c>
      <c r="G197" s="7" t="s">
        <v>1994</v>
      </c>
    </row>
    <row r="198" customFormat="false" ht="15" hidden="false" customHeight="false" outlineLevel="0" collapsed="false">
      <c r="A198" s="7" t="s">
        <v>2186</v>
      </c>
      <c r="B198" s="7" t="n">
        <v>2624.17</v>
      </c>
      <c r="C198" s="7" t="n">
        <f aca="false">AVERAGE(B149:B198)</f>
        <v>2506.8892</v>
      </c>
      <c r="F198" s="7" t="str">
        <f aca="false">IFERROR(INDEX(02_轉折點45個!B:B,MATCH(A198,02_轉折點45個!A:A,0)),"")</f>
        <v/>
      </c>
      <c r="G198" s="7" t="s">
        <v>1994</v>
      </c>
    </row>
    <row r="199" customFormat="false" ht="15" hidden="false" customHeight="false" outlineLevel="0" collapsed="false">
      <c r="A199" s="7" t="s">
        <v>2187</v>
      </c>
      <c r="B199" s="7" t="n">
        <v>2559.16</v>
      </c>
      <c r="C199" s="7" t="n">
        <f aca="false">AVERAGE(B150:B199)</f>
        <v>2510.786</v>
      </c>
      <c r="F199" s="7" t="str">
        <f aca="false">IFERROR(INDEX(02_轉折點45個!B:B,MATCH(A199,02_轉折點45個!A:A,0)),"")</f>
        <v/>
      </c>
      <c r="G199" s="7" t="s">
        <v>1994</v>
      </c>
    </row>
    <row r="200" customFormat="false" ht="15" hidden="false" customHeight="false" outlineLevel="0" collapsed="false">
      <c r="A200" s="7" t="s">
        <v>2188</v>
      </c>
      <c r="B200" s="7" t="n">
        <v>2564.25</v>
      </c>
      <c r="C200" s="7" t="n">
        <f aca="false">AVERAGE(B151:B200)</f>
        <v>2515.6616</v>
      </c>
      <c r="F200" s="7" t="str">
        <f aca="false">IFERROR(INDEX(02_轉折點45個!B:B,MATCH(A200,02_轉折點45個!A:A,0)),"")</f>
        <v/>
      </c>
      <c r="G200" s="7" t="s">
        <v>1994</v>
      </c>
    </row>
    <row r="201" customFormat="false" ht="15" hidden="false" customHeight="false" outlineLevel="0" collapsed="false">
      <c r="A201" s="7" t="s">
        <v>2189</v>
      </c>
      <c r="B201" s="7" t="n">
        <v>2495.73</v>
      </c>
      <c r="C201" s="7" t="n">
        <f aca="false">AVERAGE(B152:B201)</f>
        <v>2518.6948</v>
      </c>
      <c r="F201" s="7" t="str">
        <f aca="false">IFERROR(INDEX(02_轉折點45個!B:B,MATCH(A201,02_轉折點45個!A:A,0)),"")</f>
        <v/>
      </c>
      <c r="G201" s="7" t="s">
        <v>1994</v>
      </c>
    </row>
    <row r="202" customFormat="false" ht="15" hidden="false" customHeight="false" outlineLevel="0" collapsed="false">
      <c r="A202" s="7" t="s">
        <v>2190</v>
      </c>
      <c r="B202" s="7" t="n">
        <v>2456.73</v>
      </c>
      <c r="C202" s="7" t="n">
        <f aca="false">AVERAGE(B153:B202)</f>
        <v>2521.2742</v>
      </c>
      <c r="D202" s="7" t="n">
        <f aca="false">AVERAGE(B3:B202)</f>
        <v>2338.7806</v>
      </c>
      <c r="F202" s="7" t="str">
        <f aca="false">IFERROR(INDEX(02_轉折點45個!B:B,MATCH(A202,02_轉折點45個!A:A,0)),"")</f>
        <v/>
      </c>
      <c r="G202" s="7" t="s">
        <v>1994</v>
      </c>
    </row>
    <row r="203" customFormat="false" ht="15" hidden="false" customHeight="false" outlineLevel="0" collapsed="false">
      <c r="A203" s="7" t="s">
        <v>2191</v>
      </c>
      <c r="B203" s="7" t="n">
        <v>2455.85</v>
      </c>
      <c r="C203" s="7" t="n">
        <f aca="false">AVERAGE(B154:B203)</f>
        <v>2524.3658</v>
      </c>
      <c r="D203" s="7" t="n">
        <f aca="false">AVERAGE(B4:B203)</f>
        <v>2340.9738</v>
      </c>
      <c r="F203" s="7" t="str">
        <f aca="false">IFERROR(INDEX(02_轉折點45個!B:B,MATCH(A203,02_轉折點45個!A:A,0)),"")</f>
        <v/>
      </c>
      <c r="G203" s="7" t="s">
        <v>1994</v>
      </c>
    </row>
    <row r="204" customFormat="false" ht="15" hidden="false" customHeight="false" outlineLevel="0" collapsed="false">
      <c r="A204" s="7" t="s">
        <v>376</v>
      </c>
      <c r="B204" s="7" t="n">
        <v>2547.16</v>
      </c>
      <c r="C204" s="7" t="n">
        <f aca="false">AVERAGE(B155:B204)</f>
        <v>2529.811</v>
      </c>
      <c r="D204" s="7" t="n">
        <f aca="false">AVERAGE(B5:B204)</f>
        <v>2343.4261</v>
      </c>
      <c r="F204" s="7" t="str">
        <f aca="false">IFERROR(INDEX(02_轉折點45個!B:B,MATCH(A204,02_轉折點45個!A:A,0)),"")</f>
        <v/>
      </c>
      <c r="G204" s="7" t="s">
        <v>1994</v>
      </c>
    </row>
    <row r="205" customFormat="false" ht="15" hidden="false" customHeight="false" outlineLevel="0" collapsed="false">
      <c r="A205" s="7" t="s">
        <v>2192</v>
      </c>
      <c r="B205" s="7" t="n">
        <v>2559.78</v>
      </c>
      <c r="C205" s="7" t="n">
        <f aca="false">AVERAGE(B156:B205)</f>
        <v>2534.1406</v>
      </c>
      <c r="D205" s="7" t="n">
        <f aca="false">AVERAGE(B6:B205)</f>
        <v>2345.62365</v>
      </c>
      <c r="F205" s="7" t="str">
        <f aca="false">IFERROR(INDEX(02_轉折點45個!B:B,MATCH(A205,02_轉折點45個!A:A,0)),"")</f>
        <v/>
      </c>
      <c r="G205" s="7" t="s">
        <v>1994</v>
      </c>
    </row>
    <row r="206" customFormat="false" ht="15" hidden="false" customHeight="false" outlineLevel="0" collapsed="false">
      <c r="A206" s="7" t="s">
        <v>2193</v>
      </c>
      <c r="B206" s="7" t="n">
        <v>2573.1</v>
      </c>
      <c r="C206" s="7" t="n">
        <f aca="false">AVERAGE(B157:B206)</f>
        <v>2539.0198</v>
      </c>
      <c r="D206" s="7" t="n">
        <f aca="false">AVERAGE(B7:B206)</f>
        <v>2347.8639</v>
      </c>
      <c r="F206" s="7" t="str">
        <f aca="false">IFERROR(INDEX(02_轉折點45個!B:B,MATCH(A206,02_轉折點45個!A:A,0)),"")</f>
        <v/>
      </c>
      <c r="G206" s="7" t="s">
        <v>1994</v>
      </c>
    </row>
    <row r="207" customFormat="false" ht="15" hidden="false" customHeight="false" outlineLevel="0" collapsed="false">
      <c r="A207" s="7" t="s">
        <v>2194</v>
      </c>
      <c r="B207" s="7" t="n">
        <v>2572.57</v>
      </c>
      <c r="C207" s="7" t="n">
        <f aca="false">AVERAGE(B158:B207)</f>
        <v>2542.2746</v>
      </c>
      <c r="D207" s="7" t="n">
        <f aca="false">AVERAGE(B8:B207)</f>
        <v>2350.0178</v>
      </c>
      <c r="F207" s="7" t="str">
        <f aca="false">IFERROR(INDEX(02_轉折點45個!B:B,MATCH(A207,02_轉折點45個!A:A,0)),"")</f>
        <v/>
      </c>
      <c r="G207" s="7" t="s">
        <v>1994</v>
      </c>
    </row>
    <row r="208" customFormat="false" ht="15" hidden="false" customHeight="false" outlineLevel="0" collapsed="false">
      <c r="A208" s="7" t="s">
        <v>2195</v>
      </c>
      <c r="B208" s="7" t="n">
        <v>2568.48</v>
      </c>
      <c r="C208" s="7" t="n">
        <f aca="false">AVERAGE(B159:B208)</f>
        <v>2545.311</v>
      </c>
      <c r="D208" s="7" t="n">
        <f aca="false">AVERAGE(B9:B208)</f>
        <v>2351.9677</v>
      </c>
      <c r="F208" s="7" t="str">
        <f aca="false">IFERROR(INDEX(02_轉折點45個!B:B,MATCH(A208,02_轉折點45個!A:A,0)),"")</f>
        <v/>
      </c>
      <c r="G208" s="7" t="s">
        <v>1994</v>
      </c>
    </row>
    <row r="209" customFormat="false" ht="15" hidden="false" customHeight="false" outlineLevel="0" collapsed="false">
      <c r="A209" s="7" t="s">
        <v>2196</v>
      </c>
      <c r="B209" s="7" t="n">
        <v>2560.31</v>
      </c>
      <c r="C209" s="7" t="n">
        <f aca="false">AVERAGE(B160:B209)</f>
        <v>2547.71</v>
      </c>
      <c r="D209" s="7" t="n">
        <f aca="false">AVERAGE(B10:B209)</f>
        <v>2354.1684</v>
      </c>
      <c r="F209" s="7" t="str">
        <f aca="false">IFERROR(INDEX(02_轉折點45個!B:B,MATCH(A209,02_轉折點45個!A:A,0)),"")</f>
        <v/>
      </c>
      <c r="G209" s="7" t="s">
        <v>1994</v>
      </c>
    </row>
    <row r="210" customFormat="false" ht="15" hidden="false" customHeight="false" outlineLevel="0" collapsed="false">
      <c r="A210" s="7" t="s">
        <v>377</v>
      </c>
      <c r="B210" s="7" t="n">
        <v>2626.72</v>
      </c>
      <c r="C210" s="7" t="n">
        <f aca="false">AVERAGE(B161:B210)</f>
        <v>2551.6838</v>
      </c>
      <c r="D210" s="7" t="n">
        <f aca="false">AVERAGE(B11:B210)</f>
        <v>2356.71915</v>
      </c>
      <c r="F210" s="7" t="str">
        <f aca="false">IFERROR(INDEX(02_轉折點45個!B:B,MATCH(A210,02_轉折點45個!A:A,0)),"")</f>
        <v/>
      </c>
      <c r="G210" s="7" t="s">
        <v>1994</v>
      </c>
    </row>
    <row r="211" customFormat="false" ht="15" hidden="false" customHeight="false" outlineLevel="0" collapsed="false">
      <c r="A211" s="7" t="s">
        <v>378</v>
      </c>
      <c r="B211" s="7" t="n">
        <v>2710.05</v>
      </c>
      <c r="C211" s="7" t="n">
        <f aca="false">AVERAGE(B162:B211)</f>
        <v>2557.9874</v>
      </c>
      <c r="D211" s="7" t="n">
        <f aca="false">AVERAGE(B12:B211)</f>
        <v>2359.8692</v>
      </c>
      <c r="F211" s="7" t="str">
        <f aca="false">IFERROR(INDEX(02_轉折點45個!B:B,MATCH(A211,02_轉折點45個!A:A,0)),"")</f>
        <v/>
      </c>
      <c r="G211" s="7" t="s">
        <v>1994</v>
      </c>
    </row>
    <row r="212" customFormat="false" ht="15" hidden="false" customHeight="false" outlineLevel="0" collapsed="false">
      <c r="A212" s="7" t="s">
        <v>2197</v>
      </c>
      <c r="B212" s="7" t="n">
        <v>2711.16</v>
      </c>
      <c r="C212" s="7" t="n">
        <f aca="false">AVERAGE(B163:B212)</f>
        <v>2563.8218</v>
      </c>
      <c r="D212" s="7" t="n">
        <f aca="false">AVERAGE(B13:B212)</f>
        <v>2362.69875</v>
      </c>
      <c r="F212" s="7" t="str">
        <f aca="false">IFERROR(INDEX(02_轉折點45個!B:B,MATCH(A212,02_轉折點45個!A:A,0)),"")</f>
        <v/>
      </c>
      <c r="G212" s="7" t="s">
        <v>1994</v>
      </c>
    </row>
    <row r="213" customFormat="false" ht="15" hidden="false" customHeight="false" outlineLevel="0" collapsed="false">
      <c r="A213" s="7" t="s">
        <v>2198</v>
      </c>
      <c r="B213" s="7" t="n">
        <v>2723.94</v>
      </c>
      <c r="C213" s="7" t="n">
        <f aca="false">AVERAGE(B164:B213)</f>
        <v>2568.6102</v>
      </c>
      <c r="D213" s="7" t="n">
        <f aca="false">AVERAGE(B14:B213)</f>
        <v>2365.31825</v>
      </c>
      <c r="F213" s="7" t="str">
        <f aca="false">IFERROR(INDEX(02_轉折點45個!B:B,MATCH(A213,02_轉折點45個!A:A,0)),"")</f>
        <v/>
      </c>
      <c r="G213" s="7" t="s">
        <v>1994</v>
      </c>
    </row>
    <row r="214" customFormat="false" ht="15" hidden="false" customHeight="false" outlineLevel="0" collapsed="false">
      <c r="A214" s="7" t="s">
        <v>2199</v>
      </c>
      <c r="B214" s="7" t="n">
        <v>2766.76</v>
      </c>
      <c r="C214" s="7" t="n">
        <f aca="false">AVERAGE(B165:B214)</f>
        <v>2573.6556</v>
      </c>
      <c r="D214" s="7" t="n">
        <f aca="false">AVERAGE(B15:B214)</f>
        <v>2368.1184</v>
      </c>
      <c r="F214" s="7" t="str">
        <f aca="false">IFERROR(INDEX(02_轉折點45個!B:B,MATCH(A214,02_轉折點45個!A:A,0)),"")</f>
        <v/>
      </c>
      <c r="G214" s="7" t="s">
        <v>1994</v>
      </c>
    </row>
    <row r="215" customFormat="false" ht="15" hidden="false" customHeight="false" outlineLevel="0" collapsed="false">
      <c r="A215" s="7" t="s">
        <v>2200</v>
      </c>
      <c r="B215" s="7" t="n">
        <v>2791.83</v>
      </c>
      <c r="C215" s="7" t="n">
        <f aca="false">AVERAGE(B166:B215)</f>
        <v>2578.2298</v>
      </c>
      <c r="D215" s="7" t="n">
        <f aca="false">AVERAGE(B16:B215)</f>
        <v>2371.3672</v>
      </c>
      <c r="F215" s="7" t="str">
        <f aca="false">IFERROR(INDEX(02_轉折點45個!B:B,MATCH(A215,02_轉折點45個!A:A,0)),"")</f>
        <v/>
      </c>
      <c r="G215" s="7" t="s">
        <v>1994</v>
      </c>
    </row>
    <row r="216" customFormat="false" ht="15" hidden="false" customHeight="false" outlineLevel="0" collapsed="false">
      <c r="A216" s="7" t="s">
        <v>2201</v>
      </c>
      <c r="B216" s="7" t="n">
        <v>2834.17</v>
      </c>
      <c r="C216" s="7" t="n">
        <f aca="false">AVERAGE(B167:B216)</f>
        <v>2584.2168</v>
      </c>
      <c r="D216" s="7" t="n">
        <f aca="false">AVERAGE(B17:B216)</f>
        <v>2374.85435</v>
      </c>
      <c r="F216" s="7" t="str">
        <f aca="false">IFERROR(INDEX(02_轉折點45個!B:B,MATCH(A216,02_轉折點45個!A:A,0)),"")</f>
        <v/>
      </c>
      <c r="G216" s="7" t="s">
        <v>1994</v>
      </c>
    </row>
    <row r="217" customFormat="false" ht="15" hidden="false" customHeight="false" outlineLevel="0" collapsed="false">
      <c r="A217" s="7" t="s">
        <v>2202</v>
      </c>
      <c r="B217" s="7" t="n">
        <v>2872.24</v>
      </c>
      <c r="C217" s="7" t="n">
        <f aca="false">AVERAGE(B168:B217)</f>
        <v>2591.2524</v>
      </c>
      <c r="D217" s="7" t="n">
        <f aca="false">AVERAGE(B18:B217)</f>
        <v>2378.39285</v>
      </c>
      <c r="F217" s="7" t="str">
        <f aca="false">IFERROR(INDEX(02_轉折點45個!B:B,MATCH(A217,02_轉折點45個!A:A,0)),"")</f>
        <v/>
      </c>
      <c r="G217" s="7" t="s">
        <v>1994</v>
      </c>
    </row>
    <row r="218" customFormat="false" ht="15" hidden="false" customHeight="false" outlineLevel="0" collapsed="false">
      <c r="A218" s="7" t="s">
        <v>2203</v>
      </c>
      <c r="B218" s="7" t="n">
        <v>2854.95</v>
      </c>
      <c r="C218" s="7" t="n">
        <f aca="false">AVERAGE(B169:B218)</f>
        <v>2598.7866</v>
      </c>
      <c r="D218" s="7" t="n">
        <f aca="false">AVERAGE(B19:B218)</f>
        <v>2381.5521</v>
      </c>
      <c r="F218" s="7" t="str">
        <f aca="false">IFERROR(INDEX(02_轉折點45個!B:B,MATCH(A218,02_轉折點45個!A:A,0)),"")</f>
        <v/>
      </c>
      <c r="G218" s="7" t="s">
        <v>1994</v>
      </c>
    </row>
    <row r="219" customFormat="false" ht="15" hidden="false" customHeight="false" outlineLevel="0" collapsed="false">
      <c r="A219" s="7" t="s">
        <v>2204</v>
      </c>
      <c r="B219" s="7" t="n">
        <v>2883.2</v>
      </c>
      <c r="C219" s="7" t="n">
        <f aca="false">AVERAGE(B170:B219)</f>
        <v>2606.3986</v>
      </c>
      <c r="D219" s="7" t="n">
        <f aca="false">AVERAGE(B20:B219)</f>
        <v>2384.9726</v>
      </c>
      <c r="F219" s="7" t="str">
        <f aca="false">IFERROR(INDEX(02_轉折點45個!B:B,MATCH(A219,02_轉折點45個!A:A,0)),"")</f>
        <v/>
      </c>
      <c r="G219" s="7" t="s">
        <v>1994</v>
      </c>
    </row>
    <row r="220" customFormat="false" ht="15" hidden="false" customHeight="false" outlineLevel="0" collapsed="false">
      <c r="A220" s="7" t="s">
        <v>2205</v>
      </c>
      <c r="B220" s="7" t="n">
        <v>2920.96</v>
      </c>
      <c r="C220" s="7" t="n">
        <f aca="false">AVERAGE(B171:B220)</f>
        <v>2614.5566</v>
      </c>
      <c r="D220" s="7" t="n">
        <f aca="false">AVERAGE(B21:B220)</f>
        <v>2388.26125</v>
      </c>
      <c r="F220" s="7" t="str">
        <f aca="false">IFERROR(INDEX(02_轉折點45個!B:B,MATCH(A220,02_轉折點45個!A:A,0)),"")</f>
        <v/>
      </c>
      <c r="G220" s="7" t="s">
        <v>1994</v>
      </c>
    </row>
    <row r="221" customFormat="false" ht="15" hidden="false" customHeight="false" outlineLevel="0" collapsed="false">
      <c r="A221" s="7" t="s">
        <v>2206</v>
      </c>
      <c r="B221" s="7" t="n">
        <v>2942.75</v>
      </c>
      <c r="C221" s="7" t="n">
        <f aca="false">AVERAGE(B172:B221)</f>
        <v>2623.453</v>
      </c>
      <c r="D221" s="7" t="n">
        <f aca="false">AVERAGE(B22:B221)</f>
        <v>2391.52845</v>
      </c>
      <c r="F221" s="7" t="str">
        <f aca="false">IFERROR(INDEX(02_轉折點45個!B:B,MATCH(A221,02_轉折點45個!A:A,0)),"")</f>
        <v/>
      </c>
      <c r="G221" s="7" t="s">
        <v>1994</v>
      </c>
    </row>
    <row r="222" customFormat="false" ht="15" hidden="false" customHeight="false" outlineLevel="0" collapsed="false">
      <c r="A222" s="7" t="s">
        <v>2207</v>
      </c>
      <c r="B222" s="7" t="n">
        <v>2941.28</v>
      </c>
      <c r="C222" s="7" t="n">
        <f aca="false">AVERAGE(B173:B222)</f>
        <v>2630.3308</v>
      </c>
      <c r="D222" s="7" t="n">
        <f aca="false">AVERAGE(B23:B222)</f>
        <v>2394.7691</v>
      </c>
      <c r="F222" s="7" t="str">
        <f aca="false">IFERROR(INDEX(02_轉折點45個!B:B,MATCH(A222,02_轉折點45個!A:A,0)),"")</f>
        <v/>
      </c>
      <c r="G222" s="7" t="s">
        <v>1994</v>
      </c>
    </row>
    <row r="223" customFormat="false" ht="15" hidden="false" customHeight="false" outlineLevel="0" collapsed="false">
      <c r="A223" s="7" t="s">
        <v>2208</v>
      </c>
      <c r="B223" s="7" t="n">
        <v>3010.7</v>
      </c>
      <c r="C223" s="7" t="n">
        <f aca="false">AVERAGE(B174:B223)</f>
        <v>2638.704</v>
      </c>
      <c r="D223" s="7" t="n">
        <f aca="false">AVERAGE(B24:B223)</f>
        <v>2398.57005</v>
      </c>
      <c r="F223" s="7" t="str">
        <f aca="false">IFERROR(INDEX(02_轉折點45個!B:B,MATCH(A223,02_轉折點45個!A:A,0)),"")</f>
        <v/>
      </c>
      <c r="G223" s="7" t="s">
        <v>1994</v>
      </c>
    </row>
    <row r="224" customFormat="false" ht="15" hidden="false" customHeight="false" outlineLevel="0" collapsed="false">
      <c r="A224" s="7" t="s">
        <v>2209</v>
      </c>
      <c r="B224" s="7" t="n">
        <v>2986.83</v>
      </c>
      <c r="C224" s="7" t="n">
        <f aca="false">AVERAGE(B175:B224)</f>
        <v>2647.1208</v>
      </c>
      <c r="D224" s="7" t="n">
        <f aca="false">AVERAGE(B25:B224)</f>
        <v>2402.11465</v>
      </c>
      <c r="F224" s="7" t="str">
        <f aca="false">IFERROR(INDEX(02_轉折點45個!B:B,MATCH(A224,02_轉折點45個!A:A,0)),"")</f>
        <v/>
      </c>
      <c r="G224" s="7" t="s">
        <v>1994</v>
      </c>
    </row>
    <row r="225" customFormat="false" ht="15" hidden="false" customHeight="false" outlineLevel="0" collapsed="false">
      <c r="A225" s="7" t="s">
        <v>2210</v>
      </c>
      <c r="B225" s="7" t="n">
        <v>3057.83</v>
      </c>
      <c r="C225" s="7" t="n">
        <f aca="false">AVERAGE(B176:B225)</f>
        <v>2656.1668</v>
      </c>
      <c r="D225" s="7" t="n">
        <f aca="false">AVERAGE(B26:B225)</f>
        <v>2406.39495</v>
      </c>
      <c r="F225" s="7" t="str">
        <f aca="false">IFERROR(INDEX(02_轉折點45個!B:B,MATCH(A225,02_轉折點45個!A:A,0)),"")</f>
        <v/>
      </c>
      <c r="G225" s="7" t="s">
        <v>1994</v>
      </c>
    </row>
    <row r="226" customFormat="false" ht="15" hidden="false" customHeight="false" outlineLevel="0" collapsed="false">
      <c r="A226" s="7" t="s">
        <v>2211</v>
      </c>
      <c r="B226" s="7" t="n">
        <v>3078.05</v>
      </c>
      <c r="C226" s="7" t="n">
        <f aca="false">AVERAGE(B177:B226)</f>
        <v>2664.977</v>
      </c>
      <c r="D226" s="7" t="n">
        <f aca="false">AVERAGE(B27:B226)</f>
        <v>2410.94285</v>
      </c>
      <c r="F226" s="7" t="str">
        <f aca="false">IFERROR(INDEX(02_轉折點45個!B:B,MATCH(A226,02_轉折點45個!A:A,0)),"")</f>
        <v/>
      </c>
      <c r="G226" s="7" t="s">
        <v>1994</v>
      </c>
    </row>
    <row r="227" customFormat="false" ht="15" hidden="false" customHeight="false" outlineLevel="0" collapsed="false">
      <c r="A227" s="7" t="s">
        <v>2212</v>
      </c>
      <c r="B227" s="7" t="n">
        <v>3099.35</v>
      </c>
      <c r="C227" s="7" t="n">
        <f aca="false">AVERAGE(B178:B227)</f>
        <v>2674.986</v>
      </c>
      <c r="D227" s="7" t="n">
        <f aca="false">AVERAGE(B28:B227)</f>
        <v>2415.45425</v>
      </c>
      <c r="F227" s="7" t="str">
        <f aca="false">IFERROR(INDEX(02_轉折點45個!B:B,MATCH(A227,02_轉折點45個!A:A,0)),"")</f>
        <v/>
      </c>
      <c r="G227" s="7" t="s">
        <v>1994</v>
      </c>
    </row>
    <row r="228" customFormat="false" ht="15" hidden="false" customHeight="false" outlineLevel="0" collapsed="false">
      <c r="A228" s="7" t="s">
        <v>2213</v>
      </c>
      <c r="B228" s="7" t="n">
        <v>3053.95</v>
      </c>
      <c r="C228" s="7" t="n">
        <f aca="false">AVERAGE(B179:B228)</f>
        <v>2683.6572</v>
      </c>
      <c r="D228" s="7" t="n">
        <f aca="false">AVERAGE(B29:B228)</f>
        <v>2420.16865</v>
      </c>
      <c r="F228" s="7" t="str">
        <f aca="false">IFERROR(INDEX(02_轉折點45個!B:B,MATCH(A228,02_轉折點45個!A:A,0)),"")</f>
        <v/>
      </c>
      <c r="G228" s="7" t="s">
        <v>1994</v>
      </c>
    </row>
    <row r="229" customFormat="false" ht="15" hidden="false" customHeight="false" outlineLevel="0" collapsed="false">
      <c r="A229" s="7" t="s">
        <v>2214</v>
      </c>
      <c r="B229" s="7" t="n">
        <v>3124.88</v>
      </c>
      <c r="C229" s="7" t="n">
        <f aca="false">AVERAGE(B180:B229)</f>
        <v>2694.7358</v>
      </c>
      <c r="D229" s="7" t="n">
        <f aca="false">AVERAGE(B30:B229)</f>
        <v>2425.24355</v>
      </c>
      <c r="F229" s="7" t="str">
        <f aca="false">IFERROR(INDEX(02_轉折點45個!B:B,MATCH(A229,02_轉折點45個!A:A,0)),"")</f>
        <v/>
      </c>
      <c r="G229" s="7" t="s">
        <v>1994</v>
      </c>
    </row>
    <row r="230" customFormat="false" ht="15" hidden="false" customHeight="false" outlineLevel="0" collapsed="false">
      <c r="A230" s="7" t="s">
        <v>379</v>
      </c>
      <c r="B230" s="7" t="n">
        <v>3149.82</v>
      </c>
      <c r="C230" s="7" t="n">
        <f aca="false">AVERAGE(B181:B230)</f>
        <v>2706.4494</v>
      </c>
      <c r="D230" s="7" t="n">
        <f aca="false">AVERAGE(B31:B230)</f>
        <v>2430.00445</v>
      </c>
      <c r="F230" s="7" t="str">
        <f aca="false">IFERROR(INDEX(02_轉折點45個!B:B,MATCH(A230,02_轉折點45個!A:A,0)),"")</f>
        <v/>
      </c>
      <c r="G230" s="7" t="s">
        <v>1994</v>
      </c>
    </row>
    <row r="231" customFormat="false" ht="15" hidden="false" customHeight="false" outlineLevel="0" collapsed="false">
      <c r="A231" s="7" t="s">
        <v>2215</v>
      </c>
      <c r="B231" s="7" t="n">
        <v>3125.67</v>
      </c>
      <c r="C231" s="7" t="n">
        <f aca="false">AVERAGE(B182:B231)</f>
        <v>2716.5306</v>
      </c>
      <c r="D231" s="7" t="n">
        <f aca="false">AVERAGE(B32:B231)</f>
        <v>2435.0267</v>
      </c>
      <c r="F231" s="7" t="str">
        <f aca="false">IFERROR(INDEX(02_轉折點45個!B:B,MATCH(A231,02_轉折點45個!A:A,0)),"")</f>
        <v/>
      </c>
      <c r="G231" s="7" t="s">
        <v>1994</v>
      </c>
    </row>
    <row r="232" customFormat="false" ht="15" hidden="false" customHeight="false" outlineLevel="0" collapsed="false">
      <c r="A232" s="7" t="s">
        <v>2216</v>
      </c>
      <c r="B232" s="7" t="n">
        <v>3047.82</v>
      </c>
      <c r="C232" s="7" t="n">
        <f aca="false">AVERAGE(B183:B232)</f>
        <v>2724.7528</v>
      </c>
      <c r="D232" s="7" t="n">
        <f aca="false">AVERAGE(B33:B232)</f>
        <v>2439.69635</v>
      </c>
      <c r="F232" s="7" t="str">
        <f aca="false">IFERROR(INDEX(02_轉折點45個!B:B,MATCH(A232,02_轉折點45個!A:A,0)),"")</f>
        <v/>
      </c>
      <c r="G232" s="7" t="s">
        <v>1994</v>
      </c>
    </row>
    <row r="233" customFormat="false" ht="15" hidden="false" customHeight="false" outlineLevel="0" collapsed="false">
      <c r="A233" s="7" t="s">
        <v>2217</v>
      </c>
      <c r="B233" s="7" t="n">
        <v>3063.86</v>
      </c>
      <c r="C233" s="7" t="n">
        <f aca="false">AVERAGE(B184:B233)</f>
        <v>2734.4844</v>
      </c>
      <c r="D233" s="7" t="n">
        <f aca="false">AVERAGE(B34:B233)</f>
        <v>2444.74295</v>
      </c>
      <c r="F233" s="7" t="str">
        <f aca="false">IFERROR(INDEX(02_轉折點45個!B:B,MATCH(A233,02_轉折點45個!A:A,0)),"")</f>
        <v/>
      </c>
      <c r="G233" s="7" t="s">
        <v>1994</v>
      </c>
    </row>
    <row r="234" customFormat="false" ht="15" hidden="false" customHeight="false" outlineLevel="0" collapsed="false">
      <c r="A234" s="7" t="s">
        <v>380</v>
      </c>
      <c r="B234" s="7" t="n">
        <v>3154.37</v>
      </c>
      <c r="C234" s="7" t="n">
        <f aca="false">AVERAGE(B185:B234)</f>
        <v>2745.349</v>
      </c>
      <c r="D234" s="7" t="n">
        <f aca="false">AVERAGE(B35:B234)</f>
        <v>2450.1889</v>
      </c>
      <c r="F234" s="7" t="str">
        <f aca="false">IFERROR(INDEX(02_轉折點45個!B:B,MATCH(A234,02_轉折點45個!A:A,0)),"")</f>
        <v/>
      </c>
      <c r="G234" s="7" t="s">
        <v>1994</v>
      </c>
    </row>
    <row r="235" customFormat="false" ht="15" hidden="false" customHeight="false" outlineLevel="0" collapsed="false">
      <c r="A235" s="7" t="s">
        <v>381</v>
      </c>
      <c r="B235" s="7" t="n">
        <v>3216.35</v>
      </c>
      <c r="C235" s="7" t="n">
        <f aca="false">AVERAGE(B186:B235)</f>
        <v>2759.4326</v>
      </c>
      <c r="D235" s="7" t="n">
        <f aca="false">AVERAGE(B36:B235)</f>
        <v>2455.8395</v>
      </c>
      <c r="F235" s="7" t="str">
        <f aca="false">IFERROR(INDEX(02_轉折點45個!B:B,MATCH(A235,02_轉折點45個!A:A,0)),"")</f>
        <v/>
      </c>
      <c r="G235" s="7" t="s">
        <v>1994</v>
      </c>
    </row>
    <row r="236" customFormat="false" ht="15" hidden="false" customHeight="false" outlineLevel="0" collapsed="false">
      <c r="A236" s="7" t="s">
        <v>382</v>
      </c>
      <c r="B236" s="7" t="n">
        <v>3239.54</v>
      </c>
      <c r="C236" s="7" t="n">
        <f aca="false">AVERAGE(B187:B236)</f>
        <v>2774.1522</v>
      </c>
      <c r="D236" s="7" t="n">
        <f aca="false">AVERAGE(B37:B236)</f>
        <v>2461.3392</v>
      </c>
      <c r="F236" s="7" t="str">
        <f aca="false">IFERROR(INDEX(02_轉折點45個!B:B,MATCH(A236,02_轉折點45個!A:A,0)),"")</f>
        <v/>
      </c>
      <c r="G236" s="7" t="s">
        <v>1994</v>
      </c>
    </row>
    <row r="237" customFormat="false" ht="15" hidden="false" customHeight="false" outlineLevel="0" collapsed="false">
      <c r="A237" s="7" t="s">
        <v>383</v>
      </c>
      <c r="B237" s="7" t="n">
        <v>3276.91</v>
      </c>
      <c r="C237" s="7" t="n">
        <f aca="false">AVERAGE(B188:B237)</f>
        <v>2789.2292</v>
      </c>
      <c r="D237" s="7" t="n">
        <f aca="false">AVERAGE(B38:B237)</f>
        <v>2466.8689</v>
      </c>
      <c r="F237" s="7" t="str">
        <f aca="false">IFERROR(INDEX(02_轉折點45個!B:B,MATCH(A237,02_轉折點45個!A:A,0)),"")</f>
        <v/>
      </c>
      <c r="G237" s="7" t="s">
        <v>1994</v>
      </c>
    </row>
    <row r="238" customFormat="false" ht="15" hidden="false" customHeight="false" outlineLevel="0" collapsed="false">
      <c r="A238" s="7" t="s">
        <v>2218</v>
      </c>
      <c r="B238" s="7" t="n">
        <v>3276.14</v>
      </c>
      <c r="C238" s="7" t="n">
        <f aca="false">AVERAGE(B189:B238)</f>
        <v>2804.3914</v>
      </c>
      <c r="D238" s="7" t="n">
        <f aca="false">AVERAGE(B39:B238)</f>
        <v>2472.56365</v>
      </c>
      <c r="F238" s="7" t="str">
        <f aca="false">IFERROR(INDEX(02_轉折點45個!B:B,MATCH(A238,02_轉折點45個!A:A,0)),"")</f>
        <v/>
      </c>
      <c r="G238" s="7" t="s">
        <v>1994</v>
      </c>
    </row>
    <row r="239" customFormat="false" ht="15" hidden="false" customHeight="false" outlineLevel="0" collapsed="false">
      <c r="A239" s="7" t="s">
        <v>2219</v>
      </c>
      <c r="B239" s="7" t="n">
        <v>3283.54</v>
      </c>
      <c r="C239" s="7" t="n">
        <f aca="false">AVERAGE(B190:B239)</f>
        <v>2820.1762</v>
      </c>
      <c r="D239" s="7" t="n">
        <f aca="false">AVERAGE(B40:B239)</f>
        <v>2478.35275</v>
      </c>
      <c r="F239" s="7" t="str">
        <f aca="false">IFERROR(INDEX(02_轉折點45個!B:B,MATCH(A239,02_轉折點45個!A:A,0)),"")</f>
        <v/>
      </c>
      <c r="G239" s="7" t="s">
        <v>1994</v>
      </c>
    </row>
    <row r="240" customFormat="false" ht="15" hidden="false" customHeight="false" outlineLevel="0" collapsed="false">
      <c r="A240" s="7" t="s">
        <v>2220</v>
      </c>
      <c r="B240" s="7" t="n">
        <v>3307.35</v>
      </c>
      <c r="C240" s="7" t="n">
        <f aca="false">AVERAGE(B191:B240)</f>
        <v>2836.1468</v>
      </c>
      <c r="D240" s="7" t="n">
        <f aca="false">AVERAGE(B41:B240)</f>
        <v>2484.4381</v>
      </c>
      <c r="F240" s="7" t="str">
        <f aca="false">IFERROR(INDEX(02_轉折點45個!B:B,MATCH(A240,02_轉折點45個!A:A,0)),"")</f>
        <v/>
      </c>
      <c r="G240" s="7" t="s">
        <v>1994</v>
      </c>
    </row>
    <row r="241" customFormat="false" ht="15" hidden="false" customHeight="false" outlineLevel="0" collapsed="false">
      <c r="A241" s="7" t="s">
        <v>2221</v>
      </c>
      <c r="B241" s="7" t="n">
        <v>3342</v>
      </c>
      <c r="C241" s="7" t="n">
        <f aca="false">AVERAGE(B192:B241)</f>
        <v>2852.9806</v>
      </c>
      <c r="D241" s="7" t="n">
        <f aca="false">AVERAGE(B42:B241)</f>
        <v>2490.66405</v>
      </c>
      <c r="F241" s="7" t="str">
        <f aca="false">IFERROR(INDEX(02_轉折點45個!B:B,MATCH(A241,02_轉折點45個!A:A,0)),"")</f>
        <v/>
      </c>
      <c r="G241" s="7" t="s">
        <v>1994</v>
      </c>
    </row>
    <row r="242" customFormat="false" ht="15" hidden="false" customHeight="false" outlineLevel="0" collapsed="false">
      <c r="A242" s="7" t="s">
        <v>2222</v>
      </c>
      <c r="B242" s="7" t="n">
        <v>3262.97</v>
      </c>
      <c r="C242" s="7" t="n">
        <f aca="false">AVERAGE(B193:B242)</f>
        <v>2867.1536</v>
      </c>
      <c r="D242" s="7" t="n">
        <f aca="false">AVERAGE(B43:B242)</f>
        <v>2496.65995</v>
      </c>
      <c r="F242" s="7" t="str">
        <f aca="false">IFERROR(INDEX(02_轉折點45個!B:B,MATCH(A242,02_轉折點45個!A:A,0)),"")</f>
        <v/>
      </c>
      <c r="G242" s="7" t="s">
        <v>1994</v>
      </c>
    </row>
    <row r="243" customFormat="false" ht="15" hidden="false" customHeight="false" outlineLevel="0" collapsed="false">
      <c r="A243" s="7" t="s">
        <v>2223</v>
      </c>
      <c r="B243" s="7" t="n">
        <v>3308.91</v>
      </c>
      <c r="C243" s="7" t="n">
        <f aca="false">AVERAGE(B194:B243)</f>
        <v>2882.1778</v>
      </c>
      <c r="D243" s="7" t="n">
        <f aca="false">AVERAGE(B44:B243)</f>
        <v>2502.8574</v>
      </c>
      <c r="F243" s="7" t="str">
        <f aca="false">IFERROR(INDEX(02_轉折點45個!B:B,MATCH(A243,02_轉折點45個!A:A,0)),"")</f>
        <v/>
      </c>
      <c r="G243" s="7" t="s">
        <v>1994</v>
      </c>
    </row>
    <row r="244" customFormat="false" ht="15" hidden="false" customHeight="false" outlineLevel="0" collapsed="false">
      <c r="A244" s="7" t="s">
        <v>2224</v>
      </c>
      <c r="B244" s="7" t="n">
        <v>3393.98</v>
      </c>
      <c r="C244" s="7" t="n">
        <f aca="false">AVERAGE(B195:B244)</f>
        <v>2897.852</v>
      </c>
      <c r="D244" s="7" t="n">
        <f aca="false">AVERAGE(B45:B244)</f>
        <v>2509.3537</v>
      </c>
      <c r="F244" s="7" t="str">
        <f aca="false">IFERROR(INDEX(02_轉折點45個!B:B,MATCH(A244,02_轉折點45個!A:A,0)),"")</f>
        <v/>
      </c>
      <c r="G244" s="7" t="s">
        <v>1994</v>
      </c>
    </row>
    <row r="245" customFormat="false" ht="15" hidden="false" customHeight="false" outlineLevel="0" collapsed="false">
      <c r="A245" s="7" t="s">
        <v>2225</v>
      </c>
      <c r="B245" s="7" t="n">
        <v>3428.69</v>
      </c>
      <c r="C245" s="7" t="n">
        <f aca="false">AVERAGE(B196:B245)</f>
        <v>2914.1566</v>
      </c>
      <c r="D245" s="7" t="n">
        <f aca="false">AVERAGE(B46:B245)</f>
        <v>2515.82155</v>
      </c>
      <c r="F245" s="7" t="str">
        <f aca="false">IFERROR(INDEX(02_轉折點45個!B:B,MATCH(A245,02_轉折點45個!A:A,0)),"")</f>
        <v/>
      </c>
      <c r="G245" s="7" t="s">
        <v>1994</v>
      </c>
    </row>
    <row r="246" customFormat="false" ht="15" hidden="false" customHeight="false" outlineLevel="0" collapsed="false">
      <c r="A246" s="7" t="s">
        <v>2226</v>
      </c>
      <c r="B246" s="7" t="n">
        <v>3456.84</v>
      </c>
      <c r="C246" s="7" t="n">
        <f aca="false">AVERAGE(B197:B246)</f>
        <v>2930.5516</v>
      </c>
      <c r="D246" s="7" t="n">
        <f aca="false">AVERAGE(B47:B246)</f>
        <v>2522.15375</v>
      </c>
      <c r="F246" s="7" t="str">
        <f aca="false">IFERROR(INDEX(02_轉折點45個!B:B,MATCH(A246,02_轉折點45個!A:A,0)),"")</f>
        <v/>
      </c>
      <c r="G246" s="7" t="s">
        <v>1994</v>
      </c>
    </row>
    <row r="247" customFormat="false" ht="15" hidden="false" customHeight="false" outlineLevel="0" collapsed="false">
      <c r="A247" s="7" t="s">
        <v>384</v>
      </c>
      <c r="B247" s="7" t="n">
        <v>3573.12</v>
      </c>
      <c r="C247" s="7" t="n">
        <f aca="false">AVERAGE(B198:B247)</f>
        <v>2948.7354</v>
      </c>
      <c r="D247" s="7" t="n">
        <f aca="false">AVERAGE(B48:B247)</f>
        <v>2529.08875</v>
      </c>
      <c r="F247" s="7" t="str">
        <f aca="false">IFERROR(INDEX(02_轉折點45個!B:B,MATCH(A247,02_轉折點45個!A:A,0)),"")</f>
        <v/>
      </c>
      <c r="G247" s="7" t="s">
        <v>1994</v>
      </c>
    </row>
    <row r="248" customFormat="false" ht="15" hidden="false" customHeight="false" outlineLevel="0" collapsed="false">
      <c r="A248" s="7" t="s">
        <v>2227</v>
      </c>
      <c r="B248" s="7" t="n">
        <v>3597.01</v>
      </c>
      <c r="C248" s="7" t="n">
        <f aca="false">AVERAGE(B199:B248)</f>
        <v>2968.1922</v>
      </c>
      <c r="D248" s="7" t="n">
        <f aca="false">AVERAGE(B49:B248)</f>
        <v>2536.0835</v>
      </c>
      <c r="F248" s="7" t="str">
        <f aca="false">IFERROR(INDEX(02_轉折點45個!B:B,MATCH(A248,02_轉折點45個!A:A,0)),"")</f>
        <v/>
      </c>
      <c r="G248" s="7" t="s">
        <v>1994</v>
      </c>
    </row>
    <row r="249" customFormat="false" ht="15" hidden="false" customHeight="false" outlineLevel="0" collapsed="false">
      <c r="A249" s="7" t="s">
        <v>2228</v>
      </c>
      <c r="B249" s="7" t="n">
        <v>3626.37</v>
      </c>
      <c r="C249" s="7" t="n">
        <f aca="false">AVERAGE(B200:B249)</f>
        <v>2989.5364</v>
      </c>
      <c r="D249" s="7" t="n">
        <f aca="false">AVERAGE(B50:B249)</f>
        <v>2543.1965</v>
      </c>
      <c r="F249" s="7" t="str">
        <f aca="false">IFERROR(INDEX(02_轉折點45個!B:B,MATCH(A249,02_轉折點45個!A:A,0)),"")</f>
        <v/>
      </c>
      <c r="G249" s="7" t="s">
        <v>1994</v>
      </c>
    </row>
    <row r="250" customFormat="false" ht="15" hidden="false" customHeight="false" outlineLevel="0" collapsed="false">
      <c r="A250" s="7" t="s">
        <v>2229</v>
      </c>
      <c r="B250" s="7" t="n">
        <v>3631.8</v>
      </c>
      <c r="C250" s="7" t="n">
        <f aca="false">AVERAGE(B201:B250)</f>
        <v>3010.8874</v>
      </c>
      <c r="D250" s="7" t="n">
        <f aca="false">AVERAGE(B51:B250)</f>
        <v>2550.477</v>
      </c>
      <c r="F250" s="7" t="str">
        <f aca="false">IFERROR(INDEX(02_轉折點45個!B:B,MATCH(A250,02_轉折點45個!A:A,0)),"")</f>
        <v/>
      </c>
      <c r="G250" s="7" t="s">
        <v>1994</v>
      </c>
    </row>
    <row r="251" customFormat="false" ht="15" hidden="false" customHeight="false" outlineLevel="0" collapsed="false">
      <c r="A251" s="7" t="s">
        <v>2230</v>
      </c>
      <c r="B251" s="7" t="n">
        <v>3628.81</v>
      </c>
      <c r="C251" s="7" t="n">
        <f aca="false">AVERAGE(B202:B251)</f>
        <v>3033.549</v>
      </c>
      <c r="D251" s="7" t="n">
        <f aca="false">AVERAGE(B52:B251)</f>
        <v>2557.51455</v>
      </c>
      <c r="F251" s="7" t="str">
        <f aca="false">IFERROR(INDEX(02_轉折點45個!B:B,MATCH(A251,02_轉折點45個!A:A,0)),"")</f>
        <v/>
      </c>
      <c r="G251" s="7" t="s">
        <v>1994</v>
      </c>
    </row>
    <row r="252" customFormat="false" ht="15" hidden="false" customHeight="false" outlineLevel="0" collapsed="false">
      <c r="A252" s="7" t="s">
        <v>385</v>
      </c>
      <c r="B252" s="7" t="n">
        <v>3692.17</v>
      </c>
      <c r="C252" s="7" t="n">
        <f aca="false">AVERAGE(B203:B252)</f>
        <v>3058.2578</v>
      </c>
      <c r="D252" s="7" t="n">
        <f aca="false">AVERAGE(B53:B252)</f>
        <v>2564.83315</v>
      </c>
      <c r="F252" s="7" t="str">
        <f aca="false">IFERROR(INDEX(02_轉折點45個!B:B,MATCH(A252,02_轉折點45個!A:A,0)),"")</f>
        <v/>
      </c>
      <c r="G252" s="7" t="s">
        <v>1994</v>
      </c>
    </row>
    <row r="253" customFormat="false" ht="15" hidden="false" customHeight="false" outlineLevel="0" collapsed="false">
      <c r="A253" s="7" t="s">
        <v>2231</v>
      </c>
      <c r="B253" s="7" t="n">
        <v>3687.97</v>
      </c>
      <c r="C253" s="7" t="n">
        <f aca="false">AVERAGE(B204:B253)</f>
        <v>3082.9002</v>
      </c>
      <c r="D253" s="7" t="n">
        <f aca="false">AVERAGE(B54:B253)</f>
        <v>2572.1778</v>
      </c>
      <c r="F253" s="7" t="str">
        <f aca="false">IFERROR(INDEX(02_轉折點45個!B:B,MATCH(A253,02_轉折點45個!A:A,0)),"")</f>
        <v/>
      </c>
      <c r="G253" s="7" t="s">
        <v>1994</v>
      </c>
    </row>
    <row r="254" customFormat="false" ht="15" hidden="false" customHeight="false" outlineLevel="0" collapsed="false">
      <c r="A254" s="7" t="s">
        <v>2232</v>
      </c>
      <c r="B254" s="7" t="n">
        <v>3717.61</v>
      </c>
      <c r="C254" s="7" t="n">
        <f aca="false">AVERAGE(B205:B254)</f>
        <v>3106.3092</v>
      </c>
      <c r="D254" s="7" t="n">
        <f aca="false">AVERAGE(B55:B254)</f>
        <v>2579.5154</v>
      </c>
      <c r="E254" s="7" t="n">
        <f aca="false">B254/MAX(B3:B254)-1</f>
        <v>0</v>
      </c>
      <c r="F254" s="7" t="str">
        <f aca="false">IFERROR(INDEX(02_轉折點45個!B:B,MATCH(A254,02_轉折點45個!A:A,0)),"")</f>
        <v/>
      </c>
      <c r="G254" s="7" t="s">
        <v>1994</v>
      </c>
    </row>
    <row r="255" customFormat="false" ht="15" hidden="false" customHeight="false" outlineLevel="0" collapsed="false">
      <c r="A255" s="7" t="s">
        <v>2233</v>
      </c>
      <c r="B255" s="7" t="n">
        <v>3774.11</v>
      </c>
      <c r="C255" s="7" t="n">
        <f aca="false">AVERAGE(B206:B255)</f>
        <v>3130.5958</v>
      </c>
      <c r="D255" s="7" t="n">
        <f aca="false">AVERAGE(B56:B255)</f>
        <v>2587.3259</v>
      </c>
      <c r="E255" s="7" t="n">
        <f aca="false">B255/MAX(B4:B255)-1</f>
        <v>0</v>
      </c>
      <c r="F255" s="7" t="str">
        <f aca="false">IFERROR(INDEX(02_轉折點45個!B:B,MATCH(A255,02_轉折點45個!A:A,0)),"")</f>
        <v/>
      </c>
      <c r="G255" s="7" t="s">
        <v>1994</v>
      </c>
    </row>
    <row r="256" customFormat="false" ht="15" hidden="false" customHeight="false" outlineLevel="0" collapsed="false">
      <c r="A256" s="7" t="s">
        <v>386</v>
      </c>
      <c r="B256" s="7" t="n">
        <v>3564.48</v>
      </c>
      <c r="C256" s="7" t="n">
        <f aca="false">AVERAGE(B207:B256)</f>
        <v>3150.4234</v>
      </c>
      <c r="D256" s="7" t="n">
        <f aca="false">AVERAGE(B57:B256)</f>
        <v>2594.20395</v>
      </c>
      <c r="E256" s="7" t="n">
        <f aca="false">B256/MAX(B5:B256)-1</f>
        <v>-0.0555442210216449</v>
      </c>
      <c r="F256" s="7" t="str">
        <f aca="false">IFERROR(INDEX(02_轉折點45個!B:B,MATCH(A256,02_轉折點45個!A:A,0)),"")</f>
        <v/>
      </c>
      <c r="G256" s="7" t="s">
        <v>1994</v>
      </c>
    </row>
    <row r="257" customFormat="false" ht="15" hidden="false" customHeight="false" outlineLevel="0" collapsed="false">
      <c r="A257" s="7" t="s">
        <v>387</v>
      </c>
      <c r="B257" s="7" t="n">
        <v>3542.41</v>
      </c>
      <c r="C257" s="7" t="n">
        <f aca="false">AVERAGE(B208:B257)</f>
        <v>3169.8202</v>
      </c>
      <c r="D257" s="7" t="n">
        <f aca="false">AVERAGE(B58:B257)</f>
        <v>2601.3056</v>
      </c>
      <c r="E257" s="7" t="n">
        <f aca="false">B257/MAX(B6:B257)-1</f>
        <v>-0.0613919573091405</v>
      </c>
      <c r="F257" s="7" t="str">
        <f aca="false">IFERROR(INDEX(02_轉折點45個!B:B,MATCH(A257,02_轉折點45個!A:A,0)),"")</f>
        <v/>
      </c>
      <c r="G257" s="7" t="s">
        <v>1994</v>
      </c>
    </row>
    <row r="258" customFormat="false" ht="15" hidden="false" customHeight="false" outlineLevel="0" collapsed="false">
      <c r="A258" s="7" t="s">
        <v>2234</v>
      </c>
      <c r="B258" s="7" t="n">
        <v>3405</v>
      </c>
      <c r="C258" s="7" t="n">
        <f aca="false">AVERAGE(B209:B258)</f>
        <v>3186.5506</v>
      </c>
      <c r="D258" s="7" t="n">
        <f aca="false">AVERAGE(B59:B258)</f>
        <v>2607.5263</v>
      </c>
      <c r="E258" s="7" t="n">
        <f aca="false">B258/MAX(B7:B258)-1</f>
        <v>-0.0978005410547123</v>
      </c>
      <c r="F258" s="7" t="str">
        <f aca="false">IFERROR(INDEX(02_轉折點45個!B:B,MATCH(A258,02_轉折點45個!A:A,0)),"")</f>
        <v/>
      </c>
      <c r="G258" s="7" t="s">
        <v>1994</v>
      </c>
    </row>
    <row r="259" customFormat="false" ht="15" hidden="false" customHeight="false" outlineLevel="0" collapsed="false">
      <c r="A259" s="7" t="s">
        <v>2235</v>
      </c>
      <c r="B259" s="7" t="n">
        <v>3547.06</v>
      </c>
      <c r="C259" s="7" t="n">
        <f aca="false">AVERAGE(B210:B259)</f>
        <v>3206.2856</v>
      </c>
      <c r="D259" s="7" t="n">
        <f aca="false">AVERAGE(B60:B259)</f>
        <v>2614.13975</v>
      </c>
      <c r="E259" s="7" t="n">
        <f aca="false">B259/MAX(B8:B259)-1</f>
        <v>-0.0601598787528715</v>
      </c>
      <c r="F259" s="7" t="str">
        <f aca="false">IFERROR(INDEX(02_轉折點45個!B:B,MATCH(A259,02_轉折點45個!A:A,0)),"")</f>
        <v/>
      </c>
      <c r="G259" s="7" t="s">
        <v>1994</v>
      </c>
    </row>
    <row r="260" customFormat="false" ht="15" hidden="false" customHeight="false" outlineLevel="0" collapsed="false">
      <c r="A260" s="7" t="s">
        <v>388</v>
      </c>
      <c r="B260" s="7" t="n">
        <v>3699.67</v>
      </c>
      <c r="C260" s="7" t="n">
        <f aca="false">AVERAGE(B211:B260)</f>
        <v>3227.7446</v>
      </c>
      <c r="D260" s="7" t="n">
        <f aca="false">AVERAGE(B61:B260)</f>
        <v>2621.58765</v>
      </c>
      <c r="E260" s="7" t="n">
        <f aca="false">B260/MAX(B9:B260)-1</f>
        <v>-0.0197238554255176</v>
      </c>
      <c r="F260" s="7" t="str">
        <f aca="false">IFERROR(INDEX(02_轉折點45個!B:B,MATCH(A260,02_轉折點45個!A:A,0)),"")</f>
        <v/>
      </c>
      <c r="G260" s="7" t="s">
        <v>1994</v>
      </c>
    </row>
    <row r="261" customFormat="false" ht="15" hidden="false" customHeight="false" outlineLevel="0" collapsed="false">
      <c r="A261" s="7" t="s">
        <v>2236</v>
      </c>
      <c r="B261" s="7" t="n">
        <v>3582.29</v>
      </c>
      <c r="C261" s="7" t="n">
        <f aca="false">AVERAGE(B212:B261)</f>
        <v>3245.1894</v>
      </c>
      <c r="D261" s="7" t="n">
        <f aca="false">AVERAGE(B62:B261)</f>
        <v>2628.11215</v>
      </c>
      <c r="E261" s="7" t="n">
        <f aca="false">B261/MAX(B10:B261)-1</f>
        <v>-0.0508252276695699</v>
      </c>
      <c r="F261" s="7" t="str">
        <f aca="false">IFERROR(INDEX(02_轉折點45個!B:B,MATCH(A261,02_轉折點45個!A:A,0)),"")</f>
        <v/>
      </c>
      <c r="G261" s="7" t="s">
        <v>1994</v>
      </c>
    </row>
    <row r="262" customFormat="false" ht="15" hidden="false" customHeight="false" outlineLevel="0" collapsed="false">
      <c r="A262" s="7" t="s">
        <v>389</v>
      </c>
      <c r="B262" s="7" t="n">
        <v>3517.27</v>
      </c>
      <c r="C262" s="7" t="n">
        <f aca="false">AVERAGE(B213:B262)</f>
        <v>3261.3116</v>
      </c>
      <c r="D262" s="7" t="n">
        <f aca="false">AVERAGE(B63:B262)</f>
        <v>2634.36885</v>
      </c>
      <c r="E262" s="7" t="n">
        <f aca="false">B262/MAX(B11:B262)-1</f>
        <v>-0.0680531304069039</v>
      </c>
      <c r="F262" s="7" t="str">
        <f aca="false">IFERROR(INDEX(02_轉折點45個!B:B,MATCH(A262,02_轉折點45個!A:A,0)),"")</f>
        <v/>
      </c>
      <c r="G262" s="7" t="s">
        <v>1994</v>
      </c>
    </row>
    <row r="263" customFormat="false" ht="15" hidden="false" customHeight="false" outlineLevel="0" collapsed="false">
      <c r="A263" s="7" t="s">
        <v>390</v>
      </c>
      <c r="B263" s="7" t="n">
        <v>3615.2</v>
      </c>
      <c r="C263" s="7" t="n">
        <f aca="false">AVERAGE(B214:B263)</f>
        <v>3279.1368</v>
      </c>
      <c r="D263" s="7" t="n">
        <f aca="false">AVERAGE(B64:B263)</f>
        <v>2641.2015</v>
      </c>
      <c r="E263" s="7" t="n">
        <f aca="false">B263/MAX(B12:B263)-1</f>
        <v>-0.0421052910487506</v>
      </c>
      <c r="F263" s="7" t="str">
        <f aca="false">IFERROR(INDEX(02_轉折點45個!B:B,MATCH(A263,02_轉折點45個!A:A,0)),"")</f>
        <v/>
      </c>
      <c r="G263" s="7" t="s">
        <v>1994</v>
      </c>
    </row>
    <row r="264" customFormat="false" ht="15" hidden="false" customHeight="false" outlineLevel="0" collapsed="false">
      <c r="A264" s="7" t="s">
        <v>2237</v>
      </c>
      <c r="B264" s="7" t="n">
        <v>3713.01</v>
      </c>
      <c r="C264" s="7" t="n">
        <f aca="false">AVERAGE(B215:B264)</f>
        <v>3298.0618</v>
      </c>
      <c r="D264" s="7" t="n">
        <f aca="false">AVERAGE(B65:B264)</f>
        <v>2648.3772</v>
      </c>
      <c r="E264" s="7" t="n">
        <f aca="false">B264/MAX(B13:B264)-1</f>
        <v>-0.0161892472662428</v>
      </c>
      <c r="F264" s="7" t="str">
        <f aca="false">IFERROR(INDEX(02_轉折點45個!B:B,MATCH(A264,02_轉折點45個!A:A,0)),"")</f>
        <v/>
      </c>
      <c r="G264" s="7" t="s">
        <v>1994</v>
      </c>
    </row>
    <row r="265" customFormat="false" ht="15" hidden="false" customHeight="false" outlineLevel="0" collapsed="false">
      <c r="A265" s="7" t="s">
        <v>2238</v>
      </c>
      <c r="B265" s="7" t="n">
        <v>3773.79</v>
      </c>
      <c r="C265" s="7" t="n">
        <f aca="false">AVERAGE(B216:B265)</f>
        <v>3317.701</v>
      </c>
      <c r="D265" s="7" t="n">
        <f aca="false">AVERAGE(B66:B265)</f>
        <v>2655.55215</v>
      </c>
      <c r="E265" s="7" t="n">
        <f aca="false">B265/MAX(B14:B265)-1</f>
        <v>-8.47882017217527E-005</v>
      </c>
      <c r="F265" s="7" t="str">
        <f aca="false">IFERROR(INDEX(02_轉折點45個!B:B,MATCH(A265,02_轉折點45個!A:A,0)),"")</f>
        <v/>
      </c>
      <c r="G265" s="7" t="s">
        <v>1994</v>
      </c>
    </row>
    <row r="266" customFormat="false" ht="15" hidden="false" customHeight="false" outlineLevel="0" collapsed="false">
      <c r="A266" s="7" t="s">
        <v>391</v>
      </c>
      <c r="B266" s="7" t="n">
        <v>3792.5</v>
      </c>
      <c r="C266" s="7" t="n">
        <f aca="false">AVERAGE(B217:B266)</f>
        <v>3336.8676</v>
      </c>
      <c r="D266" s="7" t="n">
        <f aca="false">AVERAGE(B67:B266)</f>
        <v>2662.80645</v>
      </c>
      <c r="E266" s="7" t="n">
        <f aca="false">B266/MAX(B15:B266)-1</f>
        <v>0</v>
      </c>
      <c r="F266" s="7" t="str">
        <f aca="false">IFERROR(INDEX(02_轉折點45個!B:B,MATCH(A266,02_轉折點45個!A:A,0)),"")</f>
        <v/>
      </c>
      <c r="G266" s="7" t="s">
        <v>1994</v>
      </c>
    </row>
    <row r="267" customFormat="false" ht="15" hidden="false" customHeight="false" outlineLevel="0" collapsed="false">
      <c r="A267" s="7" t="s">
        <v>392</v>
      </c>
      <c r="B267" s="7" t="n">
        <v>3827.42</v>
      </c>
      <c r="C267" s="7" t="n">
        <f aca="false">AVERAGE(B218:B267)</f>
        <v>3355.9712</v>
      </c>
      <c r="D267" s="7" t="n">
        <f aca="false">AVERAGE(B68:B267)</f>
        <v>2670.32095</v>
      </c>
      <c r="E267" s="7" t="n">
        <f aca="false">B267/MAX(B16:B267)-1</f>
        <v>0</v>
      </c>
      <c r="F267" s="7" t="str">
        <f aca="false">IFERROR(INDEX(02_轉折點45個!B:B,MATCH(A267,02_轉折點45個!A:A,0)),"")</f>
        <v/>
      </c>
      <c r="G267" s="7" t="s">
        <v>1994</v>
      </c>
    </row>
    <row r="268" customFormat="false" ht="15" hidden="false" customHeight="false" outlineLevel="0" collapsed="false">
      <c r="A268" s="7" t="s">
        <v>393</v>
      </c>
      <c r="B268" s="7" t="n">
        <v>3869.35</v>
      </c>
      <c r="C268" s="7" t="n">
        <f aca="false">AVERAGE(B219:B268)</f>
        <v>3376.2592</v>
      </c>
      <c r="D268" s="7" t="n">
        <f aca="false">AVERAGE(B69:B268)</f>
        <v>2677.9128</v>
      </c>
      <c r="E268" s="7" t="n">
        <f aca="false">B268/MAX(B17:B268)-1</f>
        <v>0</v>
      </c>
      <c r="F268" s="7" t="str">
        <f aca="false">IFERROR(INDEX(02_轉折點45個!B:B,MATCH(A268,02_轉折點45個!A:A,0)),"")</f>
        <v/>
      </c>
      <c r="G268" s="7" t="s">
        <v>1994</v>
      </c>
    </row>
    <row r="269" customFormat="false" ht="15" hidden="false" customHeight="false" outlineLevel="0" collapsed="false">
      <c r="A269" s="7" t="s">
        <v>2239</v>
      </c>
      <c r="B269" s="7" t="n">
        <v>3742.07</v>
      </c>
      <c r="C269" s="7" t="n">
        <f aca="false">AVERAGE(B220:B269)</f>
        <v>3393.4366</v>
      </c>
      <c r="D269" s="7" t="n">
        <f aca="false">AVERAGE(B70:B269)</f>
        <v>2684.77845</v>
      </c>
      <c r="E269" s="7" t="n">
        <f aca="false">B269/MAX(B18:B269)-1</f>
        <v>-0.0328944137904299</v>
      </c>
      <c r="F269" s="7" t="str">
        <f aca="false">IFERROR(INDEX(02_轉折點45個!B:B,MATCH(A269,02_轉折點45個!A:A,0)),"")</f>
        <v/>
      </c>
      <c r="G269" s="7" t="s">
        <v>1994</v>
      </c>
    </row>
    <row r="270" customFormat="false" ht="15" hidden="false" customHeight="false" outlineLevel="0" collapsed="false">
      <c r="A270" s="7" t="s">
        <v>2240</v>
      </c>
      <c r="B270" s="7" t="n">
        <v>3807.23</v>
      </c>
      <c r="C270" s="7" t="n">
        <f aca="false">AVERAGE(B221:B270)</f>
        <v>3411.162</v>
      </c>
      <c r="D270" s="7" t="n">
        <f aca="false">AVERAGE(B71:B270)</f>
        <v>2691.9436</v>
      </c>
      <c r="E270" s="7" t="n">
        <f aca="false">B270/MAX(B19:B270)-1</f>
        <v>-0.0160543760579942</v>
      </c>
      <c r="F270" s="7" t="str">
        <f aca="false">IFERROR(INDEX(02_轉折點45個!B:B,MATCH(A270,02_轉折點45個!A:A,0)),"")</f>
        <v/>
      </c>
      <c r="G270" s="7" t="s">
        <v>1994</v>
      </c>
    </row>
    <row r="271" customFormat="false" ht="15" hidden="false" customHeight="false" outlineLevel="0" collapsed="false">
      <c r="A271" s="7" t="s">
        <v>2241</v>
      </c>
      <c r="B271" s="7" t="n">
        <v>3718.16</v>
      </c>
      <c r="C271" s="7" t="n">
        <f aca="false">AVERAGE(B222:B271)</f>
        <v>3426.6702</v>
      </c>
      <c r="D271" s="7" t="n">
        <f aca="false">AVERAGE(B72:B271)</f>
        <v>2698.73335</v>
      </c>
      <c r="E271" s="7" t="n">
        <f aca="false">B271/MAX(B20:B271)-1</f>
        <v>-0.039073746236448</v>
      </c>
      <c r="F271" s="7" t="str">
        <f aca="false">IFERROR(INDEX(02_轉折點45個!B:B,MATCH(A271,02_轉折點45個!A:A,0)),"")</f>
        <v/>
      </c>
      <c r="G271" s="7" t="s">
        <v>1994</v>
      </c>
    </row>
    <row r="272" customFormat="false" ht="15" hidden="false" customHeight="false" outlineLevel="0" collapsed="false">
      <c r="A272" s="7" t="s">
        <v>2242</v>
      </c>
      <c r="B272" s="7" t="n">
        <v>3690.43</v>
      </c>
      <c r="C272" s="7" t="n">
        <f aca="false">AVERAGE(B223:B272)</f>
        <v>3441.6532</v>
      </c>
      <c r="D272" s="7" t="n">
        <f aca="false">AVERAGE(B73:B272)</f>
        <v>2705.7326</v>
      </c>
      <c r="E272" s="7" t="n">
        <f aca="false">B272/MAX(B21:B272)-1</f>
        <v>-0.0462403246023234</v>
      </c>
      <c r="F272" s="7" t="str">
        <f aca="false">IFERROR(INDEX(02_轉折點45個!B:B,MATCH(A272,02_轉折點45個!A:A,0)),"")</f>
        <v/>
      </c>
      <c r="G272" s="7" t="s">
        <v>1994</v>
      </c>
    </row>
    <row r="273" customFormat="false" ht="15" hidden="false" customHeight="false" outlineLevel="0" collapsed="false">
      <c r="A273" s="7" t="s">
        <v>394</v>
      </c>
      <c r="B273" s="7" t="n">
        <v>3551.12</v>
      </c>
      <c r="C273" s="7" t="n">
        <f aca="false">AVERAGE(B224:B273)</f>
        <v>3452.4616</v>
      </c>
      <c r="D273" s="7" t="n">
        <f aca="false">AVERAGE(B74:B273)</f>
        <v>2711.9691</v>
      </c>
      <c r="E273" s="7" t="n">
        <f aca="false">B273/MAX(B22:B273)-1</f>
        <v>-0.0822437877162832</v>
      </c>
      <c r="F273" s="7" t="str">
        <f aca="false">IFERROR(INDEX(02_轉折點45個!B:B,MATCH(A273,02_轉折點45個!A:A,0)),"")</f>
        <v/>
      </c>
      <c r="G273" s="7" t="s">
        <v>1994</v>
      </c>
    </row>
    <row r="274" customFormat="false" ht="15" hidden="false" customHeight="false" outlineLevel="0" collapsed="false">
      <c r="A274" s="7" t="s">
        <v>2243</v>
      </c>
      <c r="B274" s="7" t="n">
        <v>3599.8</v>
      </c>
      <c r="C274" s="7" t="n">
        <f aca="false">AVERAGE(B225:B274)</f>
        <v>3464.721</v>
      </c>
      <c r="D274" s="7" t="n">
        <f aca="false">AVERAGE(B75:B274)</f>
        <v>2718.62135</v>
      </c>
      <c r="E274" s="7" t="n">
        <f aca="false">B274/MAX(B23:B274)-1</f>
        <v>-0.0696628632716089</v>
      </c>
      <c r="F274" s="7" t="str">
        <f aca="false">IFERROR(INDEX(02_轉折點45個!B:B,MATCH(A274,02_轉折點45個!A:A,0)),"")</f>
        <v/>
      </c>
      <c r="G274" s="7" t="s">
        <v>1994</v>
      </c>
    </row>
    <row r="275" customFormat="false" ht="15" hidden="false" customHeight="false" outlineLevel="0" collapsed="false">
      <c r="A275" s="7" t="s">
        <v>395</v>
      </c>
      <c r="B275" s="7" t="n">
        <v>3701.78</v>
      </c>
      <c r="C275" s="7" t="n">
        <f aca="false">AVERAGE(B226:B275)</f>
        <v>3477.6</v>
      </c>
      <c r="D275" s="7" t="n">
        <f aca="false">AVERAGE(B76:B275)</f>
        <v>2726.4158</v>
      </c>
      <c r="E275" s="7" t="n">
        <f aca="false">B275/MAX(B24:B275)-1</f>
        <v>-0.0433070153901818</v>
      </c>
      <c r="F275" s="7" t="str">
        <f aca="false">IFERROR(INDEX(02_轉折點45個!B:B,MATCH(A275,02_轉折點45個!A:A,0)),"")</f>
        <v/>
      </c>
      <c r="G275" s="7" t="s">
        <v>1994</v>
      </c>
    </row>
    <row r="276" customFormat="false" ht="15" hidden="false" customHeight="false" outlineLevel="0" collapsed="false">
      <c r="A276" s="7" t="s">
        <v>2244</v>
      </c>
      <c r="B276" s="7" t="n">
        <v>3721.86</v>
      </c>
      <c r="C276" s="7" t="n">
        <f aca="false">AVERAGE(B227:B276)</f>
        <v>3490.4762</v>
      </c>
      <c r="D276" s="7" t="n">
        <f aca="false">AVERAGE(B77:B276)</f>
        <v>2734.0182</v>
      </c>
      <c r="E276" s="7" t="n">
        <f aca="false">B276/MAX(B25:B276)-1</f>
        <v>-0.0381175132774239</v>
      </c>
      <c r="F276" s="7" t="str">
        <f aca="false">IFERROR(INDEX(02_轉折點45個!B:B,MATCH(A276,02_轉折點45個!A:A,0)),"")</f>
        <v/>
      </c>
      <c r="G276" s="7" t="s">
        <v>1994</v>
      </c>
    </row>
    <row r="277" customFormat="false" ht="15" hidden="false" customHeight="false" outlineLevel="0" collapsed="false">
      <c r="A277" s="7" t="s">
        <v>2245</v>
      </c>
      <c r="B277" s="7" t="n">
        <v>3847.04</v>
      </c>
      <c r="C277" s="7" t="n">
        <f aca="false">AVERAGE(B228:B277)</f>
        <v>3505.43</v>
      </c>
      <c r="D277" s="7" t="n">
        <f aca="false">AVERAGE(B78:B277)</f>
        <v>2741.8836</v>
      </c>
      <c r="E277" s="7" t="n">
        <f aca="false">B277/MAX(B26:B277)-1</f>
        <v>-0.00576582630157518</v>
      </c>
      <c r="F277" s="7" t="str">
        <f aca="false">IFERROR(INDEX(02_轉折點45個!B:B,MATCH(A277,02_轉折點45個!A:A,0)),"")</f>
        <v/>
      </c>
      <c r="G277" s="7" t="s">
        <v>1994</v>
      </c>
    </row>
    <row r="278" customFormat="false" ht="15" hidden="false" customHeight="false" outlineLevel="0" collapsed="false">
      <c r="A278" s="7" t="s">
        <v>396</v>
      </c>
      <c r="B278" s="7" t="n">
        <v>3877.33</v>
      </c>
      <c r="C278" s="7" t="n">
        <f aca="false">AVERAGE(B229:B278)</f>
        <v>3521.8976</v>
      </c>
      <c r="D278" s="7" t="n">
        <f aca="false">AVERAGE(B79:B278)</f>
        <v>2749.56915</v>
      </c>
      <c r="E278" s="7" t="n">
        <f aca="false">B278/MAX(B27:B278)-1</f>
        <v>0</v>
      </c>
      <c r="F278" s="7" t="str">
        <f aca="false">IFERROR(INDEX(02_轉折點45個!B:B,MATCH(A278,02_轉折點45個!A:A,0)),"")</f>
        <v/>
      </c>
      <c r="G278" s="7" t="s">
        <v>1994</v>
      </c>
    </row>
    <row r="279" customFormat="false" ht="15" hidden="false" customHeight="false" outlineLevel="0" collapsed="false">
      <c r="A279" s="7" t="s">
        <v>397</v>
      </c>
      <c r="B279" s="7" t="n">
        <v>3948.25</v>
      </c>
      <c r="C279" s="7" t="n">
        <f aca="false">AVERAGE(B230:B279)</f>
        <v>3538.365</v>
      </c>
      <c r="D279" s="7" t="n">
        <f aca="false">AVERAGE(B80:B279)</f>
        <v>2757.4765</v>
      </c>
      <c r="E279" s="7" t="n">
        <f aca="false">B279/MAX(B28:B279)-1</f>
        <v>0</v>
      </c>
      <c r="F279" s="7" t="str">
        <f aca="false">IFERROR(INDEX(02_轉折點45個!B:B,MATCH(A279,02_轉折點45個!A:A,0)),"")</f>
        <v/>
      </c>
      <c r="G279" s="7" t="s">
        <v>1994</v>
      </c>
    </row>
    <row r="280" customFormat="false" ht="15" hidden="false" customHeight="false" outlineLevel="0" collapsed="false">
      <c r="A280" s="7" t="s">
        <v>2246</v>
      </c>
      <c r="B280" s="7" t="n">
        <v>4044.84</v>
      </c>
      <c r="C280" s="7" t="n">
        <f aca="false">AVERAGE(B231:B280)</f>
        <v>3556.2654</v>
      </c>
      <c r="D280" s="7" t="n">
        <f aca="false">AVERAGE(B81:B280)</f>
        <v>2765.5865</v>
      </c>
      <c r="E280" s="7" t="n">
        <f aca="false">B280/MAX(B29:B280)-1</f>
        <v>0</v>
      </c>
      <c r="F280" s="7" t="str">
        <f aca="false">IFERROR(INDEX(02_轉折點45個!B:B,MATCH(A280,02_轉折點45個!A:A,0)),"")</f>
        <v/>
      </c>
      <c r="G280" s="7" t="s">
        <v>1994</v>
      </c>
    </row>
    <row r="281" customFormat="false" ht="15" hidden="false" customHeight="false" outlineLevel="0" collapsed="false">
      <c r="A281" s="7" t="s">
        <v>2247</v>
      </c>
      <c r="B281" s="7" t="n">
        <v>3986.14</v>
      </c>
      <c r="C281" s="7" t="n">
        <f aca="false">AVERAGE(B232:B281)</f>
        <v>3573.4748</v>
      </c>
      <c r="D281" s="7" t="n">
        <f aca="false">AVERAGE(B82:B281)</f>
        <v>2773.62975</v>
      </c>
      <c r="E281" s="7" t="n">
        <f aca="false">B281/MAX(B30:B281)-1</f>
        <v>-0.0145123169272456</v>
      </c>
      <c r="F281" s="7" t="str">
        <f aca="false">IFERROR(INDEX(02_轉折點45個!B:B,MATCH(A281,02_轉折點45個!A:A,0)),"")</f>
        <v/>
      </c>
      <c r="G281" s="7" t="s">
        <v>1994</v>
      </c>
    </row>
    <row r="282" customFormat="false" ht="15" hidden="false" customHeight="false" outlineLevel="0" collapsed="false">
      <c r="A282" s="7" t="s">
        <v>2248</v>
      </c>
      <c r="B282" s="7" t="n">
        <v>4097.95</v>
      </c>
      <c r="C282" s="7" t="n">
        <f aca="false">AVERAGE(B233:B282)</f>
        <v>3594.4774</v>
      </c>
      <c r="D282" s="7" t="n">
        <f aca="false">AVERAGE(B83:B282)</f>
        <v>2782.46975</v>
      </c>
      <c r="E282" s="7" t="n">
        <f aca="false">B282/MAX(B31:B282)-1</f>
        <v>0</v>
      </c>
      <c r="F282" s="7" t="str">
        <f aca="false">IFERROR(INDEX(02_轉折點45個!B:B,MATCH(A282,02_轉折點45個!A:A,0)),"")</f>
        <v/>
      </c>
      <c r="G282" s="7" t="s">
        <v>1994</v>
      </c>
    </row>
    <row r="283" customFormat="false" ht="15" hidden="false" customHeight="false" outlineLevel="0" collapsed="false">
      <c r="A283" s="7" t="s">
        <v>2249</v>
      </c>
      <c r="B283" s="7" t="n">
        <v>4015.56</v>
      </c>
      <c r="C283" s="7" t="n">
        <f aca="false">AVERAGE(B234:B283)</f>
        <v>3613.5114</v>
      </c>
      <c r="D283" s="7" t="n">
        <f aca="false">AVERAGE(B84:B283)</f>
        <v>2790.998</v>
      </c>
      <c r="E283" s="7" t="n">
        <f aca="false">B283/MAX(B32:B283)-1</f>
        <v>-0.0201051745384887</v>
      </c>
      <c r="F283" s="7" t="str">
        <f aca="false">IFERROR(INDEX(02_轉折點45個!B:B,MATCH(A283,02_轉折點45個!A:A,0)),"")</f>
        <v/>
      </c>
      <c r="G283" s="7" t="s">
        <v>1994</v>
      </c>
    </row>
    <row r="284" customFormat="false" ht="15" hidden="false" customHeight="false" outlineLevel="0" collapsed="false">
      <c r="A284" s="7" t="s">
        <v>2250</v>
      </c>
      <c r="B284" s="7" t="n">
        <v>4036.67</v>
      </c>
      <c r="C284" s="7" t="n">
        <f aca="false">AVERAGE(B235:B284)</f>
        <v>3631.1574</v>
      </c>
      <c r="D284" s="7" t="n">
        <f aca="false">AVERAGE(B85:B284)</f>
        <v>2799.5659</v>
      </c>
      <c r="E284" s="7" t="n">
        <f aca="false">B284/MAX(B33:B284)-1</f>
        <v>-0.0149538183726009</v>
      </c>
      <c r="F284" s="7" t="str">
        <f aca="false">IFERROR(INDEX(02_轉折點45個!B:B,MATCH(A284,02_轉折點45個!A:A,0)),"")</f>
        <v/>
      </c>
      <c r="G284" s="7" t="s">
        <v>1994</v>
      </c>
    </row>
    <row r="285" customFormat="false" ht="15" hidden="false" customHeight="false" outlineLevel="0" collapsed="false">
      <c r="A285" s="7" t="s">
        <v>2251</v>
      </c>
      <c r="B285" s="7" t="n">
        <v>4038.69</v>
      </c>
      <c r="C285" s="7" t="n">
        <f aca="false">AVERAGE(B236:B285)</f>
        <v>3647.6042</v>
      </c>
      <c r="D285" s="7" t="n">
        <f aca="false">AVERAGE(B86:B285)</f>
        <v>2808.17715</v>
      </c>
      <c r="E285" s="7" t="n">
        <f aca="false">B285/MAX(B34:B285)-1</f>
        <v>-0.0144608889810759</v>
      </c>
      <c r="F285" s="7" t="str">
        <f aca="false">IFERROR(INDEX(02_轉折點45個!B:B,MATCH(A285,02_轉折點45個!A:A,0)),"")</f>
        <v/>
      </c>
      <c r="G285" s="7" t="s">
        <v>1994</v>
      </c>
    </row>
    <row r="286" customFormat="false" ht="15" hidden="false" customHeight="false" outlineLevel="0" collapsed="false">
      <c r="A286" s="7" t="s">
        <v>2252</v>
      </c>
      <c r="B286" s="7" t="n">
        <v>4044.98</v>
      </c>
      <c r="C286" s="7" t="n">
        <f aca="false">AVERAGE(B237:B286)</f>
        <v>3663.713</v>
      </c>
      <c r="D286" s="7" t="n">
        <f aca="false">AVERAGE(B87:B286)</f>
        <v>2817.05035</v>
      </c>
      <c r="E286" s="7" t="n">
        <f aca="false">B286/MAX(B35:B286)-1</f>
        <v>-0.0129259751827132</v>
      </c>
      <c r="F286" s="7" t="str">
        <f aca="false">IFERROR(INDEX(02_轉折點45個!B:B,MATCH(A286,02_轉折點45個!A:A,0)),"")</f>
        <v/>
      </c>
      <c r="G286" s="7" t="s">
        <v>1994</v>
      </c>
    </row>
    <row r="287" customFormat="false" ht="15" hidden="false" customHeight="false" outlineLevel="0" collapsed="false">
      <c r="A287" s="7" t="s">
        <v>2253</v>
      </c>
      <c r="B287" s="7" t="n">
        <v>4155.77</v>
      </c>
      <c r="C287" s="7" t="n">
        <f aca="false">AVERAGE(B238:B287)</f>
        <v>3681.2902</v>
      </c>
      <c r="D287" s="7" t="n">
        <f aca="false">AVERAGE(B88:B287)</f>
        <v>2826.2522</v>
      </c>
      <c r="E287" s="7" t="n">
        <f aca="false">B287/MAX(B36:B287)-1</f>
        <v>0</v>
      </c>
      <c r="F287" s="7" t="str">
        <f aca="false">IFERROR(INDEX(02_轉折點45個!B:B,MATCH(A287,02_轉折點45個!A:A,0)),"")</f>
        <v/>
      </c>
      <c r="G287" s="7" t="s">
        <v>1994</v>
      </c>
    </row>
    <row r="288" customFormat="false" ht="15" hidden="false" customHeight="false" outlineLevel="0" collapsed="false">
      <c r="A288" s="7" t="s">
        <v>2254</v>
      </c>
      <c r="B288" s="7" t="n">
        <v>4030.45</v>
      </c>
      <c r="C288" s="7" t="n">
        <f aca="false">AVERAGE(B239:B288)</f>
        <v>3696.3764</v>
      </c>
      <c r="D288" s="7" t="n">
        <f aca="false">AVERAGE(B89:B288)</f>
        <v>2835.1114</v>
      </c>
      <c r="E288" s="7" t="n">
        <f aca="false">B288/MAX(B37:B288)-1</f>
        <v>-0.0301556630901134</v>
      </c>
      <c r="F288" s="7" t="str">
        <f aca="false">IFERROR(INDEX(02_轉折點45個!B:B,MATCH(A288,02_轉折點45個!A:A,0)),"")</f>
        <v/>
      </c>
      <c r="G288" s="7" t="s">
        <v>1994</v>
      </c>
    </row>
    <row r="289" customFormat="false" ht="15" hidden="false" customHeight="false" outlineLevel="0" collapsed="false">
      <c r="A289" s="7" t="s">
        <v>2255</v>
      </c>
      <c r="B289" s="7" t="n">
        <v>4003.38</v>
      </c>
      <c r="C289" s="7" t="n">
        <f aca="false">AVERAGE(B240:B289)</f>
        <v>3710.7732</v>
      </c>
      <c r="D289" s="7" t="n">
        <f aca="false">AVERAGE(B90:B289)</f>
        <v>2843.6921</v>
      </c>
      <c r="E289" s="7" t="n">
        <f aca="false">B289/MAX(B38:B289)-1</f>
        <v>-0.0366694980713563</v>
      </c>
      <c r="F289" s="7" t="str">
        <f aca="false">IFERROR(INDEX(02_轉折點45個!B:B,MATCH(A289,02_轉折點45個!A:A,0)),"")</f>
        <v/>
      </c>
      <c r="G289" s="7" t="s">
        <v>1994</v>
      </c>
    </row>
    <row r="290" customFormat="false" ht="15" hidden="false" customHeight="false" outlineLevel="0" collapsed="false">
      <c r="A290" s="7" t="s">
        <v>398</v>
      </c>
      <c r="B290" s="7" t="n">
        <v>4157.06</v>
      </c>
      <c r="C290" s="7" t="n">
        <f aca="false">AVERAGE(B241:B290)</f>
        <v>3727.7674</v>
      </c>
      <c r="D290" s="7" t="n">
        <f aca="false">AVERAGE(B91:B290)</f>
        <v>2852.9372</v>
      </c>
      <c r="E290" s="7" t="n">
        <f aca="false">B290/MAX(B39:B290)-1</f>
        <v>0</v>
      </c>
      <c r="F290" s="7" t="str">
        <f aca="false">IFERROR(INDEX(02_轉折點45個!B:B,MATCH(A290,02_轉折點45個!A:A,0)),"")</f>
        <v/>
      </c>
      <c r="G290" s="7" t="s">
        <v>1994</v>
      </c>
    </row>
    <row r="291" customFormat="false" ht="15" hidden="false" customHeight="false" outlineLevel="0" collapsed="false">
      <c r="A291" s="7" t="s">
        <v>2256</v>
      </c>
      <c r="B291" s="7" t="n">
        <v>4218.56</v>
      </c>
      <c r="C291" s="7" t="n">
        <f aca="false">AVERAGE(B242:B291)</f>
        <v>3745.2986</v>
      </c>
      <c r="D291" s="7" t="n">
        <f aca="false">AVERAGE(B92:B291)</f>
        <v>2862.30575</v>
      </c>
      <c r="E291" s="7" t="n">
        <f aca="false">B291/MAX(B40:B291)-1</f>
        <v>0</v>
      </c>
      <c r="F291" s="7" t="str">
        <f aca="false">IFERROR(INDEX(02_轉折點45個!B:B,MATCH(A291,02_轉折點45個!A:A,0)),"")</f>
        <v/>
      </c>
      <c r="G291" s="7" t="s">
        <v>1994</v>
      </c>
    </row>
    <row r="292" customFormat="false" ht="15" hidden="false" customHeight="false" outlineLevel="0" collapsed="false">
      <c r="A292" s="7" t="s">
        <v>2257</v>
      </c>
      <c r="B292" s="7" t="n">
        <v>4193.76</v>
      </c>
      <c r="C292" s="7" t="n">
        <f aca="false">AVERAGE(B243:B292)</f>
        <v>3763.9144</v>
      </c>
      <c r="D292" s="7" t="n">
        <f aca="false">AVERAGE(B93:B292)</f>
        <v>2871.36825</v>
      </c>
      <c r="E292" s="7" t="n">
        <f aca="false">B292/MAX(B41:B292)-1</f>
        <v>-0.00587878328149893</v>
      </c>
      <c r="F292" s="7" t="str">
        <f aca="false">IFERROR(INDEX(02_轉折點45個!B:B,MATCH(A292,02_轉折點45個!A:A,0)),"")</f>
        <v/>
      </c>
      <c r="G292" s="7" t="s">
        <v>1994</v>
      </c>
    </row>
    <row r="293" customFormat="false" ht="15" hidden="false" customHeight="false" outlineLevel="0" collapsed="false">
      <c r="A293" s="7" t="s">
        <v>2258</v>
      </c>
      <c r="B293" s="7" t="n">
        <v>4182.2</v>
      </c>
      <c r="C293" s="7" t="n">
        <f aca="false">AVERAGE(B244:B293)</f>
        <v>3781.3802</v>
      </c>
      <c r="D293" s="7" t="n">
        <f aca="false">AVERAGE(B94:B293)</f>
        <v>2880.48505</v>
      </c>
      <c r="E293" s="7" t="n">
        <f aca="false">B293/MAX(B42:B293)-1</f>
        <v>-0.00861905484335901</v>
      </c>
      <c r="F293" s="7" t="str">
        <f aca="false">IFERROR(INDEX(02_轉折點45個!B:B,MATCH(A293,02_轉折點45個!A:A,0)),"")</f>
        <v/>
      </c>
      <c r="G293" s="7" t="s">
        <v>1994</v>
      </c>
    </row>
    <row r="294" customFormat="false" ht="15" hidden="false" customHeight="false" outlineLevel="0" collapsed="false">
      <c r="A294" s="7" t="s">
        <v>2259</v>
      </c>
      <c r="B294" s="7" t="n">
        <v>4290.77</v>
      </c>
      <c r="C294" s="7" t="n">
        <f aca="false">AVERAGE(B245:B294)</f>
        <v>3799.316</v>
      </c>
      <c r="D294" s="7" t="n">
        <f aca="false">AVERAGE(B95:B294)</f>
        <v>2890.392</v>
      </c>
      <c r="E294" s="7" t="n">
        <f aca="false">B294/MAX(B43:B294)-1</f>
        <v>0</v>
      </c>
      <c r="F294" s="7" t="str">
        <f aca="false">IFERROR(INDEX(02_轉折點45個!B:B,MATCH(A294,02_轉折點45個!A:A,0)),"")</f>
        <v/>
      </c>
      <c r="G294" s="7" t="s">
        <v>1994</v>
      </c>
    </row>
    <row r="295" customFormat="false" ht="15" hidden="false" customHeight="false" outlineLevel="0" collapsed="false">
      <c r="A295" s="7" t="s">
        <v>2260</v>
      </c>
      <c r="B295" s="7" t="n">
        <v>4370.6</v>
      </c>
      <c r="C295" s="7" t="n">
        <f aca="false">AVERAGE(B246:B295)</f>
        <v>3818.1542</v>
      </c>
      <c r="D295" s="7" t="n">
        <f aca="false">AVERAGE(B96:B295)</f>
        <v>2900.54285</v>
      </c>
      <c r="E295" s="7" t="n">
        <f aca="false">B295/MAX(B44:B295)-1</f>
        <v>0</v>
      </c>
      <c r="F295" s="7" t="str">
        <f aca="false">IFERROR(INDEX(02_轉折點45個!B:B,MATCH(A295,02_轉折點45個!A:A,0)),"")</f>
        <v/>
      </c>
      <c r="G295" s="7" t="s">
        <v>1994</v>
      </c>
    </row>
    <row r="296" customFormat="false" ht="15" hidden="false" customHeight="false" outlineLevel="0" collapsed="false">
      <c r="A296" s="7" t="s">
        <v>2261</v>
      </c>
      <c r="B296" s="7" t="n">
        <v>4343.59</v>
      </c>
      <c r="C296" s="7" t="n">
        <f aca="false">AVERAGE(B247:B296)</f>
        <v>3835.8892</v>
      </c>
      <c r="D296" s="7" t="n">
        <f aca="false">AVERAGE(B97:B296)</f>
        <v>2910.57455</v>
      </c>
      <c r="E296" s="7" t="n">
        <f aca="false">B296/MAX(B45:B296)-1</f>
        <v>-0.00617992952912649</v>
      </c>
      <c r="F296" s="7" t="str">
        <f aca="false">IFERROR(INDEX(02_轉折點45個!B:B,MATCH(A296,02_轉折點45個!A:A,0)),"")</f>
        <v/>
      </c>
      <c r="G296" s="7" t="s">
        <v>1994</v>
      </c>
    </row>
    <row r="297" customFormat="false" ht="15" hidden="false" customHeight="false" outlineLevel="0" collapsed="false">
      <c r="A297" s="7" t="s">
        <v>2262</v>
      </c>
      <c r="B297" s="7" t="n">
        <v>4490.02</v>
      </c>
      <c r="C297" s="7" t="n">
        <f aca="false">AVERAGE(B248:B297)</f>
        <v>3854.2272</v>
      </c>
      <c r="D297" s="7" t="n">
        <f aca="false">AVERAGE(B98:B297)</f>
        <v>2921.25145</v>
      </c>
      <c r="E297" s="7" t="n">
        <f aca="false">B297/MAX(B46:B297)-1</f>
        <v>0</v>
      </c>
      <c r="F297" s="7" t="str">
        <f aca="false">IFERROR(INDEX(02_轉折點45個!B:B,MATCH(A297,02_轉折點45個!A:A,0)),"")</f>
        <v/>
      </c>
      <c r="G297" s="7" t="s">
        <v>1994</v>
      </c>
    </row>
    <row r="298" customFormat="false" ht="15" hidden="false" customHeight="false" outlineLevel="0" collapsed="false">
      <c r="A298" s="7" t="s">
        <v>2263</v>
      </c>
      <c r="B298" s="7" t="n">
        <v>4480.94</v>
      </c>
      <c r="C298" s="7" t="n">
        <f aca="false">AVERAGE(B249:B298)</f>
        <v>3871.9058</v>
      </c>
      <c r="D298" s="7" t="n">
        <f aca="false">AVERAGE(B99:B298)</f>
        <v>2932.0436</v>
      </c>
      <c r="E298" s="7" t="n">
        <f aca="false">B298/MAX(B47:B298)-1</f>
        <v>-0.00202226270707051</v>
      </c>
      <c r="F298" s="7" t="str">
        <f aca="false">IFERROR(INDEX(02_轉折點45個!B:B,MATCH(A298,02_轉折點45個!A:A,0)),"")</f>
        <v/>
      </c>
      <c r="G298" s="7" t="s">
        <v>1994</v>
      </c>
    </row>
    <row r="299" customFormat="false" ht="15" hidden="false" customHeight="false" outlineLevel="0" collapsed="false">
      <c r="A299" s="7" t="s">
        <v>2264</v>
      </c>
      <c r="B299" s="7" t="n">
        <v>4428.85</v>
      </c>
      <c r="C299" s="7" t="n">
        <f aca="false">AVERAGE(B250:B299)</f>
        <v>3887.9554</v>
      </c>
      <c r="D299" s="7" t="n">
        <f aca="false">AVERAGE(B100:B299)</f>
        <v>2942.6762</v>
      </c>
      <c r="E299" s="7" t="n">
        <f aca="false">B299/MAX(B48:B299)-1</f>
        <v>-0.013623547333865</v>
      </c>
      <c r="F299" s="7" t="str">
        <f aca="false">IFERROR(INDEX(02_轉折點45個!B:B,MATCH(A299,02_轉折點45個!A:A,0)),"")</f>
        <v/>
      </c>
      <c r="G299" s="7" t="s">
        <v>1994</v>
      </c>
    </row>
    <row r="300" customFormat="false" ht="15" hidden="false" customHeight="false" outlineLevel="0" collapsed="false">
      <c r="A300" s="7" t="s">
        <v>2265</v>
      </c>
      <c r="B300" s="7" t="n">
        <v>4474</v>
      </c>
      <c r="C300" s="7" t="n">
        <f aca="false">AVERAGE(B251:B300)</f>
        <v>3904.7994</v>
      </c>
      <c r="D300" s="7" t="n">
        <f aca="false">AVERAGE(B101:B300)</f>
        <v>2953.8382</v>
      </c>
      <c r="E300" s="7" t="n">
        <f aca="false">B300/MAX(B49:B300)-1</f>
        <v>-0.00356791283780478</v>
      </c>
      <c r="F300" s="7" t="str">
        <f aca="false">IFERROR(INDEX(02_轉折點45個!B:B,MATCH(A300,02_轉折點45個!A:A,0)),"")</f>
        <v/>
      </c>
      <c r="G300" s="7" t="s">
        <v>1994</v>
      </c>
    </row>
    <row r="301" customFormat="false" ht="15" hidden="false" customHeight="false" outlineLevel="0" collapsed="false">
      <c r="A301" s="7" t="s">
        <v>2266</v>
      </c>
      <c r="B301" s="7" t="n">
        <v>4610.67</v>
      </c>
      <c r="C301" s="7" t="n">
        <f aca="false">AVERAGE(B252:B301)</f>
        <v>3924.4366</v>
      </c>
      <c r="D301" s="7" t="n">
        <f aca="false">AVERAGE(B102:B301)</f>
        <v>2966.01595</v>
      </c>
      <c r="E301" s="7" t="n">
        <f aca="false">B301/MAX(B50:B301)-1</f>
        <v>0</v>
      </c>
      <c r="F301" s="7" t="str">
        <f aca="false">IFERROR(INDEX(02_轉折點45個!B:B,MATCH(A301,02_轉折點45個!A:A,0)),"")</f>
        <v/>
      </c>
      <c r="G301" s="7" t="s">
        <v>1994</v>
      </c>
    </row>
    <row r="302" customFormat="false" ht="15" hidden="false" customHeight="false" outlineLevel="0" collapsed="false">
      <c r="A302" s="7" t="s">
        <v>114</v>
      </c>
      <c r="B302" s="7" t="n">
        <v>4612.28</v>
      </c>
      <c r="C302" s="7" t="n">
        <f aca="false">AVERAGE(B253:B302)</f>
        <v>3942.8388</v>
      </c>
      <c r="D302" s="7" t="n">
        <f aca="false">AVERAGE(B103:B302)</f>
        <v>2977.9903</v>
      </c>
      <c r="E302" s="7" t="n">
        <f aca="false">B302/MAX(B51:B302)-1</f>
        <v>0</v>
      </c>
      <c r="F302" s="7" t="str">
        <f aca="false">IFERROR(INDEX(02_轉折點45個!B:B,MATCH(A302,02_轉折點45個!A:A,0)),"")</f>
        <v>TOP</v>
      </c>
      <c r="G302" s="7" t="s">
        <v>1994</v>
      </c>
    </row>
    <row r="303" customFormat="false" ht="15" hidden="false" customHeight="false" outlineLevel="0" collapsed="false">
      <c r="A303" s="7" t="s">
        <v>2267</v>
      </c>
      <c r="B303" s="7" t="n">
        <v>4483.12</v>
      </c>
      <c r="C303" s="7" t="n">
        <f aca="false">AVERAGE(B254:B303)</f>
        <v>3958.7418</v>
      </c>
      <c r="D303" s="7" t="n">
        <f aca="false">AVERAGE(B104:B303)</f>
        <v>2989.35555</v>
      </c>
      <c r="E303" s="7" t="n">
        <f aca="false">B303/MAX(B52:B303)-1</f>
        <v>-0.0280035036901489</v>
      </c>
      <c r="F303" s="7" t="str">
        <f aca="false">IFERROR(INDEX(02_轉折點45個!B:B,MATCH(A303,02_轉折點45個!A:A,0)),"")</f>
        <v/>
      </c>
      <c r="G303" s="7" t="s">
        <v>1994</v>
      </c>
    </row>
    <row r="304" customFormat="false" ht="15" hidden="false" customHeight="false" outlineLevel="0" collapsed="false">
      <c r="A304" s="7" t="s">
        <v>399</v>
      </c>
      <c r="B304" s="7" t="n">
        <v>4299.85</v>
      </c>
      <c r="C304" s="7" t="n">
        <f aca="false">AVERAGE(B255:B304)</f>
        <v>3970.3866</v>
      </c>
      <c r="D304" s="7" t="n">
        <f aca="false">AVERAGE(B105:B304)</f>
        <v>2999.5698</v>
      </c>
      <c r="E304" s="7" t="n">
        <f aca="false">B304/MAX(B53:B304)-1</f>
        <v>-0.067738732253896</v>
      </c>
      <c r="F304" s="7" t="str">
        <f aca="false">IFERROR(INDEX(02_轉折點45個!B:B,MATCH(A304,02_轉折點45個!A:A,0)),"")</f>
        <v/>
      </c>
      <c r="G304" s="7" t="s">
        <v>1994</v>
      </c>
    </row>
    <row r="305" customFormat="false" ht="15" hidden="false" customHeight="false" outlineLevel="0" collapsed="false">
      <c r="A305" s="7" t="s">
        <v>2268</v>
      </c>
      <c r="B305" s="7" t="n">
        <v>4186.56</v>
      </c>
      <c r="C305" s="7" t="n">
        <f aca="false">AVERAGE(B256:B305)</f>
        <v>3978.6356</v>
      </c>
      <c r="D305" s="7" t="n">
        <f aca="false">AVERAGE(B106:B305)</f>
        <v>3009.4848</v>
      </c>
      <c r="E305" s="7" t="n">
        <f aca="false">B305/MAX(B54:B305)-1</f>
        <v>-0.0923014214228103</v>
      </c>
      <c r="F305" s="7" t="str">
        <f aca="false">IFERROR(INDEX(02_轉折點45個!B:B,MATCH(A305,02_轉折點45個!A:A,0)),"")</f>
        <v/>
      </c>
      <c r="G305" s="7" t="s">
        <v>1994</v>
      </c>
    </row>
    <row r="306" customFormat="false" ht="15" hidden="false" customHeight="false" outlineLevel="0" collapsed="false">
      <c r="A306" s="7" t="s">
        <v>2269</v>
      </c>
      <c r="B306" s="7" t="n">
        <v>4309.68</v>
      </c>
      <c r="C306" s="7" t="n">
        <f aca="false">AVERAGE(B257:B306)</f>
        <v>3993.5396</v>
      </c>
      <c r="D306" s="7" t="n">
        <f aca="false">AVERAGE(B107:B306)</f>
        <v>3019.9223</v>
      </c>
      <c r="E306" s="7" t="n">
        <f aca="false">B306/MAX(B55:B306)-1</f>
        <v>-0.0656074652883172</v>
      </c>
      <c r="F306" s="7" t="str">
        <f aca="false">IFERROR(INDEX(02_轉折點45個!B:B,MATCH(A306,02_轉折點45個!A:A,0)),"")</f>
        <v/>
      </c>
      <c r="G306" s="7" t="s">
        <v>1994</v>
      </c>
    </row>
    <row r="307" customFormat="false" ht="15" hidden="false" customHeight="false" outlineLevel="0" collapsed="false">
      <c r="A307" s="7" t="s">
        <v>400</v>
      </c>
      <c r="B307" s="7" t="n">
        <v>4383.44</v>
      </c>
      <c r="C307" s="7" t="n">
        <f aca="false">AVERAGE(B258:B307)</f>
        <v>4010.3602</v>
      </c>
      <c r="D307" s="7" t="n">
        <f aca="false">AVERAGE(B108:B307)</f>
        <v>3030.86145</v>
      </c>
      <c r="E307" s="7" t="n">
        <f aca="false">B307/MAX(B56:B307)-1</f>
        <v>-0.0496153746086535</v>
      </c>
      <c r="F307" s="7" t="str">
        <f aca="false">IFERROR(INDEX(02_轉折點45個!B:B,MATCH(A307,02_轉折點45個!A:A,0)),"")</f>
        <v/>
      </c>
      <c r="G307" s="7" t="s">
        <v>1994</v>
      </c>
    </row>
    <row r="308" customFormat="false" ht="15" hidden="false" customHeight="false" outlineLevel="0" collapsed="false">
      <c r="A308" s="7" t="s">
        <v>401</v>
      </c>
      <c r="B308" s="7" t="n">
        <v>4211.57</v>
      </c>
      <c r="C308" s="7" t="n">
        <f aca="false">AVERAGE(B259:B308)</f>
        <v>4026.4916</v>
      </c>
      <c r="D308" s="7" t="n">
        <f aca="false">AVERAGE(B109:B308)</f>
        <v>3040.5986</v>
      </c>
      <c r="E308" s="7" t="n">
        <f aca="false">B308/MAX(B57:B308)-1</f>
        <v>-0.086878940567355</v>
      </c>
      <c r="F308" s="7" t="str">
        <f aca="false">IFERROR(INDEX(02_轉折點45個!B:B,MATCH(A308,02_轉折點45個!A:A,0)),"")</f>
        <v/>
      </c>
      <c r="G308" s="7" t="s">
        <v>1994</v>
      </c>
    </row>
    <row r="309" customFormat="false" ht="15" hidden="false" customHeight="false" outlineLevel="0" collapsed="false">
      <c r="A309" s="7" t="s">
        <v>2270</v>
      </c>
      <c r="B309" s="7" t="n">
        <v>4304.46</v>
      </c>
      <c r="C309" s="7" t="n">
        <f aca="false">AVERAGE(B260:B309)</f>
        <v>4041.6396</v>
      </c>
      <c r="D309" s="7" t="n">
        <f aca="false">AVERAGE(B110:B309)</f>
        <v>3050.59065</v>
      </c>
      <c r="E309" s="7" t="n">
        <f aca="false">B309/MAX(B58:B309)-1</f>
        <v>-0.0667392265864171</v>
      </c>
      <c r="F309" s="7" t="str">
        <f aca="false">IFERROR(INDEX(02_轉折點45個!B:B,MATCH(A309,02_轉折點45個!A:A,0)),"")</f>
        <v/>
      </c>
      <c r="G309" s="7" t="s">
        <v>1994</v>
      </c>
    </row>
    <row r="310" customFormat="false" ht="15" hidden="false" customHeight="false" outlineLevel="0" collapsed="false">
      <c r="A310" s="7" t="s">
        <v>402</v>
      </c>
      <c r="B310" s="7" t="n">
        <v>4444.3</v>
      </c>
      <c r="C310" s="7" t="n">
        <f aca="false">AVERAGE(B261:B310)</f>
        <v>4056.5322</v>
      </c>
      <c r="D310" s="7" t="n">
        <f aca="false">AVERAGE(B111:B310)</f>
        <v>3061.5087</v>
      </c>
      <c r="E310" s="7" t="n">
        <f aca="false">B310/MAX(B59:B310)-1</f>
        <v>-0.036420165297857</v>
      </c>
      <c r="F310" s="7" t="str">
        <f aca="false">IFERROR(INDEX(02_轉折點45個!B:B,MATCH(A310,02_轉折點45個!A:A,0)),"")</f>
        <v/>
      </c>
      <c r="G310" s="7" t="s">
        <v>1994</v>
      </c>
    </row>
    <row r="311" customFormat="false" ht="15" hidden="false" customHeight="false" outlineLevel="0" collapsed="false">
      <c r="A311" s="7" t="s">
        <v>2271</v>
      </c>
      <c r="B311" s="7" t="n">
        <v>4513.61</v>
      </c>
      <c r="C311" s="7" t="n">
        <f aca="false">AVERAGE(B262:B311)</f>
        <v>4075.1586</v>
      </c>
      <c r="D311" s="7" t="n">
        <f aca="false">AVERAGE(B112:B311)</f>
        <v>3072.5687</v>
      </c>
      <c r="E311" s="7" t="n">
        <f aca="false">B311/MAX(B60:B311)-1</f>
        <v>-0.0213928902841979</v>
      </c>
      <c r="F311" s="7" t="str">
        <f aca="false">IFERROR(INDEX(02_轉折點45個!B:B,MATCH(A311,02_轉折點45個!A:A,0)),"")</f>
        <v/>
      </c>
      <c r="G311" s="7" t="s">
        <v>1994</v>
      </c>
    </row>
    <row r="312" customFormat="false" ht="15" hidden="false" customHeight="false" outlineLevel="0" collapsed="false">
      <c r="A312" s="7" t="s">
        <v>2272</v>
      </c>
      <c r="B312" s="7" t="n">
        <v>4534.09</v>
      </c>
      <c r="C312" s="7" t="n">
        <f aca="false">AVERAGE(B263:B312)</f>
        <v>4095.495</v>
      </c>
      <c r="D312" s="7" t="n">
        <f aca="false">AVERAGE(B113:B312)</f>
        <v>3083.88975</v>
      </c>
      <c r="E312" s="7" t="n">
        <f aca="false">B312/MAX(B61:B312)-1</f>
        <v>-0.0169525700954841</v>
      </c>
      <c r="F312" s="7" t="str">
        <f aca="false">IFERROR(INDEX(02_轉折點45個!B:B,MATCH(A312,02_轉折點45個!A:A,0)),"")</f>
        <v/>
      </c>
      <c r="G312" s="7" t="s">
        <v>1994</v>
      </c>
    </row>
    <row r="313" customFormat="false" ht="15" hidden="false" customHeight="false" outlineLevel="0" collapsed="false">
      <c r="A313" s="7" t="s">
        <v>2273</v>
      </c>
      <c r="B313" s="7" t="n">
        <v>4530</v>
      </c>
      <c r="C313" s="7" t="n">
        <f aca="false">AVERAGE(B264:B313)</f>
        <v>4113.791</v>
      </c>
      <c r="D313" s="7" t="n">
        <f aca="false">AVERAGE(B114:B313)</f>
        <v>3095.35815</v>
      </c>
      <c r="E313" s="7" t="n">
        <f aca="false">B313/MAX(B62:B313)-1</f>
        <v>-0.0178393332581717</v>
      </c>
      <c r="F313" s="7" t="str">
        <f aca="false">IFERROR(INDEX(02_轉折點45個!B:B,MATCH(A313,02_轉折點45個!A:A,0)),"")</f>
        <v/>
      </c>
      <c r="G313" s="7" t="s">
        <v>1994</v>
      </c>
    </row>
    <row r="314" customFormat="false" ht="15" hidden="false" customHeight="false" outlineLevel="0" collapsed="false">
      <c r="A314" s="7" t="s">
        <v>2274</v>
      </c>
      <c r="B314" s="7" t="n">
        <v>4416.11</v>
      </c>
      <c r="C314" s="7" t="n">
        <f aca="false">AVERAGE(B265:B314)</f>
        <v>4127.853</v>
      </c>
      <c r="D314" s="7" t="n">
        <f aca="false">AVERAGE(B115:B314)</f>
        <v>3106.48355</v>
      </c>
      <c r="E314" s="7" t="n">
        <f aca="false">B314/MAX(B63:B314)-1</f>
        <v>-0.0425321099326147</v>
      </c>
      <c r="F314" s="7" t="str">
        <f aca="false">IFERROR(INDEX(02_轉折點45個!B:B,MATCH(A314,02_轉折點45個!A:A,0)),"")</f>
        <v/>
      </c>
      <c r="G314" s="7" t="s">
        <v>1994</v>
      </c>
    </row>
    <row r="315" customFormat="false" ht="15" hidden="false" customHeight="false" outlineLevel="0" collapsed="false">
      <c r="A315" s="7" t="s">
        <v>403</v>
      </c>
      <c r="B315" s="7" t="n">
        <v>4243.24</v>
      </c>
      <c r="C315" s="7" t="n">
        <f aca="false">AVERAGE(B266:B315)</f>
        <v>4137.242</v>
      </c>
      <c r="D315" s="7" t="n">
        <f aca="false">AVERAGE(B116:B315)</f>
        <v>3116.66985</v>
      </c>
      <c r="E315" s="7" t="n">
        <f aca="false">B315/MAX(B64:B315)-1</f>
        <v>-0.0800124884005308</v>
      </c>
      <c r="F315" s="7" t="str">
        <f aca="false">IFERROR(INDEX(02_轉折點45個!B:B,MATCH(A315,02_轉折點45個!A:A,0)),"")</f>
        <v/>
      </c>
      <c r="G315" s="7" t="s">
        <v>1994</v>
      </c>
    </row>
    <row r="316" customFormat="false" ht="15" hidden="false" customHeight="false" outlineLevel="0" collapsed="false">
      <c r="A316" s="7" t="s">
        <v>2275</v>
      </c>
      <c r="B316" s="7" t="n">
        <v>4072.61</v>
      </c>
      <c r="C316" s="7" t="n">
        <f aca="false">AVERAGE(B267:B316)</f>
        <v>4142.8442</v>
      </c>
      <c r="D316" s="7" t="n">
        <f aca="false">AVERAGE(B117:B316)</f>
        <v>3125.5318</v>
      </c>
      <c r="E316" s="7" t="n">
        <f aca="false">B316/MAX(B65:B316)-1</f>
        <v>-0.117007206847806</v>
      </c>
      <c r="F316" s="7" t="str">
        <f aca="false">IFERROR(INDEX(02_轉折點45個!B:B,MATCH(A316,02_轉折點45個!A:A,0)),"")</f>
        <v/>
      </c>
      <c r="G316" s="7" t="s">
        <v>1994</v>
      </c>
    </row>
    <row r="317" customFormat="false" ht="15" hidden="false" customHeight="false" outlineLevel="0" collapsed="false">
      <c r="A317" s="7" t="s">
        <v>2276</v>
      </c>
      <c r="B317" s="7" t="n">
        <v>4177.61</v>
      </c>
      <c r="C317" s="7" t="n">
        <f aca="false">AVERAGE(B268:B317)</f>
        <v>4149.848</v>
      </c>
      <c r="D317" s="7" t="n">
        <f aca="false">AVERAGE(B118:B317)</f>
        <v>3134.7985</v>
      </c>
      <c r="E317" s="7" t="n">
        <f aca="false">B317/MAX(B66:B317)-1</f>
        <v>-0.0942418933802804</v>
      </c>
      <c r="F317" s="7" t="str">
        <f aca="false">IFERROR(INDEX(02_轉折點45個!B:B,MATCH(A317,02_轉折點45個!A:A,0)),"")</f>
        <v/>
      </c>
      <c r="G317" s="7" t="s">
        <v>1994</v>
      </c>
    </row>
    <row r="318" customFormat="false" ht="15" hidden="false" customHeight="false" outlineLevel="0" collapsed="false">
      <c r="A318" s="7" t="s">
        <v>2277</v>
      </c>
      <c r="B318" s="7" t="n">
        <v>3858.64</v>
      </c>
      <c r="C318" s="7" t="n">
        <f aca="false">AVERAGE(B269:B318)</f>
        <v>4149.6338</v>
      </c>
      <c r="D318" s="7" t="n">
        <f aca="false">AVERAGE(B119:B318)</f>
        <v>3142.38225</v>
      </c>
      <c r="E318" s="7" t="n">
        <f aca="false">B318/MAX(B67:B318)-1</f>
        <v>-0.16339857944444</v>
      </c>
      <c r="F318" s="7" t="str">
        <f aca="false">IFERROR(INDEX(02_轉折點45個!B:B,MATCH(A318,02_轉折點45個!A:A,0)),"")</f>
        <v/>
      </c>
      <c r="G318" s="7" t="s">
        <v>1994</v>
      </c>
    </row>
    <row r="319" customFormat="false" ht="15" hidden="false" customHeight="false" outlineLevel="0" collapsed="false">
      <c r="A319" s="7" t="s">
        <v>2278</v>
      </c>
      <c r="B319" s="7" t="n">
        <v>3790.31</v>
      </c>
      <c r="C319" s="7" t="n">
        <f aca="false">AVERAGE(B270:B319)</f>
        <v>4150.5986</v>
      </c>
      <c r="D319" s="7" t="n">
        <f aca="false">AVERAGE(B120:B319)</f>
        <v>3149.31905</v>
      </c>
      <c r="E319" s="7" t="n">
        <f aca="false">B319/MAX(B68:B319)-1</f>
        <v>-0.178213378199069</v>
      </c>
      <c r="F319" s="7" t="str">
        <f aca="false">IFERROR(INDEX(02_轉折點45個!B:B,MATCH(A319,02_轉折點45個!A:A,0)),"")</f>
        <v/>
      </c>
      <c r="G319" s="7" t="s">
        <v>1994</v>
      </c>
    </row>
    <row r="320" customFormat="false" ht="15" hidden="false" customHeight="false" outlineLevel="0" collapsed="false">
      <c r="A320" s="7" t="s">
        <v>2279</v>
      </c>
      <c r="B320" s="7" t="n">
        <v>3808.89</v>
      </c>
      <c r="C320" s="7" t="n">
        <f aca="false">AVERAGE(B271:B320)</f>
        <v>4150.6318</v>
      </c>
      <c r="D320" s="7" t="n">
        <f aca="false">AVERAGE(B121:B320)</f>
        <v>3156.57725</v>
      </c>
      <c r="E320" s="7" t="n">
        <f aca="false">B320/MAX(B69:B320)-1</f>
        <v>-0.174185001777863</v>
      </c>
      <c r="F320" s="7" t="str">
        <f aca="false">IFERROR(INDEX(02_轉折點45個!B:B,MATCH(A320,02_轉折點45個!A:A,0)),"")</f>
        <v/>
      </c>
      <c r="G320" s="7" t="s">
        <v>1994</v>
      </c>
    </row>
    <row r="321" customFormat="false" ht="15" hidden="false" customHeight="false" outlineLevel="0" collapsed="false">
      <c r="A321" s="7" t="s">
        <v>2280</v>
      </c>
      <c r="B321" s="7" t="n">
        <v>3898.73</v>
      </c>
      <c r="C321" s="7" t="n">
        <f aca="false">AVERAGE(B272:B321)</f>
        <v>4154.2432</v>
      </c>
      <c r="D321" s="7" t="n">
        <f aca="false">AVERAGE(B122:B321)</f>
        <v>3164.20305</v>
      </c>
      <c r="E321" s="7" t="n">
        <f aca="false">B321/MAX(B70:B321)-1</f>
        <v>-0.154706565950029</v>
      </c>
      <c r="F321" s="7" t="str">
        <f aca="false">IFERROR(INDEX(02_轉折點45個!B:B,MATCH(A321,02_轉折點45個!A:A,0)),"")</f>
        <v/>
      </c>
      <c r="G321" s="7" t="s">
        <v>1994</v>
      </c>
    </row>
    <row r="322" customFormat="false" ht="15" hidden="false" customHeight="false" outlineLevel="0" collapsed="false">
      <c r="A322" s="7" t="s">
        <v>2281</v>
      </c>
      <c r="B322" s="7" t="n">
        <v>4062.16</v>
      </c>
      <c r="C322" s="7" t="n">
        <f aca="false">AVERAGE(B273:B322)</f>
        <v>4161.6778</v>
      </c>
      <c r="D322" s="7" t="n">
        <f aca="false">AVERAGE(B123:B322)</f>
        <v>3172.84755</v>
      </c>
      <c r="E322" s="7" t="n">
        <f aca="false">B322/MAX(B71:B322)-1</f>
        <v>-0.119272897569098</v>
      </c>
      <c r="F322" s="7" t="str">
        <f aca="false">IFERROR(INDEX(02_轉折點45個!B:B,MATCH(A322,02_轉折點45個!A:A,0)),"")</f>
        <v/>
      </c>
      <c r="G322" s="7" t="s">
        <v>1994</v>
      </c>
    </row>
    <row r="323" customFormat="false" ht="15" hidden="false" customHeight="false" outlineLevel="0" collapsed="false">
      <c r="A323" s="7" t="s">
        <v>2282</v>
      </c>
      <c r="B323" s="7" t="n">
        <v>3826.23</v>
      </c>
      <c r="C323" s="7" t="n">
        <f aca="false">AVERAGE(B274:B323)</f>
        <v>4167.18</v>
      </c>
      <c r="D323" s="7" t="n">
        <f aca="false">AVERAGE(B124:B323)</f>
        <v>3180.31855</v>
      </c>
      <c r="E323" s="7" t="n">
        <f aca="false">B323/MAX(B72:B323)-1</f>
        <v>-0.170425472868083</v>
      </c>
      <c r="F323" s="7" t="str">
        <f aca="false">IFERROR(INDEX(02_轉折點45個!B:B,MATCH(A323,02_轉折點45個!A:A,0)),"")</f>
        <v/>
      </c>
      <c r="G323" s="7" t="s">
        <v>1994</v>
      </c>
    </row>
    <row r="324" customFormat="false" ht="15" hidden="false" customHeight="false" outlineLevel="0" collapsed="false">
      <c r="A324" s="7" t="s">
        <v>2283</v>
      </c>
      <c r="B324" s="7" t="n">
        <v>3705.36</v>
      </c>
      <c r="C324" s="7" t="n">
        <f aca="false">AVERAGE(B275:B324)</f>
        <v>4169.2912</v>
      </c>
      <c r="D324" s="7" t="n">
        <f aca="false">AVERAGE(B125:B324)</f>
        <v>3186.95775</v>
      </c>
      <c r="E324" s="7" t="n">
        <f aca="false">B324/MAX(B73:B324)-1</f>
        <v>-0.196631600856843</v>
      </c>
      <c r="F324" s="7" t="str">
        <f aca="false">IFERROR(INDEX(02_轉折點45個!B:B,MATCH(A324,02_轉折點45個!A:A,0)),"")</f>
        <v/>
      </c>
      <c r="G324" s="7" t="s">
        <v>1994</v>
      </c>
    </row>
    <row r="325" customFormat="false" ht="15" hidden="false" customHeight="false" outlineLevel="0" collapsed="false">
      <c r="A325" s="7" t="s">
        <v>2284</v>
      </c>
      <c r="B325" s="7" t="n">
        <v>3443.83</v>
      </c>
      <c r="C325" s="7" t="n">
        <f aca="false">AVERAGE(B276:B325)</f>
        <v>4164.1322</v>
      </c>
      <c r="D325" s="7" t="n">
        <f aca="false">AVERAGE(B126:B325)</f>
        <v>3192.1081</v>
      </c>
      <c r="E325" s="7" t="n">
        <f aca="false">B325/MAX(B74:B325)-1</f>
        <v>-0.25333457639172</v>
      </c>
      <c r="F325" s="7" t="str">
        <f aca="false">IFERROR(INDEX(02_轉折點45個!B:B,MATCH(A325,02_轉折點45個!A:A,0)),"")</f>
        <v/>
      </c>
      <c r="G325" s="7" t="s">
        <v>1994</v>
      </c>
    </row>
    <row r="326" customFormat="false" ht="15" hidden="false" customHeight="false" outlineLevel="0" collapsed="false">
      <c r="A326" s="7" t="s">
        <v>2285</v>
      </c>
      <c r="B326" s="7" t="n">
        <v>3359.01</v>
      </c>
      <c r="C326" s="7" t="n">
        <f aca="false">AVERAGE(B277:B326)</f>
        <v>4156.8752</v>
      </c>
      <c r="D326" s="7" t="n">
        <f aca="false">AVERAGE(B127:B326)</f>
        <v>3196.6333</v>
      </c>
      <c r="E326" s="7" t="n">
        <f aca="false">B326/MAX(B75:B326)-1</f>
        <v>-0.271724613423296</v>
      </c>
      <c r="F326" s="7" t="str">
        <f aca="false">IFERROR(INDEX(02_轉折點45個!B:B,MATCH(A326,02_轉折點45個!A:A,0)),"")</f>
        <v/>
      </c>
      <c r="G326" s="7" t="s">
        <v>1994</v>
      </c>
    </row>
    <row r="327" customFormat="false" ht="15" hidden="false" customHeight="false" outlineLevel="0" collapsed="false">
      <c r="A327" s="7" t="s">
        <v>115</v>
      </c>
      <c r="B327" s="7" t="n">
        <v>3034.24</v>
      </c>
      <c r="C327" s="7" t="n">
        <f aca="false">AVERAGE(B278:B327)</f>
        <v>4140.6192</v>
      </c>
      <c r="D327" s="7" t="n">
        <f aca="false">AVERAGE(B128:B327)</f>
        <v>3199.44305</v>
      </c>
      <c r="E327" s="7" t="n">
        <f aca="false">B327/MAX(B76:B327)-1</f>
        <v>-0.3421388120409</v>
      </c>
      <c r="F327" s="7" t="str">
        <f aca="false">IFERROR(INDEX(02_轉折點45個!B:B,MATCH(A327,02_轉折點45個!A:A,0)),"")</f>
        <v>BOTTOM</v>
      </c>
      <c r="G327" s="7" t="s">
        <v>1994</v>
      </c>
    </row>
    <row r="328" customFormat="false" ht="15" hidden="false" customHeight="false" outlineLevel="0" collapsed="false">
      <c r="A328" s="7" t="s">
        <v>404</v>
      </c>
      <c r="B328" s="7" t="n">
        <v>3233.28</v>
      </c>
      <c r="C328" s="7" t="n">
        <f aca="false">AVERAGE(B279:B328)</f>
        <v>4127.7382</v>
      </c>
      <c r="D328" s="7" t="n">
        <f aca="false">AVERAGE(B129:B328)</f>
        <v>3203.08885</v>
      </c>
      <c r="E328" s="7" t="n">
        <f aca="false">B328/MAX(B77:B328)-1</f>
        <v>-0.298984450206839</v>
      </c>
      <c r="F328" s="7" t="str">
        <f aca="false">IFERROR(INDEX(02_轉折點45個!B:B,MATCH(A328,02_轉折點45個!A:A,0)),"")</f>
        <v/>
      </c>
      <c r="G328" s="7" t="s">
        <v>1994</v>
      </c>
    </row>
    <row r="329" customFormat="false" ht="15" hidden="false" customHeight="false" outlineLevel="0" collapsed="false">
      <c r="A329" s="7" t="s">
        <v>2286</v>
      </c>
      <c r="B329" s="7" t="n">
        <v>3465.7</v>
      </c>
      <c r="C329" s="7" t="n">
        <f aca="false">AVERAGE(B280:B329)</f>
        <v>4118.0872</v>
      </c>
      <c r="D329" s="7" t="n">
        <f aca="false">AVERAGE(B130:B329)</f>
        <v>3207.9161</v>
      </c>
      <c r="E329" s="7" t="n">
        <f aca="false">B329/MAX(B78:B329)-1</f>
        <v>-0.248592886815198</v>
      </c>
      <c r="F329" s="7" t="str">
        <f aca="false">IFERROR(INDEX(02_轉折點45個!B:B,MATCH(A329,02_轉折點45個!A:A,0)),"")</f>
        <v/>
      </c>
      <c r="G329" s="7" t="s">
        <v>1994</v>
      </c>
    </row>
    <row r="330" customFormat="false" ht="15" hidden="false" customHeight="false" outlineLevel="0" collapsed="false">
      <c r="A330" s="7" t="s">
        <v>2287</v>
      </c>
      <c r="B330" s="7" t="n">
        <v>3386.07</v>
      </c>
      <c r="C330" s="7" t="n">
        <f aca="false">AVERAGE(B281:B330)</f>
        <v>4104.9118</v>
      </c>
      <c r="D330" s="7" t="n">
        <f aca="false">AVERAGE(B131:B330)</f>
        <v>3212.3166</v>
      </c>
      <c r="E330" s="7" t="n">
        <f aca="false">B330/MAX(B79:B330)-1</f>
        <v>-0.265857666923951</v>
      </c>
      <c r="F330" s="7" t="str">
        <f aca="false">IFERROR(INDEX(02_轉折點45個!B:B,MATCH(A330,02_轉折點45個!A:A,0)),"")</f>
        <v/>
      </c>
      <c r="G330" s="7" t="s">
        <v>1994</v>
      </c>
    </row>
    <row r="331" customFormat="false" ht="15" hidden="false" customHeight="false" outlineLevel="0" collapsed="false">
      <c r="A331" s="7" t="s">
        <v>2288</v>
      </c>
      <c r="B331" s="7" t="n">
        <v>3328.95</v>
      </c>
      <c r="C331" s="7" t="n">
        <f aca="false">AVERAGE(B282:B331)</f>
        <v>4091.768</v>
      </c>
      <c r="D331" s="7" t="n">
        <f aca="false">AVERAGE(B132:B331)</f>
        <v>3216.29985</v>
      </c>
      <c r="E331" s="7" t="n">
        <f aca="false">B331/MAX(B80:B331)-1</f>
        <v>-0.278241997450285</v>
      </c>
      <c r="F331" s="7" t="str">
        <f aca="false">IFERROR(INDEX(02_轉折點45個!B:B,MATCH(A331,02_轉折點45個!A:A,0)),"")</f>
        <v/>
      </c>
      <c r="G331" s="7" t="s">
        <v>1994</v>
      </c>
    </row>
    <row r="332" customFormat="false" ht="15" hidden="false" customHeight="false" outlineLevel="0" collapsed="false">
      <c r="A332" s="7" t="s">
        <v>405</v>
      </c>
      <c r="B332" s="7" t="n">
        <v>3181.5</v>
      </c>
      <c r="C332" s="7" t="n">
        <f aca="false">AVERAGE(B283:B332)</f>
        <v>4073.439</v>
      </c>
      <c r="D332" s="7" t="n">
        <f aca="false">AVERAGE(B133:B332)</f>
        <v>3219.449</v>
      </c>
      <c r="E332" s="7" t="n">
        <f aca="false">B332/MAX(B81:B332)-1</f>
        <v>-0.310211001933968</v>
      </c>
      <c r="F332" s="7" t="str">
        <f aca="false">IFERROR(INDEX(02_轉折點45個!B:B,MATCH(A332,02_轉折點45個!A:A,0)),"")</f>
        <v/>
      </c>
      <c r="G332" s="7" t="s">
        <v>1994</v>
      </c>
    </row>
    <row r="333" customFormat="false" ht="15" hidden="false" customHeight="false" outlineLevel="0" collapsed="false">
      <c r="A333" s="7" t="s">
        <v>406</v>
      </c>
      <c r="B333" s="7" t="n">
        <v>3390.48</v>
      </c>
      <c r="C333" s="7" t="n">
        <f aca="false">AVERAGE(B284:B333)</f>
        <v>4060.9374</v>
      </c>
      <c r="D333" s="7" t="n">
        <f aca="false">AVERAGE(B134:B333)</f>
        <v>3223.65505</v>
      </c>
      <c r="E333" s="7" t="n">
        <f aca="false">B333/MAX(B82:B333)-1</f>
        <v>-0.264901523758315</v>
      </c>
      <c r="F333" s="7" t="str">
        <f aca="false">IFERROR(INDEX(02_轉折點45個!B:B,MATCH(A333,02_轉折點45個!A:A,0)),"")</f>
        <v/>
      </c>
      <c r="G333" s="7" t="s">
        <v>1994</v>
      </c>
    </row>
    <row r="334" customFormat="false" ht="15" hidden="false" customHeight="false" outlineLevel="0" collapsed="false">
      <c r="A334" s="7" t="s">
        <v>2289</v>
      </c>
      <c r="B334" s="7" t="n">
        <v>3316.35</v>
      </c>
      <c r="C334" s="7" t="n">
        <f aca="false">AVERAGE(B285:B334)</f>
        <v>4046.531</v>
      </c>
      <c r="D334" s="7" t="n">
        <f aca="false">AVERAGE(B135:B334)</f>
        <v>3227.54625</v>
      </c>
      <c r="E334" s="7" t="n">
        <f aca="false">B334/MAX(B83:B334)-1</f>
        <v>-0.280973835066388</v>
      </c>
      <c r="F334" s="7" t="str">
        <f aca="false">IFERROR(INDEX(02_轉折點45個!B:B,MATCH(A334,02_轉折點45個!A:A,0)),"")</f>
        <v/>
      </c>
      <c r="G334" s="7" t="s">
        <v>1994</v>
      </c>
    </row>
    <row r="335" customFormat="false" ht="15" hidden="false" customHeight="false" outlineLevel="0" collapsed="false">
      <c r="A335" s="7" t="s">
        <v>2290</v>
      </c>
      <c r="B335" s="7" t="n">
        <v>3447.85</v>
      </c>
      <c r="C335" s="7" t="n">
        <f aca="false">AVERAGE(B286:B335)</f>
        <v>4034.7142</v>
      </c>
      <c r="D335" s="7" t="n">
        <f aca="false">AVERAGE(B136:B335)</f>
        <v>3231.91265</v>
      </c>
      <c r="E335" s="7" t="n">
        <f aca="false">B335/MAX(B84:B335)-1</f>
        <v>-0.252462990104677</v>
      </c>
      <c r="F335" s="7" t="str">
        <f aca="false">IFERROR(INDEX(02_轉折點45個!B:B,MATCH(A335,02_轉折點45個!A:A,0)),"")</f>
        <v/>
      </c>
      <c r="G335" s="7" t="s">
        <v>1994</v>
      </c>
    </row>
    <row r="336" customFormat="false" ht="15" hidden="false" customHeight="false" outlineLevel="0" collapsed="false">
      <c r="A336" s="7" t="s">
        <v>2291</v>
      </c>
      <c r="B336" s="7" t="n">
        <v>3526.99</v>
      </c>
      <c r="C336" s="7" t="n">
        <f aca="false">AVERAGE(B287:B336)</f>
        <v>4024.3544</v>
      </c>
      <c r="D336" s="7" t="n">
        <f aca="false">AVERAGE(B137:B336)</f>
        <v>3236.57775</v>
      </c>
      <c r="E336" s="7" t="n">
        <f aca="false">B336/MAX(B85:B336)-1</f>
        <v>-0.235304448125439</v>
      </c>
      <c r="F336" s="7" t="str">
        <f aca="false">IFERROR(INDEX(02_轉折點45個!B:B,MATCH(A336,02_轉折點45個!A:A,0)),"")</f>
        <v/>
      </c>
      <c r="G336" s="7" t="s">
        <v>1994</v>
      </c>
    </row>
    <row r="337" customFormat="false" ht="15" hidden="false" customHeight="false" outlineLevel="0" collapsed="false">
      <c r="A337" s="7" t="s">
        <v>116</v>
      </c>
      <c r="B337" s="7" t="n">
        <v>3615.99</v>
      </c>
      <c r="C337" s="7" t="n">
        <f aca="false">AVERAGE(B288:B337)</f>
        <v>4013.5588</v>
      </c>
      <c r="D337" s="7" t="n">
        <f aca="false">AVERAGE(B138:B337)</f>
        <v>3241.57315</v>
      </c>
      <c r="E337" s="7" t="n">
        <f aca="false">B337/MAX(B86:B337)-1</f>
        <v>-0.216008134805346</v>
      </c>
      <c r="F337" s="7" t="str">
        <f aca="false">IFERROR(INDEX(02_轉折點45個!B:B,MATCH(A337,02_轉折點45個!A:A,0)),"")</f>
        <v>TOP</v>
      </c>
      <c r="G337" s="7" t="s">
        <v>1994</v>
      </c>
    </row>
    <row r="338" customFormat="false" ht="15" hidden="false" customHeight="false" outlineLevel="0" collapsed="false">
      <c r="A338" s="7" t="s">
        <v>2292</v>
      </c>
      <c r="B338" s="7" t="n">
        <v>3458.28</v>
      </c>
      <c r="C338" s="7" t="n">
        <f aca="false">AVERAGE(B289:B338)</f>
        <v>4002.1154</v>
      </c>
      <c r="D338" s="7" t="n">
        <f aca="false">AVERAGE(B139:B338)</f>
        <v>3245.93615</v>
      </c>
      <c r="E338" s="7" t="n">
        <f aca="false">B338/MAX(B87:B338)-1</f>
        <v>-0.250201635633569</v>
      </c>
      <c r="F338" s="7" t="str">
        <f aca="false">IFERROR(INDEX(02_轉折點45個!B:B,MATCH(A338,02_轉折點45個!A:A,0)),"")</f>
        <v/>
      </c>
      <c r="G338" s="7" t="s">
        <v>1994</v>
      </c>
    </row>
    <row r="339" customFormat="false" ht="15" hidden="false" customHeight="false" outlineLevel="0" collapsed="false">
      <c r="A339" s="7" t="s">
        <v>2293</v>
      </c>
      <c r="B339" s="7" t="n">
        <v>3386.9</v>
      </c>
      <c r="C339" s="7" t="n">
        <f aca="false">AVERAGE(B290:B339)</f>
        <v>3989.7858</v>
      </c>
      <c r="D339" s="7" t="n">
        <f aca="false">AVERAGE(B140:B339)</f>
        <v>3250.39045</v>
      </c>
      <c r="E339" s="7" t="n">
        <f aca="false">B339/MAX(B88:B339)-1</f>
        <v>-0.265677712541303</v>
      </c>
      <c r="F339" s="7" t="str">
        <f aca="false">IFERROR(INDEX(02_轉折點45個!B:B,MATCH(A339,02_轉折點45個!A:A,0)),"")</f>
        <v/>
      </c>
      <c r="G339" s="7" t="s">
        <v>1994</v>
      </c>
    </row>
    <row r="340" customFormat="false" ht="15" hidden="false" customHeight="false" outlineLevel="0" collapsed="false">
      <c r="A340" s="7" t="s">
        <v>2294</v>
      </c>
      <c r="B340" s="7" t="n">
        <v>3398.71</v>
      </c>
      <c r="C340" s="7" t="n">
        <f aca="false">AVERAGE(B291:B340)</f>
        <v>3974.6188</v>
      </c>
      <c r="D340" s="7" t="n">
        <f aca="false">AVERAGE(B141:B340)</f>
        <v>3254.7686</v>
      </c>
      <c r="E340" s="7" t="n">
        <f aca="false">B340/MAX(B89:B340)-1</f>
        <v>-0.263117156807479</v>
      </c>
      <c r="F340" s="7" t="str">
        <f aca="false">IFERROR(INDEX(02_轉折點45個!B:B,MATCH(A340,02_轉折點45個!A:A,0)),"")</f>
        <v/>
      </c>
      <c r="G340" s="7" t="s">
        <v>1994</v>
      </c>
    </row>
    <row r="341" customFormat="false" ht="15" hidden="false" customHeight="false" outlineLevel="0" collapsed="false">
      <c r="A341" s="7" t="s">
        <v>2295</v>
      </c>
      <c r="B341" s="7" t="n">
        <v>3486.94</v>
      </c>
      <c r="C341" s="7" t="n">
        <f aca="false">AVERAGE(B292:B341)</f>
        <v>3959.9864</v>
      </c>
      <c r="D341" s="7" t="n">
        <f aca="false">AVERAGE(B142:B341)</f>
        <v>3259.94115</v>
      </c>
      <c r="E341" s="7" t="n">
        <f aca="false">B341/MAX(B90:B341)-1</f>
        <v>-0.243987789119481</v>
      </c>
      <c r="F341" s="7" t="str">
        <f aca="false">IFERROR(INDEX(02_轉折點45個!B:B,MATCH(A341,02_轉折點45個!A:A,0)),"")</f>
        <v/>
      </c>
      <c r="G341" s="7" t="s">
        <v>1994</v>
      </c>
    </row>
    <row r="342" customFormat="false" ht="15" hidden="false" customHeight="false" outlineLevel="0" collapsed="false">
      <c r="A342" s="7" t="s">
        <v>2296</v>
      </c>
      <c r="B342" s="7" t="n">
        <v>3352.24</v>
      </c>
      <c r="C342" s="7" t="n">
        <f aca="false">AVERAGE(B293:B342)</f>
        <v>3943.156</v>
      </c>
      <c r="D342" s="7" t="n">
        <f aca="false">AVERAGE(B143:B342)</f>
        <v>3264.40385</v>
      </c>
      <c r="E342" s="7" t="n">
        <f aca="false">B342/MAX(B91:B342)-1</f>
        <v>-0.273192434110679</v>
      </c>
      <c r="F342" s="7" t="str">
        <f aca="false">IFERROR(INDEX(02_轉折點45個!B:B,MATCH(A342,02_轉折點45個!A:A,0)),"")</f>
        <v/>
      </c>
      <c r="G342" s="7" t="s">
        <v>1994</v>
      </c>
    </row>
    <row r="343" customFormat="false" ht="15" hidden="false" customHeight="false" outlineLevel="0" collapsed="false">
      <c r="A343" s="7" t="s">
        <v>2297</v>
      </c>
      <c r="B343" s="7" t="n">
        <v>3275.17</v>
      </c>
      <c r="C343" s="7" t="n">
        <f aca="false">AVERAGE(B294:B343)</f>
        <v>3925.0154</v>
      </c>
      <c r="D343" s="7" t="n">
        <f aca="false">AVERAGE(B144:B343)</f>
        <v>3268.8156</v>
      </c>
      <c r="E343" s="7" t="n">
        <f aca="false">B343/MAX(B92:B343)-1</f>
        <v>-0.289902174195842</v>
      </c>
      <c r="F343" s="7" t="str">
        <f aca="false">IFERROR(INDEX(02_轉折點45個!B:B,MATCH(A343,02_轉折點45個!A:A,0)),"")</f>
        <v/>
      </c>
      <c r="G343" s="7" t="s">
        <v>1994</v>
      </c>
    </row>
    <row r="344" customFormat="false" ht="15" hidden="false" customHeight="false" outlineLevel="0" collapsed="false">
      <c r="A344" s="7" t="s">
        <v>408</v>
      </c>
      <c r="B344" s="7" t="n">
        <v>3092.2</v>
      </c>
      <c r="C344" s="7" t="n">
        <f aca="false">AVERAGE(B295:B344)</f>
        <v>3901.044</v>
      </c>
      <c r="D344" s="7" t="n">
        <f aca="false">AVERAGE(B145:B344)</f>
        <v>3272.0378</v>
      </c>
      <c r="E344" s="7" t="n">
        <f aca="false">B344/MAX(B93:B344)-1</f>
        <v>-0.329572359006825</v>
      </c>
      <c r="F344" s="7" t="str">
        <f aca="false">IFERROR(INDEX(02_轉折點45個!B:B,MATCH(A344,02_轉折點45個!A:A,0)),"")</f>
        <v/>
      </c>
      <c r="G344" s="7" t="s">
        <v>1994</v>
      </c>
    </row>
    <row r="345" customFormat="false" ht="15" hidden="false" customHeight="false" outlineLevel="0" collapsed="false">
      <c r="A345" s="7" t="s">
        <v>2298</v>
      </c>
      <c r="B345" s="7" t="n">
        <v>3197.12</v>
      </c>
      <c r="C345" s="7" t="n">
        <f aca="false">AVERAGE(B296:B345)</f>
        <v>3877.5744</v>
      </c>
      <c r="D345" s="7" t="n">
        <f aca="false">AVERAGE(B146:B345)</f>
        <v>3275.6635</v>
      </c>
      <c r="E345" s="7" t="n">
        <f aca="false">B345/MAX(B94:B345)-1</f>
        <v>-0.306824390540037</v>
      </c>
      <c r="F345" s="7" t="str">
        <f aca="false">IFERROR(INDEX(02_轉折點45個!B:B,MATCH(A345,02_轉折點45個!A:A,0)),"")</f>
        <v/>
      </c>
      <c r="G345" s="7" t="s">
        <v>1994</v>
      </c>
    </row>
    <row r="346" customFormat="false" ht="15" hidden="false" customHeight="false" outlineLevel="0" collapsed="false">
      <c r="A346" s="7" t="s">
        <v>2299</v>
      </c>
      <c r="B346" s="7" t="n">
        <v>3224.05</v>
      </c>
      <c r="C346" s="7" t="n">
        <f aca="false">AVERAGE(B297:B346)</f>
        <v>3855.1836</v>
      </c>
      <c r="D346" s="7" t="n">
        <f aca="false">AVERAGE(B147:B346)</f>
        <v>3279.72455</v>
      </c>
      <c r="E346" s="7" t="n">
        <f aca="false">B346/MAX(B95:B346)-1</f>
        <v>-0.300985629666889</v>
      </c>
      <c r="F346" s="7" t="str">
        <f aca="false">IFERROR(INDEX(02_轉折點45個!B:B,MATCH(A346,02_轉折點45個!A:A,0)),"")</f>
        <v/>
      </c>
      <c r="G346" s="7" t="s">
        <v>1994</v>
      </c>
    </row>
    <row r="347" customFormat="false" ht="15" hidden="false" customHeight="false" outlineLevel="0" collapsed="false">
      <c r="A347" s="7" t="s">
        <v>409</v>
      </c>
      <c r="B347" s="7" t="n">
        <v>3295.85</v>
      </c>
      <c r="C347" s="7" t="n">
        <f aca="false">AVERAGE(B298:B347)</f>
        <v>3831.3002</v>
      </c>
      <c r="D347" s="7" t="n">
        <f aca="false">AVERAGE(B148:B347)</f>
        <v>3284.15155</v>
      </c>
      <c r="E347" s="7" t="n">
        <f aca="false">B347/MAX(B96:B347)-1</f>
        <v>-0.285418491505286</v>
      </c>
      <c r="F347" s="7" t="str">
        <f aca="false">IFERROR(INDEX(02_轉折點45個!B:B,MATCH(A347,02_轉折點45個!A:A,0)),"")</f>
        <v/>
      </c>
      <c r="G347" s="7" t="s">
        <v>1994</v>
      </c>
    </row>
    <row r="348" customFormat="false" ht="15" hidden="false" customHeight="false" outlineLevel="0" collapsed="false">
      <c r="A348" s="7" t="s">
        <v>2300</v>
      </c>
      <c r="B348" s="7" t="n">
        <v>3396.27</v>
      </c>
      <c r="C348" s="7" t="n">
        <f aca="false">AVERAGE(B299:B348)</f>
        <v>3809.6068</v>
      </c>
      <c r="D348" s="7" t="n">
        <f aca="false">AVERAGE(B149:B348)</f>
        <v>3289.1485</v>
      </c>
      <c r="E348" s="7" t="n">
        <f aca="false">B348/MAX(B97:B348)-1</f>
        <v>-0.263646179329963</v>
      </c>
      <c r="F348" s="7" t="str">
        <f aca="false">IFERROR(INDEX(02_轉折點45個!B:B,MATCH(A348,02_轉折點45個!A:A,0)),"")</f>
        <v/>
      </c>
      <c r="G348" s="7" t="s">
        <v>1994</v>
      </c>
    </row>
    <row r="349" customFormat="false" ht="15" hidden="false" customHeight="false" outlineLevel="0" collapsed="false">
      <c r="A349" s="7" t="s">
        <v>2301</v>
      </c>
      <c r="B349" s="7" t="n">
        <v>3329.94</v>
      </c>
      <c r="C349" s="7" t="n">
        <f aca="false">AVERAGE(B300:B349)</f>
        <v>3787.6286</v>
      </c>
      <c r="D349" s="7" t="n">
        <f aca="false">AVERAGE(B150:B349)</f>
        <v>3293.9766</v>
      </c>
      <c r="E349" s="7" t="n">
        <f aca="false">B349/MAX(B98:B349)-1</f>
        <v>-0.278027353066162</v>
      </c>
      <c r="F349" s="7" t="str">
        <f aca="false">IFERROR(INDEX(02_轉折點45個!B:B,MATCH(A349,02_轉折點45個!A:A,0)),"")</f>
        <v/>
      </c>
      <c r="G349" s="7" t="s">
        <v>1994</v>
      </c>
    </row>
    <row r="350" customFormat="false" ht="15" hidden="false" customHeight="false" outlineLevel="0" collapsed="false">
      <c r="A350" s="7" t="s">
        <v>410</v>
      </c>
      <c r="B350" s="7" t="n">
        <v>3232.87</v>
      </c>
      <c r="C350" s="7" t="n">
        <f aca="false">AVERAGE(B301:B350)</f>
        <v>3762.806</v>
      </c>
      <c r="D350" s="7" t="n">
        <f aca="false">AVERAGE(B151:B350)</f>
        <v>3298.5386</v>
      </c>
      <c r="E350" s="7" t="n">
        <f aca="false">B350/MAX(B99:B350)-1</f>
        <v>-0.299073343335617</v>
      </c>
      <c r="F350" s="7" t="str">
        <f aca="false">IFERROR(INDEX(02_轉折點45個!B:B,MATCH(A350,02_轉折點45個!A:A,0)),"")</f>
        <v/>
      </c>
      <c r="G350" s="7" t="s">
        <v>1994</v>
      </c>
    </row>
    <row r="351" customFormat="false" ht="15" hidden="false" customHeight="false" outlineLevel="0" collapsed="false">
      <c r="A351" s="7" t="s">
        <v>2302</v>
      </c>
      <c r="B351" s="7" t="n">
        <v>3097.38</v>
      </c>
      <c r="C351" s="7" t="n">
        <f aca="false">AVERAGE(B302:B351)</f>
        <v>3732.5402</v>
      </c>
      <c r="D351" s="7" t="n">
        <f aca="false">AVERAGE(B152:B351)</f>
        <v>3302.30515</v>
      </c>
      <c r="E351" s="7" t="n">
        <f aca="false">B351/MAX(B100:B351)-1</f>
        <v>-0.328449270209094</v>
      </c>
      <c r="F351" s="7" t="str">
        <f aca="false">IFERROR(INDEX(02_轉折點45個!B:B,MATCH(A351,02_轉折點45個!A:A,0)),"")</f>
        <v/>
      </c>
      <c r="G351" s="7" t="s">
        <v>1994</v>
      </c>
    </row>
    <row r="352" customFormat="false" ht="15" hidden="false" customHeight="false" outlineLevel="0" collapsed="false">
      <c r="A352" s="7" t="s">
        <v>2303</v>
      </c>
      <c r="B352" s="7" t="n">
        <v>3073.45</v>
      </c>
      <c r="C352" s="7" t="n">
        <f aca="false">AVERAGE(B303:B352)</f>
        <v>3701.7636</v>
      </c>
      <c r="D352" s="7" t="n">
        <f aca="false">AVERAGE(B153:B352)</f>
        <v>3306.0336</v>
      </c>
      <c r="E352" s="7" t="n">
        <f aca="false">B352/MAX(B101:B352)-1</f>
        <v>-0.333637593554598</v>
      </c>
      <c r="F352" s="7" t="str">
        <f aca="false">IFERROR(INDEX(02_轉折點45個!B:B,MATCH(A352,02_轉折點45個!A:A,0)),"")</f>
        <v/>
      </c>
      <c r="G352" s="7" t="s">
        <v>1994</v>
      </c>
    </row>
    <row r="353" customFormat="false" ht="15" hidden="false" customHeight="false" outlineLevel="0" collapsed="false">
      <c r="A353" s="7" t="s">
        <v>117</v>
      </c>
      <c r="B353" s="7" t="n">
        <v>2891.05</v>
      </c>
      <c r="C353" s="7" t="n">
        <f aca="false">AVERAGE(B304:B353)</f>
        <v>3669.9222</v>
      </c>
      <c r="D353" s="7" t="n">
        <f aca="false">AVERAGE(B154:B353)</f>
        <v>3308.9825</v>
      </c>
      <c r="E353" s="7" t="n">
        <f aca="false">B353/MAX(B102:B353)-1</f>
        <v>-0.373184195235328</v>
      </c>
      <c r="F353" s="7" t="str">
        <f aca="false">IFERROR(INDEX(02_轉折點45個!B:B,MATCH(A353,02_轉折點45個!A:A,0)),"")</f>
        <v>BOTTOM</v>
      </c>
      <c r="G353" s="7" t="s">
        <v>1994</v>
      </c>
    </row>
    <row r="354" customFormat="false" ht="15" hidden="false" customHeight="false" outlineLevel="0" collapsed="false">
      <c r="A354" s="7" t="s">
        <v>2304</v>
      </c>
      <c r="B354" s="7" t="n">
        <v>2987.94</v>
      </c>
      <c r="C354" s="7" t="n">
        <f aca="false">AVERAGE(B305:B354)</f>
        <v>3643.684</v>
      </c>
      <c r="D354" s="7" t="n">
        <f aca="false">AVERAGE(B155:B354)</f>
        <v>3312.5477</v>
      </c>
      <c r="E354" s="7" t="n">
        <f aca="false">B354/MAX(B103:B354)-1</f>
        <v>-0.352177231217532</v>
      </c>
      <c r="F354" s="7" t="str">
        <f aca="false">IFERROR(INDEX(02_轉折點45個!B:B,MATCH(A354,02_轉折點45個!A:A,0)),"")</f>
        <v/>
      </c>
      <c r="G354" s="7" t="s">
        <v>1994</v>
      </c>
    </row>
    <row r="355" customFormat="false" ht="15" hidden="false" customHeight="false" outlineLevel="0" collapsed="false">
      <c r="A355" s="7" t="s">
        <v>2305</v>
      </c>
      <c r="B355" s="7" t="n">
        <v>2928.32</v>
      </c>
      <c r="C355" s="7" t="n">
        <f aca="false">AVERAGE(B306:B355)</f>
        <v>3618.5192</v>
      </c>
      <c r="D355" s="7" t="n">
        <f aca="false">AVERAGE(B156:B355)</f>
        <v>3315.4728</v>
      </c>
      <c r="E355" s="7" t="n">
        <f aca="false">B355/MAX(B104:B355)-1</f>
        <v>-0.365103593016903</v>
      </c>
      <c r="F355" s="7" t="str">
        <f aca="false">IFERROR(INDEX(02_轉折點45個!B:B,MATCH(A355,02_轉折點45個!A:A,0)),"")</f>
        <v/>
      </c>
      <c r="G355" s="7" t="s">
        <v>1994</v>
      </c>
    </row>
    <row r="356" customFormat="false" ht="15" hidden="false" customHeight="false" outlineLevel="0" collapsed="false">
      <c r="A356" s="7" t="s">
        <v>2306</v>
      </c>
      <c r="B356" s="7" t="n">
        <v>2928.1</v>
      </c>
      <c r="C356" s="7" t="n">
        <f aca="false">AVERAGE(B307:B356)</f>
        <v>3590.8876</v>
      </c>
      <c r="D356" s="7" t="n">
        <f aca="false">AVERAGE(B157:B356)</f>
        <v>3318.4676</v>
      </c>
      <c r="E356" s="7" t="n">
        <f aca="false">B356/MAX(B105:B356)-1</f>
        <v>-0.36515129176893</v>
      </c>
      <c r="F356" s="7" t="str">
        <f aca="false">IFERROR(INDEX(02_轉折點45個!B:B,MATCH(A356,02_轉折點45個!A:A,0)),"")</f>
        <v/>
      </c>
      <c r="G356" s="7" t="s">
        <v>1994</v>
      </c>
    </row>
    <row r="357" customFormat="false" ht="15" hidden="false" customHeight="false" outlineLevel="0" collapsed="false">
      <c r="A357" s="7" t="s">
        <v>2307</v>
      </c>
      <c r="B357" s="7" t="n">
        <v>3160.49</v>
      </c>
      <c r="C357" s="7" t="n">
        <f aca="false">AVERAGE(B308:B357)</f>
        <v>3566.4286</v>
      </c>
      <c r="D357" s="7" t="n">
        <f aca="false">AVERAGE(B158:B357)</f>
        <v>3322.2209</v>
      </c>
      <c r="E357" s="7" t="n">
        <f aca="false">B357/MAX(B106:B357)-1</f>
        <v>-0.314766232752565</v>
      </c>
      <c r="F357" s="7" t="str">
        <f aca="false">IFERROR(INDEX(02_轉折點45個!B:B,MATCH(A357,02_轉折點45個!A:A,0)),"")</f>
        <v/>
      </c>
      <c r="G357" s="7" t="s">
        <v>1994</v>
      </c>
    </row>
    <row r="358" customFormat="false" ht="15" hidden="false" customHeight="false" outlineLevel="0" collapsed="false">
      <c r="A358" s="7" t="s">
        <v>411</v>
      </c>
      <c r="B358" s="7" t="n">
        <v>3106.98</v>
      </c>
      <c r="C358" s="7" t="n">
        <f aca="false">AVERAGE(B309:B358)</f>
        <v>3544.3368</v>
      </c>
      <c r="D358" s="7" t="n">
        <f aca="false">AVERAGE(B159:B358)</f>
        <v>3325.6725</v>
      </c>
      <c r="E358" s="7" t="n">
        <f aca="false">B358/MAX(B107:B358)-1</f>
        <v>-0.326367870120634</v>
      </c>
      <c r="F358" s="7" t="str">
        <f aca="false">IFERROR(INDEX(02_轉折點45個!B:B,MATCH(A358,02_轉折點45個!A:A,0)),"")</f>
        <v/>
      </c>
      <c r="G358" s="7" t="s">
        <v>1994</v>
      </c>
    </row>
    <row r="359" customFormat="false" ht="15" hidden="false" customHeight="false" outlineLevel="0" collapsed="false">
      <c r="A359" s="7" t="s">
        <v>2308</v>
      </c>
      <c r="B359" s="7" t="n">
        <v>3272.87</v>
      </c>
      <c r="C359" s="7" t="n">
        <f aca="false">AVERAGE(B310:B359)</f>
        <v>3523.705</v>
      </c>
      <c r="D359" s="7" t="n">
        <f aca="false">AVERAGE(B160:B359)</f>
        <v>3329.83505</v>
      </c>
      <c r="E359" s="7" t="n">
        <f aca="false">B359/MAX(B108:B359)-1</f>
        <v>-0.290400842967036</v>
      </c>
      <c r="F359" s="7" t="str">
        <f aca="false">IFERROR(INDEX(02_轉折點45個!B:B,MATCH(A359,02_轉折點45個!A:A,0)),"")</f>
        <v/>
      </c>
      <c r="G359" s="7" t="s">
        <v>1994</v>
      </c>
    </row>
    <row r="360" customFormat="false" ht="15" hidden="false" customHeight="false" outlineLevel="0" collapsed="false">
      <c r="A360" s="7" t="s">
        <v>412</v>
      </c>
      <c r="B360" s="7" t="n">
        <v>3483.8</v>
      </c>
      <c r="C360" s="7" t="n">
        <f aca="false">AVERAGE(B311:B360)</f>
        <v>3504.495</v>
      </c>
      <c r="D360" s="7" t="n">
        <f aca="false">AVERAGE(B161:B360)</f>
        <v>3335.1139</v>
      </c>
      <c r="E360" s="7" t="n">
        <f aca="false">B360/MAX(B109:B360)-1</f>
        <v>-0.244668580398415</v>
      </c>
      <c r="F360" s="7" t="str">
        <f aca="false">IFERROR(INDEX(02_轉折點45個!B:B,MATCH(A360,02_轉折點45個!A:A,0)),"")</f>
        <v/>
      </c>
      <c r="G360" s="7" t="s">
        <v>1994</v>
      </c>
    </row>
    <row r="361" customFormat="false" ht="15" hidden="false" customHeight="false" outlineLevel="0" collapsed="false">
      <c r="A361" s="7" t="s">
        <v>2309</v>
      </c>
      <c r="B361" s="7" t="n">
        <v>3491.46</v>
      </c>
      <c r="C361" s="7" t="n">
        <f aca="false">AVERAGE(B312:B361)</f>
        <v>3484.052</v>
      </c>
      <c r="D361" s="7" t="n">
        <f aca="false">AVERAGE(B162:B361)</f>
        <v>3340.59685</v>
      </c>
      <c r="E361" s="7" t="n">
        <f aca="false">B361/MAX(B110:B361)-1</f>
        <v>-0.243007796577831</v>
      </c>
      <c r="F361" s="7" t="str">
        <f aca="false">IFERROR(INDEX(02_轉折點45個!B:B,MATCH(A361,02_轉折點45個!A:A,0)),"")</f>
        <v/>
      </c>
      <c r="G361" s="7" t="s">
        <v>1994</v>
      </c>
    </row>
    <row r="362" customFormat="false" ht="15" hidden="false" customHeight="false" outlineLevel="0" collapsed="false">
      <c r="A362" s="7" t="s">
        <v>2310</v>
      </c>
      <c r="B362" s="7" t="n">
        <v>3431.72</v>
      </c>
      <c r="C362" s="7" t="n">
        <f aca="false">AVERAGE(B313:B362)</f>
        <v>3462.0046</v>
      </c>
      <c r="D362" s="7" t="n">
        <f aca="false">AVERAGE(B163:B362)</f>
        <v>3345.65825</v>
      </c>
      <c r="E362" s="7" t="n">
        <f aca="false">B362/MAX(B111:B362)-1</f>
        <v>-0.255960175878307</v>
      </c>
      <c r="F362" s="7" t="str">
        <f aca="false">IFERROR(INDEX(02_轉折點45個!B:B,MATCH(A362,02_轉折點45個!A:A,0)),"")</f>
        <v/>
      </c>
      <c r="G362" s="7" t="s">
        <v>1994</v>
      </c>
    </row>
    <row r="363" customFormat="false" ht="15" hidden="false" customHeight="false" outlineLevel="0" collapsed="false">
      <c r="A363" s="7" t="s">
        <v>2311</v>
      </c>
      <c r="B363" s="7" t="n">
        <v>3507.44</v>
      </c>
      <c r="C363" s="7" t="n">
        <f aca="false">AVERAGE(B314:B363)</f>
        <v>3441.5534</v>
      </c>
      <c r="D363" s="7" t="n">
        <f aca="false">AVERAGE(B164:B363)</f>
        <v>3350.77285</v>
      </c>
      <c r="E363" s="7" t="n">
        <f aca="false">B363/MAX(B112:B363)-1</f>
        <v>-0.239543132680583</v>
      </c>
      <c r="F363" s="7" t="str">
        <f aca="false">IFERROR(INDEX(02_轉折點45個!B:B,MATCH(A363,02_轉折點45個!A:A,0)),"")</f>
        <v/>
      </c>
      <c r="G363" s="7" t="s">
        <v>1994</v>
      </c>
    </row>
    <row r="364" customFormat="false" ht="15" hidden="false" customHeight="false" outlineLevel="0" collapsed="false">
      <c r="A364" s="7" t="s">
        <v>2312</v>
      </c>
      <c r="B364" s="7" t="n">
        <v>3494.93</v>
      </c>
      <c r="C364" s="7" t="n">
        <f aca="false">AVERAGE(B315:B364)</f>
        <v>3423.1298</v>
      </c>
      <c r="D364" s="7" t="n">
        <f aca="false">AVERAGE(B165:B364)</f>
        <v>3355.67505</v>
      </c>
      <c r="E364" s="7" t="n">
        <f aca="false">B364/MAX(B113:B364)-1</f>
        <v>-0.242255457170857</v>
      </c>
      <c r="F364" s="7" t="str">
        <f aca="false">IFERROR(INDEX(02_轉折點45個!B:B,MATCH(A364,02_轉折點45個!A:A,0)),"")</f>
        <v/>
      </c>
      <c r="G364" s="7" t="s">
        <v>1994</v>
      </c>
    </row>
    <row r="365" customFormat="false" ht="15" hidden="false" customHeight="false" outlineLevel="0" collapsed="false">
      <c r="A365" s="7" t="s">
        <v>413</v>
      </c>
      <c r="B365" s="7" t="n">
        <v>3539.95</v>
      </c>
      <c r="C365" s="7" t="n">
        <f aca="false">AVERAGE(B316:B365)</f>
        <v>3409.064</v>
      </c>
      <c r="D365" s="7" t="n">
        <f aca="false">AVERAGE(B166:B365)</f>
        <v>3360.5592</v>
      </c>
      <c r="E365" s="7" t="n">
        <f aca="false">B365/MAX(B114:B365)-1</f>
        <v>-0.232494558006019</v>
      </c>
      <c r="F365" s="7" t="str">
        <f aca="false">IFERROR(INDEX(02_轉折點45個!B:B,MATCH(A365,02_轉折點45個!A:A,0)),"")</f>
        <v/>
      </c>
      <c r="G365" s="7" t="s">
        <v>1994</v>
      </c>
    </row>
    <row r="366" customFormat="false" ht="15" hidden="false" customHeight="false" outlineLevel="0" collapsed="false">
      <c r="A366" s="7" t="s">
        <v>2313</v>
      </c>
      <c r="B366" s="7" t="n">
        <v>3442.26</v>
      </c>
      <c r="C366" s="7" t="n">
        <f aca="false">AVERAGE(B317:B366)</f>
        <v>3396.457</v>
      </c>
      <c r="D366" s="7" t="n">
        <f aca="false">AVERAGE(B167:B366)</f>
        <v>3365.0964</v>
      </c>
      <c r="E366" s="7" t="n">
        <f aca="false">B366/MAX(B115:B366)-1</f>
        <v>-0.253674972031186</v>
      </c>
      <c r="F366" s="7" t="str">
        <f aca="false">IFERROR(INDEX(02_轉折點45個!B:B,MATCH(A366,02_轉折點45個!A:A,0)),"")</f>
        <v/>
      </c>
      <c r="G366" s="7" t="s">
        <v>1994</v>
      </c>
    </row>
    <row r="367" customFormat="false" ht="15" hidden="false" customHeight="false" outlineLevel="0" collapsed="false">
      <c r="A367" s="7" t="s">
        <v>2314</v>
      </c>
      <c r="B367" s="7" t="n">
        <v>3518.22</v>
      </c>
      <c r="C367" s="7" t="n">
        <f aca="false">AVERAGE(B318:B367)</f>
        <v>3383.2692</v>
      </c>
      <c r="D367" s="7" t="n">
        <f aca="false">AVERAGE(B168:B367)</f>
        <v>3370.0852</v>
      </c>
      <c r="E367" s="7" t="n">
        <f aca="false">B367/MAX(B116:B367)-1</f>
        <v>-0.23720589383125</v>
      </c>
      <c r="F367" s="7" t="str">
        <f aca="false">IFERROR(INDEX(02_轉折點45個!B:B,MATCH(A367,02_轉折點45個!A:A,0)),"")</f>
        <v/>
      </c>
      <c r="G367" s="7" t="s">
        <v>1994</v>
      </c>
    </row>
    <row r="368" customFormat="false" ht="15" hidden="false" customHeight="false" outlineLevel="0" collapsed="false">
      <c r="A368" s="7" t="s">
        <v>2315</v>
      </c>
      <c r="B368" s="7" t="n">
        <v>3469.21</v>
      </c>
      <c r="C368" s="7" t="n">
        <f aca="false">AVERAGE(B319:B368)</f>
        <v>3375.4806</v>
      </c>
      <c r="D368" s="7" t="n">
        <f aca="false">AVERAGE(B169:B368)</f>
        <v>3375.04005</v>
      </c>
      <c r="E368" s="7" t="n">
        <f aca="false">B368/MAX(B117:B368)-1</f>
        <v>-0.247831874907855</v>
      </c>
      <c r="F368" s="7" t="str">
        <f aca="false">IFERROR(INDEX(02_轉折點45個!B:B,MATCH(A368,02_轉折點45個!A:A,0)),"")</f>
        <v/>
      </c>
      <c r="G368" s="7" t="s">
        <v>1994</v>
      </c>
    </row>
    <row r="369" customFormat="false" ht="15" hidden="false" customHeight="false" outlineLevel="0" collapsed="false">
      <c r="A369" s="7" t="s">
        <v>2316</v>
      </c>
      <c r="B369" s="7" t="n">
        <v>3513.36</v>
      </c>
      <c r="C369" s="7" t="n">
        <f aca="false">AVERAGE(B320:B369)</f>
        <v>3369.9416</v>
      </c>
      <c r="D369" s="7" t="n">
        <f aca="false">AVERAGE(B170:B369)</f>
        <v>3380.09385</v>
      </c>
      <c r="E369" s="7" t="n">
        <f aca="false">B369/MAX(B118:B369)-1</f>
        <v>-0.238259602626033</v>
      </c>
      <c r="F369" s="7" t="str">
        <f aca="false">IFERROR(INDEX(02_轉折點45個!B:B,MATCH(A369,02_轉折點45個!A:A,0)),"")</f>
        <v/>
      </c>
      <c r="G369" s="7" t="s">
        <v>1994</v>
      </c>
    </row>
    <row r="370" customFormat="false" ht="15" hidden="false" customHeight="false" outlineLevel="0" collapsed="false">
      <c r="A370" s="7" t="s">
        <v>2317</v>
      </c>
      <c r="B370" s="7" t="n">
        <v>3526.9</v>
      </c>
      <c r="C370" s="7" t="n">
        <f aca="false">AVERAGE(B321:B370)</f>
        <v>3364.3018</v>
      </c>
      <c r="D370" s="7" t="n">
        <f aca="false">AVERAGE(B171:B370)</f>
        <v>3385.16305</v>
      </c>
      <c r="E370" s="7" t="n">
        <f aca="false">B370/MAX(B119:B370)-1</f>
        <v>-0.235323961251268</v>
      </c>
      <c r="F370" s="7" t="str">
        <f aca="false">IFERROR(INDEX(02_轉折點45個!B:B,MATCH(A370,02_轉折點45個!A:A,0)),"")</f>
        <v/>
      </c>
      <c r="G370" s="7" t="s">
        <v>1994</v>
      </c>
    </row>
    <row r="371" customFormat="false" ht="15" hidden="false" customHeight="false" outlineLevel="0" collapsed="false">
      <c r="A371" s="7" t="s">
        <v>2318</v>
      </c>
      <c r="B371" s="7" t="n">
        <v>3645</v>
      </c>
      <c r="C371" s="7" t="n">
        <f aca="false">AVERAGE(B322:B371)</f>
        <v>3359.2272</v>
      </c>
      <c r="D371" s="7" t="n">
        <f aca="false">AVERAGE(B172:B371)</f>
        <v>3390.8984</v>
      </c>
      <c r="E371" s="7" t="n">
        <f aca="false">B371/MAX(B120:B371)-1</f>
        <v>-0.209718403913032</v>
      </c>
      <c r="F371" s="7" t="str">
        <f aca="false">IFERROR(INDEX(02_轉折點45個!B:B,MATCH(A371,02_轉折點45個!A:A,0)),"")</f>
        <v/>
      </c>
      <c r="G371" s="7" t="s">
        <v>1994</v>
      </c>
    </row>
    <row r="372" customFormat="false" ht="15" hidden="false" customHeight="false" outlineLevel="0" collapsed="false">
      <c r="A372" s="7" t="s">
        <v>2319</v>
      </c>
      <c r="B372" s="7" t="n">
        <v>3666.5</v>
      </c>
      <c r="C372" s="7" t="n">
        <f aca="false">AVERAGE(B323:B372)</f>
        <v>3351.314</v>
      </c>
      <c r="D372" s="7" t="n">
        <f aca="false">AVERAGE(B173:B372)</f>
        <v>3396.24395</v>
      </c>
      <c r="E372" s="7" t="n">
        <f aca="false">B372/MAX(B121:B372)-1</f>
        <v>-0.20505693496492</v>
      </c>
      <c r="F372" s="7" t="str">
        <f aca="false">IFERROR(INDEX(02_轉折點45個!B:B,MATCH(A372,02_轉折點45個!A:A,0)),"")</f>
        <v/>
      </c>
      <c r="G372" s="7" t="s">
        <v>1994</v>
      </c>
    </row>
    <row r="373" customFormat="false" ht="15" hidden="false" customHeight="false" outlineLevel="0" collapsed="false">
      <c r="A373" s="7" t="s">
        <v>414</v>
      </c>
      <c r="B373" s="7" t="n">
        <v>3712.77</v>
      </c>
      <c r="C373" s="7" t="n">
        <f aca="false">AVERAGE(B324:B373)</f>
        <v>3349.0448</v>
      </c>
      <c r="D373" s="7" t="n">
        <f aca="false">AVERAGE(B174:B373)</f>
        <v>3401.8476</v>
      </c>
      <c r="E373" s="7" t="n">
        <f aca="false">B373/MAX(B122:B373)-1</f>
        <v>-0.195025020163563</v>
      </c>
      <c r="F373" s="7" t="str">
        <f aca="false">IFERROR(INDEX(02_轉折點45個!B:B,MATCH(A373,02_轉折點45個!A:A,0)),"")</f>
        <v/>
      </c>
      <c r="G373" s="7" t="s">
        <v>1994</v>
      </c>
    </row>
    <row r="374" customFormat="false" ht="15" hidden="false" customHeight="false" outlineLevel="0" collapsed="false">
      <c r="A374" s="7" t="s">
        <v>2320</v>
      </c>
      <c r="B374" s="7" t="n">
        <v>3596.59</v>
      </c>
      <c r="C374" s="7" t="n">
        <f aca="false">AVERAGE(B325:B374)</f>
        <v>3346.8694</v>
      </c>
      <c r="D374" s="7" t="n">
        <f aca="false">AVERAGE(B175:B374)</f>
        <v>3407.0006</v>
      </c>
      <c r="E374" s="7" t="n">
        <f aca="false">B374/MAX(B123:B374)-1</f>
        <v>-0.220214297484108</v>
      </c>
      <c r="F374" s="7" t="str">
        <f aca="false">IFERROR(INDEX(02_轉折點45個!B:B,MATCH(A374,02_轉折點45個!A:A,0)),"")</f>
        <v/>
      </c>
      <c r="G374" s="7" t="s">
        <v>1994</v>
      </c>
    </row>
    <row r="375" customFormat="false" ht="15" hidden="false" customHeight="false" outlineLevel="0" collapsed="false">
      <c r="A375" s="7" t="s">
        <v>2321</v>
      </c>
      <c r="B375" s="7" t="n">
        <v>3513</v>
      </c>
      <c r="C375" s="7" t="n">
        <f aca="false">AVERAGE(B326:B375)</f>
        <v>3348.2528</v>
      </c>
      <c r="D375" s="7" t="n">
        <f aca="false">AVERAGE(B176:B375)</f>
        <v>3411.53795</v>
      </c>
      <c r="E375" s="7" t="n">
        <f aca="false">B375/MAX(B124:B375)-1</f>
        <v>-0.23833765512935</v>
      </c>
      <c r="F375" s="7" t="str">
        <f aca="false">IFERROR(INDEX(02_轉折點45個!B:B,MATCH(A375,02_轉折點45個!A:A,0)),"")</f>
        <v/>
      </c>
      <c r="G375" s="7" t="s">
        <v>1994</v>
      </c>
    </row>
    <row r="376" customFormat="false" ht="15" hidden="false" customHeight="false" outlineLevel="0" collapsed="false">
      <c r="A376" s="7" t="s">
        <v>2322</v>
      </c>
      <c r="B376" s="7" t="n">
        <v>3574.01</v>
      </c>
      <c r="C376" s="7" t="n">
        <f aca="false">AVERAGE(B327:B376)</f>
        <v>3352.5528</v>
      </c>
      <c r="D376" s="7" t="n">
        <f aca="false">AVERAGE(B177:B376)</f>
        <v>3416.2203</v>
      </c>
      <c r="E376" s="7" t="n">
        <f aca="false">B376/MAX(B125:B376)-1</f>
        <v>-0.225109923942172</v>
      </c>
      <c r="F376" s="7" t="str">
        <f aca="false">IFERROR(INDEX(02_轉折點45個!B:B,MATCH(A376,02_轉折點45個!A:A,0)),"")</f>
        <v/>
      </c>
      <c r="G376" s="7" t="s">
        <v>1994</v>
      </c>
    </row>
    <row r="377" customFormat="false" ht="15" hidden="false" customHeight="false" outlineLevel="0" collapsed="false">
      <c r="A377" s="7" t="s">
        <v>2323</v>
      </c>
      <c r="B377" s="7" t="n">
        <v>3525.44</v>
      </c>
      <c r="C377" s="7" t="n">
        <f aca="false">AVERAGE(B328:B377)</f>
        <v>3362.3768</v>
      </c>
      <c r="D377" s="7" t="n">
        <f aca="false">AVERAGE(B178:B377)</f>
        <v>3420.853</v>
      </c>
      <c r="E377" s="7" t="n">
        <f aca="false">B377/MAX(B126:B377)-1</f>
        <v>-0.235640507514722</v>
      </c>
      <c r="F377" s="7" t="str">
        <f aca="false">IFERROR(INDEX(02_轉折點45個!B:B,MATCH(A377,02_轉折點45個!A:A,0)),"")</f>
        <v/>
      </c>
      <c r="G377" s="7" t="s">
        <v>1994</v>
      </c>
    </row>
    <row r="378" customFormat="false" ht="15" hidden="false" customHeight="false" outlineLevel="0" collapsed="false">
      <c r="A378" s="7" t="s">
        <v>2324</v>
      </c>
      <c r="B378" s="7" t="n">
        <v>3599.79</v>
      </c>
      <c r="C378" s="7" t="n">
        <f aca="false">AVERAGE(B329:B378)</f>
        <v>3369.707</v>
      </c>
      <c r="D378" s="7" t="n">
        <f aca="false">AVERAGE(B179:B378)</f>
        <v>3425.75</v>
      </c>
      <c r="E378" s="7" t="n">
        <f aca="false">B378/MAX(B127:B378)-1</f>
        <v>-0.219520497454621</v>
      </c>
      <c r="F378" s="7" t="str">
        <f aca="false">IFERROR(INDEX(02_轉折點45個!B:B,MATCH(A378,02_轉折點45個!A:A,0)),"")</f>
        <v/>
      </c>
      <c r="G378" s="7" t="s">
        <v>1994</v>
      </c>
    </row>
    <row r="379" customFormat="false" ht="15" hidden="false" customHeight="false" outlineLevel="0" collapsed="false">
      <c r="A379" s="7" t="s">
        <v>2325</v>
      </c>
      <c r="B379" s="7" t="n">
        <v>3542.13</v>
      </c>
      <c r="C379" s="7" t="n">
        <f aca="false">AVERAGE(B330:B379)</f>
        <v>3371.2356</v>
      </c>
      <c r="D379" s="7" t="n">
        <f aca="false">AVERAGE(B180:B379)</f>
        <v>3430.6059</v>
      </c>
      <c r="E379" s="7" t="n">
        <f aca="false">B379/MAX(B128:B379)-1</f>
        <v>-0.232021906735931</v>
      </c>
      <c r="F379" s="7" t="str">
        <f aca="false">IFERROR(INDEX(02_轉折點45個!B:B,MATCH(A379,02_轉折點45個!A:A,0)),"")</f>
        <v/>
      </c>
      <c r="G379" s="7" t="s">
        <v>1994</v>
      </c>
    </row>
    <row r="380" customFormat="false" ht="15" hidden="false" customHeight="false" outlineLevel="0" collapsed="false">
      <c r="A380" s="7" t="s">
        <v>2326</v>
      </c>
      <c r="B380" s="7" t="n">
        <v>3623.33</v>
      </c>
      <c r="C380" s="7" t="n">
        <f aca="false">AVERAGE(B331:B380)</f>
        <v>3375.9808</v>
      </c>
      <c r="D380" s="7" t="n">
        <f aca="false">AVERAGE(B181:B380)</f>
        <v>3435.90185</v>
      </c>
      <c r="E380" s="7" t="n">
        <f aca="false">B380/MAX(B129:B380)-1</f>
        <v>-0.214416730987711</v>
      </c>
      <c r="F380" s="7" t="str">
        <f aca="false">IFERROR(INDEX(02_轉折點45個!B:B,MATCH(A380,02_轉折點45個!A:A,0)),"")</f>
        <v/>
      </c>
      <c r="G380" s="7" t="s">
        <v>1994</v>
      </c>
    </row>
    <row r="381" customFormat="false" ht="15" hidden="false" customHeight="false" outlineLevel="0" collapsed="false">
      <c r="A381" s="7" t="s">
        <v>2327</v>
      </c>
      <c r="B381" s="7" t="n">
        <v>3646.92</v>
      </c>
      <c r="C381" s="7" t="n">
        <f aca="false">AVERAGE(B332:B381)</f>
        <v>3382.3402</v>
      </c>
      <c r="D381" s="7" t="n">
        <f aca="false">AVERAGE(B182:B381)</f>
        <v>3441.0284</v>
      </c>
      <c r="E381" s="7" t="n">
        <f aca="false">B381/MAX(B130:B381)-1</f>
        <v>-0.20930212389534</v>
      </c>
      <c r="F381" s="7" t="str">
        <f aca="false">IFERROR(INDEX(02_轉折點45個!B:B,MATCH(A381,02_轉折點45個!A:A,0)),"")</f>
        <v/>
      </c>
      <c r="G381" s="7" t="s">
        <v>1994</v>
      </c>
    </row>
    <row r="382" customFormat="false" ht="15" hidden="false" customHeight="false" outlineLevel="0" collapsed="false">
      <c r="A382" s="7" t="s">
        <v>2328</v>
      </c>
      <c r="B382" s="7" t="n">
        <v>3529.22</v>
      </c>
      <c r="C382" s="7" t="n">
        <f aca="false">AVERAGE(B333:B382)</f>
        <v>3389.2946</v>
      </c>
      <c r="D382" s="7" t="n">
        <f aca="false">AVERAGE(B183:B382)</f>
        <v>3445.49095</v>
      </c>
      <c r="E382" s="7" t="n">
        <f aca="false">B382/MAX(B131:B382)-1</f>
        <v>-0.234820956229891</v>
      </c>
      <c r="F382" s="7" t="str">
        <f aca="false">IFERROR(INDEX(02_轉折點45個!B:B,MATCH(A382,02_轉折點45個!A:A,0)),"")</f>
        <v/>
      </c>
      <c r="G382" s="7" t="s">
        <v>1994</v>
      </c>
    </row>
    <row r="383" customFormat="false" ht="15" hidden="false" customHeight="false" outlineLevel="0" collapsed="false">
      <c r="A383" s="7" t="s">
        <v>2329</v>
      </c>
      <c r="B383" s="7" t="n">
        <v>3618.27</v>
      </c>
      <c r="C383" s="7" t="n">
        <f aca="false">AVERAGE(B334:B383)</f>
        <v>3393.8504</v>
      </c>
      <c r="D383" s="7" t="n">
        <f aca="false">AVERAGE(B184:B383)</f>
        <v>3450.6959</v>
      </c>
      <c r="E383" s="7" t="n">
        <f aca="false">B383/MAX(B132:B383)-1</f>
        <v>-0.215513802284337</v>
      </c>
      <c r="F383" s="7" t="str">
        <f aca="false">IFERROR(INDEX(02_轉折點45個!B:B,MATCH(A383,02_轉折點45個!A:A,0)),"")</f>
        <v/>
      </c>
      <c r="G383" s="7" t="s">
        <v>1994</v>
      </c>
    </row>
    <row r="384" customFormat="false" ht="15" hidden="false" customHeight="false" outlineLevel="0" collapsed="false">
      <c r="A384" s="7" t="s">
        <v>2330</v>
      </c>
      <c r="B384" s="7" t="n">
        <v>3675.49</v>
      </c>
      <c r="C384" s="7" t="n">
        <f aca="false">AVERAGE(B335:B384)</f>
        <v>3401.0332</v>
      </c>
      <c r="D384" s="7" t="n">
        <f aca="false">AVERAGE(B185:B384)</f>
        <v>3456.01765</v>
      </c>
      <c r="E384" s="7" t="n">
        <f aca="false">B384/MAX(B133:B384)-1</f>
        <v>-0.203107790507081</v>
      </c>
      <c r="F384" s="7" t="str">
        <f aca="false">IFERROR(INDEX(02_轉折點45個!B:B,MATCH(A384,02_轉折點45個!A:A,0)),"")</f>
        <v/>
      </c>
      <c r="G384" s="7" t="s">
        <v>1994</v>
      </c>
    </row>
    <row r="385" customFormat="false" ht="15" hidden="false" customHeight="false" outlineLevel="0" collapsed="false">
      <c r="A385" s="7" t="s">
        <v>2331</v>
      </c>
      <c r="B385" s="7" t="n">
        <v>3636.28</v>
      </c>
      <c r="C385" s="7" t="n">
        <f aca="false">AVERAGE(B336:B385)</f>
        <v>3404.8018</v>
      </c>
      <c r="D385" s="7" t="n">
        <f aca="false">AVERAGE(B186:B385)</f>
        <v>3461.6382</v>
      </c>
      <c r="E385" s="7" t="n">
        <f aca="false">B385/MAX(B134:B385)-1</f>
        <v>-0.211609008993383</v>
      </c>
      <c r="F385" s="7" t="str">
        <f aca="false">IFERROR(INDEX(02_轉折點45個!B:B,MATCH(A385,02_轉折點45個!A:A,0)),"")</f>
        <v/>
      </c>
      <c r="G385" s="7" t="s">
        <v>1994</v>
      </c>
    </row>
    <row r="386" customFormat="false" ht="15" hidden="false" customHeight="false" outlineLevel="0" collapsed="false">
      <c r="A386" s="7" t="s">
        <v>2332</v>
      </c>
      <c r="B386" s="7" t="n">
        <v>3614.48</v>
      </c>
      <c r="C386" s="7" t="n">
        <f aca="false">AVERAGE(B337:B386)</f>
        <v>3406.5516</v>
      </c>
      <c r="D386" s="7" t="n">
        <f aca="false">AVERAGE(B187:B386)</f>
        <v>3467.1928</v>
      </c>
      <c r="E386" s="7" t="n">
        <f aca="false">B386/MAX(B135:B386)-1</f>
        <v>-0.21633552169426</v>
      </c>
      <c r="F386" s="7" t="str">
        <f aca="false">IFERROR(INDEX(02_轉折點45個!B:B,MATCH(A386,02_轉折點45個!A:A,0)),"")</f>
        <v/>
      </c>
      <c r="G386" s="7" t="s">
        <v>1994</v>
      </c>
    </row>
    <row r="387" customFormat="false" ht="15" hidden="false" customHeight="false" outlineLevel="0" collapsed="false">
      <c r="A387" s="7" t="s">
        <v>2333</v>
      </c>
      <c r="B387" s="7" t="n">
        <v>3745.27</v>
      </c>
      <c r="C387" s="7" t="n">
        <f aca="false">AVERAGE(B338:B387)</f>
        <v>3409.1372</v>
      </c>
      <c r="D387" s="7" t="n">
        <f aca="false">AVERAGE(B188:B387)</f>
        <v>3473.30385</v>
      </c>
      <c r="E387" s="7" t="n">
        <f aca="false">B387/MAX(B136:B387)-1</f>
        <v>-0.187978613614091</v>
      </c>
      <c r="F387" s="7" t="str">
        <f aca="false">IFERROR(INDEX(02_轉折點45個!B:B,MATCH(A387,02_轉折點45個!A:A,0)),"")</f>
        <v/>
      </c>
      <c r="G387" s="7" t="s">
        <v>1994</v>
      </c>
    </row>
    <row r="388" customFormat="false" ht="15" hidden="false" customHeight="false" outlineLevel="0" collapsed="false">
      <c r="A388" s="7" t="s">
        <v>2334</v>
      </c>
      <c r="B388" s="7" t="n">
        <v>3814.04</v>
      </c>
      <c r="C388" s="7" t="n">
        <f aca="false">AVERAGE(B339:B388)</f>
        <v>3416.2524</v>
      </c>
      <c r="D388" s="7" t="n">
        <f aca="false">AVERAGE(B189:B388)</f>
        <v>3479.7839</v>
      </c>
      <c r="E388" s="7" t="n">
        <f aca="false">B388/MAX(B137:B388)-1</f>
        <v>-0.173068417355408</v>
      </c>
      <c r="F388" s="7" t="str">
        <f aca="false">IFERROR(INDEX(02_轉折點45個!B:B,MATCH(A388,02_轉折點45個!A:A,0)),"")</f>
        <v/>
      </c>
      <c r="G388" s="7" t="s">
        <v>1994</v>
      </c>
    </row>
    <row r="389" customFormat="false" ht="15" hidden="false" customHeight="false" outlineLevel="0" collapsed="false">
      <c r="A389" s="7" t="s">
        <v>2335</v>
      </c>
      <c r="B389" s="7" t="n">
        <v>3879.19</v>
      </c>
      <c r="C389" s="7" t="n">
        <f aca="false">AVERAGE(B340:B389)</f>
        <v>3426.0982</v>
      </c>
      <c r="D389" s="7" t="n">
        <f aca="false">AVERAGE(B190:B389)</f>
        <v>3486.70835</v>
      </c>
      <c r="E389" s="7" t="n">
        <f aca="false">B389/MAX(B138:B389)-1</f>
        <v>-0.158943082380081</v>
      </c>
      <c r="F389" s="7" t="str">
        <f aca="false">IFERROR(INDEX(02_轉折點45個!B:B,MATCH(A389,02_轉折點45個!A:A,0)),"")</f>
        <v/>
      </c>
      <c r="G389" s="7" t="s">
        <v>1994</v>
      </c>
    </row>
    <row r="390" customFormat="false" ht="15" hidden="false" customHeight="false" outlineLevel="0" collapsed="false">
      <c r="A390" s="7" t="s">
        <v>118</v>
      </c>
      <c r="B390" s="7" t="n">
        <v>3905.22</v>
      </c>
      <c r="C390" s="7" t="n">
        <f aca="false">AVERAGE(B341:B390)</f>
        <v>3436.2284</v>
      </c>
      <c r="D390" s="7" t="n">
        <f aca="false">AVERAGE(B191:B390)</f>
        <v>3493.69035</v>
      </c>
      <c r="E390" s="7" t="n">
        <f aca="false">B390/MAX(B139:B390)-1</f>
        <v>-0.153299452765227</v>
      </c>
      <c r="F390" s="7" t="str">
        <f aca="false">IFERROR(INDEX(02_轉折點45個!B:B,MATCH(A390,02_轉折點45個!A:A,0)),"")</f>
        <v>TOP</v>
      </c>
      <c r="G390" s="7" t="s">
        <v>1994</v>
      </c>
    </row>
    <row r="391" customFormat="false" ht="15" hidden="false" customHeight="false" outlineLevel="0" collapsed="false">
      <c r="A391" s="7" t="s">
        <v>2336</v>
      </c>
      <c r="B391" s="7" t="n">
        <v>3816.15</v>
      </c>
      <c r="C391" s="7" t="n">
        <f aca="false">AVERAGE(B342:B391)</f>
        <v>3442.8126</v>
      </c>
      <c r="D391" s="7" t="n">
        <f aca="false">AVERAGE(B192:B391)</f>
        <v>3500.26955</v>
      </c>
      <c r="E391" s="7" t="n">
        <f aca="false">B391/MAX(B140:B391)-1</f>
        <v>-0.172610942960965</v>
      </c>
      <c r="F391" s="7" t="str">
        <f aca="false">IFERROR(INDEX(02_轉折點45個!B:B,MATCH(A391,02_轉折點45個!A:A,0)),"")</f>
        <v/>
      </c>
      <c r="G391" s="7" t="s">
        <v>1994</v>
      </c>
    </row>
    <row r="392" customFormat="false" ht="15" hidden="false" customHeight="false" outlineLevel="0" collapsed="false">
      <c r="A392" s="7" t="s">
        <v>2337</v>
      </c>
      <c r="B392" s="7" t="n">
        <v>3705.11</v>
      </c>
      <c r="C392" s="7" t="n">
        <f aca="false">AVERAGE(B343:B392)</f>
        <v>3449.87</v>
      </c>
      <c r="D392" s="7" t="n">
        <f aca="false">AVERAGE(B193:B392)</f>
        <v>3506.0235</v>
      </c>
      <c r="E392" s="7" t="n">
        <f aca="false">B392/MAX(B141:B392)-1</f>
        <v>-0.196685803984147</v>
      </c>
      <c r="F392" s="7" t="str">
        <f aca="false">IFERROR(INDEX(02_轉折點45個!B:B,MATCH(A392,02_轉折點45個!A:A,0)),"")</f>
        <v/>
      </c>
      <c r="G392" s="7" t="s">
        <v>1994</v>
      </c>
    </row>
    <row r="393" customFormat="false" ht="15" hidden="false" customHeight="false" outlineLevel="0" collapsed="false">
      <c r="A393" s="7" t="s">
        <v>2338</v>
      </c>
      <c r="B393" s="7" t="n">
        <v>3822.9</v>
      </c>
      <c r="C393" s="7" t="n">
        <f aca="false">AVERAGE(B344:B393)</f>
        <v>3460.8246</v>
      </c>
      <c r="D393" s="7" t="n">
        <f aca="false">AVERAGE(B194:B393)</f>
        <v>3512.3495</v>
      </c>
      <c r="E393" s="7" t="n">
        <f aca="false">B393/MAX(B142:B393)-1</f>
        <v>-0.171147458523767</v>
      </c>
      <c r="F393" s="7" t="str">
        <f aca="false">IFERROR(INDEX(02_轉折點45個!B:B,MATCH(A393,02_轉折點45個!A:A,0)),"")</f>
        <v/>
      </c>
      <c r="G393" s="7" t="s">
        <v>1994</v>
      </c>
    </row>
    <row r="394" customFormat="false" ht="15" hidden="false" customHeight="false" outlineLevel="0" collapsed="false">
      <c r="A394" s="7" t="s">
        <v>2339</v>
      </c>
      <c r="B394" s="7" t="n">
        <v>3740.58</v>
      </c>
      <c r="C394" s="7" t="n">
        <f aca="false">AVERAGE(B345:B394)</f>
        <v>3473.7922</v>
      </c>
      <c r="D394" s="7" t="n">
        <f aca="false">AVERAGE(B195:B394)</f>
        <v>3518.00105</v>
      </c>
      <c r="E394" s="7" t="n">
        <f aca="false">B394/MAX(B143:B394)-1</f>
        <v>-0.188995464282307</v>
      </c>
      <c r="F394" s="7" t="str">
        <f aca="false">IFERROR(INDEX(02_轉折點45個!B:B,MATCH(A394,02_轉折點45個!A:A,0)),"")</f>
        <v/>
      </c>
      <c r="G394" s="7" t="s">
        <v>1994</v>
      </c>
    </row>
    <row r="395" customFormat="false" ht="15" hidden="false" customHeight="false" outlineLevel="0" collapsed="false">
      <c r="A395" s="7" t="s">
        <v>2340</v>
      </c>
      <c r="B395" s="7" t="n">
        <v>3637.45</v>
      </c>
      <c r="C395" s="7" t="n">
        <f aca="false">AVERAGE(B346:B395)</f>
        <v>3482.5988</v>
      </c>
      <c r="D395" s="7" t="n">
        <f aca="false">AVERAGE(B196:B395)</f>
        <v>3523.121</v>
      </c>
      <c r="E395" s="7" t="n">
        <f aca="false">B395/MAX(B144:B395)-1</f>
        <v>-0.211355338357602</v>
      </c>
      <c r="F395" s="7" t="str">
        <f aca="false">IFERROR(INDEX(02_轉折點45個!B:B,MATCH(A395,02_轉折點45個!A:A,0)),"")</f>
        <v/>
      </c>
      <c r="G395" s="7" t="s">
        <v>1994</v>
      </c>
    </row>
    <row r="396" customFormat="false" ht="15" hidden="false" customHeight="false" outlineLevel="0" collapsed="false">
      <c r="A396" s="7" t="s">
        <v>2341</v>
      </c>
      <c r="B396" s="7" t="n">
        <v>3681.3</v>
      </c>
      <c r="C396" s="7" t="n">
        <f aca="false">AVERAGE(B347:B396)</f>
        <v>3491.7438</v>
      </c>
      <c r="D396" s="7" t="n">
        <f aca="false">AVERAGE(B197:B396)</f>
        <v>3528.34205</v>
      </c>
      <c r="E396" s="7" t="n">
        <f aca="false">B396/MAX(B145:B396)-1</f>
        <v>-0.201848109828545</v>
      </c>
      <c r="F396" s="7" t="str">
        <f aca="false">IFERROR(INDEX(02_轉折點45個!B:B,MATCH(A396,02_轉折點45個!A:A,0)),"")</f>
        <v/>
      </c>
      <c r="G396" s="7" t="s">
        <v>1994</v>
      </c>
    </row>
    <row r="397" customFormat="false" ht="15" hidden="false" customHeight="false" outlineLevel="0" collapsed="false">
      <c r="A397" s="7" t="s">
        <v>2342</v>
      </c>
      <c r="B397" s="7" t="n">
        <v>3643.07</v>
      </c>
      <c r="C397" s="7" t="n">
        <f aca="false">AVERAGE(B348:B397)</f>
        <v>3498.6882</v>
      </c>
      <c r="D397" s="7" t="n">
        <f aca="false">AVERAGE(B198:B397)</f>
        <v>3533.23775</v>
      </c>
      <c r="E397" s="7" t="n">
        <f aca="false">B397/MAX(B146:B397)-1</f>
        <v>-0.210136852055816</v>
      </c>
      <c r="F397" s="7" t="str">
        <f aca="false">IFERROR(INDEX(02_轉折點45個!B:B,MATCH(A397,02_轉折點45個!A:A,0)),"")</f>
        <v/>
      </c>
      <c r="G397" s="7" t="s">
        <v>1994</v>
      </c>
    </row>
    <row r="398" customFormat="false" ht="15" hidden="false" customHeight="false" outlineLevel="0" collapsed="false">
      <c r="A398" s="7" t="s">
        <v>415</v>
      </c>
      <c r="B398" s="7" t="n">
        <v>3510.16</v>
      </c>
      <c r="C398" s="7" t="n">
        <f aca="false">AVERAGE(B349:B398)</f>
        <v>3500.966</v>
      </c>
      <c r="D398" s="7" t="n">
        <f aca="false">AVERAGE(B199:B398)</f>
        <v>3537.6677</v>
      </c>
      <c r="E398" s="7" t="n">
        <f aca="false">B398/MAX(B147:B398)-1</f>
        <v>-0.23895340265552</v>
      </c>
      <c r="F398" s="7" t="str">
        <f aca="false">IFERROR(INDEX(02_轉折點45個!B:B,MATCH(A398,02_轉折點45個!A:A,0)),"")</f>
        <v/>
      </c>
      <c r="G398" s="7" t="s">
        <v>1994</v>
      </c>
    </row>
    <row r="399" customFormat="false" ht="15" hidden="false" customHeight="false" outlineLevel="0" collapsed="false">
      <c r="A399" s="7" t="s">
        <v>2343</v>
      </c>
      <c r="B399" s="7" t="n">
        <v>3346.42</v>
      </c>
      <c r="C399" s="7" t="n">
        <f aca="false">AVERAGE(B350:B399)</f>
        <v>3501.2956</v>
      </c>
      <c r="D399" s="7" t="n">
        <f aca="false">AVERAGE(B200:B399)</f>
        <v>3541.604</v>
      </c>
      <c r="E399" s="7" t="n">
        <f aca="false">B399/MAX(B148:B399)-1</f>
        <v>-0.274454282914307</v>
      </c>
      <c r="F399" s="7" t="str">
        <f aca="false">IFERROR(INDEX(02_轉折點45個!B:B,MATCH(A399,02_轉折點45個!A:A,0)),"")</f>
        <v/>
      </c>
      <c r="G399" s="7" t="s">
        <v>1994</v>
      </c>
    </row>
    <row r="400" customFormat="false" ht="15" hidden="false" customHeight="false" outlineLevel="0" collapsed="false">
      <c r="A400" s="7" t="s">
        <v>416</v>
      </c>
      <c r="B400" s="7" t="n">
        <v>3441.42</v>
      </c>
      <c r="C400" s="7" t="n">
        <f aca="false">AVERAGE(B351:B400)</f>
        <v>3505.4666</v>
      </c>
      <c r="D400" s="7" t="n">
        <f aca="false">AVERAGE(B201:B400)</f>
        <v>3545.98985</v>
      </c>
      <c r="E400" s="7" t="n">
        <f aca="false">B400/MAX(B149:B400)-1</f>
        <v>-0.253857094538926</v>
      </c>
      <c r="F400" s="7" t="str">
        <f aca="false">IFERROR(INDEX(02_轉折點45個!B:B,MATCH(A400,02_轉折點45個!A:A,0)),"")</f>
        <v/>
      </c>
      <c r="G400" s="7" t="s">
        <v>1994</v>
      </c>
    </row>
    <row r="401" customFormat="false" ht="15" hidden="false" customHeight="false" outlineLevel="0" collapsed="false">
      <c r="A401" s="7" t="s">
        <v>2344</v>
      </c>
      <c r="B401" s="7" t="n">
        <v>3366.99</v>
      </c>
      <c r="C401" s="7" t="n">
        <f aca="false">AVERAGE(B352:B401)</f>
        <v>3510.8588</v>
      </c>
      <c r="D401" s="7" t="n">
        <f aca="false">AVERAGE(B202:B401)</f>
        <v>3550.34615</v>
      </c>
      <c r="E401" s="7" t="n">
        <f aca="false">B401/MAX(B150:B401)-1</f>
        <v>-0.269994449599764</v>
      </c>
      <c r="F401" s="7" t="str">
        <f aca="false">IFERROR(INDEX(02_轉折點45個!B:B,MATCH(A401,02_轉折點45個!A:A,0)),"")</f>
        <v/>
      </c>
      <c r="G401" s="7" t="s">
        <v>1994</v>
      </c>
    </row>
    <row r="402" customFormat="false" ht="15" hidden="false" customHeight="false" outlineLevel="0" collapsed="false">
      <c r="A402" s="7" t="s">
        <v>2345</v>
      </c>
      <c r="B402" s="7" t="n">
        <v>3342.27</v>
      </c>
      <c r="C402" s="7" t="n">
        <f aca="false">AVERAGE(B353:B402)</f>
        <v>3516.2352</v>
      </c>
      <c r="D402" s="7" t="n">
        <f aca="false">AVERAGE(B203:B402)</f>
        <v>3554.77385</v>
      </c>
      <c r="E402" s="7" t="n">
        <f aca="false">B402/MAX(B151:B402)-1</f>
        <v>-0.275354054827547</v>
      </c>
      <c r="F402" s="7" t="str">
        <f aca="false">IFERROR(INDEX(02_轉折點45個!B:B,MATCH(A402,02_轉折點45個!A:A,0)),"")</f>
        <v/>
      </c>
      <c r="G402" s="7" t="s">
        <v>1994</v>
      </c>
    </row>
    <row r="403" customFormat="false" ht="15" hidden="false" customHeight="false" outlineLevel="0" collapsed="false">
      <c r="A403" s="7" t="s">
        <v>2346</v>
      </c>
      <c r="B403" s="7" t="n">
        <v>3434.92</v>
      </c>
      <c r="C403" s="7" t="n">
        <f aca="false">AVERAGE(B354:B403)</f>
        <v>3527.1126</v>
      </c>
      <c r="D403" s="7" t="n">
        <f aca="false">AVERAGE(B204:B403)</f>
        <v>3559.6692</v>
      </c>
      <c r="E403" s="7" t="n">
        <f aca="false">B403/MAX(B152:B403)-1</f>
        <v>-0.255266375848821</v>
      </c>
      <c r="F403" s="7" t="str">
        <f aca="false">IFERROR(INDEX(02_轉折點45個!B:B,MATCH(A403,02_轉折點45個!A:A,0)),"")</f>
        <v/>
      </c>
      <c r="G403" s="7" t="s">
        <v>1994</v>
      </c>
    </row>
    <row r="404" customFormat="false" ht="15" hidden="false" customHeight="false" outlineLevel="0" collapsed="false">
      <c r="A404" s="7" t="s">
        <v>2347</v>
      </c>
      <c r="B404" s="7" t="n">
        <v>3460.03</v>
      </c>
      <c r="C404" s="7" t="n">
        <f aca="false">AVERAGE(B355:B404)</f>
        <v>3536.5544</v>
      </c>
      <c r="D404" s="7" t="n">
        <f aca="false">AVERAGE(B205:B404)</f>
        <v>3564.23355</v>
      </c>
      <c r="E404" s="7" t="n">
        <f aca="false">B404/MAX(B153:B404)-1</f>
        <v>-0.249822213742444</v>
      </c>
      <c r="F404" s="7" t="str">
        <f aca="false">IFERROR(INDEX(02_轉折點45個!B:B,MATCH(A404,02_轉折點45個!A:A,0)),"")</f>
        <v/>
      </c>
      <c r="G404" s="7" t="s">
        <v>1994</v>
      </c>
    </row>
    <row r="405" customFormat="false" ht="15" hidden="false" customHeight="false" outlineLevel="0" collapsed="false">
      <c r="A405" s="7" t="s">
        <v>2348</v>
      </c>
      <c r="B405" s="7" t="n">
        <v>3529.12</v>
      </c>
      <c r="C405" s="7" t="n">
        <f aca="false">AVERAGE(B356:B405)</f>
        <v>3548.5704</v>
      </c>
      <c r="D405" s="7" t="n">
        <f aca="false">AVERAGE(B206:B405)</f>
        <v>3569.08025</v>
      </c>
      <c r="E405" s="7" t="n">
        <f aca="false">B405/MAX(B154:B405)-1</f>
        <v>-0.234842637480812</v>
      </c>
      <c r="F405" s="7" t="str">
        <f aca="false">IFERROR(INDEX(02_轉折點45個!B:B,MATCH(A405,02_轉折點45個!A:A,0)),"")</f>
        <v/>
      </c>
      <c r="G405" s="7" t="s">
        <v>1994</v>
      </c>
    </row>
    <row r="406" customFormat="false" ht="15" hidden="false" customHeight="false" outlineLevel="0" collapsed="false">
      <c r="A406" s="7" t="s">
        <v>2349</v>
      </c>
      <c r="B406" s="7" t="n">
        <v>3515.93</v>
      </c>
      <c r="C406" s="7" t="n">
        <f aca="false">AVERAGE(B357:B406)</f>
        <v>3560.327</v>
      </c>
      <c r="D406" s="7" t="n">
        <f aca="false">AVERAGE(B207:B406)</f>
        <v>3573.7944</v>
      </c>
      <c r="E406" s="7" t="n">
        <f aca="false">B406/MAX(B155:B406)-1</f>
        <v>-0.237702394477352</v>
      </c>
      <c r="F406" s="7" t="str">
        <f aca="false">IFERROR(INDEX(02_轉折點45個!B:B,MATCH(A406,02_轉折點45個!A:A,0)),"")</f>
        <v/>
      </c>
      <c r="G406" s="7" t="s">
        <v>1994</v>
      </c>
    </row>
    <row r="407" customFormat="false" ht="15" hidden="false" customHeight="false" outlineLevel="0" collapsed="false">
      <c r="A407" s="7" t="s">
        <v>2350</v>
      </c>
      <c r="B407" s="7" t="n">
        <v>3520.45</v>
      </c>
      <c r="C407" s="7" t="n">
        <f aca="false">AVERAGE(B358:B407)</f>
        <v>3567.5262</v>
      </c>
      <c r="D407" s="7" t="n">
        <f aca="false">AVERAGE(B208:B407)</f>
        <v>3578.5338</v>
      </c>
      <c r="E407" s="7" t="n">
        <f aca="false">B407/MAX(B156:B407)-1</f>
        <v>-0.236722401935702</v>
      </c>
      <c r="F407" s="7" t="str">
        <f aca="false">IFERROR(INDEX(02_轉折點45個!B:B,MATCH(A407,02_轉折點45個!A:A,0)),"")</f>
        <v/>
      </c>
      <c r="G407" s="7" t="s">
        <v>1994</v>
      </c>
    </row>
    <row r="408" customFormat="false" ht="15" hidden="false" customHeight="false" outlineLevel="0" collapsed="false">
      <c r="A408" s="7" t="s">
        <v>2351</v>
      </c>
      <c r="B408" s="7" t="n">
        <v>3435.02</v>
      </c>
      <c r="C408" s="7" t="n">
        <f aca="false">AVERAGE(B359:B408)</f>
        <v>3574.087</v>
      </c>
      <c r="D408" s="7" t="n">
        <f aca="false">AVERAGE(B209:B408)</f>
        <v>3582.8665</v>
      </c>
      <c r="E408" s="7" t="n">
        <f aca="false">B408/MAX(B157:B408)-1</f>
        <v>-0.255244694597899</v>
      </c>
      <c r="F408" s="7" t="str">
        <f aca="false">IFERROR(INDEX(02_轉折點45個!B:B,MATCH(A408,02_轉折點45個!A:A,0)),"")</f>
        <v/>
      </c>
      <c r="G408" s="7" t="s">
        <v>1994</v>
      </c>
    </row>
    <row r="409" customFormat="false" ht="15" hidden="false" customHeight="false" outlineLevel="0" collapsed="false">
      <c r="A409" s="7" t="s">
        <v>2352</v>
      </c>
      <c r="B409" s="7" t="n">
        <v>3461.96</v>
      </c>
      <c r="C409" s="7" t="n">
        <f aca="false">AVERAGE(B360:B409)</f>
        <v>3577.8688</v>
      </c>
      <c r="D409" s="7" t="n">
        <f aca="false">AVERAGE(B210:B409)</f>
        <v>3587.37475</v>
      </c>
      <c r="E409" s="7" t="n">
        <f aca="false">B409/MAX(B158:B409)-1</f>
        <v>-0.24940376559966</v>
      </c>
      <c r="F409" s="7" t="str">
        <f aca="false">IFERROR(INDEX(02_轉折點45個!B:B,MATCH(A409,02_轉折點45個!A:A,0)),"")</f>
        <v/>
      </c>
      <c r="G409" s="7" t="s">
        <v>1994</v>
      </c>
    </row>
    <row r="410" customFormat="false" ht="15" hidden="false" customHeight="false" outlineLevel="0" collapsed="false">
      <c r="A410" s="7" t="s">
        <v>2353</v>
      </c>
      <c r="B410" s="7" t="n">
        <v>3516.97</v>
      </c>
      <c r="C410" s="7" t="n">
        <f aca="false">AVERAGE(B361:B410)</f>
        <v>3578.5322</v>
      </c>
      <c r="D410" s="7" t="n">
        <f aca="false">AVERAGE(B211:B410)</f>
        <v>3591.826</v>
      </c>
      <c r="E410" s="7" t="n">
        <f aca="false">B410/MAX(B159:B410)-1</f>
        <v>-0.237476909467769</v>
      </c>
      <c r="F410" s="7" t="str">
        <f aca="false">IFERROR(INDEX(02_轉折點45個!B:B,MATCH(A410,02_轉折點45個!A:A,0)),"")</f>
        <v/>
      </c>
      <c r="G410" s="7" t="s">
        <v>1994</v>
      </c>
    </row>
    <row r="411" customFormat="false" ht="15" hidden="false" customHeight="false" outlineLevel="0" collapsed="false">
      <c r="A411" s="7" t="s">
        <v>2354</v>
      </c>
      <c r="B411" s="7" t="n">
        <v>3518.77</v>
      </c>
      <c r="C411" s="7" t="n">
        <f aca="false">AVERAGE(B362:B411)</f>
        <v>3579.0784</v>
      </c>
      <c r="D411" s="7" t="n">
        <f aca="false">AVERAGE(B212:B411)</f>
        <v>3595.8696</v>
      </c>
      <c r="E411" s="7" t="n">
        <f aca="false">B411/MAX(B160:B411)-1</f>
        <v>-0.237086646951182</v>
      </c>
      <c r="F411" s="7" t="str">
        <f aca="false">IFERROR(INDEX(02_轉折點45個!B:B,MATCH(A411,02_轉折點45個!A:A,0)),"")</f>
        <v/>
      </c>
      <c r="G411" s="7" t="s">
        <v>1994</v>
      </c>
    </row>
    <row r="412" customFormat="false" ht="15" hidden="false" customHeight="false" outlineLevel="0" collapsed="false">
      <c r="A412" s="7" t="s">
        <v>2355</v>
      </c>
      <c r="B412" s="7" t="n">
        <v>3527.49</v>
      </c>
      <c r="C412" s="7" t="n">
        <f aca="false">AVERAGE(B363:B412)</f>
        <v>3580.9938</v>
      </c>
      <c r="D412" s="7" t="n">
        <f aca="false">AVERAGE(B213:B412)</f>
        <v>3599.95125</v>
      </c>
      <c r="E412" s="7" t="n">
        <f aca="false">B412/MAX(B161:B412)-1</f>
        <v>-0.235196041870832</v>
      </c>
      <c r="F412" s="7" t="str">
        <f aca="false">IFERROR(INDEX(02_轉折點45個!B:B,MATCH(A412,02_轉折點45個!A:A,0)),"")</f>
        <v/>
      </c>
      <c r="G412" s="7" t="s">
        <v>1994</v>
      </c>
    </row>
    <row r="413" customFormat="false" ht="15" hidden="false" customHeight="false" outlineLevel="0" collapsed="false">
      <c r="A413" s="7" t="s">
        <v>2356</v>
      </c>
      <c r="B413" s="7" t="n">
        <v>3600.27</v>
      </c>
      <c r="C413" s="7" t="n">
        <f aca="false">AVERAGE(B364:B413)</f>
        <v>3582.8504</v>
      </c>
      <c r="D413" s="7" t="n">
        <f aca="false">AVERAGE(B214:B413)</f>
        <v>3604.3329</v>
      </c>
      <c r="E413" s="7" t="n">
        <f aca="false">B413/MAX(B162:B413)-1</f>
        <v>-0.219416427450198</v>
      </c>
      <c r="F413" s="7" t="str">
        <f aca="false">IFERROR(INDEX(02_轉折點45個!B:B,MATCH(A413,02_轉折點45個!A:A,0)),"")</f>
        <v/>
      </c>
      <c r="G413" s="7" t="s">
        <v>1994</v>
      </c>
    </row>
    <row r="414" customFormat="false" ht="15" hidden="false" customHeight="false" outlineLevel="0" collapsed="false">
      <c r="A414" s="7" t="s">
        <v>2357</v>
      </c>
      <c r="B414" s="7" t="n">
        <v>3590.65</v>
      </c>
      <c r="C414" s="7" t="n">
        <f aca="false">AVERAGE(B365:B414)</f>
        <v>3584.7648</v>
      </c>
      <c r="D414" s="7" t="n">
        <f aca="false">AVERAGE(B215:B414)</f>
        <v>3608.45235</v>
      </c>
      <c r="E414" s="7" t="n">
        <f aca="false">B414/MAX(B163:B414)-1</f>
        <v>-0.221502163788842</v>
      </c>
      <c r="F414" s="7" t="str">
        <f aca="false">IFERROR(INDEX(02_轉折點45個!B:B,MATCH(A414,02_轉折點45個!A:A,0)),"")</f>
        <v/>
      </c>
      <c r="G414" s="7" t="s">
        <v>1994</v>
      </c>
    </row>
    <row r="415" customFormat="false" ht="15" hidden="false" customHeight="false" outlineLevel="0" collapsed="false">
      <c r="A415" s="7" t="s">
        <v>2358</v>
      </c>
      <c r="B415" s="7" t="n">
        <v>3611.49</v>
      </c>
      <c r="C415" s="7" t="n">
        <f aca="false">AVERAGE(B366:B415)</f>
        <v>3586.1956</v>
      </c>
      <c r="D415" s="7" t="n">
        <f aca="false">AVERAGE(B216:B415)</f>
        <v>3612.55065</v>
      </c>
      <c r="E415" s="7" t="n">
        <f aca="false">B415/MAX(B164:B415)-1</f>
        <v>-0.216983791096811</v>
      </c>
      <c r="F415" s="7" t="str">
        <f aca="false">IFERROR(INDEX(02_轉折點45個!B:B,MATCH(A415,02_轉折點45個!A:A,0)),"")</f>
        <v/>
      </c>
      <c r="G415" s="7" t="s">
        <v>1994</v>
      </c>
    </row>
    <row r="416" customFormat="false" ht="15" hidden="false" customHeight="false" outlineLevel="0" collapsed="false">
      <c r="A416" s="7" t="s">
        <v>2359</v>
      </c>
      <c r="B416" s="7" t="n">
        <v>3616.11</v>
      </c>
      <c r="C416" s="7" t="n">
        <f aca="false">AVERAGE(B367:B416)</f>
        <v>3589.6726</v>
      </c>
      <c r="D416" s="7" t="n">
        <f aca="false">AVERAGE(B217:B416)</f>
        <v>3616.46035</v>
      </c>
      <c r="E416" s="7" t="n">
        <f aca="false">B416/MAX(B165:B416)-1</f>
        <v>-0.21598211730424</v>
      </c>
      <c r="F416" s="7" t="str">
        <f aca="false">IFERROR(INDEX(02_轉折點45個!B:B,MATCH(A416,02_轉折點45個!A:A,0)),"")</f>
        <v/>
      </c>
      <c r="G416" s="7" t="s">
        <v>1994</v>
      </c>
    </row>
    <row r="417" customFormat="false" ht="15" hidden="false" customHeight="false" outlineLevel="0" collapsed="false">
      <c r="A417" s="7" t="s">
        <v>417</v>
      </c>
      <c r="B417" s="7" t="n">
        <v>3664.35</v>
      </c>
      <c r="C417" s="7" t="n">
        <f aca="false">AVERAGE(B368:B417)</f>
        <v>3592.5952</v>
      </c>
      <c r="D417" s="7" t="n">
        <f aca="false">AVERAGE(B218:B417)</f>
        <v>3620.4209</v>
      </c>
      <c r="E417" s="7" t="n">
        <f aca="false">B417/MAX(B166:B417)-1</f>
        <v>-0.205523081859731</v>
      </c>
      <c r="F417" s="7" t="str">
        <f aca="false">IFERROR(INDEX(02_轉折點45個!B:B,MATCH(A417,02_轉折點45個!A:A,0)),"")</f>
        <v/>
      </c>
      <c r="G417" s="7" t="s">
        <v>1994</v>
      </c>
    </row>
    <row r="418" customFormat="false" ht="15" hidden="false" customHeight="false" outlineLevel="0" collapsed="false">
      <c r="A418" s="7" t="s">
        <v>2360</v>
      </c>
      <c r="B418" s="7" t="n">
        <v>3702.97</v>
      </c>
      <c r="C418" s="7" t="n">
        <f aca="false">AVERAGE(B369:B418)</f>
        <v>3597.2704</v>
      </c>
      <c r="D418" s="7" t="n">
        <f aca="false">AVERAGE(B219:B418)</f>
        <v>3624.661</v>
      </c>
      <c r="E418" s="7" t="n">
        <f aca="false">B418/MAX(B167:B418)-1</f>
        <v>-0.197149782753866</v>
      </c>
      <c r="F418" s="7" t="str">
        <f aca="false">IFERROR(INDEX(02_轉折點45個!B:B,MATCH(A418,02_轉折點45個!A:A,0)),"")</f>
        <v/>
      </c>
      <c r="G418" s="7" t="s">
        <v>1994</v>
      </c>
    </row>
    <row r="419" customFormat="false" ht="15" hidden="false" customHeight="false" outlineLevel="0" collapsed="false">
      <c r="A419" s="7" t="s">
        <v>2361</v>
      </c>
      <c r="B419" s="7" t="n">
        <v>3693.28</v>
      </c>
      <c r="C419" s="7" t="n">
        <f aca="false">AVERAGE(B370:B419)</f>
        <v>3600.8688</v>
      </c>
      <c r="D419" s="7" t="n">
        <f aca="false">AVERAGE(B220:B419)</f>
        <v>3628.7114</v>
      </c>
      <c r="E419" s="7" t="n">
        <f aca="false">B419/MAX(B168:B419)-1</f>
        <v>-0.199250695968154</v>
      </c>
      <c r="F419" s="7" t="str">
        <f aca="false">IFERROR(INDEX(02_轉折點45個!B:B,MATCH(A419,02_轉折點45個!A:A,0)),"")</f>
        <v/>
      </c>
      <c r="G419" s="7" t="s">
        <v>1994</v>
      </c>
    </row>
    <row r="420" customFormat="false" ht="15" hidden="false" customHeight="false" outlineLevel="0" collapsed="false">
      <c r="A420" s="7" t="s">
        <v>2362</v>
      </c>
      <c r="B420" s="7" t="n">
        <v>3718.78</v>
      </c>
      <c r="C420" s="7" t="n">
        <f aca="false">AVERAGE(B371:B420)</f>
        <v>3604.7064</v>
      </c>
      <c r="D420" s="7" t="n">
        <f aca="false">AVERAGE(B221:B420)</f>
        <v>3632.7005</v>
      </c>
      <c r="E420" s="7" t="n">
        <f aca="false">B420/MAX(B169:B420)-1</f>
        <v>-0.193721976983184</v>
      </c>
      <c r="F420" s="7" t="str">
        <f aca="false">IFERROR(INDEX(02_轉折點45個!B:B,MATCH(A420,02_轉折點45個!A:A,0)),"")</f>
        <v/>
      </c>
      <c r="G420" s="7" t="s">
        <v>1994</v>
      </c>
    </row>
    <row r="421" customFormat="false" ht="15" hidden="false" customHeight="false" outlineLevel="0" collapsed="false">
      <c r="A421" s="7" t="s">
        <v>2363</v>
      </c>
      <c r="B421" s="7" t="n">
        <v>3729.36</v>
      </c>
      <c r="C421" s="7" t="n">
        <f aca="false">AVERAGE(B372:B421)</f>
        <v>3606.3936</v>
      </c>
      <c r="D421" s="7" t="n">
        <f aca="false">AVERAGE(B222:B421)</f>
        <v>3636.63355</v>
      </c>
      <c r="E421" s="7" t="n">
        <f aca="false">B421/MAX(B170:B421)-1</f>
        <v>-0.191428100635694</v>
      </c>
      <c r="F421" s="7" t="str">
        <f aca="false">IFERROR(INDEX(02_轉折點45個!B:B,MATCH(A421,02_轉折點45個!A:A,0)),"")</f>
        <v/>
      </c>
      <c r="G421" s="7" t="s">
        <v>1994</v>
      </c>
    </row>
    <row r="422" customFormat="false" ht="15" hidden="false" customHeight="false" outlineLevel="0" collapsed="false">
      <c r="A422" s="7" t="s">
        <v>2364</v>
      </c>
      <c r="B422" s="7" t="n">
        <v>3749.13</v>
      </c>
      <c r="C422" s="7" t="n">
        <f aca="false">AVERAGE(B373:B422)</f>
        <v>3608.0462</v>
      </c>
      <c r="D422" s="7" t="n">
        <f aca="false">AVERAGE(B223:B422)</f>
        <v>3640.6728</v>
      </c>
      <c r="E422" s="7" t="n">
        <f aca="false">B422/MAX(B171:B422)-1</f>
        <v>-0.187141717328523</v>
      </c>
      <c r="F422" s="7" t="str">
        <f aca="false">IFERROR(INDEX(02_轉折點45個!B:B,MATCH(A422,02_轉折點45個!A:A,0)),"")</f>
        <v/>
      </c>
      <c r="G422" s="7" t="s">
        <v>1994</v>
      </c>
    </row>
    <row r="423" customFormat="false" ht="15" hidden="false" customHeight="false" outlineLevel="0" collapsed="false">
      <c r="A423" s="7" t="s">
        <v>2365</v>
      </c>
      <c r="B423" s="7" t="n">
        <v>3842.81</v>
      </c>
      <c r="C423" s="7" t="n">
        <f aca="false">AVERAGE(B374:B423)</f>
        <v>3610.647</v>
      </c>
      <c r="D423" s="7" t="n">
        <f aca="false">AVERAGE(B224:B423)</f>
        <v>3644.83335</v>
      </c>
      <c r="E423" s="7" t="n">
        <f aca="false">B423/MAX(B172:B423)-1</f>
        <v>-0.166830721465306</v>
      </c>
      <c r="F423" s="7" t="str">
        <f aca="false">IFERROR(INDEX(02_轉折點45個!B:B,MATCH(A423,02_轉折點45個!A:A,0)),"")</f>
        <v/>
      </c>
      <c r="G423" s="7" t="s">
        <v>1994</v>
      </c>
    </row>
    <row r="424" customFormat="false" ht="15" hidden="false" customHeight="false" outlineLevel="0" collapsed="false">
      <c r="A424" s="7" t="s">
        <v>2366</v>
      </c>
      <c r="B424" s="7" t="n">
        <v>3868.37</v>
      </c>
      <c r="C424" s="7" t="n">
        <f aca="false">AVERAGE(B375:B424)</f>
        <v>3616.0826</v>
      </c>
      <c r="D424" s="7" t="n">
        <f aca="false">AVERAGE(B225:B424)</f>
        <v>3649.24105</v>
      </c>
      <c r="E424" s="7" t="n">
        <f aca="false">B424/MAX(B173:B424)-1</f>
        <v>-0.161288993729782</v>
      </c>
      <c r="F424" s="7" t="str">
        <f aca="false">IFERROR(INDEX(02_轉折點45個!B:B,MATCH(A424,02_轉折點45個!A:A,0)),"")</f>
        <v/>
      </c>
      <c r="G424" s="7" t="s">
        <v>1994</v>
      </c>
    </row>
    <row r="425" customFormat="false" ht="15" hidden="false" customHeight="false" outlineLevel="0" collapsed="false">
      <c r="A425" s="7" t="s">
        <v>2367</v>
      </c>
      <c r="B425" s="7" t="n">
        <v>3785.1</v>
      </c>
      <c r="C425" s="7" t="n">
        <f aca="false">AVERAGE(B376:B425)</f>
        <v>3621.5246</v>
      </c>
      <c r="D425" s="7" t="n">
        <f aca="false">AVERAGE(B226:B425)</f>
        <v>3652.8774</v>
      </c>
      <c r="E425" s="7" t="n">
        <f aca="false">B425/MAX(B174:B425)-1</f>
        <v>-0.179342971372076</v>
      </c>
      <c r="F425" s="7" t="str">
        <f aca="false">IFERROR(INDEX(02_轉折點45個!B:B,MATCH(A425,02_轉折點45個!A:A,0)),"")</f>
        <v/>
      </c>
      <c r="G425" s="7" t="s">
        <v>1994</v>
      </c>
    </row>
    <row r="426" customFormat="false" ht="15" hidden="false" customHeight="false" outlineLevel="0" collapsed="false">
      <c r="A426" s="7" t="s">
        <v>2368</v>
      </c>
      <c r="B426" s="7" t="n">
        <v>3666.48</v>
      </c>
      <c r="C426" s="7" t="n">
        <f aca="false">AVERAGE(B377:B426)</f>
        <v>3623.374</v>
      </c>
      <c r="D426" s="7" t="n">
        <f aca="false">AVERAGE(B227:B426)</f>
        <v>3655.81955</v>
      </c>
      <c r="E426" s="7" t="n">
        <f aca="false">B426/MAX(B175:B426)-1</f>
        <v>-0.205061271215104</v>
      </c>
      <c r="F426" s="7" t="str">
        <f aca="false">IFERROR(INDEX(02_轉折點45個!B:B,MATCH(A426,02_轉折點45個!A:A,0)),"")</f>
        <v/>
      </c>
      <c r="G426" s="7" t="s">
        <v>1994</v>
      </c>
    </row>
    <row r="427" customFormat="false" ht="15" hidden="false" customHeight="false" outlineLevel="0" collapsed="false">
      <c r="A427" s="7" t="s">
        <v>2369</v>
      </c>
      <c r="B427" s="7" t="n">
        <v>3744.14</v>
      </c>
      <c r="C427" s="7" t="n">
        <f aca="false">AVERAGE(B378:B427)</f>
        <v>3627.748</v>
      </c>
      <c r="D427" s="7" t="n">
        <f aca="false">AVERAGE(B228:B427)</f>
        <v>3659.0435</v>
      </c>
      <c r="E427" s="7" t="n">
        <f aca="false">B427/MAX(B176:B427)-1</f>
        <v>-0.188223611749504</v>
      </c>
      <c r="F427" s="7" t="str">
        <f aca="false">IFERROR(INDEX(02_轉折點45個!B:B,MATCH(A427,02_轉折點45個!A:A,0)),"")</f>
        <v/>
      </c>
      <c r="G427" s="7" t="s">
        <v>1994</v>
      </c>
    </row>
    <row r="428" customFormat="false" ht="15" hidden="false" customHeight="false" outlineLevel="0" collapsed="false">
      <c r="A428" s="7" t="s">
        <v>418</v>
      </c>
      <c r="B428" s="7" t="n">
        <v>3634.57</v>
      </c>
      <c r="C428" s="7" t="n">
        <f aca="false">AVERAGE(B379:B428)</f>
        <v>3628.4436</v>
      </c>
      <c r="D428" s="7" t="n">
        <f aca="false">AVERAGE(B229:B428)</f>
        <v>3661.9466</v>
      </c>
      <c r="E428" s="7" t="n">
        <f aca="false">B428/MAX(B177:B428)-1</f>
        <v>-0.21197975838414</v>
      </c>
      <c r="F428" s="7" t="str">
        <f aca="false">IFERROR(INDEX(02_轉折點45個!B:B,MATCH(A428,02_轉折點45個!A:A,0)),"")</f>
        <v/>
      </c>
      <c r="G428" s="7" t="s">
        <v>1994</v>
      </c>
    </row>
    <row r="429" customFormat="false" ht="15" hidden="false" customHeight="false" outlineLevel="0" collapsed="false">
      <c r="A429" s="7" t="s">
        <v>2370</v>
      </c>
      <c r="B429" s="7" t="n">
        <v>3559.6</v>
      </c>
      <c r="C429" s="7" t="n">
        <f aca="false">AVERAGE(B380:B429)</f>
        <v>3628.793</v>
      </c>
      <c r="D429" s="7" t="n">
        <f aca="false">AVERAGE(B230:B429)</f>
        <v>3664.1202</v>
      </c>
      <c r="E429" s="7" t="n">
        <f aca="false">B429/MAX(B178:B429)-1</f>
        <v>-0.228234192199953</v>
      </c>
      <c r="F429" s="7" t="str">
        <f aca="false">IFERROR(INDEX(02_轉折點45個!B:B,MATCH(A429,02_轉折點45個!A:A,0)),"")</f>
        <v/>
      </c>
      <c r="G429" s="7" t="s">
        <v>1994</v>
      </c>
    </row>
    <row r="430" customFormat="false" ht="15" hidden="false" customHeight="false" outlineLevel="0" collapsed="false">
      <c r="A430" s="7" t="s">
        <v>2371</v>
      </c>
      <c r="B430" s="7" t="n">
        <v>3516.81</v>
      </c>
      <c r="C430" s="7" t="n">
        <f aca="false">AVERAGE(B381:B430)</f>
        <v>3626.6626</v>
      </c>
      <c r="D430" s="7" t="n">
        <f aca="false">AVERAGE(B231:B430)</f>
        <v>3665.95515</v>
      </c>
      <c r="E430" s="7" t="n">
        <f aca="false">B430/MAX(B179:B430)-1</f>
        <v>-0.237511599469243</v>
      </c>
      <c r="F430" s="7" t="str">
        <f aca="false">IFERROR(INDEX(02_轉折點45個!B:B,MATCH(A430,02_轉折點45個!A:A,0)),"")</f>
        <v/>
      </c>
      <c r="G430" s="7" t="s">
        <v>1994</v>
      </c>
    </row>
    <row r="431" customFormat="false" ht="15" hidden="false" customHeight="false" outlineLevel="0" collapsed="false">
      <c r="A431" s="7" t="s">
        <v>2372</v>
      </c>
      <c r="B431" s="7" t="n">
        <v>3557.35</v>
      </c>
      <c r="C431" s="7" t="n">
        <f aca="false">AVERAGE(B382:B431)</f>
        <v>3624.8712</v>
      </c>
      <c r="D431" s="7" t="n">
        <f aca="false">AVERAGE(B232:B431)</f>
        <v>3668.11355</v>
      </c>
      <c r="E431" s="7" t="n">
        <f aca="false">B431/MAX(B180:B431)-1</f>
        <v>-0.228722020345686</v>
      </c>
      <c r="F431" s="7" t="str">
        <f aca="false">IFERROR(INDEX(02_轉折點45個!B:B,MATCH(A431,02_轉折點45個!A:A,0)),"")</f>
        <v/>
      </c>
      <c r="G431" s="7" t="s">
        <v>1994</v>
      </c>
    </row>
    <row r="432" customFormat="false" ht="15" hidden="false" customHeight="false" outlineLevel="0" collapsed="false">
      <c r="A432" s="7" t="s">
        <v>2373</v>
      </c>
      <c r="B432" s="7" t="n">
        <v>3575.6</v>
      </c>
      <c r="C432" s="7" t="n">
        <f aca="false">AVERAGE(B383:B432)</f>
        <v>3625.7988</v>
      </c>
      <c r="D432" s="7" t="n">
        <f aca="false">AVERAGE(B233:B432)</f>
        <v>3670.75245</v>
      </c>
      <c r="E432" s="7" t="n">
        <f aca="false">B432/MAX(B181:B432)-1</f>
        <v>-0.224765192052521</v>
      </c>
      <c r="F432" s="7" t="str">
        <f aca="false">IFERROR(INDEX(02_轉折點45個!B:B,MATCH(A432,02_轉折點45個!A:A,0)),"")</f>
        <v/>
      </c>
      <c r="G432" s="7" t="s">
        <v>1994</v>
      </c>
    </row>
    <row r="433" customFormat="false" ht="15" hidden="false" customHeight="false" outlineLevel="0" collapsed="false">
      <c r="A433" s="7" t="s">
        <v>2374</v>
      </c>
      <c r="B433" s="7" t="n">
        <v>3503.76</v>
      </c>
      <c r="C433" s="7" t="n">
        <f aca="false">AVERAGE(B384:B433)</f>
        <v>3623.5086</v>
      </c>
      <c r="D433" s="7" t="n">
        <f aca="false">AVERAGE(B234:B433)</f>
        <v>3672.95195</v>
      </c>
      <c r="E433" s="7" t="n">
        <f aca="false">B433/MAX(B182:B433)-1</f>
        <v>-0.240341002714493</v>
      </c>
      <c r="F433" s="7" t="str">
        <f aca="false">IFERROR(INDEX(02_轉折點45個!B:B,MATCH(A433,02_轉折點45個!A:A,0)),"")</f>
        <v/>
      </c>
      <c r="G433" s="7" t="s">
        <v>1994</v>
      </c>
    </row>
    <row r="434" customFormat="false" ht="15" hidden="false" customHeight="false" outlineLevel="0" collapsed="false">
      <c r="A434" s="7" t="s">
        <v>2375</v>
      </c>
      <c r="B434" s="7" t="n">
        <v>3404.45</v>
      </c>
      <c r="C434" s="7" t="n">
        <f aca="false">AVERAGE(B385:B434)</f>
        <v>3618.0878</v>
      </c>
      <c r="D434" s="7" t="n">
        <f aca="false">AVERAGE(B235:B434)</f>
        <v>3674.20235</v>
      </c>
      <c r="E434" s="7" t="n">
        <f aca="false">B434/MAX(B183:B434)-1</f>
        <v>-0.261872653004588</v>
      </c>
      <c r="F434" s="7" t="str">
        <f aca="false">IFERROR(INDEX(02_轉折點45個!B:B,MATCH(A434,02_轉折點45個!A:A,0)),"")</f>
        <v/>
      </c>
      <c r="G434" s="7" t="s">
        <v>1994</v>
      </c>
    </row>
    <row r="435" customFormat="false" ht="15" hidden="false" customHeight="false" outlineLevel="0" collapsed="false">
      <c r="A435" s="7" t="s">
        <v>2376</v>
      </c>
      <c r="B435" s="7" t="n">
        <v>3531.54</v>
      </c>
      <c r="C435" s="7" t="n">
        <f aca="false">AVERAGE(B386:B435)</f>
        <v>3615.993</v>
      </c>
      <c r="D435" s="7" t="n">
        <f aca="false">AVERAGE(B236:B435)</f>
        <v>3675.7783</v>
      </c>
      <c r="E435" s="7" t="n">
        <f aca="false">B435/MAX(B184:B435)-1</f>
        <v>-0.234317951208513</v>
      </c>
      <c r="F435" s="7" t="str">
        <f aca="false">IFERROR(INDEX(02_轉折點45個!B:B,MATCH(A435,02_轉折點45個!A:A,0)),"")</f>
        <v/>
      </c>
      <c r="G435" s="7" t="s">
        <v>1994</v>
      </c>
    </row>
    <row r="436" customFormat="false" ht="15" hidden="false" customHeight="false" outlineLevel="0" collapsed="false">
      <c r="A436" s="7" t="s">
        <v>2377</v>
      </c>
      <c r="B436" s="7" t="n">
        <v>3560.59</v>
      </c>
      <c r="C436" s="7" t="n">
        <f aca="false">AVERAGE(B387:B436)</f>
        <v>3614.9152</v>
      </c>
      <c r="D436" s="7" t="n">
        <f aca="false">AVERAGE(B237:B436)</f>
        <v>3677.38355</v>
      </c>
      <c r="E436" s="7" t="n">
        <f aca="false">B436/MAX(B185:B436)-1</f>
        <v>-0.228019547815831</v>
      </c>
      <c r="F436" s="7" t="str">
        <f aca="false">IFERROR(INDEX(02_轉折點45個!B:B,MATCH(A436,02_轉折點45個!A:A,0)),"")</f>
        <v/>
      </c>
      <c r="G436" s="7" t="s">
        <v>1994</v>
      </c>
    </row>
    <row r="437" customFormat="false" ht="15" hidden="false" customHeight="false" outlineLevel="0" collapsed="false">
      <c r="A437" s="7" t="s">
        <v>2378</v>
      </c>
      <c r="B437" s="7" t="n">
        <v>3497.95</v>
      </c>
      <c r="C437" s="7" t="n">
        <f aca="false">AVERAGE(B388:B437)</f>
        <v>3609.9688</v>
      </c>
      <c r="D437" s="7" t="n">
        <f aca="false">AVERAGE(B238:B437)</f>
        <v>3678.48875</v>
      </c>
      <c r="E437" s="7" t="n">
        <f aca="false">B437/MAX(B186:B437)-1</f>
        <v>-0.241600683393029</v>
      </c>
      <c r="F437" s="7" t="str">
        <f aca="false">IFERROR(INDEX(02_轉折點45個!B:B,MATCH(A437,02_轉折點45個!A:A,0)),"")</f>
        <v/>
      </c>
      <c r="G437" s="7" t="s">
        <v>1994</v>
      </c>
    </row>
    <row r="438" customFormat="false" ht="15" hidden="false" customHeight="false" outlineLevel="0" collapsed="false">
      <c r="A438" s="7" t="s">
        <v>2379</v>
      </c>
      <c r="B438" s="7" t="n">
        <v>3475.01</v>
      </c>
      <c r="C438" s="7" t="n">
        <f aca="false">AVERAGE(B389:B438)</f>
        <v>3603.1882</v>
      </c>
      <c r="D438" s="7" t="n">
        <f aca="false">AVERAGE(B239:B438)</f>
        <v>3679.4831</v>
      </c>
      <c r="E438" s="7" t="n">
        <f aca="false">B438/MAX(B187:B438)-1</f>
        <v>-0.24657436235441</v>
      </c>
      <c r="F438" s="7" t="str">
        <f aca="false">IFERROR(INDEX(02_轉折點45個!B:B,MATCH(A438,02_轉折點45個!A:A,0)),"")</f>
        <v/>
      </c>
      <c r="G438" s="7" t="s">
        <v>1994</v>
      </c>
    </row>
    <row r="439" customFormat="false" ht="15" hidden="false" customHeight="false" outlineLevel="0" collapsed="false">
      <c r="A439" s="7" t="s">
        <v>2380</v>
      </c>
      <c r="B439" s="7" t="n">
        <v>3417.88</v>
      </c>
      <c r="C439" s="7" t="n">
        <f aca="false">AVERAGE(B390:B439)</f>
        <v>3593.962</v>
      </c>
      <c r="D439" s="7" t="n">
        <f aca="false">AVERAGE(B240:B439)</f>
        <v>3680.1548</v>
      </c>
      <c r="E439" s="7" t="n">
        <f aca="false">B439/MAX(B188:B439)-1</f>
        <v>-0.258960861005837</v>
      </c>
      <c r="F439" s="7" t="str">
        <f aca="false">IFERROR(INDEX(02_轉折點45個!B:B,MATCH(A439,02_轉折點45個!A:A,0)),"")</f>
        <v/>
      </c>
      <c r="G439" s="7" t="s">
        <v>1994</v>
      </c>
    </row>
    <row r="440" customFormat="false" ht="15" hidden="false" customHeight="false" outlineLevel="0" collapsed="false">
      <c r="A440" s="7" t="s">
        <v>2381</v>
      </c>
      <c r="B440" s="7" t="n">
        <v>3370.26</v>
      </c>
      <c r="C440" s="7" t="n">
        <f aca="false">AVERAGE(B391:B440)</f>
        <v>3583.2628</v>
      </c>
      <c r="D440" s="7" t="n">
        <f aca="false">AVERAGE(B241:B440)</f>
        <v>3680.46935</v>
      </c>
      <c r="E440" s="7" t="n">
        <f aca="false">B440/MAX(B189:B440)-1</f>
        <v>-0.269285472694633</v>
      </c>
      <c r="F440" s="7" t="str">
        <f aca="false">IFERROR(INDEX(02_轉折點45個!B:B,MATCH(A440,02_轉折點45個!A:A,0)),"")</f>
        <v/>
      </c>
      <c r="G440" s="7" t="s">
        <v>1994</v>
      </c>
    </row>
    <row r="441" customFormat="false" ht="15" hidden="false" customHeight="false" outlineLevel="0" collapsed="false">
      <c r="A441" s="7" t="s">
        <v>2382</v>
      </c>
      <c r="B441" s="7" t="n">
        <v>3340.3</v>
      </c>
      <c r="C441" s="7" t="n">
        <f aca="false">AVERAGE(B392:B441)</f>
        <v>3573.7458</v>
      </c>
      <c r="D441" s="7" t="n">
        <f aca="false">AVERAGE(B242:B441)</f>
        <v>3680.46085</v>
      </c>
      <c r="E441" s="7" t="n">
        <f aca="false">B441/MAX(B190:B441)-1</f>
        <v>-0.2757811754707</v>
      </c>
      <c r="F441" s="7" t="str">
        <f aca="false">IFERROR(INDEX(02_轉折點45個!B:B,MATCH(A441,02_轉折點45個!A:A,0)),"")</f>
        <v/>
      </c>
      <c r="G441" s="7" t="s">
        <v>1994</v>
      </c>
    </row>
    <row r="442" customFormat="false" ht="15" hidden="false" customHeight="false" outlineLevel="0" collapsed="false">
      <c r="A442" s="7" t="s">
        <v>2383</v>
      </c>
      <c r="B442" s="7" t="n">
        <v>3451.77</v>
      </c>
      <c r="C442" s="7" t="n">
        <f aca="false">AVERAGE(B393:B442)</f>
        <v>3568.679</v>
      </c>
      <c r="D442" s="7" t="n">
        <f aca="false">AVERAGE(B243:B442)</f>
        <v>3681.40485</v>
      </c>
      <c r="E442" s="7" t="n">
        <f aca="false">B442/MAX(B191:B442)-1</f>
        <v>-0.251613085068556</v>
      </c>
      <c r="F442" s="7" t="str">
        <f aca="false">IFERROR(INDEX(02_轉折點45個!B:B,MATCH(A442,02_轉折點45個!A:A,0)),"")</f>
        <v/>
      </c>
      <c r="G442" s="7" t="s">
        <v>1994</v>
      </c>
    </row>
    <row r="443" customFormat="false" ht="15" hidden="false" customHeight="false" outlineLevel="0" collapsed="false">
      <c r="A443" s="7" t="s">
        <v>2384</v>
      </c>
      <c r="B443" s="7" t="n">
        <v>3355.39</v>
      </c>
      <c r="C443" s="7" t="n">
        <f aca="false">AVERAGE(B394:B443)</f>
        <v>3559.3288</v>
      </c>
      <c r="D443" s="7" t="n">
        <f aca="false">AVERAGE(B244:B443)</f>
        <v>3681.63725</v>
      </c>
      <c r="E443" s="7" t="n">
        <f aca="false">B443/MAX(B192:B443)-1</f>
        <v>-0.272509474706653</v>
      </c>
      <c r="F443" s="7" t="str">
        <f aca="false">IFERROR(INDEX(02_轉折點45個!B:B,MATCH(A443,02_轉折點45個!A:A,0)),"")</f>
        <v/>
      </c>
      <c r="G443" s="7" t="s">
        <v>1994</v>
      </c>
    </row>
    <row r="444" customFormat="false" ht="15" hidden="false" customHeight="false" outlineLevel="0" collapsed="false">
      <c r="A444" s="7" t="s">
        <v>2385</v>
      </c>
      <c r="B444" s="7" t="n">
        <v>3260.45</v>
      </c>
      <c r="C444" s="7" t="n">
        <f aca="false">AVERAGE(B395:B444)</f>
        <v>3549.7262</v>
      </c>
      <c r="D444" s="7" t="n">
        <f aca="false">AVERAGE(B245:B444)</f>
        <v>3680.9696</v>
      </c>
      <c r="E444" s="7" t="n">
        <f aca="false">B444/MAX(B193:B444)-1</f>
        <v>-0.29309365433148</v>
      </c>
      <c r="F444" s="7" t="str">
        <f aca="false">IFERROR(INDEX(02_轉折點45個!B:B,MATCH(A444,02_轉折點45個!A:A,0)),"")</f>
        <v/>
      </c>
      <c r="G444" s="7" t="s">
        <v>1994</v>
      </c>
    </row>
    <row r="445" customFormat="false" ht="15" hidden="false" customHeight="false" outlineLevel="0" collapsed="false">
      <c r="A445" s="7" t="s">
        <v>2386</v>
      </c>
      <c r="B445" s="7" t="n">
        <v>3157.15</v>
      </c>
      <c r="C445" s="7" t="n">
        <f aca="false">AVERAGE(B396:B445)</f>
        <v>3540.1202</v>
      </c>
      <c r="D445" s="7" t="n">
        <f aca="false">AVERAGE(B246:B445)</f>
        <v>3679.6119</v>
      </c>
      <c r="E445" s="7" t="n">
        <f aca="false">B445/MAX(B194:B445)-1</f>
        <v>-0.315490386533341</v>
      </c>
      <c r="F445" s="7" t="str">
        <f aca="false">IFERROR(INDEX(02_轉折點45個!B:B,MATCH(A445,02_轉折點45個!A:A,0)),"")</f>
        <v/>
      </c>
      <c r="G445" s="7" t="s">
        <v>1994</v>
      </c>
    </row>
    <row r="446" customFormat="false" ht="15" hidden="false" customHeight="false" outlineLevel="0" collapsed="false">
      <c r="A446" s="7" t="s">
        <v>2387</v>
      </c>
      <c r="B446" s="7" t="n">
        <v>3218.61</v>
      </c>
      <c r="C446" s="7" t="n">
        <f aca="false">AVERAGE(B397:B446)</f>
        <v>3530.8664</v>
      </c>
      <c r="D446" s="7" t="n">
        <f aca="false">AVERAGE(B247:B446)</f>
        <v>3678.42075</v>
      </c>
      <c r="E446" s="7" t="n">
        <f aca="false">B446/MAX(B195:B446)-1</f>
        <v>-0.302165089717016</v>
      </c>
      <c r="F446" s="7" t="str">
        <f aca="false">IFERROR(INDEX(02_轉折點45個!B:B,MATCH(A446,02_轉折點45個!A:A,0)),"")</f>
        <v/>
      </c>
      <c r="G446" s="7" t="s">
        <v>1994</v>
      </c>
    </row>
    <row r="447" customFormat="false" ht="15" hidden="false" customHeight="false" outlineLevel="0" collapsed="false">
      <c r="A447" s="7" t="s">
        <v>2388</v>
      </c>
      <c r="B447" s="7" t="n">
        <v>3172.02</v>
      </c>
      <c r="C447" s="7" t="n">
        <f aca="false">AVERAGE(B398:B447)</f>
        <v>3521.4454</v>
      </c>
      <c r="D447" s="7" t="n">
        <f aca="false">AVERAGE(B248:B447)</f>
        <v>3676.41525</v>
      </c>
      <c r="E447" s="7" t="n">
        <f aca="false">B447/MAX(B196:B447)-1</f>
        <v>-0.312266384521321</v>
      </c>
      <c r="F447" s="7" t="str">
        <f aca="false">IFERROR(INDEX(02_轉折點45個!B:B,MATCH(A447,02_轉折點45個!A:A,0)),"")</f>
        <v/>
      </c>
      <c r="G447" s="7" t="s">
        <v>1994</v>
      </c>
    </row>
    <row r="448" customFormat="false" ht="15" hidden="false" customHeight="false" outlineLevel="0" collapsed="false">
      <c r="A448" s="7" t="s">
        <v>2389</v>
      </c>
      <c r="B448" s="7" t="n">
        <v>3070.53</v>
      </c>
      <c r="C448" s="7" t="n">
        <f aca="false">AVERAGE(B399:B448)</f>
        <v>3512.6528</v>
      </c>
      <c r="D448" s="7" t="n">
        <f aca="false">AVERAGE(B249:B448)</f>
        <v>3673.78285</v>
      </c>
      <c r="E448" s="7" t="n">
        <f aca="false">B448/MAX(B197:B448)-1</f>
        <v>-0.334270686081504</v>
      </c>
      <c r="F448" s="7" t="str">
        <f aca="false">IFERROR(INDEX(02_轉折點45個!B:B,MATCH(A448,02_轉折點45個!A:A,0)),"")</f>
        <v/>
      </c>
      <c r="G448" s="7" t="s">
        <v>1994</v>
      </c>
    </row>
    <row r="449" customFormat="false" ht="15" hidden="false" customHeight="false" outlineLevel="0" collapsed="false">
      <c r="A449" s="7" t="s">
        <v>2390</v>
      </c>
      <c r="B449" s="7" t="n">
        <v>3065.55</v>
      </c>
      <c r="C449" s="7" t="n">
        <f aca="false">AVERAGE(B400:B449)</f>
        <v>3507.0354</v>
      </c>
      <c r="D449" s="7" t="n">
        <f aca="false">AVERAGE(B250:B449)</f>
        <v>3670.97875</v>
      </c>
      <c r="E449" s="7" t="n">
        <f aca="false">B449/MAX(B198:B449)-1</f>
        <v>-0.335350412377393</v>
      </c>
      <c r="F449" s="7" t="str">
        <f aca="false">IFERROR(INDEX(02_轉折點45個!B:B,MATCH(A449,02_轉折點45個!A:A,0)),"")</f>
        <v/>
      </c>
      <c r="G449" s="7" t="s">
        <v>1994</v>
      </c>
    </row>
    <row r="450" customFormat="false" ht="15" hidden="false" customHeight="false" outlineLevel="0" collapsed="false">
      <c r="A450" s="7" t="s">
        <v>2391</v>
      </c>
      <c r="B450" s="7" t="n">
        <v>2960.47</v>
      </c>
      <c r="C450" s="7" t="n">
        <f aca="false">AVERAGE(B401:B450)</f>
        <v>3497.4164</v>
      </c>
      <c r="D450" s="7" t="n">
        <f aca="false">AVERAGE(B251:B450)</f>
        <v>3667.6221</v>
      </c>
      <c r="E450" s="7" t="n">
        <f aca="false">B450/MAX(B199:B450)-1</f>
        <v>-0.358133070845656</v>
      </c>
      <c r="F450" s="7" t="str">
        <f aca="false">IFERROR(INDEX(02_轉折點45個!B:B,MATCH(A450,02_轉折點45個!A:A,0)),"")</f>
        <v/>
      </c>
      <c r="G450" s="7" t="s">
        <v>1994</v>
      </c>
    </row>
    <row r="451" customFormat="false" ht="15" hidden="false" customHeight="false" outlineLevel="0" collapsed="false">
      <c r="A451" s="7" t="s">
        <v>420</v>
      </c>
      <c r="B451" s="7" t="n">
        <v>2894.65</v>
      </c>
      <c r="C451" s="7" t="n">
        <f aca="false">AVERAGE(B402:B451)</f>
        <v>3487.9696</v>
      </c>
      <c r="D451" s="7" t="n">
        <f aca="false">AVERAGE(B252:B451)</f>
        <v>3663.9513</v>
      </c>
      <c r="E451" s="7" t="n">
        <f aca="false">B451/MAX(B200:B451)-1</f>
        <v>-0.372403670202156</v>
      </c>
      <c r="F451" s="7" t="str">
        <f aca="false">IFERROR(INDEX(02_轉折點45個!B:B,MATCH(A451,02_轉折點45個!A:A,0)),"")</f>
        <v/>
      </c>
      <c r="G451" s="7" t="s">
        <v>1994</v>
      </c>
    </row>
    <row r="452" customFormat="false" ht="15" hidden="false" customHeight="false" outlineLevel="0" collapsed="false">
      <c r="A452" s="7" t="s">
        <v>2392</v>
      </c>
      <c r="B452" s="7" t="n">
        <v>2808.94</v>
      </c>
      <c r="C452" s="7" t="n">
        <f aca="false">AVERAGE(B403:B452)</f>
        <v>3477.303</v>
      </c>
      <c r="D452" s="7" t="n">
        <f aca="false">AVERAGE(B253:B452)</f>
        <v>3659.53515</v>
      </c>
      <c r="E452" s="7" t="n">
        <f aca="false">B452/MAX(B201:B452)-1</f>
        <v>-0.390986670366933</v>
      </c>
      <c r="F452" s="7" t="str">
        <f aca="false">IFERROR(INDEX(02_轉折點45個!B:B,MATCH(A452,02_轉折點45個!A:A,0)),"")</f>
        <v/>
      </c>
      <c r="G452" s="7" t="s">
        <v>1994</v>
      </c>
    </row>
    <row r="453" customFormat="false" ht="15" hidden="false" customHeight="false" outlineLevel="0" collapsed="false">
      <c r="A453" s="7" t="s">
        <v>2393</v>
      </c>
      <c r="B453" s="7" t="n">
        <v>3030.11</v>
      </c>
      <c r="C453" s="7" t="n">
        <f aca="false">AVERAGE(B404:B453)</f>
        <v>3469.2068</v>
      </c>
      <c r="D453" s="7" t="n">
        <f aca="false">AVERAGE(B254:B453)</f>
        <v>3656.24585</v>
      </c>
      <c r="E453" s="7" t="n">
        <f aca="false">B453/MAX(B202:B453)-1</f>
        <v>-0.343034247703955</v>
      </c>
      <c r="F453" s="7" t="str">
        <f aca="false">IFERROR(INDEX(02_轉折點45個!B:B,MATCH(A453,02_轉折點45個!A:A,0)),"")</f>
        <v/>
      </c>
      <c r="G453" s="7" t="s">
        <v>1994</v>
      </c>
    </row>
    <row r="454" customFormat="false" ht="15" hidden="false" customHeight="false" outlineLevel="0" collapsed="false">
      <c r="A454" s="7" t="s">
        <v>2394</v>
      </c>
      <c r="B454" s="7" t="n">
        <v>3005.91</v>
      </c>
      <c r="C454" s="7" t="n">
        <f aca="false">AVERAGE(B405:B454)</f>
        <v>3460.1244</v>
      </c>
      <c r="D454" s="7" t="n">
        <f aca="false">AVERAGE(B255:B454)</f>
        <v>3652.68735</v>
      </c>
      <c r="E454" s="7" t="n">
        <f aca="false">B454/MAX(B203:B454)-1</f>
        <v>-0.348281110426947</v>
      </c>
      <c r="F454" s="7" t="str">
        <f aca="false">IFERROR(INDEX(02_轉折點45個!B:B,MATCH(A454,02_轉折點45個!A:A,0)),"")</f>
        <v/>
      </c>
      <c r="G454" s="7" t="s">
        <v>1994</v>
      </c>
    </row>
    <row r="455" customFormat="false" ht="15" hidden="false" customHeight="false" outlineLevel="0" collapsed="false">
      <c r="A455" s="7" t="s">
        <v>2395</v>
      </c>
      <c r="B455" s="7" t="n">
        <v>2936.19</v>
      </c>
      <c r="C455" s="7" t="n">
        <f aca="false">AVERAGE(B406:B455)</f>
        <v>3448.2658</v>
      </c>
      <c r="D455" s="7" t="n">
        <f aca="false">AVERAGE(B256:B455)</f>
        <v>3648.49775</v>
      </c>
      <c r="E455" s="7" t="n">
        <f aca="false">B455/MAX(B204:B455)-1</f>
        <v>-0.363397278569384</v>
      </c>
      <c r="F455" s="7" t="str">
        <f aca="false">IFERROR(INDEX(02_轉折點45個!B:B,MATCH(A455,02_轉折點45個!A:A,0)),"")</f>
        <v/>
      </c>
      <c r="G455" s="7" t="s">
        <v>1994</v>
      </c>
    </row>
    <row r="456" customFormat="false" ht="15" hidden="false" customHeight="false" outlineLevel="0" collapsed="false">
      <c r="A456" s="7" t="s">
        <v>2396</v>
      </c>
      <c r="B456" s="7" t="n">
        <v>2897.45</v>
      </c>
      <c r="C456" s="7" t="n">
        <f aca="false">AVERAGE(B407:B456)</f>
        <v>3435.8962</v>
      </c>
      <c r="D456" s="7" t="n">
        <f aca="false">AVERAGE(B257:B456)</f>
        <v>3645.1626</v>
      </c>
      <c r="E456" s="7" t="n">
        <f aca="false">B456/MAX(B205:B456)-1</f>
        <v>-0.371796595176355</v>
      </c>
      <c r="F456" s="7" t="str">
        <f aca="false">IFERROR(INDEX(02_轉折點45個!B:B,MATCH(A456,02_轉折點45個!A:A,0)),"")</f>
        <v/>
      </c>
      <c r="G456" s="7" t="s">
        <v>1994</v>
      </c>
    </row>
    <row r="457" customFormat="false" ht="15" hidden="false" customHeight="false" outlineLevel="0" collapsed="false">
      <c r="A457" s="7" t="s">
        <v>2397</v>
      </c>
      <c r="B457" s="7" t="n">
        <v>3123.14</v>
      </c>
      <c r="C457" s="7" t="n">
        <f aca="false">AVERAGE(B408:B457)</f>
        <v>3427.95</v>
      </c>
      <c r="D457" s="7" t="n">
        <f aca="false">AVERAGE(B258:B457)</f>
        <v>3643.06625</v>
      </c>
      <c r="E457" s="7" t="n">
        <f aca="false">B457/MAX(B206:B457)-1</f>
        <v>-0.322864179971728</v>
      </c>
      <c r="F457" s="7" t="str">
        <f aca="false">IFERROR(INDEX(02_轉折點45個!B:B,MATCH(A457,02_轉折點45個!A:A,0)),"")</f>
        <v/>
      </c>
      <c r="G457" s="7" t="s">
        <v>1994</v>
      </c>
    </row>
    <row r="458" customFormat="false" ht="15" hidden="false" customHeight="false" outlineLevel="0" collapsed="false">
      <c r="A458" s="7" t="s">
        <v>2398</v>
      </c>
      <c r="B458" s="7" t="n">
        <v>3182.1</v>
      </c>
      <c r="C458" s="7" t="n">
        <f aca="false">AVERAGE(B409:B458)</f>
        <v>3422.8916</v>
      </c>
      <c r="D458" s="7" t="n">
        <f aca="false">AVERAGE(B259:B458)</f>
        <v>3641.95175</v>
      </c>
      <c r="E458" s="7" t="n">
        <f aca="false">B458/MAX(B207:B458)-1</f>
        <v>-0.310080914428439</v>
      </c>
      <c r="F458" s="7" t="str">
        <f aca="false">IFERROR(INDEX(02_轉折點45個!B:B,MATCH(A458,02_轉折點45個!A:A,0)),"")</f>
        <v/>
      </c>
      <c r="G458" s="7" t="s">
        <v>1994</v>
      </c>
    </row>
    <row r="459" customFormat="false" ht="15" hidden="false" customHeight="false" outlineLevel="0" collapsed="false">
      <c r="A459" s="7" t="s">
        <v>2399</v>
      </c>
      <c r="B459" s="7" t="n">
        <v>3168.9</v>
      </c>
      <c r="C459" s="7" t="n">
        <f aca="false">AVERAGE(B410:B459)</f>
        <v>3417.0304</v>
      </c>
      <c r="D459" s="7" t="n">
        <f aca="false">AVERAGE(B260:B459)</f>
        <v>3640.06095</v>
      </c>
      <c r="E459" s="7" t="n">
        <f aca="false">B459/MAX(B208:B459)-1</f>
        <v>-0.312942839550071</v>
      </c>
      <c r="F459" s="7" t="str">
        <f aca="false">IFERROR(INDEX(02_轉折點45個!B:B,MATCH(A459,02_轉折點45個!A:A,0)),"")</f>
        <v/>
      </c>
      <c r="G459" s="7" t="s">
        <v>1994</v>
      </c>
    </row>
    <row r="460" customFormat="false" ht="15" hidden="false" customHeight="false" outlineLevel="0" collapsed="false">
      <c r="A460" s="7" t="s">
        <v>2400</v>
      </c>
      <c r="B460" s="7" t="n">
        <v>3124.23</v>
      </c>
      <c r="C460" s="7" t="n">
        <f aca="false">AVERAGE(B411:B460)</f>
        <v>3409.1756</v>
      </c>
      <c r="D460" s="7" t="n">
        <f aca="false">AVERAGE(B261:B460)</f>
        <v>3637.18375</v>
      </c>
      <c r="E460" s="7" t="n">
        <f aca="false">B460/MAX(B209:B460)-1</f>
        <v>-0.322627854336684</v>
      </c>
      <c r="F460" s="7" t="str">
        <f aca="false">IFERROR(INDEX(02_轉折點45個!B:B,MATCH(A460,02_轉折點45個!A:A,0)),"")</f>
        <v/>
      </c>
      <c r="G460" s="7" t="s">
        <v>1994</v>
      </c>
    </row>
    <row r="461" customFormat="false" ht="15" hidden="false" customHeight="false" outlineLevel="0" collapsed="false">
      <c r="A461" s="7" t="s">
        <v>2401</v>
      </c>
      <c r="B461" s="7" t="n">
        <v>2950.45</v>
      </c>
      <c r="C461" s="7" t="n">
        <f aca="false">AVERAGE(B412:B461)</f>
        <v>3397.8092</v>
      </c>
      <c r="D461" s="7" t="n">
        <f aca="false">AVERAGE(B262:B461)</f>
        <v>3634.02455</v>
      </c>
      <c r="E461" s="7" t="n">
        <f aca="false">B461/MAX(B210:B461)-1</f>
        <v>-0.360305532187985</v>
      </c>
      <c r="F461" s="7" t="str">
        <f aca="false">IFERROR(INDEX(02_轉折點45個!B:B,MATCH(A461,02_轉折點45個!A:A,0)),"")</f>
        <v/>
      </c>
      <c r="G461" s="7" t="s">
        <v>1994</v>
      </c>
    </row>
    <row r="462" customFormat="false" ht="15" hidden="false" customHeight="false" outlineLevel="0" collapsed="false">
      <c r="A462" s="7" t="s">
        <v>2402</v>
      </c>
      <c r="B462" s="7" t="n">
        <v>2989.37</v>
      </c>
      <c r="C462" s="7" t="n">
        <f aca="false">AVERAGE(B413:B462)</f>
        <v>3387.0468</v>
      </c>
      <c r="D462" s="7" t="n">
        <f aca="false">AVERAGE(B263:B462)</f>
        <v>3631.38505</v>
      </c>
      <c r="E462" s="7" t="n">
        <f aca="false">B462/MAX(B211:B462)-1</f>
        <v>-0.351867189329356</v>
      </c>
      <c r="F462" s="7" t="str">
        <f aca="false">IFERROR(INDEX(02_轉折點45個!B:B,MATCH(A462,02_轉折點45個!A:A,0)),"")</f>
        <v/>
      </c>
      <c r="G462" s="7" t="s">
        <v>1994</v>
      </c>
    </row>
    <row r="463" customFormat="false" ht="15" hidden="false" customHeight="false" outlineLevel="0" collapsed="false">
      <c r="A463" s="7" t="s">
        <v>2403</v>
      </c>
      <c r="B463" s="7" t="n">
        <v>2995.02</v>
      </c>
      <c r="C463" s="7" t="n">
        <f aca="false">AVERAGE(B414:B463)</f>
        <v>3374.9418</v>
      </c>
      <c r="D463" s="7" t="n">
        <f aca="false">AVERAGE(B264:B463)</f>
        <v>3628.28415</v>
      </c>
      <c r="E463" s="7" t="n">
        <f aca="false">B463/MAX(B212:B463)-1</f>
        <v>-0.350642198652293</v>
      </c>
      <c r="F463" s="7" t="str">
        <f aca="false">IFERROR(INDEX(02_轉折點45個!B:B,MATCH(A463,02_轉折點45個!A:A,0)),"")</f>
        <v/>
      </c>
      <c r="G463" s="7" t="s">
        <v>1994</v>
      </c>
    </row>
    <row r="464" customFormat="false" ht="15" hidden="false" customHeight="false" outlineLevel="0" collapsed="false">
      <c r="A464" s="7" t="s">
        <v>2404</v>
      </c>
      <c r="B464" s="7" t="n">
        <v>2915.58</v>
      </c>
      <c r="C464" s="7" t="n">
        <f aca="false">AVERAGE(B415:B464)</f>
        <v>3361.4404</v>
      </c>
      <c r="D464" s="7" t="n">
        <f aca="false">AVERAGE(B265:B464)</f>
        <v>3624.297</v>
      </c>
      <c r="E464" s="7" t="n">
        <f aca="false">B464/MAX(B213:B464)-1</f>
        <v>-0.367865784384296</v>
      </c>
      <c r="F464" s="7" t="str">
        <f aca="false">IFERROR(INDEX(02_轉折點45個!B:B,MATCH(A464,02_轉折點45個!A:A,0)),"")</f>
        <v/>
      </c>
      <c r="G464" s="7" t="s">
        <v>1994</v>
      </c>
    </row>
    <row r="465" customFormat="false" ht="15" hidden="false" customHeight="false" outlineLevel="0" collapsed="false">
      <c r="A465" s="7" t="s">
        <v>2405</v>
      </c>
      <c r="B465" s="7" t="n">
        <v>3078.4</v>
      </c>
      <c r="C465" s="7" t="n">
        <f aca="false">AVERAGE(B416:B465)</f>
        <v>3350.7786</v>
      </c>
      <c r="D465" s="7" t="n">
        <f aca="false">AVERAGE(B266:B465)</f>
        <v>3620.82005</v>
      </c>
      <c r="E465" s="7" t="n">
        <f aca="false">B465/MAX(B214:B465)-1</f>
        <v>-0.332564371633986</v>
      </c>
      <c r="F465" s="7" t="str">
        <f aca="false">IFERROR(INDEX(02_轉折點45個!B:B,MATCH(A465,02_轉折點45個!A:A,0)),"")</f>
        <v/>
      </c>
      <c r="G465" s="7" t="s">
        <v>1994</v>
      </c>
    </row>
    <row r="466" customFormat="false" ht="15" hidden="false" customHeight="false" outlineLevel="0" collapsed="false">
      <c r="A466" s="7" t="s">
        <v>2406</v>
      </c>
      <c r="B466" s="7" t="n">
        <v>3045.29</v>
      </c>
      <c r="C466" s="7" t="n">
        <f aca="false">AVERAGE(B417:B466)</f>
        <v>3339.3622</v>
      </c>
      <c r="D466" s="7" t="n">
        <f aca="false">AVERAGE(B267:B466)</f>
        <v>3617.084</v>
      </c>
      <c r="E466" s="7" t="n">
        <f aca="false">B466/MAX(B215:B466)-1</f>
        <v>-0.339743033814079</v>
      </c>
      <c r="F466" s="7" t="str">
        <f aca="false">IFERROR(INDEX(02_轉折點45個!B:B,MATCH(A466,02_轉折點45個!A:A,0)),"")</f>
        <v/>
      </c>
      <c r="G466" s="7" t="s">
        <v>1994</v>
      </c>
    </row>
    <row r="467" customFormat="false" ht="15" hidden="false" customHeight="false" outlineLevel="0" collapsed="false">
      <c r="A467" s="7" t="s">
        <v>2407</v>
      </c>
      <c r="B467" s="7" t="n">
        <v>3132.66</v>
      </c>
      <c r="C467" s="7" t="n">
        <f aca="false">AVERAGE(B418:B467)</f>
        <v>3328.7284</v>
      </c>
      <c r="D467" s="7" t="n">
        <f aca="false">AVERAGE(B268:B467)</f>
        <v>3613.6102</v>
      </c>
      <c r="E467" s="7" t="n">
        <f aca="false">B467/MAX(B216:B467)-1</f>
        <v>-0.320800124884005</v>
      </c>
      <c r="F467" s="7" t="str">
        <f aca="false">IFERROR(INDEX(02_轉折點45個!B:B,MATCH(A467,02_轉折點45個!A:A,0)),"")</f>
        <v/>
      </c>
      <c r="G467" s="7" t="s">
        <v>1994</v>
      </c>
    </row>
    <row r="468" customFormat="false" ht="15" hidden="false" customHeight="false" outlineLevel="0" collapsed="false">
      <c r="A468" s="7" t="s">
        <v>2408</v>
      </c>
      <c r="B468" s="7" t="n">
        <v>3153.27</v>
      </c>
      <c r="C468" s="7" t="n">
        <f aca="false">AVERAGE(B419:B468)</f>
        <v>3317.7344</v>
      </c>
      <c r="D468" s="7" t="n">
        <f aca="false">AVERAGE(B269:B468)</f>
        <v>3610.0298</v>
      </c>
      <c r="E468" s="7" t="n">
        <f aca="false">B468/MAX(B217:B468)-1</f>
        <v>-0.316331619069094</v>
      </c>
      <c r="F468" s="7" t="str">
        <f aca="false">IFERROR(INDEX(02_轉折點45個!B:B,MATCH(A468,02_轉折點45個!A:A,0)),"")</f>
        <v/>
      </c>
      <c r="G468" s="7" t="s">
        <v>1994</v>
      </c>
    </row>
    <row r="469" customFormat="false" ht="15" hidden="false" customHeight="false" outlineLevel="0" collapsed="false">
      <c r="A469" s="7" t="s">
        <v>2409</v>
      </c>
      <c r="B469" s="7" t="n">
        <v>3120.96</v>
      </c>
      <c r="C469" s="7" t="n">
        <f aca="false">AVERAGE(B420:B469)</f>
        <v>3306.288</v>
      </c>
      <c r="D469" s="7" t="n">
        <f aca="false">AVERAGE(B270:B469)</f>
        <v>3606.92425</v>
      </c>
      <c r="E469" s="7" t="n">
        <f aca="false">B469/MAX(B218:B469)-1</f>
        <v>-0.323336831241815</v>
      </c>
      <c r="F469" s="7" t="str">
        <f aca="false">IFERROR(INDEX(02_轉折點45個!B:B,MATCH(A469,02_轉折點45個!A:A,0)),"")</f>
        <v/>
      </c>
      <c r="G469" s="7" t="s">
        <v>1994</v>
      </c>
    </row>
    <row r="470" customFormat="false" ht="15" hidden="false" customHeight="false" outlineLevel="0" collapsed="false">
      <c r="A470" s="7" t="s">
        <v>2410</v>
      </c>
      <c r="B470" s="7" t="n">
        <v>3120.57</v>
      </c>
      <c r="C470" s="7" t="n">
        <f aca="false">AVERAGE(B421:B470)</f>
        <v>3294.3238</v>
      </c>
      <c r="D470" s="7" t="n">
        <f aca="false">AVERAGE(B271:B470)</f>
        <v>3603.49095</v>
      </c>
      <c r="E470" s="7" t="n">
        <f aca="false">B470/MAX(B219:B470)-1</f>
        <v>-0.323421388120409</v>
      </c>
      <c r="F470" s="7" t="str">
        <f aca="false">IFERROR(INDEX(02_轉折點45個!B:B,MATCH(A470,02_轉折點45個!A:A,0)),"")</f>
        <v/>
      </c>
      <c r="G470" s="7" t="s">
        <v>1994</v>
      </c>
    </row>
    <row r="471" customFormat="false" ht="15" hidden="false" customHeight="false" outlineLevel="0" collapsed="false">
      <c r="A471" s="7" t="s">
        <v>2411</v>
      </c>
      <c r="B471" s="7" t="n">
        <v>2952.39</v>
      </c>
      <c r="C471" s="7" t="n">
        <f aca="false">AVERAGE(B422:B471)</f>
        <v>3278.7844</v>
      </c>
      <c r="D471" s="7" t="n">
        <f aca="false">AVERAGE(B272:B471)</f>
        <v>3599.6621</v>
      </c>
      <c r="E471" s="7" t="n">
        <f aca="false">B471/MAX(B220:B471)-1</f>
        <v>-0.359884915920109</v>
      </c>
      <c r="F471" s="7" t="str">
        <f aca="false">IFERROR(INDEX(02_轉折點45個!B:B,MATCH(A471,02_轉折點45個!A:A,0)),"")</f>
        <v/>
      </c>
      <c r="G471" s="7" t="s">
        <v>1994</v>
      </c>
    </row>
    <row r="472" customFormat="false" ht="15" hidden="false" customHeight="false" outlineLevel="0" collapsed="false">
      <c r="A472" s="7" t="s">
        <v>2412</v>
      </c>
      <c r="B472" s="7" t="n">
        <v>2923.75</v>
      </c>
      <c r="C472" s="7" t="n">
        <f aca="false">AVERAGE(B423:B472)</f>
        <v>3262.2768</v>
      </c>
      <c r="D472" s="7" t="n">
        <f aca="false">AVERAGE(B273:B472)</f>
        <v>3595.8287</v>
      </c>
      <c r="E472" s="7" t="n">
        <f aca="false">B472/MAX(B221:B472)-1</f>
        <v>-0.366094426184013</v>
      </c>
      <c r="F472" s="7" t="str">
        <f aca="false">IFERROR(INDEX(02_轉折點45個!B:B,MATCH(A472,02_轉折點45個!A:A,0)),"")</f>
        <v/>
      </c>
      <c r="G472" s="7" t="s">
        <v>1994</v>
      </c>
    </row>
    <row r="473" customFormat="false" ht="15" hidden="false" customHeight="false" outlineLevel="0" collapsed="false">
      <c r="A473" s="7" t="s">
        <v>421</v>
      </c>
      <c r="B473" s="7" t="n">
        <v>2767.2</v>
      </c>
      <c r="C473" s="7" t="n">
        <f aca="false">AVERAGE(B424:B473)</f>
        <v>3240.7646</v>
      </c>
      <c r="D473" s="7" t="n">
        <f aca="false">AVERAGE(B274:B473)</f>
        <v>3591.9091</v>
      </c>
      <c r="E473" s="7" t="n">
        <f aca="false">B473/MAX(B222:B473)-1</f>
        <v>-0.400036424501548</v>
      </c>
      <c r="F473" s="7" t="str">
        <f aca="false">IFERROR(INDEX(02_轉折點45個!B:B,MATCH(A473,02_轉折點45個!A:A,0)),"")</f>
        <v/>
      </c>
      <c r="G473" s="7" t="s">
        <v>1994</v>
      </c>
    </row>
    <row r="474" customFormat="false" ht="15" hidden="false" customHeight="false" outlineLevel="0" collapsed="false">
      <c r="A474" s="7" t="s">
        <v>422</v>
      </c>
      <c r="B474" s="7" t="n">
        <v>2710.31</v>
      </c>
      <c r="C474" s="7" t="n">
        <f aca="false">AVERAGE(B425:B474)</f>
        <v>3217.6034</v>
      </c>
      <c r="D474" s="7" t="n">
        <f aca="false">AVERAGE(B275:B474)</f>
        <v>3587.46165</v>
      </c>
      <c r="E474" s="7" t="n">
        <f aca="false">B474/MAX(B223:B474)-1</f>
        <v>-0.412370888150763</v>
      </c>
      <c r="F474" s="7" t="str">
        <f aca="false">IFERROR(INDEX(02_轉折點45個!B:B,MATCH(A474,02_轉折點45個!A:A,0)),"")</f>
        <v/>
      </c>
      <c r="G474" s="7" t="s">
        <v>1994</v>
      </c>
    </row>
    <row r="475" customFormat="false" ht="15" hidden="false" customHeight="false" outlineLevel="0" collapsed="false">
      <c r="A475" s="7" t="s">
        <v>2413</v>
      </c>
      <c r="B475" s="7" t="n">
        <v>2867.04</v>
      </c>
      <c r="C475" s="7" t="n">
        <f aca="false">AVERAGE(B426:B475)</f>
        <v>3199.2422</v>
      </c>
      <c r="D475" s="7" t="n">
        <f aca="false">AVERAGE(B276:B475)</f>
        <v>3583.28795</v>
      </c>
      <c r="E475" s="7" t="n">
        <f aca="false">B475/MAX(B224:B475)-1</f>
        <v>-0.378389863581569</v>
      </c>
      <c r="F475" s="7" t="str">
        <f aca="false">IFERROR(INDEX(02_轉折點45個!B:B,MATCH(A475,02_轉折點45個!A:A,0)),"")</f>
        <v/>
      </c>
      <c r="G475" s="7" t="s">
        <v>1994</v>
      </c>
    </row>
    <row r="476" customFormat="false" ht="15" hidden="false" customHeight="false" outlineLevel="0" collapsed="false">
      <c r="A476" s="7" t="s">
        <v>2414</v>
      </c>
      <c r="B476" s="7" t="n">
        <v>2891.9</v>
      </c>
      <c r="C476" s="7" t="n">
        <f aca="false">AVERAGE(B427:B476)</f>
        <v>3183.7506</v>
      </c>
      <c r="D476" s="7" t="n">
        <f aca="false">AVERAGE(B277:B476)</f>
        <v>3579.13815</v>
      </c>
      <c r="E476" s="7" t="n">
        <f aca="false">B476/MAX(B225:B476)-1</f>
        <v>-0.372999904602496</v>
      </c>
      <c r="F476" s="7" t="str">
        <f aca="false">IFERROR(INDEX(02_轉折點45個!B:B,MATCH(A476,02_轉折點45個!A:A,0)),"")</f>
        <v/>
      </c>
      <c r="G476" s="7" t="s">
        <v>1994</v>
      </c>
    </row>
    <row r="477" customFormat="false" ht="15" hidden="false" customHeight="false" outlineLevel="0" collapsed="false">
      <c r="A477" s="7" t="s">
        <v>2415</v>
      </c>
      <c r="B477" s="7" t="n">
        <v>2769.84</v>
      </c>
      <c r="C477" s="7" t="n">
        <f aca="false">AVERAGE(B428:B477)</f>
        <v>3164.2646</v>
      </c>
      <c r="D477" s="7" t="n">
        <f aca="false">AVERAGE(B278:B477)</f>
        <v>3573.75215</v>
      </c>
      <c r="E477" s="7" t="n">
        <f aca="false">B477/MAX(B226:B477)-1</f>
        <v>-0.399464039477222</v>
      </c>
      <c r="F477" s="7" t="str">
        <f aca="false">IFERROR(INDEX(02_轉折點45個!B:B,MATCH(A477,02_轉折點45個!A:A,0)),"")</f>
        <v/>
      </c>
      <c r="G477" s="7" t="s">
        <v>1994</v>
      </c>
    </row>
    <row r="478" customFormat="false" ht="15" hidden="false" customHeight="false" outlineLevel="0" collapsed="false">
      <c r="A478" s="7" t="s">
        <v>2416</v>
      </c>
      <c r="B478" s="7" t="n">
        <v>2765.56</v>
      </c>
      <c r="C478" s="7" t="n">
        <f aca="false">AVERAGE(B429:B478)</f>
        <v>3146.8844</v>
      </c>
      <c r="D478" s="7" t="n">
        <f aca="false">AVERAGE(B279:B478)</f>
        <v>3568.1933</v>
      </c>
      <c r="E478" s="7" t="n">
        <f aca="false">B478/MAX(B227:B478)-1</f>
        <v>-0.40039199701666</v>
      </c>
      <c r="F478" s="7" t="str">
        <f aca="false">IFERROR(INDEX(02_轉折點45個!B:B,MATCH(A478,02_轉折點45個!A:A,0)),"")</f>
        <v/>
      </c>
      <c r="G478" s="7" t="s">
        <v>1994</v>
      </c>
    </row>
    <row r="479" customFormat="false" ht="15" hidden="false" customHeight="false" outlineLevel="0" collapsed="false">
      <c r="A479" s="7" t="s">
        <v>423</v>
      </c>
      <c r="B479" s="7" t="n">
        <v>2627.11</v>
      </c>
      <c r="C479" s="7" t="n">
        <f aca="false">AVERAGE(B430:B479)</f>
        <v>3128.2346</v>
      </c>
      <c r="D479" s="7" t="n">
        <f aca="false">AVERAGE(B280:B479)</f>
        <v>3561.5876</v>
      </c>
      <c r="E479" s="7" t="n">
        <f aca="false">B479/MAX(B228:B479)-1</f>
        <v>-0.430409688917412</v>
      </c>
      <c r="F479" s="7" t="str">
        <f aca="false">IFERROR(INDEX(02_轉折點45個!B:B,MATCH(A479,02_轉折點45個!A:A,0)),"")</f>
        <v/>
      </c>
      <c r="G479" s="7" t="s">
        <v>1994</v>
      </c>
    </row>
    <row r="480" customFormat="false" ht="15" hidden="false" customHeight="false" outlineLevel="0" collapsed="false">
      <c r="A480" s="7" t="s">
        <v>424</v>
      </c>
      <c r="B480" s="7" t="n">
        <v>2623.28</v>
      </c>
      <c r="C480" s="7" t="n">
        <f aca="false">AVERAGE(B431:B480)</f>
        <v>3110.364</v>
      </c>
      <c r="D480" s="7" t="n">
        <f aca="false">AVERAGE(B281:B480)</f>
        <v>3554.4798</v>
      </c>
      <c r="E480" s="7" t="n">
        <f aca="false">B480/MAX(B229:B480)-1</f>
        <v>-0.431240080827703</v>
      </c>
      <c r="F480" s="7" t="str">
        <f aca="false">IFERROR(INDEX(02_轉折點45個!B:B,MATCH(A480,02_轉折點45個!A:A,0)),"")</f>
        <v/>
      </c>
      <c r="G480" s="7" t="s">
        <v>1994</v>
      </c>
    </row>
    <row r="481" customFormat="false" ht="15" hidden="false" customHeight="false" outlineLevel="0" collapsed="false">
      <c r="A481" s="7" t="s">
        <v>425</v>
      </c>
      <c r="B481" s="7" t="n">
        <v>2517.2</v>
      </c>
      <c r="C481" s="7" t="n">
        <f aca="false">AVERAGE(B432:B481)</f>
        <v>3089.561</v>
      </c>
      <c r="D481" s="7" t="n">
        <f aca="false">AVERAGE(B282:B481)</f>
        <v>3547.1351</v>
      </c>
      <c r="E481" s="7" t="n">
        <f aca="false">B481/MAX(B230:B481)-1</f>
        <v>-0.454239551805181</v>
      </c>
      <c r="F481" s="7" t="str">
        <f aca="false">IFERROR(INDEX(02_轉折點45個!B:B,MATCH(A481,02_轉折點45個!A:A,0)),"")</f>
        <v/>
      </c>
      <c r="G481" s="7" t="s">
        <v>1994</v>
      </c>
    </row>
    <row r="482" customFormat="false" ht="15" hidden="false" customHeight="false" outlineLevel="0" collapsed="false">
      <c r="A482" s="7" t="s">
        <v>2417</v>
      </c>
      <c r="B482" s="7" t="n">
        <v>2653.36</v>
      </c>
      <c r="C482" s="7" t="n">
        <f aca="false">AVERAGE(B433:B482)</f>
        <v>3071.1162</v>
      </c>
      <c r="D482" s="7" t="n">
        <f aca="false">AVERAGE(B283:B482)</f>
        <v>3539.91215</v>
      </c>
      <c r="E482" s="7" t="n">
        <f aca="false">B482/MAX(B231:B482)-1</f>
        <v>-0.42471836055053</v>
      </c>
      <c r="F482" s="7" t="str">
        <f aca="false">IFERROR(INDEX(02_轉折點45個!B:B,MATCH(A482,02_轉折點45個!A:A,0)),"")</f>
        <v/>
      </c>
      <c r="G482" s="7" t="s">
        <v>1994</v>
      </c>
    </row>
    <row r="483" customFormat="false" ht="15" hidden="false" customHeight="false" outlineLevel="0" collapsed="false">
      <c r="A483" s="7" t="s">
        <v>2418</v>
      </c>
      <c r="B483" s="7" t="n">
        <v>2631.54</v>
      </c>
      <c r="C483" s="7" t="n">
        <f aca="false">AVERAGE(B434:B483)</f>
        <v>3053.6718</v>
      </c>
      <c r="D483" s="7" t="n">
        <f aca="false">AVERAGE(B284:B483)</f>
        <v>3532.99205</v>
      </c>
      <c r="E483" s="7" t="n">
        <f aca="false">B483/MAX(B232:B483)-1</f>
        <v>-0.429449209501591</v>
      </c>
      <c r="F483" s="7" t="str">
        <f aca="false">IFERROR(INDEX(02_轉折點45個!B:B,MATCH(A483,02_轉折點45個!A:A,0)),"")</f>
        <v/>
      </c>
      <c r="G483" s="7" t="s">
        <v>1994</v>
      </c>
    </row>
    <row r="484" customFormat="false" ht="15" hidden="false" customHeight="false" outlineLevel="0" collapsed="false">
      <c r="A484" s="7" t="s">
        <v>2419</v>
      </c>
      <c r="B484" s="7" t="n">
        <v>2498.6</v>
      </c>
      <c r="C484" s="7" t="n">
        <f aca="false">AVERAGE(B435:B484)</f>
        <v>3035.5548</v>
      </c>
      <c r="D484" s="7" t="n">
        <f aca="false">AVERAGE(B285:B484)</f>
        <v>3525.3017</v>
      </c>
      <c r="E484" s="7" t="n">
        <f aca="false">B484/MAX(B233:B484)-1</f>
        <v>-0.458272264476571</v>
      </c>
      <c r="F484" s="7" t="str">
        <f aca="false">IFERROR(INDEX(02_轉折點45個!B:B,MATCH(A484,02_轉折點45個!A:A,0)),"")</f>
        <v/>
      </c>
      <c r="G484" s="7" t="s">
        <v>1994</v>
      </c>
    </row>
    <row r="485" customFormat="false" ht="15" hidden="false" customHeight="false" outlineLevel="0" collapsed="false">
      <c r="A485" s="7" t="s">
        <v>2420</v>
      </c>
      <c r="B485" s="7" t="n">
        <v>2472.98</v>
      </c>
      <c r="C485" s="7" t="n">
        <f aca="false">AVERAGE(B436:B485)</f>
        <v>3014.3836</v>
      </c>
      <c r="D485" s="7" t="n">
        <f aca="false">AVERAGE(B286:B485)</f>
        <v>3517.47315</v>
      </c>
      <c r="E485" s="7" t="n">
        <f aca="false">B485/MAX(B234:B485)-1</f>
        <v>-0.463827000962648</v>
      </c>
      <c r="F485" s="7" t="str">
        <f aca="false">IFERROR(INDEX(02_轉折點45個!B:B,MATCH(A485,02_轉折點45個!A:A,0)),"")</f>
        <v/>
      </c>
      <c r="G485" s="7" t="s">
        <v>1994</v>
      </c>
    </row>
    <row r="486" customFormat="false" ht="15" hidden="false" customHeight="false" outlineLevel="0" collapsed="false">
      <c r="A486" s="7" t="s">
        <v>119</v>
      </c>
      <c r="B486" s="7" t="n">
        <v>2373.4</v>
      </c>
      <c r="C486" s="7" t="n">
        <f aca="false">AVERAGE(B437:B486)</f>
        <v>2990.6398</v>
      </c>
      <c r="D486" s="7" t="n">
        <f aca="false">AVERAGE(B287:B486)</f>
        <v>3509.11525</v>
      </c>
      <c r="E486" s="7" t="n">
        <f aca="false">B486/MAX(B235:B486)-1</f>
        <v>-0.485417190630231</v>
      </c>
      <c r="F486" s="7" t="str">
        <f aca="false">IFERROR(INDEX(02_轉折點45個!B:B,MATCH(A486,02_轉折點45個!A:A,0)),"")</f>
        <v>BOTTOM</v>
      </c>
      <c r="G486" s="7" t="s">
        <v>1994</v>
      </c>
    </row>
    <row r="487" customFormat="false" ht="15" hidden="false" customHeight="false" outlineLevel="0" collapsed="false">
      <c r="A487" s="7" t="s">
        <v>2421</v>
      </c>
      <c r="B487" s="7" t="n">
        <v>2416.66</v>
      </c>
      <c r="C487" s="7" t="n">
        <f aca="false">AVERAGE(B438:B487)</f>
        <v>2969.014</v>
      </c>
      <c r="D487" s="7" t="n">
        <f aca="false">AVERAGE(B288:B487)</f>
        <v>3500.4197</v>
      </c>
      <c r="E487" s="7" t="n">
        <f aca="false">B487/MAX(B236:B487)-1</f>
        <v>-0.47603788148161</v>
      </c>
      <c r="F487" s="7" t="str">
        <f aca="false">IFERROR(INDEX(02_轉折點45個!B:B,MATCH(A487,02_轉折點45個!A:A,0)),"")</f>
        <v/>
      </c>
      <c r="G487" s="7" t="s">
        <v>1994</v>
      </c>
    </row>
    <row r="488" customFormat="false" ht="15" hidden="false" customHeight="false" outlineLevel="0" collapsed="false">
      <c r="A488" s="7" t="s">
        <v>2422</v>
      </c>
      <c r="B488" s="7" t="n">
        <v>2389.68</v>
      </c>
      <c r="C488" s="7" t="n">
        <f aca="false">AVERAGE(B439:B488)</f>
        <v>2947.3074</v>
      </c>
      <c r="D488" s="7" t="n">
        <f aca="false">AVERAGE(B289:B488)</f>
        <v>3492.21585</v>
      </c>
      <c r="E488" s="7" t="n">
        <f aca="false">B488/MAX(B237:B488)-1</f>
        <v>-0.481887482980218</v>
      </c>
      <c r="F488" s="7" t="str">
        <f aca="false">IFERROR(INDEX(02_轉折點45個!B:B,MATCH(A488,02_轉折點45個!A:A,0)),"")</f>
        <v/>
      </c>
      <c r="G488" s="7" t="s">
        <v>1994</v>
      </c>
    </row>
    <row r="489" customFormat="false" ht="15" hidden="false" customHeight="false" outlineLevel="0" collapsed="false">
      <c r="A489" s="7" t="s">
        <v>2423</v>
      </c>
      <c r="B489" s="7" t="n">
        <v>2640.04</v>
      </c>
      <c r="C489" s="7" t="n">
        <f aca="false">AVERAGE(B440:B489)</f>
        <v>2931.7506</v>
      </c>
      <c r="D489" s="7" t="n">
        <f aca="false">AVERAGE(B290:B489)</f>
        <v>3485.39915</v>
      </c>
      <c r="E489" s="7" t="n">
        <f aca="false">B489/MAX(B238:B489)-1</f>
        <v>-0.427606303173268</v>
      </c>
      <c r="F489" s="7" t="str">
        <f aca="false">IFERROR(INDEX(02_轉折點45個!B:B,MATCH(A489,02_轉折點45個!A:A,0)),"")</f>
        <v/>
      </c>
      <c r="G489" s="7" t="s">
        <v>1994</v>
      </c>
    </row>
    <row r="490" customFormat="false" ht="15" hidden="false" customHeight="false" outlineLevel="0" collapsed="false">
      <c r="A490" s="7" t="s">
        <v>2424</v>
      </c>
      <c r="B490" s="7" t="n">
        <v>2554.81</v>
      </c>
      <c r="C490" s="7" t="n">
        <f aca="false">AVERAGE(B441:B490)</f>
        <v>2915.4416</v>
      </c>
      <c r="D490" s="7" t="n">
        <f aca="false">AVERAGE(B291:B490)</f>
        <v>3477.3879</v>
      </c>
      <c r="E490" s="7" t="n">
        <f aca="false">B490/MAX(B239:B490)-1</f>
        <v>-0.446085233333622</v>
      </c>
      <c r="F490" s="7" t="str">
        <f aca="false">IFERROR(INDEX(02_轉折點45個!B:B,MATCH(A490,02_轉折點45個!A:A,0)),"")</f>
        <v/>
      </c>
      <c r="G490" s="7" t="s">
        <v>1994</v>
      </c>
    </row>
    <row r="491" customFormat="false" ht="15" hidden="false" customHeight="false" outlineLevel="0" collapsed="false">
      <c r="A491" s="7" t="s">
        <v>2425</v>
      </c>
      <c r="B491" s="7" t="n">
        <v>2514.75</v>
      </c>
      <c r="C491" s="7" t="n">
        <f aca="false">AVERAGE(B442:B491)</f>
        <v>2898.9306</v>
      </c>
      <c r="D491" s="7" t="n">
        <f aca="false">AVERAGE(B292:B491)</f>
        <v>3468.86885</v>
      </c>
      <c r="E491" s="7" t="n">
        <f aca="false">B491/MAX(B240:B491)-1</f>
        <v>-0.454770742452757</v>
      </c>
      <c r="F491" s="7" t="str">
        <f aca="false">IFERROR(INDEX(02_轉折點45個!B:B,MATCH(A491,02_轉折點45個!A:A,0)),"")</f>
        <v/>
      </c>
      <c r="G491" s="7" t="s">
        <v>1994</v>
      </c>
    </row>
    <row r="492" customFormat="false" ht="15" hidden="false" customHeight="false" outlineLevel="0" collapsed="false">
      <c r="A492" s="7" t="s">
        <v>2426</v>
      </c>
      <c r="B492" s="7" t="n">
        <v>2665.28</v>
      </c>
      <c r="C492" s="7" t="n">
        <f aca="false">AVERAGE(B443:B492)</f>
        <v>2883.2008</v>
      </c>
      <c r="D492" s="7" t="n">
        <f aca="false">AVERAGE(B293:B492)</f>
        <v>3461.22645</v>
      </c>
      <c r="E492" s="7" t="n">
        <f aca="false">B492/MAX(B241:B492)-1</f>
        <v>-0.422133955440693</v>
      </c>
      <c r="F492" s="7" t="str">
        <f aca="false">IFERROR(INDEX(02_轉折點45個!B:B,MATCH(A492,02_轉折點45個!A:A,0)),"")</f>
        <v/>
      </c>
      <c r="G492" s="7" t="s">
        <v>1994</v>
      </c>
    </row>
    <row r="493" customFormat="false" ht="15" hidden="false" customHeight="false" outlineLevel="0" collapsed="false">
      <c r="A493" s="7" t="s">
        <v>120</v>
      </c>
      <c r="B493" s="7" t="n">
        <v>2754.51</v>
      </c>
      <c r="C493" s="7" t="n">
        <f aca="false">AVERAGE(B444:B493)</f>
        <v>2871.1832</v>
      </c>
      <c r="D493" s="7" t="n">
        <f aca="false">AVERAGE(B294:B493)</f>
        <v>3454.088</v>
      </c>
      <c r="E493" s="7" t="n">
        <f aca="false">B493/MAX(B242:B493)-1</f>
        <v>-0.40278777524348</v>
      </c>
      <c r="F493" s="7" t="str">
        <f aca="false">IFERROR(INDEX(02_轉折點45個!B:B,MATCH(A493,02_轉折點45個!A:A,0)),"")</f>
        <v>TOP</v>
      </c>
      <c r="G493" s="7" t="s">
        <v>1994</v>
      </c>
    </row>
    <row r="494" customFormat="false" ht="15" hidden="false" customHeight="false" outlineLevel="0" collapsed="false">
      <c r="A494" s="7" t="s">
        <v>2427</v>
      </c>
      <c r="B494" s="7" t="n">
        <v>2678.38</v>
      </c>
      <c r="C494" s="7" t="n">
        <f aca="false">AVERAGE(B445:B494)</f>
        <v>2859.5418</v>
      </c>
      <c r="D494" s="7" t="n">
        <f aca="false">AVERAGE(B295:B494)</f>
        <v>3446.02605</v>
      </c>
      <c r="E494" s="7" t="n">
        <f aca="false">B494/MAX(B243:B494)-1</f>
        <v>-0.419293711569983</v>
      </c>
      <c r="F494" s="7" t="str">
        <f aca="false">IFERROR(INDEX(02_轉折點45個!B:B,MATCH(A494,02_轉折點45個!A:A,0)),"")</f>
        <v/>
      </c>
      <c r="G494" s="7" t="s">
        <v>1994</v>
      </c>
    </row>
    <row r="495" customFormat="false" ht="15" hidden="false" customHeight="false" outlineLevel="0" collapsed="false">
      <c r="A495" s="7" t="s">
        <v>2428</v>
      </c>
      <c r="B495" s="7" t="n">
        <v>2578.81</v>
      </c>
      <c r="C495" s="7" t="n">
        <f aca="false">AVERAGE(B446:B495)</f>
        <v>2847.975</v>
      </c>
      <c r="D495" s="7" t="n">
        <f aca="false">AVERAGE(B296:B495)</f>
        <v>3437.0671</v>
      </c>
      <c r="E495" s="7" t="n">
        <f aca="false">B495/MAX(B244:B495)-1</f>
        <v>-0.440881733112474</v>
      </c>
      <c r="F495" s="7" t="str">
        <f aca="false">IFERROR(INDEX(02_轉折點45個!B:B,MATCH(A495,02_轉折點45個!A:A,0)),"")</f>
        <v/>
      </c>
      <c r="G495" s="7" t="s">
        <v>1994</v>
      </c>
    </row>
    <row r="496" customFormat="false" ht="15" hidden="false" customHeight="false" outlineLevel="0" collapsed="false">
      <c r="A496" s="7" t="s">
        <v>2429</v>
      </c>
      <c r="B496" s="7" t="n">
        <v>2492.69</v>
      </c>
      <c r="C496" s="7" t="n">
        <f aca="false">AVERAGE(B447:B496)</f>
        <v>2833.4566</v>
      </c>
      <c r="D496" s="7" t="n">
        <f aca="false">AVERAGE(B297:B496)</f>
        <v>3427.8126</v>
      </c>
      <c r="E496" s="7" t="n">
        <f aca="false">B496/MAX(B245:B496)-1</f>
        <v>-0.459553626406029</v>
      </c>
      <c r="F496" s="7" t="str">
        <f aca="false">IFERROR(INDEX(02_轉折點45個!B:B,MATCH(A496,02_轉折點45個!A:A,0)),"")</f>
        <v/>
      </c>
      <c r="G496" s="7" t="s">
        <v>1994</v>
      </c>
    </row>
    <row r="497" customFormat="false" ht="15" hidden="false" customHeight="false" outlineLevel="0" collapsed="false">
      <c r="A497" s="7" t="s">
        <v>2430</v>
      </c>
      <c r="B497" s="7" t="n">
        <v>2423.95</v>
      </c>
      <c r="C497" s="7" t="n">
        <f aca="false">AVERAGE(B448:B497)</f>
        <v>2818.4952</v>
      </c>
      <c r="D497" s="7" t="n">
        <f aca="false">AVERAGE(B298:B497)</f>
        <v>3417.48225</v>
      </c>
      <c r="E497" s="7" t="n">
        <f aca="false">B497/MAX(B246:B497)-1</f>
        <v>-0.474457318289436</v>
      </c>
      <c r="F497" s="7" t="str">
        <f aca="false">IFERROR(INDEX(02_轉折點45個!B:B,MATCH(A497,02_轉折點45個!A:A,0)),"")</f>
        <v/>
      </c>
      <c r="G497" s="7" t="s">
        <v>1994</v>
      </c>
    </row>
    <row r="498" customFormat="false" ht="15" hidden="false" customHeight="false" outlineLevel="0" collapsed="false">
      <c r="A498" s="7" t="s">
        <v>2431</v>
      </c>
      <c r="B498" s="7" t="n">
        <v>2397.69</v>
      </c>
      <c r="C498" s="7" t="n">
        <f aca="false">AVERAGE(B449:B498)</f>
        <v>2805.0384</v>
      </c>
      <c r="D498" s="7" t="n">
        <f aca="false">AVERAGE(B299:B498)</f>
        <v>3407.066</v>
      </c>
      <c r="E498" s="7" t="n">
        <f aca="false">B498/MAX(B247:B498)-1</f>
        <v>-0.48015081478141</v>
      </c>
      <c r="F498" s="7" t="str">
        <f aca="false">IFERROR(INDEX(02_轉折點45個!B:B,MATCH(A498,02_轉折點45個!A:A,0)),"")</f>
        <v/>
      </c>
      <c r="G498" s="7" t="s">
        <v>1994</v>
      </c>
    </row>
    <row r="499" customFormat="false" ht="15" hidden="false" customHeight="false" outlineLevel="0" collapsed="false">
      <c r="A499" s="7" t="s">
        <v>426</v>
      </c>
      <c r="B499" s="7" t="n">
        <v>2294.63</v>
      </c>
      <c r="C499" s="7" t="n">
        <f aca="false">AVERAGE(B450:B499)</f>
        <v>2789.62</v>
      </c>
      <c r="D499" s="7" t="n">
        <f aca="false">AVERAGE(B300:B499)</f>
        <v>3396.3949</v>
      </c>
      <c r="E499" s="7" t="n">
        <f aca="false">B499/MAX(B248:B499)-1</f>
        <v>-0.502495511981059</v>
      </c>
      <c r="F499" s="7" t="str">
        <f aca="false">IFERROR(INDEX(02_轉折點45個!B:B,MATCH(A499,02_轉折點45個!A:A,0)),"")</f>
        <v/>
      </c>
      <c r="G499" s="7" t="s">
        <v>1994</v>
      </c>
    </row>
    <row r="500" customFormat="false" ht="15" hidden="false" customHeight="false" outlineLevel="0" collapsed="false">
      <c r="A500" s="7" t="s">
        <v>2432</v>
      </c>
      <c r="B500" s="7" t="n">
        <v>2131.16</v>
      </c>
      <c r="C500" s="7" t="n">
        <f aca="false">AVERAGE(B451:B500)</f>
        <v>2773.0338</v>
      </c>
      <c r="D500" s="7" t="n">
        <f aca="false">AVERAGE(B301:B500)</f>
        <v>3384.6807</v>
      </c>
      <c r="E500" s="7" t="n">
        <f aca="false">B500/MAX(B249:B500)-1</f>
        <v>-0.537937852862359</v>
      </c>
      <c r="F500" s="7" t="str">
        <f aca="false">IFERROR(INDEX(02_轉折點45個!B:B,MATCH(A500,02_轉折點45個!A:A,0)),"")</f>
        <v/>
      </c>
      <c r="G500" s="7" t="s">
        <v>1994</v>
      </c>
    </row>
    <row r="501" customFormat="false" ht="15" hidden="false" customHeight="false" outlineLevel="0" collapsed="false">
      <c r="A501" s="7" t="s">
        <v>2433</v>
      </c>
      <c r="B501" s="7" t="n">
        <v>2137.87</v>
      </c>
      <c r="C501" s="7" t="n">
        <f aca="false">AVERAGE(B452:B501)</f>
        <v>2757.8982</v>
      </c>
      <c r="D501" s="7" t="n">
        <f aca="false">AVERAGE(B302:B501)</f>
        <v>3372.3167</v>
      </c>
      <c r="E501" s="7" t="n">
        <f aca="false">B501/MAX(B250:B501)-1</f>
        <v>-0.536483040925529</v>
      </c>
      <c r="F501" s="7" t="str">
        <f aca="false">IFERROR(INDEX(02_轉折點45個!B:B,MATCH(A501,02_轉折點45個!A:A,0)),"")</f>
        <v/>
      </c>
      <c r="G501" s="7" t="s">
        <v>1994</v>
      </c>
    </row>
    <row r="502" customFormat="false" ht="15" hidden="false" customHeight="false" outlineLevel="0" collapsed="false">
      <c r="A502" s="7" t="s">
        <v>2434</v>
      </c>
      <c r="B502" s="7" t="n">
        <v>2299.48</v>
      </c>
      <c r="C502" s="7" t="n">
        <f aca="false">AVERAGE(B453:B502)</f>
        <v>2747.709</v>
      </c>
      <c r="D502" s="7" t="n">
        <f aca="false">AVERAGE(B303:B502)</f>
        <v>3360.7527</v>
      </c>
      <c r="E502" s="7" t="n">
        <f aca="false">B502/MAX(B251:B502)-1</f>
        <v>-0.501443971311369</v>
      </c>
      <c r="F502" s="7" t="str">
        <f aca="false">IFERROR(INDEX(02_轉折點45個!B:B,MATCH(A502,02_轉折點45個!A:A,0)),"")</f>
        <v/>
      </c>
      <c r="G502" s="7" t="s">
        <v>1994</v>
      </c>
    </row>
    <row r="503" customFormat="false" ht="15" hidden="false" customHeight="false" outlineLevel="0" collapsed="false">
      <c r="A503" s="7" t="s">
        <v>2435</v>
      </c>
      <c r="B503" s="7" t="n">
        <v>2278.01</v>
      </c>
      <c r="C503" s="7" t="n">
        <f aca="false">AVERAGE(B454:B503)</f>
        <v>2732.667</v>
      </c>
      <c r="D503" s="7" t="n">
        <f aca="false">AVERAGE(B304:B503)</f>
        <v>3349.72715</v>
      </c>
      <c r="E503" s="7" t="n">
        <f aca="false">B503/MAX(B252:B503)-1</f>
        <v>-0.506098935884205</v>
      </c>
      <c r="F503" s="7" t="str">
        <f aca="false">IFERROR(INDEX(02_轉折點45個!B:B,MATCH(A503,02_轉折點45個!A:A,0)),"")</f>
        <v/>
      </c>
      <c r="G503" s="7" t="s">
        <v>1994</v>
      </c>
    </row>
    <row r="504" customFormat="false" ht="15" hidden="false" customHeight="false" outlineLevel="0" collapsed="false">
      <c r="A504" s="7" t="s">
        <v>2436</v>
      </c>
      <c r="B504" s="7" t="n">
        <v>2319.88</v>
      </c>
      <c r="C504" s="7" t="n">
        <f aca="false">AVERAGE(B455:B504)</f>
        <v>2718.9464</v>
      </c>
      <c r="D504" s="7" t="n">
        <f aca="false">AVERAGE(B305:B504)</f>
        <v>3339.8273</v>
      </c>
      <c r="E504" s="7" t="n">
        <f aca="false">B504/MAX(B253:B504)-1</f>
        <v>-0.497020996123392</v>
      </c>
      <c r="F504" s="7" t="str">
        <f aca="false">IFERROR(INDEX(02_轉折點45個!B:B,MATCH(A504,02_轉折點45個!A:A,0)),"")</f>
        <v/>
      </c>
      <c r="G504" s="7" t="s">
        <v>1994</v>
      </c>
    </row>
    <row r="505" customFormat="false" ht="15" hidden="false" customHeight="false" outlineLevel="0" collapsed="false">
      <c r="A505" s="7" t="s">
        <v>2437</v>
      </c>
      <c r="B505" s="7" t="n">
        <v>2336.7</v>
      </c>
      <c r="C505" s="7" t="n">
        <f aca="false">AVERAGE(B456:B505)</f>
        <v>2706.9566</v>
      </c>
      <c r="D505" s="7" t="n">
        <f aca="false">AVERAGE(B306:B505)</f>
        <v>3330.578</v>
      </c>
      <c r="E505" s="7" t="n">
        <f aca="false">B505/MAX(B254:B505)-1</f>
        <v>-0.493374209718404</v>
      </c>
      <c r="F505" s="7" t="str">
        <f aca="false">IFERROR(INDEX(02_轉折點45個!B:B,MATCH(A505,02_轉折點45個!A:A,0)),"")</f>
        <v/>
      </c>
      <c r="G505" s="7" t="s">
        <v>1994</v>
      </c>
    </row>
    <row r="506" customFormat="false" ht="15" hidden="false" customHeight="false" outlineLevel="0" collapsed="false">
      <c r="A506" s="7" t="s">
        <v>427</v>
      </c>
      <c r="B506" s="7" t="n">
        <v>2257</v>
      </c>
      <c r="C506" s="7" t="n">
        <f aca="false">AVERAGE(B457:B506)</f>
        <v>2694.1476</v>
      </c>
      <c r="D506" s="7" t="n">
        <f aca="false">AVERAGE(B307:B506)</f>
        <v>3320.3146</v>
      </c>
      <c r="E506" s="7" t="n">
        <f aca="false">B506/MAX(B255:B506)-1</f>
        <v>-0.510654166702802</v>
      </c>
      <c r="F506" s="7" t="str">
        <f aca="false">IFERROR(INDEX(02_轉折點45個!B:B,MATCH(A506,02_轉折點45個!A:A,0)),"")</f>
        <v/>
      </c>
      <c r="G506" s="7" t="s">
        <v>1994</v>
      </c>
    </row>
    <row r="507" customFormat="false" ht="15" hidden="false" customHeight="false" outlineLevel="0" collapsed="false">
      <c r="A507" s="7" t="s">
        <v>121</v>
      </c>
      <c r="B507" s="7" t="n">
        <v>2093.78</v>
      </c>
      <c r="C507" s="7" t="n">
        <f aca="false">AVERAGE(B458:B507)</f>
        <v>2673.5604</v>
      </c>
      <c r="D507" s="7" t="n">
        <f aca="false">AVERAGE(B308:B507)</f>
        <v>3308.8663</v>
      </c>
      <c r="E507" s="7" t="n">
        <f aca="false">B507/MAX(B256:B507)-1</f>
        <v>-0.546042304456798</v>
      </c>
      <c r="F507" s="7" t="str">
        <f aca="false">IFERROR(INDEX(02_轉折點45個!B:B,MATCH(A507,02_轉折點45個!A:A,0)),"")</f>
        <v>BOTTOM</v>
      </c>
      <c r="G507" s="7" t="s">
        <v>1994</v>
      </c>
    </row>
    <row r="508" customFormat="false" ht="15" hidden="false" customHeight="false" outlineLevel="0" collapsed="false">
      <c r="A508" s="7" t="s">
        <v>2438</v>
      </c>
      <c r="B508" s="7" t="n">
        <v>2390.54</v>
      </c>
      <c r="C508" s="7" t="n">
        <f aca="false">AVERAGE(B459:B508)</f>
        <v>2657.7292</v>
      </c>
      <c r="D508" s="7" t="n">
        <f aca="false">AVERAGE(B309:B508)</f>
        <v>3299.76115</v>
      </c>
      <c r="E508" s="7" t="n">
        <f aca="false">B508/MAX(B257:B508)-1</f>
        <v>-0.481701024222294</v>
      </c>
      <c r="F508" s="7" t="str">
        <f aca="false">IFERROR(INDEX(02_轉折點45個!B:B,MATCH(A508,02_轉折點45個!A:A,0)),"")</f>
        <v/>
      </c>
      <c r="G508" s="7" t="s">
        <v>1994</v>
      </c>
    </row>
    <row r="509" customFormat="false" ht="15" hidden="false" customHeight="false" outlineLevel="0" collapsed="false">
      <c r="A509" s="7" t="s">
        <v>2439</v>
      </c>
      <c r="B509" s="7" t="n">
        <v>2344.99</v>
      </c>
      <c r="C509" s="7" t="n">
        <f aca="false">AVERAGE(B460:B509)</f>
        <v>2641.251</v>
      </c>
      <c r="D509" s="7" t="n">
        <f aca="false">AVERAGE(B310:B509)</f>
        <v>3289.9638</v>
      </c>
      <c r="E509" s="7" t="n">
        <f aca="false">B509/MAX(B258:B509)-1</f>
        <v>-0.491576834017015</v>
      </c>
      <c r="F509" s="7" t="str">
        <f aca="false">IFERROR(INDEX(02_轉折點45個!B:B,MATCH(A509,02_轉折點45個!A:A,0)),"")</f>
        <v/>
      </c>
      <c r="G509" s="7" t="s">
        <v>1994</v>
      </c>
    </row>
    <row r="510" customFormat="false" ht="15" hidden="false" customHeight="false" outlineLevel="0" collapsed="false">
      <c r="A510" s="7" t="s">
        <v>2440</v>
      </c>
      <c r="B510" s="7" t="n">
        <v>2199.56</v>
      </c>
      <c r="C510" s="7" t="n">
        <f aca="false">AVERAGE(B461:B510)</f>
        <v>2622.7576</v>
      </c>
      <c r="D510" s="7" t="n">
        <f aca="false">AVERAGE(B311:B510)</f>
        <v>3278.7401</v>
      </c>
      <c r="E510" s="7" t="n">
        <f aca="false">B510/MAX(B259:B510)-1</f>
        <v>-0.523107877232085</v>
      </c>
      <c r="F510" s="7" t="str">
        <f aca="false">IFERROR(INDEX(02_轉折點45個!B:B,MATCH(A510,02_轉折點45個!A:A,0)),"")</f>
        <v/>
      </c>
      <c r="G510" s="7" t="s">
        <v>1994</v>
      </c>
    </row>
    <row r="511" customFormat="false" ht="15" hidden="false" customHeight="false" outlineLevel="0" collapsed="false">
      <c r="A511" s="7" t="s">
        <v>2441</v>
      </c>
      <c r="B511" s="7" t="n">
        <v>2188.85</v>
      </c>
      <c r="C511" s="7" t="n">
        <f aca="false">AVERAGE(B462:B511)</f>
        <v>2607.5256</v>
      </c>
      <c r="D511" s="7" t="n">
        <f aca="false">AVERAGE(B312:B511)</f>
        <v>3267.1163</v>
      </c>
      <c r="E511" s="7" t="n">
        <f aca="false">B511/MAX(B260:B511)-1</f>
        <v>-0.525429939205772</v>
      </c>
      <c r="F511" s="7" t="str">
        <f aca="false">IFERROR(INDEX(02_轉折點45個!B:B,MATCH(A511,02_轉折點45個!A:A,0)),"")</f>
        <v/>
      </c>
      <c r="G511" s="7" t="s">
        <v>1994</v>
      </c>
    </row>
    <row r="512" customFormat="false" ht="15" hidden="false" customHeight="false" outlineLevel="0" collapsed="false">
      <c r="A512" s="7" t="s">
        <v>428</v>
      </c>
      <c r="B512" s="7" t="n">
        <v>2230.3</v>
      </c>
      <c r="C512" s="7" t="n">
        <f aca="false">AVERAGE(B463:B512)</f>
        <v>2592.3442</v>
      </c>
      <c r="D512" s="7" t="n">
        <f aca="false">AVERAGE(B313:B512)</f>
        <v>3255.59735</v>
      </c>
      <c r="E512" s="7" t="n">
        <f aca="false">B512/MAX(B261:B512)-1</f>
        <v>-0.51644306069883</v>
      </c>
      <c r="F512" s="7" t="str">
        <f aca="false">IFERROR(INDEX(02_轉折點45個!B:B,MATCH(A512,02_轉折點45個!A:A,0)),"")</f>
        <v/>
      </c>
      <c r="G512" s="7" t="s">
        <v>1994</v>
      </c>
    </row>
    <row r="513" customFormat="false" ht="15" hidden="false" customHeight="false" outlineLevel="0" collapsed="false">
      <c r="A513" s="7" t="s">
        <v>2442</v>
      </c>
      <c r="B513" s="7" t="n">
        <v>2306.02</v>
      </c>
      <c r="C513" s="7" t="n">
        <f aca="false">AVERAGE(B464:B513)</f>
        <v>2578.5642</v>
      </c>
      <c r="D513" s="7" t="n">
        <f aca="false">AVERAGE(B314:B513)</f>
        <v>3244.47745</v>
      </c>
      <c r="E513" s="7" t="n">
        <f aca="false">B513/MAX(B262:B513)-1</f>
        <v>-0.500026017501106</v>
      </c>
      <c r="F513" s="7" t="str">
        <f aca="false">IFERROR(INDEX(02_轉折點45個!B:B,MATCH(A513,02_轉折點45個!A:A,0)),"")</f>
        <v/>
      </c>
      <c r="G513" s="7" t="s">
        <v>1994</v>
      </c>
    </row>
    <row r="514" customFormat="false" ht="15" hidden="false" customHeight="false" outlineLevel="0" collapsed="false">
      <c r="A514" s="7" t="s">
        <v>2443</v>
      </c>
      <c r="B514" s="7" t="n">
        <v>2412.35</v>
      </c>
      <c r="C514" s="7" t="n">
        <f aca="false">AVERAGE(B465:B514)</f>
        <v>2568.4996</v>
      </c>
      <c r="D514" s="7" t="n">
        <f aca="false">AVERAGE(B315:B514)</f>
        <v>3234.45865</v>
      </c>
      <c r="E514" s="7" t="n">
        <f aca="false">B514/MAX(B263:B514)-1</f>
        <v>-0.476972343396325</v>
      </c>
      <c r="F514" s="7" t="str">
        <f aca="false">IFERROR(INDEX(02_轉折點45個!B:B,MATCH(A514,02_轉折點45個!A:A,0)),"")</f>
        <v/>
      </c>
      <c r="G514" s="7" t="s">
        <v>1994</v>
      </c>
    </row>
    <row r="515" customFormat="false" ht="15" hidden="false" customHeight="false" outlineLevel="0" collapsed="false">
      <c r="A515" s="7" t="s">
        <v>2444</v>
      </c>
      <c r="B515" s="7" t="n">
        <v>2399.5</v>
      </c>
      <c r="C515" s="7" t="n">
        <f aca="false">AVERAGE(B466:B515)</f>
        <v>2554.9216</v>
      </c>
      <c r="D515" s="7" t="n">
        <f aca="false">AVERAGE(B316:B515)</f>
        <v>3225.23995</v>
      </c>
      <c r="E515" s="7" t="n">
        <f aca="false">B515/MAX(B264:B515)-1</f>
        <v>-0.479758384139731</v>
      </c>
      <c r="F515" s="7" t="str">
        <f aca="false">IFERROR(INDEX(02_轉折點45個!B:B,MATCH(A515,02_轉折點45個!A:A,0)),"")</f>
        <v/>
      </c>
      <c r="G515" s="7" t="s">
        <v>1994</v>
      </c>
    </row>
    <row r="516" customFormat="false" ht="15" hidden="false" customHeight="false" outlineLevel="0" collapsed="false">
      <c r="A516" s="7" t="s">
        <v>2445</v>
      </c>
      <c r="B516" s="7" t="n">
        <v>2392.24</v>
      </c>
      <c r="C516" s="7" t="n">
        <f aca="false">AVERAGE(B467:B516)</f>
        <v>2541.8606</v>
      </c>
      <c r="D516" s="7" t="n">
        <f aca="false">AVERAGE(B317:B516)</f>
        <v>3216.8381</v>
      </c>
      <c r="E516" s="7" t="n">
        <f aca="false">B516/MAX(B265:B516)-1</f>
        <v>-0.481332442956629</v>
      </c>
      <c r="F516" s="7" t="str">
        <f aca="false">IFERROR(INDEX(02_轉折點45個!B:B,MATCH(A516,02_轉折點45個!A:A,0)),"")</f>
        <v/>
      </c>
      <c r="G516" s="7" t="s">
        <v>1994</v>
      </c>
    </row>
    <row r="517" customFormat="false" ht="15" hidden="false" customHeight="false" outlineLevel="0" collapsed="false">
      <c r="A517" s="7" t="s">
        <v>2446</v>
      </c>
      <c r="B517" s="7" t="n">
        <v>2450.91</v>
      </c>
      <c r="C517" s="7" t="n">
        <f aca="false">AVERAGE(B468:B517)</f>
        <v>2528.2256</v>
      </c>
      <c r="D517" s="7" t="n">
        <f aca="false">AVERAGE(B318:B517)</f>
        <v>3208.2046</v>
      </c>
      <c r="E517" s="7" t="n">
        <f aca="false">B517/MAX(B266:B517)-1</f>
        <v>-0.468612053041012</v>
      </c>
      <c r="F517" s="7" t="str">
        <f aca="false">IFERROR(INDEX(02_轉折點45個!B:B,MATCH(A517,02_轉折點45個!A:A,0)),"")</f>
        <v/>
      </c>
      <c r="G517" s="7" t="s">
        <v>1994</v>
      </c>
    </row>
    <row r="518" customFormat="false" ht="15" hidden="false" customHeight="false" outlineLevel="0" collapsed="false">
      <c r="A518" s="7" t="s">
        <v>2447</v>
      </c>
      <c r="B518" s="7" t="n">
        <v>2529.22</v>
      </c>
      <c r="C518" s="7" t="n">
        <f aca="false">AVERAGE(B469:B518)</f>
        <v>2515.7446</v>
      </c>
      <c r="D518" s="7" t="n">
        <f aca="false">AVERAGE(B319:B518)</f>
        <v>3201.5575</v>
      </c>
      <c r="E518" s="7" t="n">
        <f aca="false">B518/MAX(B267:B518)-1</f>
        <v>-0.451633465444422</v>
      </c>
      <c r="F518" s="7" t="str">
        <f aca="false">IFERROR(INDEX(02_轉折點45個!B:B,MATCH(A518,02_轉折點45個!A:A,0)),"")</f>
        <v/>
      </c>
      <c r="G518" s="7" t="s">
        <v>1994</v>
      </c>
    </row>
    <row r="519" customFormat="false" ht="15" hidden="false" customHeight="false" outlineLevel="0" collapsed="false">
      <c r="A519" s="7" t="s">
        <v>2448</v>
      </c>
      <c r="B519" s="7" t="n">
        <v>2530.94</v>
      </c>
      <c r="C519" s="7" t="n">
        <f aca="false">AVERAGE(B470:B519)</f>
        <v>2503.9442</v>
      </c>
      <c r="D519" s="7" t="n">
        <f aca="false">AVERAGE(B320:B519)</f>
        <v>3195.26065</v>
      </c>
      <c r="E519" s="7" t="n">
        <f aca="false">B519/MAX(B268:B519)-1</f>
        <v>-0.451260547928573</v>
      </c>
      <c r="F519" s="7" t="str">
        <f aca="false">IFERROR(INDEX(02_轉折點45個!B:B,MATCH(A519,02_轉折點45個!A:A,0)),"")</f>
        <v/>
      </c>
      <c r="G519" s="7" t="s">
        <v>1994</v>
      </c>
    </row>
    <row r="520" customFormat="false" ht="15" hidden="false" customHeight="false" outlineLevel="0" collapsed="false">
      <c r="A520" s="7" t="s">
        <v>2449</v>
      </c>
      <c r="B520" s="7" t="n">
        <v>2519.55</v>
      </c>
      <c r="C520" s="7" t="n">
        <f aca="false">AVERAGE(B471:B520)</f>
        <v>2491.9238</v>
      </c>
      <c r="D520" s="7" t="n">
        <f aca="false">AVERAGE(B321:B520)</f>
        <v>3188.81395</v>
      </c>
      <c r="E520" s="7" t="n">
        <f aca="false">B520/MAX(B269:B520)-1</f>
        <v>-0.453730042408527</v>
      </c>
      <c r="F520" s="7" t="str">
        <f aca="false">IFERROR(INDEX(02_轉折點45個!B:B,MATCH(A520,02_轉折點45個!A:A,0)),"")</f>
        <v/>
      </c>
      <c r="G520" s="7" t="s">
        <v>1994</v>
      </c>
    </row>
    <row r="521" customFormat="false" ht="15" hidden="false" customHeight="false" outlineLevel="0" collapsed="false">
      <c r="A521" s="7" t="s">
        <v>2450</v>
      </c>
      <c r="B521" s="7" t="n">
        <v>2594.9</v>
      </c>
      <c r="C521" s="7" t="n">
        <f aca="false">AVERAGE(B472:B521)</f>
        <v>2484.774</v>
      </c>
      <c r="D521" s="7" t="n">
        <f aca="false">AVERAGE(B322:B521)</f>
        <v>3182.2948</v>
      </c>
      <c r="E521" s="7" t="n">
        <f aca="false">B521/MAX(B270:B521)-1</f>
        <v>-0.437393219839212</v>
      </c>
      <c r="F521" s="7" t="str">
        <f aca="false">IFERROR(INDEX(02_轉折點45個!B:B,MATCH(A521,02_轉折點45個!A:A,0)),"")</f>
        <v/>
      </c>
      <c r="G521" s="7" t="s">
        <v>1994</v>
      </c>
    </row>
    <row r="522" customFormat="false" ht="15" hidden="false" customHeight="false" outlineLevel="0" collapsed="false">
      <c r="A522" s="7" t="s">
        <v>122</v>
      </c>
      <c r="B522" s="7" t="n">
        <v>2612.04</v>
      </c>
      <c r="C522" s="7" t="n">
        <f aca="false">AVERAGE(B473:B522)</f>
        <v>2478.5398</v>
      </c>
      <c r="D522" s="7" t="n">
        <f aca="false">AVERAGE(B323:B522)</f>
        <v>3175.0442</v>
      </c>
      <c r="E522" s="7" t="n">
        <f aca="false">B522/MAX(B271:B522)-1</f>
        <v>-0.433677053431275</v>
      </c>
      <c r="F522" s="7" t="str">
        <f aca="false">IFERROR(INDEX(02_轉折點45個!B:B,MATCH(A522,02_轉折點45個!A:A,0)),"")</f>
        <v>TOP</v>
      </c>
      <c r="G522" s="7" t="s">
        <v>1994</v>
      </c>
    </row>
    <row r="523" customFormat="false" ht="15" hidden="false" customHeight="false" outlineLevel="0" collapsed="false">
      <c r="A523" s="7" t="s">
        <v>2451</v>
      </c>
      <c r="B523" s="7" t="n">
        <v>2516.23</v>
      </c>
      <c r="C523" s="7" t="n">
        <f aca="false">AVERAGE(B474:B523)</f>
        <v>2473.5204</v>
      </c>
      <c r="D523" s="7" t="n">
        <f aca="false">AVERAGE(B324:B523)</f>
        <v>3168.4942</v>
      </c>
      <c r="E523" s="7" t="n">
        <f aca="false">B523/MAX(B272:B523)-1</f>
        <v>-0.454449859939119</v>
      </c>
      <c r="F523" s="7" t="str">
        <f aca="false">IFERROR(INDEX(02_轉折點45個!B:B,MATCH(A523,02_轉折點45個!A:A,0)),"")</f>
        <v/>
      </c>
      <c r="G523" s="7" t="s">
        <v>1994</v>
      </c>
    </row>
    <row r="524" customFormat="false" ht="15" hidden="false" customHeight="false" outlineLevel="0" collapsed="false">
      <c r="A524" s="7" t="s">
        <v>2452</v>
      </c>
      <c r="B524" s="7" t="n">
        <v>2540.92</v>
      </c>
      <c r="C524" s="7" t="n">
        <f aca="false">AVERAGE(B475:B524)</f>
        <v>2470.1326</v>
      </c>
      <c r="D524" s="7" t="n">
        <f aca="false">AVERAGE(B325:B524)</f>
        <v>3162.672</v>
      </c>
      <c r="E524" s="7" t="n">
        <f aca="false">B524/MAX(B273:B524)-1</f>
        <v>-0.449096759086612</v>
      </c>
      <c r="F524" s="7" t="str">
        <f aca="false">IFERROR(INDEX(02_轉折點45個!B:B,MATCH(A524,02_轉折點45個!A:A,0)),"")</f>
        <v/>
      </c>
      <c r="G524" s="7" t="s">
        <v>1994</v>
      </c>
    </row>
    <row r="525" customFormat="false" ht="15" hidden="false" customHeight="false" outlineLevel="0" collapsed="false">
      <c r="A525" s="7" t="s">
        <v>2453</v>
      </c>
      <c r="B525" s="7" t="n">
        <v>2593.03</v>
      </c>
      <c r="C525" s="7" t="n">
        <f aca="false">AVERAGE(B476:B525)</f>
        <v>2464.6524</v>
      </c>
      <c r="D525" s="7" t="n">
        <f aca="false">AVERAGE(B326:B525)</f>
        <v>3158.418</v>
      </c>
      <c r="E525" s="7" t="n">
        <f aca="false">B525/MAX(B274:B525)-1</f>
        <v>-0.437798659231443</v>
      </c>
      <c r="F525" s="7" t="str">
        <f aca="false">IFERROR(INDEX(02_轉折點45個!B:B,MATCH(A525,02_轉折點45個!A:A,0)),"")</f>
        <v/>
      </c>
      <c r="G525" s="7" t="s">
        <v>1994</v>
      </c>
    </row>
    <row r="526" customFormat="false" ht="15" hidden="false" customHeight="false" outlineLevel="0" collapsed="false">
      <c r="A526" s="7" t="s">
        <v>2454</v>
      </c>
      <c r="B526" s="7" t="n">
        <v>2593.04</v>
      </c>
      <c r="C526" s="7" t="n">
        <f aca="false">AVERAGE(B477:B526)</f>
        <v>2458.6752</v>
      </c>
      <c r="D526" s="7" t="n">
        <f aca="false">AVERAGE(B327:B526)</f>
        <v>3154.58815</v>
      </c>
      <c r="E526" s="7" t="n">
        <f aca="false">B526/MAX(B275:B526)-1</f>
        <v>-0.437796491106351</v>
      </c>
      <c r="F526" s="7" t="str">
        <f aca="false">IFERROR(INDEX(02_轉折點45個!B:B,MATCH(A526,02_轉折點45個!A:A,0)),"")</f>
        <v/>
      </c>
      <c r="G526" s="7" t="s">
        <v>1994</v>
      </c>
    </row>
    <row r="527" customFormat="false" ht="15" hidden="false" customHeight="false" outlineLevel="0" collapsed="false">
      <c r="A527" s="7" t="s">
        <v>429</v>
      </c>
      <c r="B527" s="7" t="n">
        <v>2533.09</v>
      </c>
      <c r="C527" s="7" t="n">
        <f aca="false">AVERAGE(B478:B527)</f>
        <v>2453.9402</v>
      </c>
      <c r="D527" s="7" t="n">
        <f aca="false">AVERAGE(B328:B527)</f>
        <v>3152.0824</v>
      </c>
      <c r="E527" s="7" t="n">
        <f aca="false">B527/MAX(B276:B527)-1</f>
        <v>-0.450794401033762</v>
      </c>
      <c r="F527" s="7" t="str">
        <f aca="false">IFERROR(INDEX(02_轉折點45個!B:B,MATCH(A527,02_轉折點45個!A:A,0)),"")</f>
        <v/>
      </c>
      <c r="G527" s="7" t="s">
        <v>1994</v>
      </c>
    </row>
    <row r="528" customFormat="false" ht="15" hidden="false" customHeight="false" outlineLevel="0" collapsed="false">
      <c r="A528" s="7" t="s">
        <v>430</v>
      </c>
      <c r="B528" s="7" t="n">
        <v>2542.28</v>
      </c>
      <c r="C528" s="7" t="n">
        <f aca="false">AVERAGE(B479:B528)</f>
        <v>2449.4746</v>
      </c>
      <c r="D528" s="7" t="n">
        <f aca="false">AVERAGE(B329:B528)</f>
        <v>3148.6274</v>
      </c>
      <c r="E528" s="7" t="n">
        <f aca="false">B528/MAX(B277:B528)-1</f>
        <v>-0.44880189407408</v>
      </c>
      <c r="F528" s="7" t="str">
        <f aca="false">IFERROR(INDEX(02_轉折點45個!B:B,MATCH(A528,02_轉折點45個!A:A,0)),"")</f>
        <v/>
      </c>
      <c r="G528" s="7" t="s">
        <v>1994</v>
      </c>
    </row>
    <row r="529" customFormat="false" ht="15" hidden="false" customHeight="false" outlineLevel="0" collapsed="false">
      <c r="A529" s="7" t="s">
        <v>2455</v>
      </c>
      <c r="B529" s="7" t="n">
        <v>2430.56</v>
      </c>
      <c r="C529" s="7" t="n">
        <f aca="false">AVERAGE(B480:B529)</f>
        <v>2445.5436</v>
      </c>
      <c r="D529" s="7" t="n">
        <f aca="false">AVERAGE(B330:B529)</f>
        <v>3143.4517</v>
      </c>
      <c r="E529" s="7" t="n">
        <f aca="false">B529/MAX(B278:B529)-1</f>
        <v>-0.473024187603528</v>
      </c>
      <c r="F529" s="7" t="str">
        <f aca="false">IFERROR(INDEX(02_轉折點45個!B:B,MATCH(A529,02_轉折點45個!A:A,0)),"")</f>
        <v/>
      </c>
      <c r="G529" s="7" t="s">
        <v>1994</v>
      </c>
    </row>
    <row r="530" customFormat="false" ht="15" hidden="false" customHeight="false" outlineLevel="0" collapsed="false">
      <c r="A530" s="7" t="s">
        <v>2456</v>
      </c>
      <c r="B530" s="7" t="n">
        <v>2414.76</v>
      </c>
      <c r="C530" s="7" t="n">
        <f aca="false">AVERAGE(B481:B530)</f>
        <v>2441.3732</v>
      </c>
      <c r="D530" s="7" t="n">
        <f aca="false">AVERAGE(B331:B530)</f>
        <v>3138.59515</v>
      </c>
      <c r="E530" s="7" t="n">
        <f aca="false">B530/MAX(B279:B530)-1</f>
        <v>-0.476449825249118</v>
      </c>
      <c r="F530" s="7" t="str">
        <f aca="false">IFERROR(INDEX(02_轉折點45個!B:B,MATCH(A530,02_轉折點45個!A:A,0)),"")</f>
        <v/>
      </c>
      <c r="G530" s="7" t="s">
        <v>1994</v>
      </c>
    </row>
    <row r="531" customFormat="false" ht="15" hidden="false" customHeight="false" outlineLevel="0" collapsed="false">
      <c r="A531" s="7" t="s">
        <v>2457</v>
      </c>
      <c r="B531" s="7" t="n">
        <v>2434.21</v>
      </c>
      <c r="C531" s="7" t="n">
        <f aca="false">AVERAGE(B482:B531)</f>
        <v>2439.7134</v>
      </c>
      <c r="D531" s="7" t="n">
        <f aca="false">AVERAGE(B332:B531)</f>
        <v>3134.12145</v>
      </c>
      <c r="E531" s="7" t="n">
        <f aca="false">B531/MAX(B280:B531)-1</f>
        <v>-0.472232821944895</v>
      </c>
      <c r="F531" s="7" t="str">
        <f aca="false">IFERROR(INDEX(02_轉折點45個!B:B,MATCH(A531,02_轉折點45個!A:A,0)),"")</f>
        <v/>
      </c>
      <c r="G531" s="7" t="s">
        <v>1994</v>
      </c>
    </row>
    <row r="532" customFormat="false" ht="15" hidden="false" customHeight="false" outlineLevel="0" collapsed="false">
      <c r="A532" s="7" t="s">
        <v>2458</v>
      </c>
      <c r="B532" s="7" t="n">
        <v>2382.43</v>
      </c>
      <c r="C532" s="7" t="n">
        <f aca="false">AVERAGE(B483:B532)</f>
        <v>2434.2948</v>
      </c>
      <c r="D532" s="7" t="n">
        <f aca="false">AVERAGE(B333:B532)</f>
        <v>3130.1261</v>
      </c>
      <c r="E532" s="7" t="n">
        <f aca="false">B532/MAX(B281:B532)-1</f>
        <v>-0.483459373672023</v>
      </c>
      <c r="F532" s="7" t="str">
        <f aca="false">IFERROR(INDEX(02_轉折點45個!B:B,MATCH(A532,02_轉折點45個!A:A,0)),"")</f>
        <v/>
      </c>
      <c r="G532" s="7" t="s">
        <v>1994</v>
      </c>
    </row>
    <row r="533" customFormat="false" ht="15" hidden="false" customHeight="false" outlineLevel="0" collapsed="false">
      <c r="A533" s="7" t="s">
        <v>2459</v>
      </c>
      <c r="B533" s="7" t="n">
        <v>2340.63</v>
      </c>
      <c r="C533" s="7" t="n">
        <f aca="false">AVERAGE(B484:B533)</f>
        <v>2428.4766</v>
      </c>
      <c r="D533" s="7" t="n">
        <f aca="false">AVERAGE(B334:B533)</f>
        <v>3124.87685</v>
      </c>
      <c r="E533" s="7" t="n">
        <f aca="false">B533/MAX(B282:B533)-1</f>
        <v>-0.492522136557191</v>
      </c>
      <c r="F533" s="7" t="str">
        <f aca="false">IFERROR(INDEX(02_轉折點45個!B:B,MATCH(A533,02_轉折點45個!A:A,0)),"")</f>
        <v/>
      </c>
      <c r="G533" s="7" t="s">
        <v>1994</v>
      </c>
    </row>
    <row r="534" customFormat="false" ht="15" hidden="false" customHeight="false" outlineLevel="0" collapsed="false">
      <c r="A534" s="7" t="s">
        <v>2460</v>
      </c>
      <c r="B534" s="7" t="n">
        <v>2257.41</v>
      </c>
      <c r="C534" s="7" t="n">
        <f aca="false">AVERAGE(B485:B534)</f>
        <v>2423.6528</v>
      </c>
      <c r="D534" s="7" t="n">
        <f aca="false">AVERAGE(B335:B534)</f>
        <v>3119.58215</v>
      </c>
      <c r="E534" s="7" t="n">
        <f aca="false">B534/MAX(B283:B534)-1</f>
        <v>-0.510565273574024</v>
      </c>
      <c r="F534" s="7" t="str">
        <f aca="false">IFERROR(INDEX(02_轉折點45個!B:B,MATCH(A534,02_轉折點45個!A:A,0)),"")</f>
        <v/>
      </c>
      <c r="G534" s="7" t="s">
        <v>1994</v>
      </c>
    </row>
    <row r="535" customFormat="false" ht="15" hidden="false" customHeight="false" outlineLevel="0" collapsed="false">
      <c r="A535" s="7" t="s">
        <v>2461</v>
      </c>
      <c r="B535" s="7" t="n">
        <v>2274.49</v>
      </c>
      <c r="C535" s="7" t="n">
        <f aca="false">AVERAGE(B486:B535)</f>
        <v>2419.683</v>
      </c>
      <c r="D535" s="7" t="n">
        <f aca="false">AVERAGE(B336:B535)</f>
        <v>3113.71535</v>
      </c>
      <c r="E535" s="7" t="n">
        <f aca="false">B535/MAX(B284:B535)-1</f>
        <v>-0.50686211591664</v>
      </c>
      <c r="F535" s="7" t="str">
        <f aca="false">IFERROR(INDEX(02_轉折點45個!B:B,MATCH(A535,02_轉折點45個!A:A,0)),"")</f>
        <v/>
      </c>
      <c r="G535" s="7" t="s">
        <v>1994</v>
      </c>
    </row>
    <row r="536" customFormat="false" ht="15" hidden="false" customHeight="false" outlineLevel="0" collapsed="false">
      <c r="A536" s="7" t="s">
        <v>2462</v>
      </c>
      <c r="B536" s="7" t="n">
        <v>2217.9</v>
      </c>
      <c r="C536" s="7" t="n">
        <f aca="false">AVERAGE(B487:B536)</f>
        <v>2416.573</v>
      </c>
      <c r="D536" s="7" t="n">
        <f aca="false">AVERAGE(B337:B536)</f>
        <v>3107.1699</v>
      </c>
      <c r="E536" s="7" t="n">
        <f aca="false">B536/MAX(B285:B536)-1</f>
        <v>-0.51913153581309</v>
      </c>
      <c r="F536" s="7" t="str">
        <f aca="false">IFERROR(INDEX(02_轉折點45個!B:B,MATCH(A536,02_轉折點45個!A:A,0)),"")</f>
        <v/>
      </c>
      <c r="G536" s="7" t="s">
        <v>1994</v>
      </c>
    </row>
    <row r="537" customFormat="false" ht="15" hidden="false" customHeight="false" outlineLevel="0" collapsed="false">
      <c r="A537" s="7" t="s">
        <v>2463</v>
      </c>
      <c r="B537" s="7" t="n">
        <v>2276.07</v>
      </c>
      <c r="C537" s="7" t="n">
        <f aca="false">AVERAGE(B488:B537)</f>
        <v>2413.7612</v>
      </c>
      <c r="D537" s="7" t="n">
        <f aca="false">AVERAGE(B338:B537)</f>
        <v>3100.4703</v>
      </c>
      <c r="E537" s="7" t="n">
        <f aca="false">B537/MAX(B286:B537)-1</f>
        <v>-0.506519552152081</v>
      </c>
      <c r="F537" s="7" t="str">
        <f aca="false">IFERROR(INDEX(02_轉折點45個!B:B,MATCH(A537,02_轉折點45個!A:A,0)),"")</f>
        <v/>
      </c>
      <c r="G537" s="7" t="s">
        <v>1994</v>
      </c>
    </row>
    <row r="538" customFormat="false" ht="15" hidden="false" customHeight="false" outlineLevel="0" collapsed="false">
      <c r="A538" s="7" t="s">
        <v>2464</v>
      </c>
      <c r="B538" s="7" t="n">
        <v>2332.27</v>
      </c>
      <c r="C538" s="7" t="n">
        <f aca="false">AVERAGE(B489:B538)</f>
        <v>2412.613</v>
      </c>
      <c r="D538" s="7" t="n">
        <f aca="false">AVERAGE(B339:B538)</f>
        <v>3094.84025</v>
      </c>
      <c r="E538" s="7" t="n">
        <f aca="false">B538/MAX(B287:B538)-1</f>
        <v>-0.494334689134224</v>
      </c>
      <c r="F538" s="7" t="str">
        <f aca="false">IFERROR(INDEX(02_轉折點45個!B:B,MATCH(A538,02_轉折點45個!A:A,0)),"")</f>
        <v/>
      </c>
      <c r="G538" s="7" t="s">
        <v>1994</v>
      </c>
    </row>
    <row r="539" customFormat="false" ht="15" hidden="false" customHeight="false" outlineLevel="0" collapsed="false">
      <c r="A539" s="7" t="s">
        <v>2465</v>
      </c>
      <c r="B539" s="7" t="n">
        <v>2215.76</v>
      </c>
      <c r="C539" s="7" t="n">
        <f aca="false">AVERAGE(B490:B539)</f>
        <v>2404.1274</v>
      </c>
      <c r="D539" s="7" t="n">
        <f aca="false">AVERAGE(B340:B539)</f>
        <v>3088.98455</v>
      </c>
      <c r="E539" s="7" t="n">
        <f aca="false">B539/MAX(B288:B539)-1</f>
        <v>-0.519595514582809</v>
      </c>
      <c r="F539" s="7" t="str">
        <f aca="false">IFERROR(INDEX(02_轉折點45個!B:B,MATCH(A539,02_轉折點45個!A:A,0)),"")</f>
        <v/>
      </c>
      <c r="G539" s="7" t="s">
        <v>1994</v>
      </c>
    </row>
    <row r="540" customFormat="false" ht="15" hidden="false" customHeight="false" outlineLevel="0" collapsed="false">
      <c r="A540" s="7" t="s">
        <v>2466</v>
      </c>
      <c r="B540" s="7" t="n">
        <v>2117.98</v>
      </c>
      <c r="C540" s="7" t="n">
        <f aca="false">AVERAGE(B491:B540)</f>
        <v>2395.3908</v>
      </c>
      <c r="D540" s="7" t="n">
        <f aca="false">AVERAGE(B341:B540)</f>
        <v>3082.5809</v>
      </c>
      <c r="E540" s="7" t="n">
        <f aca="false">B540/MAX(B289:B540)-1</f>
        <v>-0.540795441733806</v>
      </c>
      <c r="F540" s="7" t="str">
        <f aca="false">IFERROR(INDEX(02_轉折點45個!B:B,MATCH(A540,02_轉折點45個!A:A,0)),"")</f>
        <v/>
      </c>
      <c r="G540" s="7" t="s">
        <v>1994</v>
      </c>
    </row>
    <row r="541" customFormat="false" ht="15" hidden="false" customHeight="false" outlineLevel="0" collapsed="false">
      <c r="A541" s="7" t="s">
        <v>431</v>
      </c>
      <c r="B541" s="7" t="n">
        <v>2072.84</v>
      </c>
      <c r="C541" s="7" t="n">
        <f aca="false">AVERAGE(B492:B541)</f>
        <v>2386.5526</v>
      </c>
      <c r="D541" s="7" t="n">
        <f aca="false">AVERAGE(B342:B541)</f>
        <v>3075.5104</v>
      </c>
      <c r="E541" s="7" t="n">
        <f aca="false">B541/MAX(B290:B541)-1</f>
        <v>-0.55058235839975</v>
      </c>
      <c r="F541" s="7" t="str">
        <f aca="false">IFERROR(INDEX(02_轉折點45個!B:B,MATCH(A541,02_轉折點45個!A:A,0)),"")</f>
        <v/>
      </c>
      <c r="G541" s="7" t="s">
        <v>1994</v>
      </c>
    </row>
    <row r="542" customFormat="false" ht="15" hidden="false" customHeight="false" outlineLevel="0" collapsed="false">
      <c r="A542" s="7" t="s">
        <v>2467</v>
      </c>
      <c r="B542" s="7" t="n">
        <v>2050.93</v>
      </c>
      <c r="C542" s="7" t="n">
        <f aca="false">AVERAGE(B493:B542)</f>
        <v>2374.2656</v>
      </c>
      <c r="D542" s="7" t="n">
        <f aca="false">AVERAGE(B343:B542)</f>
        <v>3069.00385</v>
      </c>
      <c r="E542" s="7" t="n">
        <f aca="false">B542/MAX(B291:B542)-1</f>
        <v>-0.555332720476641</v>
      </c>
      <c r="F542" s="7" t="str">
        <f aca="false">IFERROR(INDEX(02_轉折點45個!B:B,MATCH(A542,02_轉折點45個!A:A,0)),"")</f>
        <v/>
      </c>
      <c r="G542" s="7" t="s">
        <v>1994</v>
      </c>
    </row>
    <row r="543" customFormat="false" ht="15" hidden="false" customHeight="false" outlineLevel="0" collapsed="false">
      <c r="A543" s="7" t="s">
        <v>2468</v>
      </c>
      <c r="B543" s="7" t="n">
        <v>2066.97</v>
      </c>
      <c r="C543" s="7" t="n">
        <f aca="false">AVERAGE(B494:B543)</f>
        <v>2360.5148</v>
      </c>
      <c r="D543" s="7" t="n">
        <f aca="false">AVERAGE(B344:B543)</f>
        <v>3062.96285</v>
      </c>
      <c r="E543" s="7" t="n">
        <f aca="false">B543/MAX(B292:B543)-1</f>
        <v>-0.55185504782884</v>
      </c>
      <c r="F543" s="7" t="str">
        <f aca="false">IFERROR(INDEX(02_轉折點45個!B:B,MATCH(A543,02_轉折點45個!A:A,0)),"")</f>
        <v/>
      </c>
      <c r="G543" s="7" t="s">
        <v>1994</v>
      </c>
    </row>
    <row r="544" customFormat="false" ht="15" hidden="false" customHeight="false" outlineLevel="0" collapsed="false">
      <c r="A544" s="7" t="s">
        <v>2469</v>
      </c>
      <c r="B544" s="7" t="n">
        <v>2108.98</v>
      </c>
      <c r="C544" s="7" t="n">
        <f aca="false">AVERAGE(B495:B544)</f>
        <v>2349.1268</v>
      </c>
      <c r="D544" s="7" t="n">
        <f aca="false">AVERAGE(B345:B544)</f>
        <v>3058.04675</v>
      </c>
      <c r="E544" s="7" t="n">
        <f aca="false">B544/MAX(B293:B544)-1</f>
        <v>-0.542746754316737</v>
      </c>
      <c r="F544" s="7" t="str">
        <f aca="false">IFERROR(INDEX(02_轉折點45個!B:B,MATCH(A544,02_轉折點45個!A:A,0)),"")</f>
        <v/>
      </c>
      <c r="G544" s="7" t="s">
        <v>1994</v>
      </c>
    </row>
    <row r="545" customFormat="false" ht="15" hidden="false" customHeight="false" outlineLevel="0" collapsed="false">
      <c r="A545" s="7" t="s">
        <v>2470</v>
      </c>
      <c r="B545" s="7" t="n">
        <v>2017</v>
      </c>
      <c r="C545" s="7" t="n">
        <f aca="false">AVERAGE(B496:B545)</f>
        <v>2337.8906</v>
      </c>
      <c r="D545" s="7" t="n">
        <f aca="false">AVERAGE(B346:B545)</f>
        <v>3052.14615</v>
      </c>
      <c r="E545" s="7" t="n">
        <f aca="false">B545/MAX(B294:B545)-1</f>
        <v>-0.56268916891429</v>
      </c>
      <c r="F545" s="7" t="str">
        <f aca="false">IFERROR(INDEX(02_轉折點45個!B:B,MATCH(A545,02_轉折點45個!A:A,0)),"")</f>
        <v/>
      </c>
      <c r="G545" s="7" t="s">
        <v>1994</v>
      </c>
    </row>
    <row r="546" customFormat="false" ht="15" hidden="false" customHeight="false" outlineLevel="0" collapsed="false">
      <c r="A546" s="7" t="s">
        <v>2471</v>
      </c>
      <c r="B546" s="7" t="n">
        <v>1965.85</v>
      </c>
      <c r="C546" s="7" t="n">
        <f aca="false">AVERAGE(B497:B546)</f>
        <v>2327.3538</v>
      </c>
      <c r="D546" s="7" t="n">
        <f aca="false">AVERAGE(B347:B546)</f>
        <v>3045.85515</v>
      </c>
      <c r="E546" s="7" t="n">
        <f aca="false">B546/MAX(B295:B546)-1</f>
        <v>-0.573779128760613</v>
      </c>
      <c r="F546" s="7" t="str">
        <f aca="false">IFERROR(INDEX(02_轉折點45個!B:B,MATCH(A546,02_轉折點45個!A:A,0)),"")</f>
        <v/>
      </c>
      <c r="G546" s="7" t="s">
        <v>1994</v>
      </c>
    </row>
    <row r="547" customFormat="false" ht="15" hidden="false" customHeight="false" outlineLevel="0" collapsed="false">
      <c r="A547" s="7" t="s">
        <v>2472</v>
      </c>
      <c r="B547" s="7" t="n">
        <v>1994.67</v>
      </c>
      <c r="C547" s="7" t="n">
        <f aca="false">AVERAGE(B498:B547)</f>
        <v>2318.7682</v>
      </c>
      <c r="D547" s="7" t="n">
        <f aca="false">AVERAGE(B348:B547)</f>
        <v>3039.34925</v>
      </c>
      <c r="E547" s="7" t="n">
        <f aca="false">B547/MAX(B296:B547)-1</f>
        <v>-0.56753059224505</v>
      </c>
      <c r="F547" s="7" t="str">
        <f aca="false">IFERROR(INDEX(02_轉折點45個!B:B,MATCH(A547,02_轉折點45個!A:A,0)),"")</f>
        <v/>
      </c>
      <c r="G547" s="7" t="s">
        <v>1994</v>
      </c>
    </row>
    <row r="548" customFormat="false" ht="15" hidden="false" customHeight="false" outlineLevel="0" collapsed="false">
      <c r="A548" s="7" t="s">
        <v>2473</v>
      </c>
      <c r="B548" s="7" t="n">
        <v>1934.61</v>
      </c>
      <c r="C548" s="7" t="n">
        <f aca="false">AVERAGE(B499:B548)</f>
        <v>2309.5066</v>
      </c>
      <c r="D548" s="7" t="n">
        <f aca="false">AVERAGE(B349:B548)</f>
        <v>3032.04095</v>
      </c>
      <c r="E548" s="7" t="n">
        <f aca="false">B548/MAX(B297:B548)-1</f>
        <v>-0.580552351548475</v>
      </c>
      <c r="F548" s="7" t="str">
        <f aca="false">IFERROR(INDEX(02_轉折點45個!B:B,MATCH(A548,02_轉折點45個!A:A,0)),"")</f>
        <v/>
      </c>
      <c r="G548" s="7" t="s">
        <v>1994</v>
      </c>
    </row>
    <row r="549" customFormat="false" ht="15" hidden="false" customHeight="false" outlineLevel="0" collapsed="false">
      <c r="A549" s="7" t="s">
        <v>2474</v>
      </c>
      <c r="B549" s="7" t="n">
        <v>1957.71</v>
      </c>
      <c r="C549" s="7" t="n">
        <f aca="false">AVERAGE(B500:B549)</f>
        <v>2302.7682</v>
      </c>
      <c r="D549" s="7" t="n">
        <f aca="false">AVERAGE(B350:B549)</f>
        <v>3025.1798</v>
      </c>
      <c r="E549" s="7" t="n">
        <f aca="false">B549/MAX(B298:B549)-1</f>
        <v>-0.575543982585619</v>
      </c>
      <c r="F549" s="7" t="str">
        <f aca="false">IFERROR(INDEX(02_轉折點45個!B:B,MATCH(A549,02_轉折點45個!A:A,0)),"")</f>
        <v/>
      </c>
      <c r="G549" s="7" t="s">
        <v>1994</v>
      </c>
    </row>
    <row r="550" customFormat="false" ht="15" hidden="false" customHeight="false" outlineLevel="0" collapsed="false">
      <c r="A550" s="7" t="s">
        <v>2475</v>
      </c>
      <c r="B550" s="7" t="n">
        <v>2013.91</v>
      </c>
      <c r="C550" s="7" t="n">
        <f aca="false">AVERAGE(B501:B550)</f>
        <v>2300.4232</v>
      </c>
      <c r="D550" s="7" t="n">
        <f aca="false">AVERAGE(B351:B550)</f>
        <v>3019.085</v>
      </c>
      <c r="E550" s="7" t="n">
        <f aca="false">B550/MAX(B299:B550)-1</f>
        <v>-0.563359119567763</v>
      </c>
      <c r="F550" s="7" t="str">
        <f aca="false">IFERROR(INDEX(02_轉折點45個!B:B,MATCH(A550,02_轉折點45個!A:A,0)),"")</f>
        <v/>
      </c>
      <c r="G550" s="7" t="s">
        <v>1994</v>
      </c>
    </row>
    <row r="551" customFormat="false" ht="15" hidden="false" customHeight="false" outlineLevel="0" collapsed="false">
      <c r="A551" s="7" t="s">
        <v>2476</v>
      </c>
      <c r="B551" s="7" t="n">
        <v>2031.71</v>
      </c>
      <c r="C551" s="7" t="n">
        <f aca="false">AVERAGE(B502:B551)</f>
        <v>2298.3</v>
      </c>
      <c r="D551" s="7" t="n">
        <f aca="false">AVERAGE(B352:B551)</f>
        <v>3013.75665</v>
      </c>
      <c r="E551" s="7" t="n">
        <f aca="false">B551/MAX(B300:B551)-1</f>
        <v>-0.559499856903744</v>
      </c>
      <c r="F551" s="7" t="str">
        <f aca="false">IFERROR(INDEX(02_轉折點45個!B:B,MATCH(A551,02_轉折點45個!A:A,0)),"")</f>
        <v/>
      </c>
      <c r="G551" s="7" t="s">
        <v>1994</v>
      </c>
    </row>
    <row r="552" customFormat="false" ht="15" hidden="false" customHeight="false" outlineLevel="0" collapsed="false">
      <c r="A552" s="7" t="s">
        <v>2477</v>
      </c>
      <c r="B552" s="7" t="n">
        <v>1981.29</v>
      </c>
      <c r="C552" s="7" t="n">
        <f aca="false">AVERAGE(B503:B552)</f>
        <v>2291.9362</v>
      </c>
      <c r="D552" s="7" t="n">
        <f aca="false">AVERAGE(B353:B552)</f>
        <v>3008.29585</v>
      </c>
      <c r="E552" s="7" t="n">
        <f aca="false">B552/MAX(B301:B552)-1</f>
        <v>-0.570431543618341</v>
      </c>
      <c r="F552" s="7" t="str">
        <f aca="false">IFERROR(INDEX(02_轉折點45個!B:B,MATCH(A552,02_轉折點45個!A:A,0)),"")</f>
        <v/>
      </c>
      <c r="G552" s="7" t="s">
        <v>1994</v>
      </c>
    </row>
    <row r="553" customFormat="false" ht="15" hidden="false" customHeight="false" outlineLevel="0" collapsed="false">
      <c r="A553" s="7" t="s">
        <v>432</v>
      </c>
      <c r="B553" s="7" t="n">
        <v>1875.36</v>
      </c>
      <c r="C553" s="7" t="n">
        <f aca="false">AVERAGE(B504:B553)</f>
        <v>2283.8832</v>
      </c>
      <c r="D553" s="7" t="n">
        <f aca="false">AVERAGE(B354:B553)</f>
        <v>3003.2174</v>
      </c>
      <c r="E553" s="7" t="n">
        <f aca="false">B553/MAX(B302:B553)-1</f>
        <v>-0.593398492719436</v>
      </c>
      <c r="F553" s="7" t="str">
        <f aca="false">IFERROR(INDEX(02_轉折點45個!B:B,MATCH(A553,02_轉折點45個!A:A,0)),"")</f>
        <v/>
      </c>
      <c r="G553" s="7" t="s">
        <v>1994</v>
      </c>
    </row>
    <row r="554" customFormat="false" ht="15" hidden="false" customHeight="false" outlineLevel="0" collapsed="false">
      <c r="A554" s="7" t="s">
        <v>2478</v>
      </c>
      <c r="B554" s="7" t="n">
        <v>1757.15</v>
      </c>
      <c r="C554" s="7" t="n">
        <f aca="false">AVERAGE(B505:B554)</f>
        <v>2272.6286</v>
      </c>
      <c r="D554" s="7" t="n">
        <f aca="false">AVERAGE(B355:B554)</f>
        <v>2997.06345</v>
      </c>
      <c r="E554" s="7" t="n">
        <f aca="false">B554/MAX(B303:B554)-1</f>
        <v>-0.612458067660765</v>
      </c>
      <c r="F554" s="7" t="str">
        <f aca="false">IFERROR(INDEX(02_轉折點45個!B:B,MATCH(A554,02_轉折點45個!A:A,0)),"")</f>
        <v/>
      </c>
      <c r="G554" s="7" t="s">
        <v>1994</v>
      </c>
    </row>
    <row r="555" customFormat="false" ht="15" hidden="false" customHeight="false" outlineLevel="0" collapsed="false">
      <c r="A555" s="7" t="s">
        <v>2479</v>
      </c>
      <c r="B555" s="7" t="n">
        <v>1840.65</v>
      </c>
      <c r="C555" s="7" t="n">
        <f aca="false">AVERAGE(B506:B555)</f>
        <v>2262.7076</v>
      </c>
      <c r="D555" s="7" t="n">
        <f aca="false">AVERAGE(B356:B555)</f>
        <v>2991.6251</v>
      </c>
      <c r="E555" s="7" t="n">
        <f aca="false">B555/MAX(B304:B555)-1</f>
        <v>-0.594042023868075</v>
      </c>
      <c r="F555" s="7" t="str">
        <f aca="false">IFERROR(INDEX(02_轉折點45個!B:B,MATCH(A555,02_轉折點45個!A:A,0)),"")</f>
        <v/>
      </c>
      <c r="G555" s="7" t="s">
        <v>1994</v>
      </c>
    </row>
    <row r="556" customFormat="false" ht="15" hidden="false" customHeight="false" outlineLevel="0" collapsed="false">
      <c r="A556" s="7" t="s">
        <v>2480</v>
      </c>
      <c r="B556" s="7" t="n">
        <v>1801.65</v>
      </c>
      <c r="C556" s="7" t="n">
        <f aca="false">AVERAGE(B507:B556)</f>
        <v>2253.6006</v>
      </c>
      <c r="D556" s="7" t="n">
        <f aca="false">AVERAGE(B357:B556)</f>
        <v>2985.99285</v>
      </c>
      <c r="E556" s="7" t="n">
        <f aca="false">B556/MAX(B305:B556)-1</f>
        <v>-0.602643529352086</v>
      </c>
      <c r="F556" s="7" t="str">
        <f aca="false">IFERROR(INDEX(02_轉折點45個!B:B,MATCH(A556,02_轉折點45個!A:A,0)),"")</f>
        <v/>
      </c>
      <c r="G556" s="7" t="s">
        <v>1994</v>
      </c>
    </row>
    <row r="557" customFormat="false" ht="15" hidden="false" customHeight="false" outlineLevel="0" collapsed="false">
      <c r="A557" s="7" t="s">
        <v>2481</v>
      </c>
      <c r="B557" s="7" t="n">
        <v>1772.98</v>
      </c>
      <c r="C557" s="7" t="n">
        <f aca="false">AVERAGE(B508:B557)</f>
        <v>2247.1846</v>
      </c>
      <c r="D557" s="7" t="n">
        <f aca="false">AVERAGE(B358:B557)</f>
        <v>2979.0553</v>
      </c>
      <c r="E557" s="7" t="n">
        <f aca="false">B557/MAX(B306:B557)-1</f>
        <v>-0.608966738639948</v>
      </c>
      <c r="F557" s="7" t="str">
        <f aca="false">IFERROR(INDEX(02_轉折點45個!B:B,MATCH(A557,02_轉折點45個!A:A,0)),"")</f>
        <v/>
      </c>
      <c r="G557" s="7" t="s">
        <v>1994</v>
      </c>
    </row>
    <row r="558" customFormat="false" ht="15" hidden="false" customHeight="false" outlineLevel="0" collapsed="false">
      <c r="A558" s="7" t="s">
        <v>2482</v>
      </c>
      <c r="B558" s="7" t="n">
        <v>1727.48</v>
      </c>
      <c r="C558" s="7" t="n">
        <f aca="false">AVERAGE(B509:B558)</f>
        <v>2233.9234</v>
      </c>
      <c r="D558" s="7" t="n">
        <f aca="false">AVERAGE(B359:B558)</f>
        <v>2972.1578</v>
      </c>
      <c r="E558" s="7" t="n">
        <f aca="false">B558/MAX(B307:B558)-1</f>
        <v>-0.619001828371294</v>
      </c>
      <c r="F558" s="7" t="str">
        <f aca="false">IFERROR(INDEX(02_轉折點45個!B:B,MATCH(A558,02_轉折點45個!A:A,0)),"")</f>
        <v/>
      </c>
      <c r="G558" s="7" t="s">
        <v>1994</v>
      </c>
    </row>
    <row r="559" customFormat="false" ht="15" hidden="false" customHeight="false" outlineLevel="0" collapsed="false">
      <c r="A559" s="7" t="s">
        <v>2483</v>
      </c>
      <c r="B559" s="7" t="n">
        <v>1782.54</v>
      </c>
      <c r="C559" s="7" t="n">
        <f aca="false">AVERAGE(B510:B559)</f>
        <v>2222.6744</v>
      </c>
      <c r="D559" s="7" t="n">
        <f aca="false">AVERAGE(B360:B559)</f>
        <v>2964.70615</v>
      </c>
      <c r="E559" s="7" t="n">
        <f aca="false">B559/MAX(B308:B559)-1</f>
        <v>-0.606858267039252</v>
      </c>
      <c r="F559" s="7" t="str">
        <f aca="false">IFERROR(INDEX(02_轉折點45個!B:B,MATCH(A559,02_轉折點45個!A:A,0)),"")</f>
        <v/>
      </c>
      <c r="G559" s="7" t="s">
        <v>1994</v>
      </c>
    </row>
    <row r="560" customFormat="false" ht="15" hidden="false" customHeight="false" outlineLevel="0" collapsed="false">
      <c r="A560" s="7" t="s">
        <v>2484</v>
      </c>
      <c r="B560" s="7" t="n">
        <v>1696.91</v>
      </c>
      <c r="C560" s="7" t="n">
        <f aca="false">AVERAGE(B511:B560)</f>
        <v>2212.6214</v>
      </c>
      <c r="D560" s="7" t="n">
        <f aca="false">AVERAGE(B361:B560)</f>
        <v>2955.7717</v>
      </c>
      <c r="E560" s="7" t="n">
        <f aca="false">B560/MAX(B309:B560)-1</f>
        <v>-0.625744085362223</v>
      </c>
      <c r="F560" s="7" t="str">
        <f aca="false">IFERROR(INDEX(02_轉折點45個!B:B,MATCH(A560,02_轉折點45個!A:A,0)),"")</f>
        <v/>
      </c>
      <c r="G560" s="7" t="s">
        <v>1994</v>
      </c>
    </row>
    <row r="561" customFormat="false" ht="15" hidden="false" customHeight="false" outlineLevel="0" collapsed="false">
      <c r="A561" s="7" t="s">
        <v>2485</v>
      </c>
      <c r="B561" s="7" t="n">
        <v>1672.05</v>
      </c>
      <c r="C561" s="7" t="n">
        <f aca="false">AVERAGE(B512:B561)</f>
        <v>2202.2854</v>
      </c>
      <c r="D561" s="7" t="n">
        <f aca="false">AVERAGE(B362:B561)</f>
        <v>2946.67465</v>
      </c>
      <c r="E561" s="7" t="n">
        <f aca="false">B561/MAX(B310:B561)-1</f>
        <v>-0.631226993729723</v>
      </c>
      <c r="F561" s="7" t="str">
        <f aca="false">IFERROR(INDEX(02_轉折點45個!B:B,MATCH(A561,02_轉折點45個!A:A,0)),"")</f>
        <v/>
      </c>
      <c r="G561" s="7" t="s">
        <v>1994</v>
      </c>
    </row>
    <row r="562" customFormat="false" ht="15" hidden="false" customHeight="false" outlineLevel="0" collapsed="false">
      <c r="A562" s="7" t="s">
        <v>2486</v>
      </c>
      <c r="B562" s="7" t="n">
        <v>1733.69</v>
      </c>
      <c r="C562" s="7" t="n">
        <f aca="false">AVERAGE(B513:B562)</f>
        <v>2192.3532</v>
      </c>
      <c r="D562" s="7" t="n">
        <f aca="false">AVERAGE(B363:B562)</f>
        <v>2938.1845</v>
      </c>
      <c r="E562" s="7" t="n">
        <f aca="false">B562/MAX(B311:B562)-1</f>
        <v>-0.617632204036532</v>
      </c>
      <c r="F562" s="7" t="str">
        <f aca="false">IFERROR(INDEX(02_轉折點45個!B:B,MATCH(A562,02_轉折點45個!A:A,0)),"")</f>
        <v/>
      </c>
      <c r="G562" s="7" t="s">
        <v>1994</v>
      </c>
    </row>
    <row r="563" customFormat="false" ht="15" hidden="false" customHeight="false" outlineLevel="0" collapsed="false">
      <c r="A563" s="7" t="s">
        <v>2487</v>
      </c>
      <c r="B563" s="7" t="n">
        <v>1761.99</v>
      </c>
      <c r="C563" s="7" t="n">
        <f aca="false">AVERAGE(B514:B563)</f>
        <v>2181.4726</v>
      </c>
      <c r="D563" s="7" t="n">
        <f aca="false">AVERAGE(B364:B563)</f>
        <v>2929.45725</v>
      </c>
      <c r="E563" s="7" t="n">
        <f aca="false">B563/MAX(B312:B563)-1</f>
        <v>-0.611390598775057</v>
      </c>
      <c r="F563" s="7" t="str">
        <f aca="false">IFERROR(INDEX(02_轉折點45個!B:B,MATCH(A563,02_轉折點45個!A:A,0)),"")</f>
        <v/>
      </c>
      <c r="G563" s="7" t="s">
        <v>1994</v>
      </c>
    </row>
    <row r="564" customFormat="false" ht="15" hidden="false" customHeight="false" outlineLevel="0" collapsed="false">
      <c r="A564" s="7" t="s">
        <v>2488</v>
      </c>
      <c r="B564" s="7" t="n">
        <v>1752.68</v>
      </c>
      <c r="C564" s="7" t="n">
        <f aca="false">AVERAGE(B515:B564)</f>
        <v>2168.2792</v>
      </c>
      <c r="D564" s="7" t="n">
        <f aca="false">AVERAGE(B365:B564)</f>
        <v>2920.746</v>
      </c>
      <c r="E564" s="7" t="n">
        <f aca="false">B564/MAX(B313:B564)-1</f>
        <v>-0.613094922737307</v>
      </c>
      <c r="F564" s="7" t="str">
        <f aca="false">IFERROR(INDEX(02_轉折點45個!B:B,MATCH(A564,02_轉折點45個!A:A,0)),"")</f>
        <v/>
      </c>
      <c r="G564" s="7" t="s">
        <v>1994</v>
      </c>
    </row>
    <row r="565" customFormat="false" ht="15" hidden="false" customHeight="false" outlineLevel="0" collapsed="false">
      <c r="A565" s="7" t="s">
        <v>2489</v>
      </c>
      <c r="B565" s="7" t="n">
        <v>1801.78</v>
      </c>
      <c r="C565" s="7" t="n">
        <f aca="false">AVERAGE(B516:B565)</f>
        <v>2156.3248</v>
      </c>
      <c r="D565" s="7" t="n">
        <f aca="false">AVERAGE(B366:B565)</f>
        <v>2912.05515</v>
      </c>
      <c r="E565" s="7" t="n">
        <f aca="false">B565/MAX(B314:B565)-1</f>
        <v>-0.59199838772132</v>
      </c>
      <c r="F565" s="7" t="str">
        <f aca="false">IFERROR(INDEX(02_轉折點45個!B:B,MATCH(A565,02_轉折點45個!A:A,0)),"")</f>
        <v/>
      </c>
      <c r="G565" s="7" t="s">
        <v>1994</v>
      </c>
    </row>
    <row r="566" customFormat="false" ht="15" hidden="false" customHeight="false" outlineLevel="0" collapsed="false">
      <c r="A566" s="7" t="s">
        <v>433</v>
      </c>
      <c r="B566" s="7" t="n">
        <v>1693.88</v>
      </c>
      <c r="C566" s="7" t="n">
        <f aca="false">AVERAGE(B517:B566)</f>
        <v>2142.3576</v>
      </c>
      <c r="D566" s="7" t="n">
        <f aca="false">AVERAGE(B367:B566)</f>
        <v>2903.31325</v>
      </c>
      <c r="E566" s="7" t="n">
        <f aca="false">B566/MAX(B315:B566)-1</f>
        <v>-0.600805045201308</v>
      </c>
      <c r="F566" s="7" t="str">
        <f aca="false">IFERROR(INDEX(02_轉折點45個!B:B,MATCH(A566,02_轉折點45個!A:A,0)),"")</f>
        <v/>
      </c>
      <c r="G566" s="7" t="s">
        <v>1994</v>
      </c>
    </row>
    <row r="567" customFormat="false" ht="15" hidden="false" customHeight="false" outlineLevel="0" collapsed="false">
      <c r="A567" s="7" t="s">
        <v>434</v>
      </c>
      <c r="B567" s="7" t="n">
        <v>1663.22</v>
      </c>
      <c r="C567" s="7" t="n">
        <f aca="false">AVERAGE(B518:B567)</f>
        <v>2126.6038</v>
      </c>
      <c r="D567" s="7" t="n">
        <f aca="false">AVERAGE(B368:B567)</f>
        <v>2894.03825</v>
      </c>
      <c r="E567" s="7" t="n">
        <f aca="false">B567/MAX(B316:B567)-1</f>
        <v>-0.601872841169951</v>
      </c>
      <c r="F567" s="7" t="str">
        <f aca="false">IFERROR(INDEX(02_轉折點45個!B:B,MATCH(A567,02_轉折點45個!A:A,0)),"")</f>
        <v/>
      </c>
      <c r="G567" s="7" t="s">
        <v>1994</v>
      </c>
    </row>
    <row r="568" customFormat="false" ht="15" hidden="false" customHeight="false" outlineLevel="0" collapsed="false">
      <c r="A568" s="7" t="s">
        <v>2490</v>
      </c>
      <c r="B568" s="7" t="n">
        <v>1681.21</v>
      </c>
      <c r="C568" s="7" t="n">
        <f aca="false">AVERAGE(B519:B568)</f>
        <v>2109.6436</v>
      </c>
      <c r="D568" s="7" t="n">
        <f aca="false">AVERAGE(B369:B568)</f>
        <v>2885.09825</v>
      </c>
      <c r="E568" s="7" t="n">
        <f aca="false">B568/MAX(B317:B568)-1</f>
        <v>-0.597566551209902</v>
      </c>
      <c r="F568" s="7" t="str">
        <f aca="false">IFERROR(INDEX(02_轉折點45個!B:B,MATCH(A568,02_轉折點45個!A:A,0)),"")</f>
        <v/>
      </c>
      <c r="G568" s="7" t="s">
        <v>1994</v>
      </c>
    </row>
    <row r="569" customFormat="false" ht="15" hidden="false" customHeight="false" outlineLevel="0" collapsed="false">
      <c r="A569" s="7" t="s">
        <v>435</v>
      </c>
      <c r="B569" s="7" t="n">
        <v>1628.87</v>
      </c>
      <c r="C569" s="7" t="n">
        <f aca="false">AVERAGE(B520:B569)</f>
        <v>2091.6022</v>
      </c>
      <c r="D569" s="7" t="n">
        <f aca="false">AVERAGE(B370:B569)</f>
        <v>2875.6758</v>
      </c>
      <c r="E569" s="7" t="n">
        <f aca="false">B569/MAX(B318:B569)-1</f>
        <v>-0.599013825157059</v>
      </c>
      <c r="F569" s="7" t="str">
        <f aca="false">IFERROR(INDEX(02_轉折點45個!B:B,MATCH(A569,02_轉折點45個!A:A,0)),"")</f>
        <v/>
      </c>
      <c r="G569" s="7" t="s">
        <v>1994</v>
      </c>
    </row>
    <row r="570" customFormat="false" ht="15" hidden="false" customHeight="false" outlineLevel="0" collapsed="false">
      <c r="A570" s="7" t="s">
        <v>2491</v>
      </c>
      <c r="B570" s="7" t="n">
        <v>1528.41</v>
      </c>
      <c r="C570" s="7" t="n">
        <f aca="false">AVERAGE(B521:B570)</f>
        <v>2071.7794</v>
      </c>
      <c r="D570" s="7" t="n">
        <f aca="false">AVERAGE(B371:B570)</f>
        <v>2865.68335</v>
      </c>
      <c r="E570" s="7" t="n">
        <f aca="false">B570/MAX(B319:B570)-1</f>
        <v>-0.623744510309786</v>
      </c>
      <c r="F570" s="7" t="str">
        <f aca="false">IFERROR(INDEX(02_轉折點45個!B:B,MATCH(A570,02_轉折點45個!A:A,0)),"")</f>
        <v/>
      </c>
      <c r="G570" s="7" t="s">
        <v>1994</v>
      </c>
    </row>
    <row r="571" customFormat="false" ht="15" hidden="false" customHeight="false" outlineLevel="0" collapsed="false">
      <c r="A571" s="7" t="s">
        <v>123</v>
      </c>
      <c r="B571" s="7" t="n">
        <v>1497.16</v>
      </c>
      <c r="C571" s="7" t="n">
        <f aca="false">AVERAGE(B522:B571)</f>
        <v>2049.8246</v>
      </c>
      <c r="D571" s="7" t="n">
        <f aca="false">AVERAGE(B372:B571)</f>
        <v>2854.94415</v>
      </c>
      <c r="E571" s="7" t="n">
        <f aca="false">B571/MAX(B320:B571)-1</f>
        <v>-0.63143746184296</v>
      </c>
      <c r="F571" s="7" t="str">
        <f aca="false">IFERROR(INDEX(02_轉折點45個!B:B,MATCH(A571,02_轉折點45個!A:A,0)),"")</f>
        <v>BOTTOM</v>
      </c>
      <c r="G571" s="7" t="s">
        <v>1994</v>
      </c>
    </row>
    <row r="572" customFormat="false" ht="15" hidden="false" customHeight="false" outlineLevel="0" collapsed="false">
      <c r="A572" s="7" t="s">
        <v>2492</v>
      </c>
      <c r="B572" s="7" t="n">
        <v>1630.73</v>
      </c>
      <c r="C572" s="7" t="n">
        <f aca="false">AVERAGE(B523:B572)</f>
        <v>2030.1984</v>
      </c>
      <c r="D572" s="7" t="n">
        <f aca="false">AVERAGE(B373:B572)</f>
        <v>2844.7653</v>
      </c>
      <c r="E572" s="7" t="n">
        <f aca="false">B572/MAX(B321:B572)-1</f>
        <v>-0.598555940681805</v>
      </c>
      <c r="F572" s="7" t="str">
        <f aca="false">IFERROR(INDEX(02_轉折點45個!B:B,MATCH(A572,02_轉折點45個!A:A,0)),"")</f>
        <v/>
      </c>
      <c r="G572" s="7" t="s">
        <v>1994</v>
      </c>
    </row>
    <row r="573" customFormat="false" ht="15" hidden="false" customHeight="false" outlineLevel="0" collapsed="false">
      <c r="A573" s="7" t="s">
        <v>2493</v>
      </c>
      <c r="B573" s="7" t="n">
        <v>1571.67</v>
      </c>
      <c r="C573" s="7" t="n">
        <f aca="false">AVERAGE(B524:B573)</f>
        <v>2011.3072</v>
      </c>
      <c r="D573" s="7" t="n">
        <f aca="false">AVERAGE(B374:B573)</f>
        <v>2834.0598</v>
      </c>
      <c r="E573" s="7" t="n">
        <f aca="false">B573/MAX(B322:B573)-1</f>
        <v>-0.613095003643382</v>
      </c>
      <c r="F573" s="7" t="str">
        <f aca="false">IFERROR(INDEX(02_轉折點45個!B:B,MATCH(A573,02_轉折點45個!A:A,0)),"")</f>
        <v/>
      </c>
      <c r="G573" s="7" t="s">
        <v>1994</v>
      </c>
    </row>
    <row r="574" customFormat="false" ht="15" hidden="false" customHeight="false" outlineLevel="0" collapsed="false">
      <c r="A574" s="7" t="s">
        <v>2494</v>
      </c>
      <c r="B574" s="7" t="n">
        <v>1594.83</v>
      </c>
      <c r="C574" s="7" t="n">
        <f aca="false">AVERAGE(B525:B574)</f>
        <v>1992.3854</v>
      </c>
      <c r="D574" s="7" t="n">
        <f aca="false">AVERAGE(B375:B574)</f>
        <v>2824.051</v>
      </c>
      <c r="E574" s="7" t="n">
        <f aca="false">B574/MAX(B323:B574)-1</f>
        <v>-0.59161583726397</v>
      </c>
      <c r="F574" s="7" t="str">
        <f aca="false">IFERROR(INDEX(02_轉折點45個!B:B,MATCH(A574,02_轉折點45個!A:A,0)),"")</f>
        <v/>
      </c>
      <c r="G574" s="7" t="s">
        <v>1994</v>
      </c>
    </row>
    <row r="575" customFormat="false" ht="15" hidden="false" customHeight="false" outlineLevel="0" collapsed="false">
      <c r="A575" s="7" t="s">
        <v>2495</v>
      </c>
      <c r="B575" s="7" t="n">
        <v>1691.96</v>
      </c>
      <c r="C575" s="7" t="n">
        <f aca="false">AVERAGE(B526:B575)</f>
        <v>1974.364</v>
      </c>
      <c r="D575" s="7" t="n">
        <f aca="false">AVERAGE(B376:B575)</f>
        <v>2814.9458</v>
      </c>
      <c r="E575" s="7" t="n">
        <f aca="false">B575/MAX(B324:B575)-1</f>
        <v>-0.566743999057672</v>
      </c>
      <c r="F575" s="7" t="str">
        <f aca="false">IFERROR(INDEX(02_轉折點45個!B:B,MATCH(A575,02_轉折點45個!A:A,0)),"")</f>
        <v/>
      </c>
      <c r="G575" s="7" t="s">
        <v>1994</v>
      </c>
    </row>
    <row r="576" customFormat="false" ht="15" hidden="false" customHeight="false" outlineLevel="0" collapsed="false">
      <c r="A576" s="7" t="s">
        <v>2496</v>
      </c>
      <c r="B576" s="7" t="n">
        <v>1734.83</v>
      </c>
      <c r="C576" s="7" t="n">
        <f aca="false">AVERAGE(B527:B576)</f>
        <v>1957.1998</v>
      </c>
      <c r="D576" s="7" t="n">
        <f aca="false">AVERAGE(B377:B576)</f>
        <v>2805.7499</v>
      </c>
      <c r="E576" s="7" t="n">
        <f aca="false">B576/MAX(B325:B576)-1</f>
        <v>-0.55576638448026</v>
      </c>
      <c r="F576" s="7" t="str">
        <f aca="false">IFERROR(INDEX(02_轉折點45個!B:B,MATCH(A576,02_轉折點45個!A:A,0)),"")</f>
        <v/>
      </c>
      <c r="G576" s="7" t="s">
        <v>1994</v>
      </c>
    </row>
    <row r="577" customFormat="false" ht="15" hidden="false" customHeight="false" outlineLevel="0" collapsed="false">
      <c r="A577" s="7" t="s">
        <v>2497</v>
      </c>
      <c r="B577" s="7" t="n">
        <v>1791.91</v>
      </c>
      <c r="C577" s="7" t="n">
        <f aca="false">AVERAGE(B528:B577)</f>
        <v>1942.3762</v>
      </c>
      <c r="D577" s="7" t="n">
        <f aca="false">AVERAGE(B378:B577)</f>
        <v>2797.08225</v>
      </c>
      <c r="E577" s="7" t="n">
        <f aca="false">B577/MAX(B326:B577)-1</f>
        <v>-0.541150050445301</v>
      </c>
      <c r="F577" s="7" t="str">
        <f aca="false">IFERROR(INDEX(02_轉折點45個!B:B,MATCH(A577,02_轉折點45個!A:A,0)),"")</f>
        <v/>
      </c>
      <c r="G577" s="7" t="s">
        <v>1994</v>
      </c>
    </row>
    <row r="578" customFormat="false" ht="15" hidden="false" customHeight="false" outlineLevel="0" collapsed="false">
      <c r="A578" s="7" t="s">
        <v>2498</v>
      </c>
      <c r="B578" s="7" t="n">
        <v>1744.53</v>
      </c>
      <c r="C578" s="7" t="n">
        <f aca="false">AVERAGE(B529:B578)</f>
        <v>1926.4212</v>
      </c>
      <c r="D578" s="7" t="n">
        <f aca="false">AVERAGE(B379:B578)</f>
        <v>2787.80595</v>
      </c>
      <c r="E578" s="7" t="n">
        <f aca="false">B578/MAX(B327:B578)-1</f>
        <v>-0.553282529537388</v>
      </c>
      <c r="F578" s="7" t="str">
        <f aca="false">IFERROR(INDEX(02_轉折點45個!B:B,MATCH(A578,02_轉折點45個!A:A,0)),"")</f>
        <v/>
      </c>
      <c r="G578" s="7" t="s">
        <v>1994</v>
      </c>
    </row>
    <row r="579" customFormat="false" ht="15" hidden="false" customHeight="false" outlineLevel="0" collapsed="false">
      <c r="A579" s="7" t="s">
        <v>2499</v>
      </c>
      <c r="B579" s="7" t="n">
        <v>1757</v>
      </c>
      <c r="C579" s="7" t="n">
        <f aca="false">AVERAGE(B530:B579)</f>
        <v>1912.95</v>
      </c>
      <c r="D579" s="7" t="n">
        <f aca="false">AVERAGE(B380:B579)</f>
        <v>2778.8803</v>
      </c>
      <c r="E579" s="7" t="n">
        <f aca="false">B579/MAX(B328:B579)-1</f>
        <v>-0.550089367564439</v>
      </c>
      <c r="F579" s="7" t="str">
        <f aca="false">IFERROR(INDEX(02_轉折點45個!B:B,MATCH(A579,02_轉折點45個!A:A,0)),"")</f>
        <v/>
      </c>
      <c r="G579" s="7" t="s">
        <v>1994</v>
      </c>
    </row>
    <row r="580" customFormat="false" ht="15" hidden="false" customHeight="false" outlineLevel="0" collapsed="false">
      <c r="A580" s="7" t="s">
        <v>2500</v>
      </c>
      <c r="B580" s="7" t="n">
        <v>1899.72</v>
      </c>
      <c r="C580" s="7" t="n">
        <f aca="false">AVERAGE(B531:B580)</f>
        <v>1902.6492</v>
      </c>
      <c r="D580" s="7" t="n">
        <f aca="false">AVERAGE(B381:B580)</f>
        <v>2770.26225</v>
      </c>
      <c r="E580" s="7" t="n">
        <f aca="false">B580/MAX(B329:B580)-1</f>
        <v>-0.513543411126646</v>
      </c>
      <c r="F580" s="7" t="str">
        <f aca="false">IFERROR(INDEX(02_轉折點45個!B:B,MATCH(A580,02_轉折點45個!A:A,0)),"")</f>
        <v/>
      </c>
      <c r="G580" s="7" t="s">
        <v>1994</v>
      </c>
    </row>
    <row r="581" customFormat="false" ht="15" hidden="false" customHeight="false" outlineLevel="0" collapsed="false">
      <c r="A581" s="7" t="s">
        <v>2501</v>
      </c>
      <c r="B581" s="7" t="n">
        <v>1993.54</v>
      </c>
      <c r="C581" s="7" t="n">
        <f aca="false">AVERAGE(B532:B581)</f>
        <v>1893.8358</v>
      </c>
      <c r="D581" s="7" t="n">
        <f aca="false">AVERAGE(B382:B581)</f>
        <v>2761.99535</v>
      </c>
      <c r="E581" s="7" t="n">
        <f aca="false">B581/MAX(B330:B581)-1</f>
        <v>-0.489519156411163</v>
      </c>
      <c r="F581" s="7" t="str">
        <f aca="false">IFERROR(INDEX(02_轉折點45個!B:B,MATCH(A581,02_轉折點45個!A:A,0)),"")</f>
        <v/>
      </c>
      <c r="G581" s="7" t="s">
        <v>1994</v>
      </c>
    </row>
    <row r="582" customFormat="false" ht="15" hidden="false" customHeight="false" outlineLevel="0" collapsed="false">
      <c r="A582" s="7" t="s">
        <v>2502</v>
      </c>
      <c r="B582" s="7" t="n">
        <v>1976.43</v>
      </c>
      <c r="C582" s="7" t="n">
        <f aca="false">AVERAGE(B533:B582)</f>
        <v>1885.7158</v>
      </c>
      <c r="D582" s="7" t="n">
        <f aca="false">AVERAGE(B383:B582)</f>
        <v>2754.2314</v>
      </c>
      <c r="E582" s="7" t="n">
        <f aca="false">B582/MAX(B331:B582)-1</f>
        <v>-0.493900471676372</v>
      </c>
      <c r="F582" s="7" t="str">
        <f aca="false">IFERROR(INDEX(02_轉折點45個!B:B,MATCH(A582,02_轉折點45個!A:A,0)),"")</f>
        <v/>
      </c>
      <c r="G582" s="7" t="s">
        <v>1994</v>
      </c>
    </row>
    <row r="583" customFormat="false" ht="15" hidden="false" customHeight="false" outlineLevel="0" collapsed="false">
      <c r="A583" s="7" t="s">
        <v>2503</v>
      </c>
      <c r="B583" s="7" t="n">
        <v>1881.34</v>
      </c>
      <c r="C583" s="7" t="n">
        <f aca="false">AVERAGE(B534:B583)</f>
        <v>1876.53</v>
      </c>
      <c r="D583" s="7" t="n">
        <f aca="false">AVERAGE(B384:B583)</f>
        <v>2745.54675</v>
      </c>
      <c r="E583" s="7" t="n">
        <f aca="false">B583/MAX(B332:B583)-1</f>
        <v>-0.518249932142107</v>
      </c>
      <c r="F583" s="7" t="str">
        <f aca="false">IFERROR(INDEX(02_轉折點45個!B:B,MATCH(A583,02_轉折點45個!A:A,0)),"")</f>
        <v/>
      </c>
      <c r="G583" s="7" t="s">
        <v>1994</v>
      </c>
    </row>
    <row r="584" customFormat="false" ht="15" hidden="false" customHeight="false" outlineLevel="0" collapsed="false">
      <c r="A584" s="7" t="s">
        <v>2504</v>
      </c>
      <c r="B584" s="7" t="n">
        <v>1842.32</v>
      </c>
      <c r="C584" s="7" t="n">
        <f aca="false">AVERAGE(B535:B584)</f>
        <v>1868.2282</v>
      </c>
      <c r="D584" s="7" t="n">
        <f aca="false">AVERAGE(B385:B584)</f>
        <v>2736.3809</v>
      </c>
      <c r="E584" s="7" t="n">
        <f aca="false">B584/MAX(B333:B584)-1</f>
        <v>-0.528241686767967</v>
      </c>
      <c r="F584" s="7" t="str">
        <f aca="false">IFERROR(INDEX(02_轉折點45個!B:B,MATCH(A584,02_轉折點45個!A:A,0)),"")</f>
        <v/>
      </c>
      <c r="G584" s="7" t="s">
        <v>1994</v>
      </c>
    </row>
    <row r="585" customFormat="false" ht="15" hidden="false" customHeight="false" outlineLevel="0" collapsed="false">
      <c r="A585" s="7" t="s">
        <v>2505</v>
      </c>
      <c r="B585" s="7" t="n">
        <v>1881.78</v>
      </c>
      <c r="C585" s="7" t="n">
        <f aca="false">AVERAGE(B536:B585)</f>
        <v>1860.374</v>
      </c>
      <c r="D585" s="7" t="n">
        <f aca="false">AVERAGE(B386:B585)</f>
        <v>2727.6084</v>
      </c>
      <c r="E585" s="7" t="n">
        <f aca="false">B585/MAX(B334:B585)-1</f>
        <v>-0.518137262433358</v>
      </c>
      <c r="F585" s="7" t="str">
        <f aca="false">IFERROR(INDEX(02_轉折點45個!B:B,MATCH(A585,02_轉折點45個!A:A,0)),"")</f>
        <v/>
      </c>
      <c r="G585" s="7" t="s">
        <v>1994</v>
      </c>
    </row>
    <row r="586" customFormat="false" ht="15" hidden="false" customHeight="false" outlineLevel="0" collapsed="false">
      <c r="A586" s="7" t="s">
        <v>2506</v>
      </c>
      <c r="B586" s="7" t="n">
        <v>1859.01</v>
      </c>
      <c r="C586" s="7" t="n">
        <f aca="false">AVERAGE(B537:B586)</f>
        <v>1853.1962</v>
      </c>
      <c r="D586" s="7" t="n">
        <f aca="false">AVERAGE(B387:B586)</f>
        <v>2718.83105</v>
      </c>
      <c r="E586" s="7" t="n">
        <f aca="false">B586/MAX(B335:B586)-1</f>
        <v>-0.523967919861109</v>
      </c>
      <c r="F586" s="7" t="str">
        <f aca="false">IFERROR(INDEX(02_轉折點45個!B:B,MATCH(A586,02_轉折點45個!A:A,0)),"")</f>
        <v/>
      </c>
      <c r="G586" s="7" t="s">
        <v>1994</v>
      </c>
    </row>
    <row r="587" customFormat="false" ht="15" hidden="false" customHeight="false" outlineLevel="0" collapsed="false">
      <c r="A587" s="7" t="s">
        <v>2507</v>
      </c>
      <c r="B587" s="7" t="n">
        <v>1896.28</v>
      </c>
      <c r="C587" s="7" t="n">
        <f aca="false">AVERAGE(B538:B587)</f>
        <v>1845.6004</v>
      </c>
      <c r="D587" s="7" t="n">
        <f aca="false">AVERAGE(B388:B587)</f>
        <v>2709.5861</v>
      </c>
      <c r="E587" s="7" t="n">
        <f aca="false">B587/MAX(B336:B587)-1</f>
        <v>-0.514424283395046</v>
      </c>
      <c r="F587" s="7" t="str">
        <f aca="false">IFERROR(INDEX(02_轉折點45個!B:B,MATCH(A587,02_轉折點45個!A:A,0)),"")</f>
        <v/>
      </c>
      <c r="G587" s="7" t="s">
        <v>1994</v>
      </c>
    </row>
    <row r="588" customFormat="false" ht="15" hidden="false" customHeight="false" outlineLevel="0" collapsed="false">
      <c r="A588" s="7" t="s">
        <v>436</v>
      </c>
      <c r="B588" s="7" t="n">
        <v>1933.34</v>
      </c>
      <c r="C588" s="7" t="n">
        <f aca="false">AVERAGE(B539:B588)</f>
        <v>1837.6218</v>
      </c>
      <c r="D588" s="7" t="n">
        <f aca="false">AVERAGE(B389:B588)</f>
        <v>2700.1826</v>
      </c>
      <c r="E588" s="7" t="n">
        <f aca="false">B588/MAX(B337:B588)-1</f>
        <v>-0.504934421108158</v>
      </c>
      <c r="F588" s="7" t="str">
        <f aca="false">IFERROR(INDEX(02_轉折點45個!B:B,MATCH(A588,02_轉折點45個!A:A,0)),"")</f>
        <v/>
      </c>
      <c r="G588" s="7" t="s">
        <v>1994</v>
      </c>
    </row>
    <row r="589" customFormat="false" ht="15" hidden="false" customHeight="false" outlineLevel="0" collapsed="false">
      <c r="A589" s="7" t="s">
        <v>2508</v>
      </c>
      <c r="B589" s="7" t="n">
        <v>1980.84</v>
      </c>
      <c r="C589" s="7" t="n">
        <f aca="false">AVERAGE(B540:B589)</f>
        <v>1832.9234</v>
      </c>
      <c r="D589" s="7" t="n">
        <f aca="false">AVERAGE(B390:B589)</f>
        <v>2690.69085</v>
      </c>
      <c r="E589" s="7" t="n">
        <f aca="false">B589/MAX(B338:B589)-1</f>
        <v>-0.492771213913685</v>
      </c>
      <c r="F589" s="7" t="str">
        <f aca="false">IFERROR(INDEX(02_轉折點45個!B:B,MATCH(A589,02_轉折點45個!A:A,0)),"")</f>
        <v/>
      </c>
      <c r="G589" s="7" t="s">
        <v>1994</v>
      </c>
    </row>
    <row r="590" customFormat="false" ht="15" hidden="false" customHeight="false" outlineLevel="0" collapsed="false">
      <c r="A590" s="7" t="s">
        <v>2509</v>
      </c>
      <c r="B590" s="7" t="n">
        <v>2028.68</v>
      </c>
      <c r="C590" s="7" t="n">
        <f aca="false">AVERAGE(B541:B590)</f>
        <v>1831.1374</v>
      </c>
      <c r="D590" s="7" t="n">
        <f aca="false">AVERAGE(B391:B590)</f>
        <v>2681.30815</v>
      </c>
      <c r="E590" s="7" t="n">
        <f aca="false">B590/MAX(B339:B590)-1</f>
        <v>-0.480520943762451</v>
      </c>
      <c r="F590" s="7" t="str">
        <f aca="false">IFERROR(INDEX(02_轉折點45個!B:B,MATCH(A590,02_轉折點45個!A:A,0)),"")</f>
        <v/>
      </c>
      <c r="G590" s="7" t="s">
        <v>1994</v>
      </c>
    </row>
    <row r="591" customFormat="false" ht="15" hidden="false" customHeight="false" outlineLevel="0" collapsed="false">
      <c r="A591" s="7" t="s">
        <v>2510</v>
      </c>
      <c r="B591" s="7" t="n">
        <v>1960.71</v>
      </c>
      <c r="C591" s="7" t="n">
        <f aca="false">AVERAGE(B542:B591)</f>
        <v>1828.8948</v>
      </c>
      <c r="D591" s="7" t="n">
        <f aca="false">AVERAGE(B392:B591)</f>
        <v>2672.03095</v>
      </c>
      <c r="E591" s="7" t="n">
        <f aca="false">B591/MAX(B340:B591)-1</f>
        <v>-0.497925853088942</v>
      </c>
      <c r="F591" s="7" t="str">
        <f aca="false">IFERROR(INDEX(02_轉折點45個!B:B,MATCH(A591,02_轉折點45個!A:A,0)),"")</f>
        <v/>
      </c>
      <c r="G591" s="7" t="s">
        <v>1994</v>
      </c>
    </row>
    <row r="592" customFormat="false" ht="15" hidden="false" customHeight="false" outlineLevel="0" collapsed="false">
      <c r="A592" s="7" t="s">
        <v>437</v>
      </c>
      <c r="B592" s="7" t="n">
        <v>2002.12</v>
      </c>
      <c r="C592" s="7" t="n">
        <f aca="false">AVERAGE(B543:B592)</f>
        <v>1827.9186</v>
      </c>
      <c r="D592" s="7" t="n">
        <f aca="false">AVERAGE(B393:B592)</f>
        <v>2663.516</v>
      </c>
      <c r="E592" s="7" t="n">
        <f aca="false">B592/MAX(B341:B592)-1</f>
        <v>-0.487322097090561</v>
      </c>
      <c r="F592" s="7" t="str">
        <f aca="false">IFERROR(INDEX(02_轉折點45個!B:B,MATCH(A592,02_轉折點45個!A:A,0)),"")</f>
        <v/>
      </c>
      <c r="G592" s="7" t="s">
        <v>1994</v>
      </c>
    </row>
    <row r="593" customFormat="false" ht="15" hidden="false" customHeight="false" outlineLevel="0" collapsed="false">
      <c r="A593" s="7" t="s">
        <v>2511</v>
      </c>
      <c r="B593" s="7" t="n">
        <v>1985.71</v>
      </c>
      <c r="C593" s="7" t="n">
        <f aca="false">AVERAGE(B544:B593)</f>
        <v>1826.2934</v>
      </c>
      <c r="D593" s="7" t="n">
        <f aca="false">AVERAGE(B394:B593)</f>
        <v>2654.33005</v>
      </c>
      <c r="E593" s="7" t="n">
        <f aca="false">B593/MAX(B342:B593)-1</f>
        <v>-0.491524165091851</v>
      </c>
      <c r="F593" s="7" t="str">
        <f aca="false">IFERROR(INDEX(02_轉折點45個!B:B,MATCH(A593,02_轉折點45個!A:A,0)),"")</f>
        <v/>
      </c>
      <c r="G593" s="7" t="s">
        <v>1994</v>
      </c>
    </row>
    <row r="594" customFormat="false" ht="15" hidden="false" customHeight="false" outlineLevel="0" collapsed="false">
      <c r="A594" s="7" t="s">
        <v>2512</v>
      </c>
      <c r="B594" s="7" t="n">
        <v>2008.74</v>
      </c>
      <c r="C594" s="7" t="n">
        <f aca="false">AVERAGE(B545:B594)</f>
        <v>1824.2886</v>
      </c>
      <c r="D594" s="7" t="n">
        <f aca="false">AVERAGE(B395:B594)</f>
        <v>2645.67085</v>
      </c>
      <c r="E594" s="7" t="n">
        <f aca="false">B594/MAX(B343:B594)-1</f>
        <v>-0.485626930108931</v>
      </c>
      <c r="F594" s="7" t="str">
        <f aca="false">IFERROR(INDEX(02_轉折點45個!B:B,MATCH(A594,02_轉折點45個!A:A,0)),"")</f>
        <v/>
      </c>
      <c r="G594" s="7" t="s">
        <v>1994</v>
      </c>
    </row>
    <row r="595" customFormat="false" ht="15" hidden="false" customHeight="false" outlineLevel="0" collapsed="false">
      <c r="A595" s="7" t="s">
        <v>2513</v>
      </c>
      <c r="B595" s="7" t="n">
        <v>1970.24</v>
      </c>
      <c r="C595" s="7" t="n">
        <f aca="false">AVERAGE(B546:B595)</f>
        <v>1823.3534</v>
      </c>
      <c r="D595" s="7" t="n">
        <f aca="false">AVERAGE(B396:B595)</f>
        <v>2637.3348</v>
      </c>
      <c r="E595" s="7" t="n">
        <f aca="false">B595/MAX(B344:B595)-1</f>
        <v>-0.495485529624451</v>
      </c>
      <c r="F595" s="7" t="str">
        <f aca="false">IFERROR(INDEX(02_轉折點45個!B:B,MATCH(A595,02_轉折點45個!A:A,0)),"")</f>
        <v/>
      </c>
      <c r="G595" s="7" t="s">
        <v>1994</v>
      </c>
    </row>
    <row r="596" customFormat="false" ht="15" hidden="false" customHeight="false" outlineLevel="0" collapsed="false">
      <c r="A596" s="7" t="s">
        <v>2514</v>
      </c>
      <c r="B596" s="7" t="n">
        <v>1944.87</v>
      </c>
      <c r="C596" s="7" t="n">
        <f aca="false">AVERAGE(B547:B596)</f>
        <v>1822.9338</v>
      </c>
      <c r="D596" s="7" t="n">
        <f aca="false">AVERAGE(B397:B596)</f>
        <v>2628.65265</v>
      </c>
      <c r="E596" s="7" t="n">
        <f aca="false">B596/MAX(B345:B596)-1</f>
        <v>-0.501981962603899</v>
      </c>
      <c r="F596" s="7" t="str">
        <f aca="false">IFERROR(INDEX(02_轉折點45個!B:B,MATCH(A596,02_轉折點45個!A:A,0)),"")</f>
        <v/>
      </c>
      <c r="G596" s="7" t="s">
        <v>1994</v>
      </c>
    </row>
    <row r="597" customFormat="false" ht="15" hidden="false" customHeight="false" outlineLevel="0" collapsed="false">
      <c r="A597" s="7" t="s">
        <v>2515</v>
      </c>
      <c r="B597" s="7" t="n">
        <v>1925.29</v>
      </c>
      <c r="C597" s="7" t="n">
        <f aca="false">AVERAGE(B548:B597)</f>
        <v>1821.5462</v>
      </c>
      <c r="D597" s="7" t="n">
        <f aca="false">AVERAGE(B398:B597)</f>
        <v>2620.06375</v>
      </c>
      <c r="E597" s="7" t="n">
        <f aca="false">B597/MAX(B346:B597)-1</f>
        <v>-0.506995764643221</v>
      </c>
      <c r="F597" s="7" t="str">
        <f aca="false">IFERROR(INDEX(02_轉折點45個!B:B,MATCH(A597,02_轉折點45個!A:A,0)),"")</f>
        <v/>
      </c>
      <c r="G597" s="7" t="s">
        <v>1994</v>
      </c>
    </row>
    <row r="598" customFormat="false" ht="15" hidden="false" customHeight="false" outlineLevel="0" collapsed="false">
      <c r="A598" s="7" t="s">
        <v>2516</v>
      </c>
      <c r="B598" s="7" t="n">
        <v>1901.99</v>
      </c>
      <c r="C598" s="7" t="n">
        <f aca="false">AVERAGE(B549:B598)</f>
        <v>1820.8938</v>
      </c>
      <c r="D598" s="7" t="n">
        <f aca="false">AVERAGE(B399:B598)</f>
        <v>2612.0229</v>
      </c>
      <c r="E598" s="7" t="n">
        <f aca="false">B598/MAX(B347:B598)-1</f>
        <v>-0.51296213785651</v>
      </c>
      <c r="F598" s="7" t="str">
        <f aca="false">IFERROR(INDEX(02_轉折點45個!B:B,MATCH(A598,02_轉折點45個!A:A,0)),"")</f>
        <v/>
      </c>
      <c r="G598" s="7" t="s">
        <v>1994</v>
      </c>
    </row>
    <row r="599" customFormat="false" ht="15" hidden="false" customHeight="false" outlineLevel="0" collapsed="false">
      <c r="A599" s="7" t="s">
        <v>2517</v>
      </c>
      <c r="B599" s="7" t="n">
        <v>1905.33</v>
      </c>
      <c r="C599" s="7" t="n">
        <f aca="false">AVERAGE(B550:B599)</f>
        <v>1819.8462</v>
      </c>
      <c r="D599" s="7" t="n">
        <f aca="false">AVERAGE(B400:B599)</f>
        <v>2604.81745</v>
      </c>
      <c r="E599" s="7" t="n">
        <f aca="false">B599/MAX(B348:B599)-1</f>
        <v>-0.512106872340099</v>
      </c>
      <c r="F599" s="7" t="str">
        <f aca="false">IFERROR(INDEX(02_轉折點45個!B:B,MATCH(A599,02_轉折點45個!A:A,0)),"")</f>
        <v/>
      </c>
      <c r="G599" s="7" t="s">
        <v>1994</v>
      </c>
    </row>
    <row r="600" customFormat="false" ht="15" hidden="false" customHeight="false" outlineLevel="0" collapsed="false">
      <c r="A600" s="7" t="s">
        <v>2518</v>
      </c>
      <c r="B600" s="7" t="n">
        <v>1979.2</v>
      </c>
      <c r="C600" s="7" t="n">
        <f aca="false">AVERAGE(B551:B600)</f>
        <v>1819.152</v>
      </c>
      <c r="D600" s="7" t="n">
        <f aca="false">AVERAGE(B401:B600)</f>
        <v>2597.50635</v>
      </c>
      <c r="E600" s="7" t="n">
        <f aca="false">B600/MAX(B349:B600)-1</f>
        <v>-0.493191164646294</v>
      </c>
      <c r="F600" s="7" t="str">
        <f aca="false">IFERROR(INDEX(02_轉折點45個!B:B,MATCH(A600,02_轉折點45個!A:A,0)),"")</f>
        <v/>
      </c>
      <c r="G600" s="7" t="s">
        <v>1994</v>
      </c>
    </row>
    <row r="601" customFormat="false" ht="15" hidden="false" customHeight="false" outlineLevel="0" collapsed="false">
      <c r="A601" s="7" t="s">
        <v>2519</v>
      </c>
      <c r="B601" s="7" t="n">
        <v>2004.09</v>
      </c>
      <c r="C601" s="7" t="n">
        <f aca="false">AVERAGE(B552:B601)</f>
        <v>1818.5996</v>
      </c>
      <c r="D601" s="7" t="n">
        <f aca="false">AVERAGE(B402:B601)</f>
        <v>2590.69185</v>
      </c>
      <c r="E601" s="7" t="n">
        <f aca="false">B601/MAX(B350:B601)-1</f>
        <v>-0.48681764407639</v>
      </c>
      <c r="F601" s="7" t="str">
        <f aca="false">IFERROR(INDEX(02_轉折點45個!B:B,MATCH(A601,02_轉折點45個!A:A,0)),"")</f>
        <v/>
      </c>
      <c r="G601" s="7" t="s">
        <v>1994</v>
      </c>
    </row>
    <row r="602" customFormat="false" ht="15" hidden="false" customHeight="false" outlineLevel="0" collapsed="false">
      <c r="A602" s="7" t="s">
        <v>2520</v>
      </c>
      <c r="B602" s="7" t="n">
        <v>2008.84</v>
      </c>
      <c r="C602" s="7" t="n">
        <f aca="false">AVERAGE(B553:B602)</f>
        <v>1819.1506</v>
      </c>
      <c r="D602" s="7" t="n">
        <f aca="false">AVERAGE(B403:B602)</f>
        <v>2584.0247</v>
      </c>
      <c r="E602" s="7" t="n">
        <f aca="false">B602/MAX(B351:B602)-1</f>
        <v>-0.485601323356943</v>
      </c>
      <c r="F602" s="7" t="str">
        <f aca="false">IFERROR(INDEX(02_轉折點45個!B:B,MATCH(A602,02_轉折點45個!A:A,0)),"")</f>
        <v/>
      </c>
      <c r="G602" s="7" t="s">
        <v>1994</v>
      </c>
    </row>
    <row r="603" customFormat="false" ht="15" hidden="false" customHeight="false" outlineLevel="0" collapsed="false">
      <c r="A603" s="7" t="s">
        <v>2521</v>
      </c>
      <c r="B603" s="7" t="n">
        <v>2106.32</v>
      </c>
      <c r="C603" s="7" t="n">
        <f aca="false">AVERAGE(B554:B603)</f>
        <v>1823.7698</v>
      </c>
      <c r="D603" s="7" t="n">
        <f aca="false">AVERAGE(B404:B603)</f>
        <v>2577.3817</v>
      </c>
      <c r="E603" s="7" t="n">
        <f aca="false">B603/MAX(B352:B603)-1</f>
        <v>-0.460639861518685</v>
      </c>
      <c r="F603" s="7" t="str">
        <f aca="false">IFERROR(INDEX(02_轉折點45個!B:B,MATCH(A603,02_轉折點45個!A:A,0)),"")</f>
        <v/>
      </c>
      <c r="G603" s="7" t="s">
        <v>1994</v>
      </c>
    </row>
    <row r="604" customFormat="false" ht="15" hidden="false" customHeight="false" outlineLevel="0" collapsed="false">
      <c r="A604" s="7" t="s">
        <v>124</v>
      </c>
      <c r="B604" s="7" t="n">
        <v>2113.87</v>
      </c>
      <c r="C604" s="7" t="n">
        <f aca="false">AVERAGE(B555:B604)</f>
        <v>1830.9042</v>
      </c>
      <c r="D604" s="7" t="n">
        <f aca="false">AVERAGE(B405:B604)</f>
        <v>2570.6509</v>
      </c>
      <c r="E604" s="7" t="n">
        <f aca="false">B604/MAX(B353:B604)-1</f>
        <v>-0.458706551743564</v>
      </c>
      <c r="F604" s="7" t="str">
        <f aca="false">IFERROR(INDEX(02_轉折點45個!B:B,MATCH(A604,02_轉折點45個!A:A,0)),"")</f>
        <v>TOP</v>
      </c>
      <c r="G604" s="7" t="s">
        <v>1994</v>
      </c>
    </row>
    <row r="605" customFormat="false" ht="15" hidden="false" customHeight="false" outlineLevel="0" collapsed="false">
      <c r="A605" s="7" t="s">
        <v>2522</v>
      </c>
      <c r="B605" s="7" t="n">
        <v>2049.58</v>
      </c>
      <c r="C605" s="7" t="n">
        <f aca="false">AVERAGE(B556:B605)</f>
        <v>1835.0828</v>
      </c>
      <c r="D605" s="7" t="n">
        <f aca="false">AVERAGE(B406:B605)</f>
        <v>2563.2532</v>
      </c>
      <c r="E605" s="7" t="n">
        <f aca="false">B605/MAX(B354:B605)-1</f>
        <v>-0.475169132596883</v>
      </c>
      <c r="F605" s="7" t="str">
        <f aca="false">IFERROR(INDEX(02_轉折點45個!B:B,MATCH(A605,02_轉折點45個!A:A,0)),"")</f>
        <v/>
      </c>
      <c r="G605" s="7" t="s">
        <v>1994</v>
      </c>
    </row>
    <row r="606" customFormat="false" ht="15" hidden="false" customHeight="false" outlineLevel="0" collapsed="false">
      <c r="A606" s="7" t="s">
        <v>2523</v>
      </c>
      <c r="B606" s="7" t="n">
        <v>2084.79</v>
      </c>
      <c r="C606" s="7" t="n">
        <f aca="false">AVERAGE(B557:B606)</f>
        <v>1840.7456</v>
      </c>
      <c r="D606" s="7" t="n">
        <f aca="false">AVERAGE(B407:B606)</f>
        <v>2556.0975</v>
      </c>
      <c r="E606" s="7" t="n">
        <f aca="false">B606/MAX(B355:B606)-1</f>
        <v>-0.46615299522178</v>
      </c>
      <c r="F606" s="7" t="str">
        <f aca="false">IFERROR(INDEX(02_轉折點45個!B:B,MATCH(A606,02_轉折點45個!A:A,0)),"")</f>
        <v/>
      </c>
      <c r="G606" s="7" t="s">
        <v>1994</v>
      </c>
    </row>
    <row r="607" customFormat="false" ht="15" hidden="false" customHeight="false" outlineLevel="0" collapsed="false">
      <c r="A607" s="7" t="s">
        <v>2524</v>
      </c>
      <c r="B607" s="7" t="n">
        <v>2056.48</v>
      </c>
      <c r="C607" s="7" t="n">
        <f aca="false">AVERAGE(B558:B607)</f>
        <v>1846.4156</v>
      </c>
      <c r="D607" s="7" t="n">
        <f aca="false">AVERAGE(B408:B607)</f>
        <v>2548.77765</v>
      </c>
      <c r="E607" s="7" t="n">
        <f aca="false">B607/MAX(B356:B607)-1</f>
        <v>-0.473402266709686</v>
      </c>
      <c r="F607" s="7" t="str">
        <f aca="false">IFERROR(INDEX(02_轉折點45個!B:B,MATCH(A607,02_轉折點45個!A:A,0)),"")</f>
        <v/>
      </c>
      <c r="G607" s="7" t="s">
        <v>1994</v>
      </c>
    </row>
    <row r="608" customFormat="false" ht="15" hidden="false" customHeight="false" outlineLevel="0" collapsed="false">
      <c r="A608" s="7" t="s">
        <v>2525</v>
      </c>
      <c r="B608" s="7" t="n">
        <v>1987.51</v>
      </c>
      <c r="C608" s="7" t="n">
        <f aca="false">AVERAGE(B559:B608)</f>
        <v>1851.6162</v>
      </c>
      <c r="D608" s="7" t="n">
        <f aca="false">AVERAGE(B409:B608)</f>
        <v>2541.5401</v>
      </c>
      <c r="E608" s="7" t="n">
        <f aca="false">B608/MAX(B357:B608)-1</f>
        <v>-0.491063243556061</v>
      </c>
      <c r="F608" s="7" t="str">
        <f aca="false">IFERROR(INDEX(02_轉折點45個!B:B,MATCH(A608,02_轉折點45個!A:A,0)),"")</f>
        <v/>
      </c>
      <c r="G608" s="7" t="s">
        <v>1994</v>
      </c>
    </row>
    <row r="609" customFormat="false" ht="15" hidden="false" customHeight="false" outlineLevel="0" collapsed="false">
      <c r="A609" s="7" t="s">
        <v>2526</v>
      </c>
      <c r="B609" s="7" t="n">
        <v>1904.34</v>
      </c>
      <c r="C609" s="7" t="n">
        <f aca="false">AVERAGE(B560:B609)</f>
        <v>1854.0522</v>
      </c>
      <c r="D609" s="7" t="n">
        <f aca="false">AVERAGE(B410:B609)</f>
        <v>2533.752</v>
      </c>
      <c r="E609" s="7" t="n">
        <f aca="false">B609/MAX(B358:B609)-1</f>
        <v>-0.512360379184784</v>
      </c>
      <c r="F609" s="7" t="str">
        <f aca="false">IFERROR(INDEX(02_轉折點45個!B:B,MATCH(A609,02_轉折點45個!A:A,0)),"")</f>
        <v/>
      </c>
      <c r="G609" s="7" t="s">
        <v>1994</v>
      </c>
    </row>
    <row r="610" customFormat="false" ht="15" hidden="false" customHeight="false" outlineLevel="0" collapsed="false">
      <c r="A610" s="7" t="s">
        <v>2527</v>
      </c>
      <c r="B610" s="7" t="n">
        <v>1928.09</v>
      </c>
      <c r="C610" s="7" t="n">
        <f aca="false">AVERAGE(B561:B610)</f>
        <v>1858.6758</v>
      </c>
      <c r="D610" s="7" t="n">
        <f aca="false">AVERAGE(B411:B610)</f>
        <v>2525.8076</v>
      </c>
      <c r="E610" s="7" t="n">
        <f aca="false">B610/MAX(B359:B610)-1</f>
        <v>-0.506278775587547</v>
      </c>
      <c r="F610" s="7" t="str">
        <f aca="false">IFERROR(INDEX(02_轉折點45個!B:B,MATCH(A610,02_轉折點45個!A:A,0)),"")</f>
        <v/>
      </c>
      <c r="G610" s="7" t="s">
        <v>1994</v>
      </c>
    </row>
    <row r="611" customFormat="false" ht="15" hidden="false" customHeight="false" outlineLevel="0" collapsed="false">
      <c r="A611" s="7" t="s">
        <v>2528</v>
      </c>
      <c r="B611" s="7" t="n">
        <v>1963.67</v>
      </c>
      <c r="C611" s="7" t="n">
        <f aca="false">AVERAGE(B562:B611)</f>
        <v>1864.5082</v>
      </c>
      <c r="D611" s="7" t="n">
        <f aca="false">AVERAGE(B412:B611)</f>
        <v>2518.0321</v>
      </c>
      <c r="E611" s="7" t="n">
        <f aca="false">B611/MAX(B360:B611)-1</f>
        <v>-0.497167893230087</v>
      </c>
      <c r="F611" s="7" t="str">
        <f aca="false">IFERROR(INDEX(02_轉折點45個!B:B,MATCH(A611,02_轉折點45個!A:A,0)),"")</f>
        <v/>
      </c>
      <c r="G611" s="7" t="s">
        <v>1994</v>
      </c>
    </row>
    <row r="612" customFormat="false" ht="15" hidden="false" customHeight="false" outlineLevel="0" collapsed="false">
      <c r="A612" s="7" t="s">
        <v>2529</v>
      </c>
      <c r="B612" s="7" t="n">
        <v>1969.6</v>
      </c>
      <c r="C612" s="7" t="n">
        <f aca="false">AVERAGE(B563:B612)</f>
        <v>1869.2264</v>
      </c>
      <c r="D612" s="7" t="n">
        <f aca="false">AVERAGE(B413:B612)</f>
        <v>2510.24265</v>
      </c>
      <c r="E612" s="7" t="n">
        <f aca="false">B612/MAX(B361:B612)-1</f>
        <v>-0.495649412837177</v>
      </c>
      <c r="F612" s="7" t="str">
        <f aca="false">IFERROR(INDEX(02_轉折點45個!B:B,MATCH(A612,02_轉折點45個!A:A,0)),"")</f>
        <v/>
      </c>
      <c r="G612" s="7" t="s">
        <v>1994</v>
      </c>
    </row>
    <row r="613" customFormat="false" ht="15" hidden="false" customHeight="false" outlineLevel="0" collapsed="false">
      <c r="A613" s="7" t="s">
        <v>2530</v>
      </c>
      <c r="B613" s="7" t="n">
        <v>2040.61</v>
      </c>
      <c r="C613" s="7" t="n">
        <f aca="false">AVERAGE(B564:B613)</f>
        <v>1874.7988</v>
      </c>
      <c r="D613" s="7" t="n">
        <f aca="false">AVERAGE(B414:B613)</f>
        <v>2502.44435</v>
      </c>
      <c r="E613" s="7" t="n">
        <f aca="false">B613/MAX(B362:B613)-1</f>
        <v>-0.477466058250239</v>
      </c>
      <c r="F613" s="7" t="str">
        <f aca="false">IFERROR(INDEX(02_轉折點45個!B:B,MATCH(A613,02_轉折點45個!A:A,0)),"")</f>
        <v/>
      </c>
      <c r="G613" s="7" t="s">
        <v>1994</v>
      </c>
    </row>
    <row r="614" customFormat="false" ht="15" hidden="false" customHeight="false" outlineLevel="0" collapsed="false">
      <c r="A614" s="7" t="s">
        <v>2531</v>
      </c>
      <c r="B614" s="7" t="n">
        <v>2026.06</v>
      </c>
      <c r="C614" s="7" t="n">
        <f aca="false">AVERAGE(B565:B614)</f>
        <v>1880.2664</v>
      </c>
      <c r="D614" s="7" t="n">
        <f aca="false">AVERAGE(B415:B614)</f>
        <v>2494.6214</v>
      </c>
      <c r="E614" s="7" t="n">
        <f aca="false">B614/MAX(B363:B614)-1</f>
        <v>-0.481191840664546</v>
      </c>
      <c r="F614" s="7" t="str">
        <f aca="false">IFERROR(INDEX(02_轉折點45個!B:B,MATCH(A614,02_轉折點45個!A:A,0)),"")</f>
        <v/>
      </c>
      <c r="G614" s="7" t="s">
        <v>1994</v>
      </c>
    </row>
    <row r="615" customFormat="false" ht="15" hidden="false" customHeight="false" outlineLevel="0" collapsed="false">
      <c r="A615" s="7" t="s">
        <v>2532</v>
      </c>
      <c r="B615" s="7" t="n">
        <v>2068.33</v>
      </c>
      <c r="C615" s="7" t="n">
        <f aca="false">AVERAGE(B566:B615)</f>
        <v>1885.5974</v>
      </c>
      <c r="D615" s="7" t="n">
        <f aca="false">AVERAGE(B416:B615)</f>
        <v>2486.9056</v>
      </c>
      <c r="E615" s="7" t="n">
        <f aca="false">B615/MAX(B364:B615)-1</f>
        <v>-0.470367866599065</v>
      </c>
      <c r="F615" s="7" t="str">
        <f aca="false">IFERROR(INDEX(02_轉折點45個!B:B,MATCH(A615,02_轉折點45個!A:A,0)),"")</f>
        <v/>
      </c>
      <c r="G615" s="7" t="s">
        <v>1994</v>
      </c>
    </row>
    <row r="616" customFormat="false" ht="15" hidden="false" customHeight="false" outlineLevel="0" collapsed="false">
      <c r="A616" s="7" t="s">
        <v>2533</v>
      </c>
      <c r="B616" s="7" t="n">
        <v>2023.65</v>
      </c>
      <c r="C616" s="7" t="n">
        <f aca="false">AVERAGE(B567:B616)</f>
        <v>1892.1928</v>
      </c>
      <c r="D616" s="7" t="n">
        <f aca="false">AVERAGE(B417:B616)</f>
        <v>2478.9433</v>
      </c>
      <c r="E616" s="7" t="n">
        <f aca="false">B616/MAX(B365:B616)-1</f>
        <v>-0.481808963387466</v>
      </c>
      <c r="F616" s="7" t="str">
        <f aca="false">IFERROR(INDEX(02_轉折點45個!B:B,MATCH(A616,02_轉折點45個!A:A,0)),"")</f>
        <v/>
      </c>
      <c r="G616" s="7" t="s">
        <v>1994</v>
      </c>
    </row>
    <row r="617" customFormat="false" ht="15" hidden="false" customHeight="false" outlineLevel="0" collapsed="false">
      <c r="A617" s="7" t="s">
        <v>2534</v>
      </c>
      <c r="B617" s="7" t="n">
        <v>1983.17</v>
      </c>
      <c r="C617" s="7" t="n">
        <f aca="false">AVERAGE(B568:B617)</f>
        <v>1898.5918</v>
      </c>
      <c r="D617" s="7" t="n">
        <f aca="false">AVERAGE(B418:B617)</f>
        <v>2470.5374</v>
      </c>
      <c r="E617" s="7" t="n">
        <f aca="false">B617/MAX(B366:B617)-1</f>
        <v>-0.492174576592356</v>
      </c>
      <c r="F617" s="7" t="str">
        <f aca="false">IFERROR(INDEX(02_轉折點45個!B:B,MATCH(A617,02_轉折點45個!A:A,0)),"")</f>
        <v/>
      </c>
      <c r="G617" s="7" t="s">
        <v>1994</v>
      </c>
    </row>
    <row r="618" customFormat="false" ht="15" hidden="false" customHeight="false" outlineLevel="0" collapsed="false">
      <c r="A618" s="7" t="s">
        <v>2535</v>
      </c>
      <c r="B618" s="7" t="n">
        <v>1982.41</v>
      </c>
      <c r="C618" s="7" t="n">
        <f aca="false">AVERAGE(B569:B618)</f>
        <v>1904.6158</v>
      </c>
      <c r="D618" s="7" t="n">
        <f aca="false">AVERAGE(B419:B618)</f>
        <v>2461.9346</v>
      </c>
      <c r="E618" s="7" t="n">
        <f aca="false">B618/MAX(B367:B618)-1</f>
        <v>-0.492369187907467</v>
      </c>
      <c r="F618" s="7" t="str">
        <f aca="false">IFERROR(INDEX(02_轉折點45個!B:B,MATCH(A618,02_轉折點45個!A:A,0)),"")</f>
        <v/>
      </c>
      <c r="G618" s="7" t="s">
        <v>1994</v>
      </c>
    </row>
    <row r="619" customFormat="false" ht="15" hidden="false" customHeight="false" outlineLevel="0" collapsed="false">
      <c r="A619" s="7" t="s">
        <v>2536</v>
      </c>
      <c r="B619" s="7" t="n">
        <v>1938.29</v>
      </c>
      <c r="C619" s="7" t="n">
        <f aca="false">AVERAGE(B570:B619)</f>
        <v>1910.8042</v>
      </c>
      <c r="D619" s="7" t="n">
        <f aca="false">AVERAGE(B420:B619)</f>
        <v>2453.15965</v>
      </c>
      <c r="E619" s="7" t="n">
        <f aca="false">B619/MAX(B368:B619)-1</f>
        <v>-0.503666886884734</v>
      </c>
      <c r="F619" s="7" t="str">
        <f aca="false">IFERROR(INDEX(02_轉折點45個!B:B,MATCH(A619,02_轉折點45個!A:A,0)),"")</f>
        <v/>
      </c>
      <c r="G619" s="7" t="s">
        <v>1994</v>
      </c>
    </row>
    <row r="620" customFormat="false" ht="15" hidden="false" customHeight="false" outlineLevel="0" collapsed="false">
      <c r="A620" s="7" t="s">
        <v>2537</v>
      </c>
      <c r="B620" s="7" t="n">
        <v>1867.41</v>
      </c>
      <c r="C620" s="7" t="n">
        <f aca="false">AVERAGE(B571:B620)</f>
        <v>1917.5842</v>
      </c>
      <c r="D620" s="7" t="n">
        <f aca="false">AVERAGE(B421:B620)</f>
        <v>2443.9028</v>
      </c>
      <c r="E620" s="7" t="n">
        <f aca="false">B620/MAX(B369:B620)-1</f>
        <v>-0.521816952694086</v>
      </c>
      <c r="F620" s="7" t="str">
        <f aca="false">IFERROR(INDEX(02_轉折點45個!B:B,MATCH(A620,02_轉折點45個!A:A,0)),"")</f>
        <v/>
      </c>
      <c r="G620" s="7" t="s">
        <v>1994</v>
      </c>
    </row>
    <row r="621" customFormat="false" ht="15" hidden="false" customHeight="false" outlineLevel="0" collapsed="false">
      <c r="A621" s="7" t="s">
        <v>2538</v>
      </c>
      <c r="B621" s="7" t="n">
        <v>1853.12</v>
      </c>
      <c r="C621" s="7" t="n">
        <f aca="false">AVERAGE(B572:B621)</f>
        <v>1924.7034</v>
      </c>
      <c r="D621" s="7" t="n">
        <f aca="false">AVERAGE(B422:B621)</f>
        <v>2434.5216</v>
      </c>
      <c r="E621" s="7" t="n">
        <f aca="false">B621/MAX(B370:B621)-1</f>
        <v>-0.525476157553224</v>
      </c>
      <c r="F621" s="7" t="str">
        <f aca="false">IFERROR(INDEX(02_轉折點45個!B:B,MATCH(A621,02_轉折點45個!A:A,0)),"")</f>
        <v/>
      </c>
      <c r="G621" s="7" t="s">
        <v>1994</v>
      </c>
    </row>
    <row r="622" customFormat="false" ht="15" hidden="false" customHeight="false" outlineLevel="0" collapsed="false">
      <c r="A622" s="7" t="s">
        <v>2539</v>
      </c>
      <c r="B622" s="7" t="n">
        <v>1816.76</v>
      </c>
      <c r="C622" s="7" t="n">
        <f aca="false">AVERAGE(B573:B622)</f>
        <v>1928.424</v>
      </c>
      <c r="D622" s="7" t="n">
        <f aca="false">AVERAGE(B423:B622)</f>
        <v>2424.85975</v>
      </c>
      <c r="E622" s="7" t="n">
        <f aca="false">B622/MAX(B371:B622)-1</f>
        <v>-0.534786772576193</v>
      </c>
      <c r="F622" s="7" t="str">
        <f aca="false">IFERROR(INDEX(02_轉折點45個!B:B,MATCH(A622,02_轉折點45個!A:A,0)),"")</f>
        <v/>
      </c>
      <c r="G622" s="7" t="s">
        <v>1994</v>
      </c>
    </row>
    <row r="623" customFormat="false" ht="15" hidden="false" customHeight="false" outlineLevel="0" collapsed="false">
      <c r="A623" s="7" t="s">
        <v>2540</v>
      </c>
      <c r="B623" s="7" t="n">
        <v>1820.44</v>
      </c>
      <c r="C623" s="7" t="n">
        <f aca="false">AVERAGE(B574:B623)</f>
        <v>1933.3994</v>
      </c>
      <c r="D623" s="7" t="n">
        <f aca="false">AVERAGE(B424:B623)</f>
        <v>2414.7479</v>
      </c>
      <c r="E623" s="7" t="n">
        <f aca="false">B623/MAX(B372:B623)-1</f>
        <v>-0.533844444103021</v>
      </c>
      <c r="F623" s="7" t="str">
        <f aca="false">IFERROR(INDEX(02_轉折點45個!B:B,MATCH(A623,02_轉折點45個!A:A,0)),"")</f>
        <v/>
      </c>
      <c r="G623" s="7" t="s">
        <v>1994</v>
      </c>
    </row>
    <row r="624" customFormat="false" ht="15" hidden="false" customHeight="false" outlineLevel="0" collapsed="false">
      <c r="A624" s="7" t="s">
        <v>2541</v>
      </c>
      <c r="B624" s="7" t="n">
        <v>1855.69</v>
      </c>
      <c r="C624" s="7" t="n">
        <f aca="false">AVERAGE(B575:B624)</f>
        <v>1938.6166</v>
      </c>
      <c r="D624" s="7" t="n">
        <f aca="false">AVERAGE(B425:B624)</f>
        <v>2404.6845</v>
      </c>
      <c r="E624" s="7" t="n">
        <f aca="false">B624/MAX(B373:B624)-1</f>
        <v>-0.524818064027123</v>
      </c>
      <c r="F624" s="7" t="str">
        <f aca="false">IFERROR(INDEX(02_轉折點45個!B:B,MATCH(A624,02_轉折點45個!A:A,0)),"")</f>
        <v/>
      </c>
      <c r="G624" s="7" t="s">
        <v>1994</v>
      </c>
    </row>
    <row r="625" customFormat="false" ht="15" hidden="false" customHeight="false" outlineLevel="0" collapsed="false">
      <c r="A625" s="7" t="s">
        <v>2542</v>
      </c>
      <c r="B625" s="7" t="n">
        <v>1880.83</v>
      </c>
      <c r="C625" s="7" t="n">
        <f aca="false">AVERAGE(B576:B625)</f>
        <v>1942.394</v>
      </c>
      <c r="D625" s="7" t="n">
        <f aca="false">AVERAGE(B426:B625)</f>
        <v>2395.16315</v>
      </c>
      <c r="E625" s="7" t="n">
        <f aca="false">B625/MAX(B374:B625)-1</f>
        <v>-0.518380526577248</v>
      </c>
      <c r="F625" s="7" t="str">
        <f aca="false">IFERROR(INDEX(02_轉折點45個!B:B,MATCH(A625,02_轉折點45個!A:A,0)),"")</f>
        <v/>
      </c>
      <c r="G625" s="7" t="s">
        <v>1994</v>
      </c>
    </row>
    <row r="626" customFormat="false" ht="15" hidden="false" customHeight="false" outlineLevel="0" collapsed="false">
      <c r="A626" s="7" t="s">
        <v>2543</v>
      </c>
      <c r="B626" s="7" t="n">
        <v>1858.97</v>
      </c>
      <c r="C626" s="7" t="n">
        <f aca="false">AVERAGE(B577:B626)</f>
        <v>1944.8768</v>
      </c>
      <c r="D626" s="7" t="n">
        <f aca="false">AVERAGE(B427:B626)</f>
        <v>2386.1256</v>
      </c>
      <c r="E626" s="7" t="n">
        <f aca="false">B626/MAX(B375:B626)-1</f>
        <v>-0.523978162561904</v>
      </c>
      <c r="F626" s="7" t="str">
        <f aca="false">IFERROR(INDEX(02_轉折點45個!B:B,MATCH(A626,02_轉折點45個!A:A,0)),"")</f>
        <v/>
      </c>
      <c r="G626" s="7" t="s">
        <v>1994</v>
      </c>
    </row>
    <row r="627" customFormat="false" ht="15" hidden="false" customHeight="false" outlineLevel="0" collapsed="false">
      <c r="A627" s="7" t="s">
        <v>2544</v>
      </c>
      <c r="B627" s="7" t="n">
        <v>1873.62</v>
      </c>
      <c r="C627" s="7" t="n">
        <f aca="false">AVERAGE(B578:B627)</f>
        <v>1946.511</v>
      </c>
      <c r="D627" s="7" t="n">
        <f aca="false">AVERAGE(B428:B627)</f>
        <v>2376.773</v>
      </c>
      <c r="E627" s="7" t="n">
        <f aca="false">B627/MAX(B376:B627)-1</f>
        <v>-0.520226773395609</v>
      </c>
      <c r="F627" s="7" t="str">
        <f aca="false">IFERROR(INDEX(02_轉折點45個!B:B,MATCH(A627,02_轉折點45個!A:A,0)),"")</f>
        <v/>
      </c>
      <c r="G627" s="7" t="s">
        <v>1994</v>
      </c>
    </row>
    <row r="628" customFormat="false" ht="15" hidden="false" customHeight="false" outlineLevel="0" collapsed="false">
      <c r="A628" s="7" t="s">
        <v>2545</v>
      </c>
      <c r="B628" s="7" t="n">
        <v>1886.18</v>
      </c>
      <c r="C628" s="7" t="n">
        <f aca="false">AVERAGE(B579:B628)</f>
        <v>1949.344</v>
      </c>
      <c r="D628" s="7" t="n">
        <f aca="false">AVERAGE(B429:B628)</f>
        <v>2368.03105</v>
      </c>
      <c r="E628" s="7" t="n">
        <f aca="false">B628/MAX(B377:B628)-1</f>
        <v>-0.51701056534587</v>
      </c>
      <c r="F628" s="7" t="str">
        <f aca="false">IFERROR(INDEX(02_轉折點45個!B:B,MATCH(A628,02_轉折點45個!A:A,0)),"")</f>
        <v/>
      </c>
      <c r="G628" s="7" t="s">
        <v>1994</v>
      </c>
    </row>
    <row r="629" customFormat="false" ht="15" hidden="false" customHeight="false" outlineLevel="0" collapsed="false">
      <c r="A629" s="7" t="s">
        <v>2546</v>
      </c>
      <c r="B629" s="7" t="n">
        <v>1895.43</v>
      </c>
      <c r="C629" s="7" t="n">
        <f aca="false">AVERAGE(B580:B629)</f>
        <v>1952.1126</v>
      </c>
      <c r="D629" s="7" t="n">
        <f aca="false">AVERAGE(B430:B629)</f>
        <v>2359.7102</v>
      </c>
      <c r="E629" s="7" t="n">
        <f aca="false">B629/MAX(B378:B629)-1</f>
        <v>-0.514641940786947</v>
      </c>
      <c r="F629" s="7" t="str">
        <f aca="false">IFERROR(INDEX(02_轉折點45個!B:B,MATCH(A629,02_轉折點45個!A:A,0)),"")</f>
        <v/>
      </c>
      <c r="G629" s="7" t="s">
        <v>1994</v>
      </c>
    </row>
    <row r="630" customFormat="false" ht="15" hidden="false" customHeight="false" outlineLevel="0" collapsed="false">
      <c r="A630" s="7" t="s">
        <v>2547</v>
      </c>
      <c r="B630" s="7" t="n">
        <v>1941.76</v>
      </c>
      <c r="C630" s="7" t="n">
        <f aca="false">AVERAGE(B581:B630)</f>
        <v>1952.9534</v>
      </c>
      <c r="D630" s="7" t="n">
        <f aca="false">AVERAGE(B431:B630)</f>
        <v>2351.83495</v>
      </c>
      <c r="E630" s="7" t="n">
        <f aca="false">B630/MAX(B379:B630)-1</f>
        <v>-0.502778332590738</v>
      </c>
      <c r="F630" s="7" t="str">
        <f aca="false">IFERROR(INDEX(02_轉折點45個!B:B,MATCH(A630,02_轉折點45個!A:A,0)),"")</f>
        <v/>
      </c>
      <c r="G630" s="7" t="s">
        <v>1994</v>
      </c>
    </row>
    <row r="631" customFormat="false" ht="15" hidden="false" customHeight="false" outlineLevel="0" collapsed="false">
      <c r="A631" s="7" t="s">
        <v>2548</v>
      </c>
      <c r="B631" s="7" t="n">
        <v>1973.81</v>
      </c>
      <c r="C631" s="7" t="n">
        <f aca="false">AVERAGE(B582:B631)</f>
        <v>1952.5588</v>
      </c>
      <c r="D631" s="7" t="n">
        <f aca="false">AVERAGE(B432:B631)</f>
        <v>2343.91725</v>
      </c>
      <c r="E631" s="7" t="n">
        <f aca="false">B631/MAX(B380:B631)-1</f>
        <v>-0.494571368578467</v>
      </c>
      <c r="F631" s="7" t="str">
        <f aca="false">IFERROR(INDEX(02_轉折點45個!B:B,MATCH(A631,02_轉折點45個!A:A,0)),"")</f>
        <v/>
      </c>
      <c r="G631" s="7" t="s">
        <v>1994</v>
      </c>
    </row>
    <row r="632" customFormat="false" ht="15" hidden="false" customHeight="false" outlineLevel="0" collapsed="false">
      <c r="A632" s="7" t="s">
        <v>2549</v>
      </c>
      <c r="B632" s="7" t="n">
        <v>1963.01</v>
      </c>
      <c r="C632" s="7" t="n">
        <f aca="false">AVERAGE(B583:B632)</f>
        <v>1952.2904</v>
      </c>
      <c r="D632" s="7" t="n">
        <f aca="false">AVERAGE(B433:B632)</f>
        <v>2335.8543</v>
      </c>
      <c r="E632" s="7" t="n">
        <f aca="false">B632/MAX(B381:B632)-1</f>
        <v>-0.49733689779321</v>
      </c>
      <c r="F632" s="7" t="str">
        <f aca="false">IFERROR(INDEX(02_轉折點45個!B:B,MATCH(A632,02_轉折點45個!A:A,0)),"")</f>
        <v/>
      </c>
      <c r="G632" s="7" t="s">
        <v>1994</v>
      </c>
    </row>
    <row r="633" customFormat="false" ht="15" hidden="false" customHeight="false" outlineLevel="0" collapsed="false">
      <c r="A633" s="7" t="s">
        <v>2550</v>
      </c>
      <c r="B633" s="7" t="n">
        <v>1955.78</v>
      </c>
      <c r="C633" s="7" t="n">
        <f aca="false">AVERAGE(B584:B633)</f>
        <v>1953.7792</v>
      </c>
      <c r="D633" s="7" t="n">
        <f aca="false">AVERAGE(B434:B633)</f>
        <v>2328.1144</v>
      </c>
      <c r="E633" s="7" t="n">
        <f aca="false">B633/MAX(B382:B633)-1</f>
        <v>-0.499188265961969</v>
      </c>
      <c r="F633" s="7" t="str">
        <f aca="false">IFERROR(INDEX(02_轉折點45個!B:B,MATCH(A633,02_轉折點45個!A:A,0)),"")</f>
        <v/>
      </c>
      <c r="G633" s="7" t="s">
        <v>1994</v>
      </c>
    </row>
    <row r="634" customFormat="false" ht="15" hidden="false" customHeight="false" outlineLevel="0" collapsed="false">
      <c r="A634" s="7" t="s">
        <v>2551</v>
      </c>
      <c r="B634" s="7" t="n">
        <v>1900.33</v>
      </c>
      <c r="C634" s="7" t="n">
        <f aca="false">AVERAGE(B585:B634)</f>
        <v>1954.9394</v>
      </c>
      <c r="D634" s="7" t="n">
        <f aca="false">AVERAGE(B435:B634)</f>
        <v>2320.5938</v>
      </c>
      <c r="E634" s="7" t="n">
        <f aca="false">B634/MAX(B383:B634)-1</f>
        <v>-0.513387209939517</v>
      </c>
      <c r="F634" s="7" t="str">
        <f aca="false">IFERROR(INDEX(02_轉折點45個!B:B,MATCH(A634,02_轉折點45個!A:A,0)),"")</f>
        <v/>
      </c>
      <c r="G634" s="7" t="s">
        <v>1994</v>
      </c>
    </row>
    <row r="635" customFormat="false" ht="15" hidden="false" customHeight="false" outlineLevel="0" collapsed="false">
      <c r="A635" s="7" t="s">
        <v>2552</v>
      </c>
      <c r="B635" s="7" t="n">
        <v>1830.95</v>
      </c>
      <c r="C635" s="7" t="n">
        <f aca="false">AVERAGE(B586:B635)</f>
        <v>1953.9228</v>
      </c>
      <c r="D635" s="7" t="n">
        <f aca="false">AVERAGE(B436:B635)</f>
        <v>2312.09085</v>
      </c>
      <c r="E635" s="7" t="n">
        <f aca="false">B635/MAX(B384:B635)-1</f>
        <v>-0.531153174469044</v>
      </c>
      <c r="F635" s="7" t="str">
        <f aca="false">IFERROR(INDEX(02_轉折點45個!B:B,MATCH(A635,02_轉折點45個!A:A,0)),"")</f>
        <v/>
      </c>
      <c r="G635" s="7" t="s">
        <v>1994</v>
      </c>
    </row>
    <row r="636" customFormat="false" ht="15" hidden="false" customHeight="false" outlineLevel="0" collapsed="false">
      <c r="A636" s="7" t="s">
        <v>2553</v>
      </c>
      <c r="B636" s="7" t="n">
        <v>1851.55</v>
      </c>
      <c r="C636" s="7" t="n">
        <f aca="false">AVERAGE(B587:B636)</f>
        <v>1953.7736</v>
      </c>
      <c r="D636" s="7" t="n">
        <f aca="false">AVERAGE(B437:B636)</f>
        <v>2303.54565</v>
      </c>
      <c r="E636" s="7" t="n">
        <f aca="false">B636/MAX(B385:B636)-1</f>
        <v>-0.525878183559441</v>
      </c>
      <c r="F636" s="7" t="str">
        <f aca="false">IFERROR(INDEX(02_轉折點45個!B:B,MATCH(A636,02_轉折點45個!A:A,0)),"")</f>
        <v/>
      </c>
      <c r="G636" s="7" t="s">
        <v>1994</v>
      </c>
    </row>
    <row r="637" customFormat="false" ht="15" hidden="false" customHeight="false" outlineLevel="0" collapsed="false">
      <c r="A637" s="7" t="s">
        <v>2554</v>
      </c>
      <c r="B637" s="7" t="n">
        <v>1793.15</v>
      </c>
      <c r="C637" s="7" t="n">
        <f aca="false">AVERAGE(B588:B637)</f>
        <v>1951.711</v>
      </c>
      <c r="D637" s="7" t="n">
        <f aca="false">AVERAGE(B438:B637)</f>
        <v>2295.02165</v>
      </c>
      <c r="E637" s="7" t="n">
        <f aca="false">B637/MAX(B386:B637)-1</f>
        <v>-0.540832526720646</v>
      </c>
      <c r="F637" s="7" t="str">
        <f aca="false">IFERROR(INDEX(02_轉折點45個!B:B,MATCH(A637,02_轉折點45個!A:A,0)),"")</f>
        <v/>
      </c>
      <c r="G637" s="7" t="s">
        <v>1994</v>
      </c>
    </row>
    <row r="638" customFormat="false" ht="15" hidden="false" customHeight="false" outlineLevel="0" collapsed="false">
      <c r="A638" s="7" t="s">
        <v>2555</v>
      </c>
      <c r="B638" s="7" t="n">
        <v>1801.6</v>
      </c>
      <c r="C638" s="7" t="n">
        <f aca="false">AVERAGE(B589:B638)</f>
        <v>1949.0762</v>
      </c>
      <c r="D638" s="7" t="n">
        <f aca="false">AVERAGE(B439:B638)</f>
        <v>2286.6546</v>
      </c>
      <c r="E638" s="7" t="n">
        <f aca="false">B638/MAX(B387:B638)-1</f>
        <v>-0.538668756177629</v>
      </c>
      <c r="F638" s="7" t="str">
        <f aca="false">IFERROR(INDEX(02_轉折點45個!B:B,MATCH(A638,02_轉折點45個!A:A,0)),"")</f>
        <v/>
      </c>
      <c r="G638" s="7" t="s">
        <v>1994</v>
      </c>
    </row>
    <row r="639" customFormat="false" ht="15" hidden="false" customHeight="false" outlineLevel="0" collapsed="false">
      <c r="A639" s="7" t="s">
        <v>2556</v>
      </c>
      <c r="B639" s="7" t="n">
        <v>1896.34</v>
      </c>
      <c r="C639" s="7" t="n">
        <f aca="false">AVERAGE(B590:B639)</f>
        <v>1947.3862</v>
      </c>
      <c r="D639" s="7" t="n">
        <f aca="false">AVERAGE(B440:B639)</f>
        <v>2279.0469</v>
      </c>
      <c r="E639" s="7" t="n">
        <f aca="false">B639/MAX(B388:B639)-1</f>
        <v>-0.514408919343853</v>
      </c>
      <c r="F639" s="7" t="str">
        <f aca="false">IFERROR(INDEX(02_轉折點45個!B:B,MATCH(A639,02_轉折點45個!A:A,0)),"")</f>
        <v/>
      </c>
      <c r="G639" s="7" t="s">
        <v>1994</v>
      </c>
    </row>
    <row r="640" customFormat="false" ht="15" hidden="false" customHeight="false" outlineLevel="0" collapsed="false">
      <c r="A640" s="7" t="s">
        <v>2557</v>
      </c>
      <c r="B640" s="7" t="n">
        <v>1904.61</v>
      </c>
      <c r="C640" s="7" t="n">
        <f aca="false">AVERAGE(B591:B640)</f>
        <v>1944.9048</v>
      </c>
      <c r="D640" s="7" t="n">
        <f aca="false">AVERAGE(B441:B640)</f>
        <v>2271.71865</v>
      </c>
      <c r="E640" s="7" t="n">
        <f aca="false">B640/MAX(B389:B640)-1</f>
        <v>-0.512291240954415</v>
      </c>
      <c r="F640" s="7" t="str">
        <f aca="false">IFERROR(INDEX(02_轉折點45個!B:B,MATCH(A640,02_轉折點45個!A:A,0)),"")</f>
        <v/>
      </c>
      <c r="G640" s="7" t="s">
        <v>1994</v>
      </c>
    </row>
    <row r="641" customFormat="false" ht="15" hidden="false" customHeight="false" outlineLevel="0" collapsed="false">
      <c r="A641" s="7" t="s">
        <v>2558</v>
      </c>
      <c r="B641" s="7" t="n">
        <v>1853.75</v>
      </c>
      <c r="C641" s="7" t="n">
        <f aca="false">AVERAGE(B592:B641)</f>
        <v>1942.7656</v>
      </c>
      <c r="D641" s="7" t="n">
        <f aca="false">AVERAGE(B442:B641)</f>
        <v>2264.2859</v>
      </c>
      <c r="E641" s="7" t="n">
        <f aca="false">B641/MAX(B390:B641)-1</f>
        <v>-0.525314835015697</v>
      </c>
      <c r="F641" s="7" t="str">
        <f aca="false">IFERROR(INDEX(02_轉折點45個!B:B,MATCH(A641,02_轉折點45個!A:A,0)),"")</f>
        <v/>
      </c>
      <c r="G641" s="7" t="s">
        <v>1994</v>
      </c>
    </row>
    <row r="642" customFormat="false" ht="15" hidden="false" customHeight="false" outlineLevel="0" collapsed="false">
      <c r="A642" s="7" t="s">
        <v>2559</v>
      </c>
      <c r="B642" s="7" t="n">
        <v>1888.65</v>
      </c>
      <c r="C642" s="7" t="n">
        <f aca="false">AVERAGE(B593:B642)</f>
        <v>1940.4962</v>
      </c>
      <c r="D642" s="7" t="n">
        <f aca="false">AVERAGE(B443:B642)</f>
        <v>2256.4703</v>
      </c>
      <c r="E642" s="7" t="n">
        <f aca="false">B642/MAX(B391:B642)-1</f>
        <v>-0.511771107727544</v>
      </c>
      <c r="F642" s="7" t="str">
        <f aca="false">IFERROR(INDEX(02_轉折點45個!B:B,MATCH(A642,02_轉折點45個!A:A,0)),"")</f>
        <v/>
      </c>
      <c r="G642" s="7" t="s">
        <v>1994</v>
      </c>
    </row>
    <row r="643" customFormat="false" ht="15" hidden="false" customHeight="false" outlineLevel="0" collapsed="false">
      <c r="A643" s="7" t="s">
        <v>2560</v>
      </c>
      <c r="B643" s="7" t="n">
        <v>1841.92</v>
      </c>
      <c r="C643" s="7" t="n">
        <f aca="false">AVERAGE(B594:B643)</f>
        <v>1937.6204</v>
      </c>
      <c r="D643" s="7" t="n">
        <f aca="false">AVERAGE(B444:B643)</f>
        <v>2248.90295</v>
      </c>
      <c r="E643" s="7" t="n">
        <f aca="false">B643/MAX(B392:B643)-1</f>
        <v>-0.52385113109656</v>
      </c>
      <c r="F643" s="7" t="str">
        <f aca="false">IFERROR(INDEX(02_轉折點45個!B:B,MATCH(A643,02_轉折點45個!A:A,0)),"")</f>
        <v/>
      </c>
      <c r="G643" s="7" t="s">
        <v>1994</v>
      </c>
    </row>
    <row r="644" customFormat="false" ht="15" hidden="false" customHeight="false" outlineLevel="0" collapsed="false">
      <c r="A644" s="7" t="s">
        <v>2561</v>
      </c>
      <c r="B644" s="7" t="n">
        <v>1869.71</v>
      </c>
      <c r="C644" s="7" t="n">
        <f aca="false">AVERAGE(B595:B644)</f>
        <v>1934.8398</v>
      </c>
      <c r="D644" s="7" t="n">
        <f aca="false">AVERAGE(B445:B644)</f>
        <v>2241.94925</v>
      </c>
      <c r="E644" s="7" t="n">
        <f aca="false">B644/MAX(B393:B644)-1</f>
        <v>-0.516667226764761</v>
      </c>
      <c r="F644" s="7" t="str">
        <f aca="false">IFERROR(INDEX(02_轉折點45個!B:B,MATCH(A644,02_轉折點45個!A:A,0)),"")</f>
        <v/>
      </c>
      <c r="G644" s="7" t="s">
        <v>1994</v>
      </c>
    </row>
    <row r="645" customFormat="false" ht="15" hidden="false" customHeight="false" outlineLevel="0" collapsed="false">
      <c r="A645" s="7" t="s">
        <v>2562</v>
      </c>
      <c r="B645" s="7" t="n">
        <v>1853.98</v>
      </c>
      <c r="C645" s="7" t="n">
        <f aca="false">AVERAGE(B596:B645)</f>
        <v>1932.5146</v>
      </c>
      <c r="D645" s="7" t="n">
        <f aca="false">AVERAGE(B446:B645)</f>
        <v>2235.4334</v>
      </c>
      <c r="E645" s="7" t="n">
        <f aca="false">B645/MAX(B394:B645)-1</f>
        <v>-0.520733538932419</v>
      </c>
      <c r="F645" s="7" t="str">
        <f aca="false">IFERROR(INDEX(02_轉折點45個!B:B,MATCH(A645,02_轉折點45個!A:A,0)),"")</f>
        <v/>
      </c>
      <c r="G645" s="7" t="s">
        <v>1994</v>
      </c>
    </row>
    <row r="646" customFormat="false" ht="15" hidden="false" customHeight="false" outlineLevel="0" collapsed="false">
      <c r="A646" s="7" t="s">
        <v>2563</v>
      </c>
      <c r="B646" s="7" t="n">
        <v>1816.69</v>
      </c>
      <c r="C646" s="7" t="n">
        <f aca="false">AVERAGE(B597:B646)</f>
        <v>1929.951</v>
      </c>
      <c r="D646" s="7" t="n">
        <f aca="false">AVERAGE(B447:B646)</f>
        <v>2228.4238</v>
      </c>
      <c r="E646" s="7" t="n">
        <f aca="false">B646/MAX(B395:B646)-1</f>
        <v>-0.530373257987214</v>
      </c>
      <c r="F646" s="7" t="str">
        <f aca="false">IFERROR(INDEX(02_轉折點45個!B:B,MATCH(A646,02_轉折點45個!A:A,0)),"")</f>
        <v/>
      </c>
      <c r="G646" s="7" t="s">
        <v>1994</v>
      </c>
    </row>
    <row r="647" customFormat="false" ht="15" hidden="false" customHeight="false" outlineLevel="0" collapsed="false">
      <c r="A647" s="7" t="s">
        <v>2564</v>
      </c>
      <c r="B647" s="7" t="n">
        <v>1789.91</v>
      </c>
      <c r="C647" s="7" t="n">
        <f aca="false">AVERAGE(B598:B647)</f>
        <v>1927.2434</v>
      </c>
      <c r="D647" s="7" t="n">
        <f aca="false">AVERAGE(B448:B647)</f>
        <v>2221.51325</v>
      </c>
      <c r="E647" s="7" t="n">
        <f aca="false">B647/MAX(B396:B647)-1</f>
        <v>-0.537296070437936</v>
      </c>
      <c r="F647" s="7" t="str">
        <f aca="false">IFERROR(INDEX(02_轉折點45個!B:B,MATCH(A647,02_轉折點45個!A:A,0)),"")</f>
        <v/>
      </c>
      <c r="G647" s="7" t="s">
        <v>1994</v>
      </c>
    </row>
    <row r="648" customFormat="false" ht="15" hidden="false" customHeight="false" outlineLevel="0" collapsed="false">
      <c r="A648" s="7" t="s">
        <v>2565</v>
      </c>
      <c r="B648" s="7" t="n">
        <v>1812.82</v>
      </c>
      <c r="C648" s="7" t="n">
        <f aca="false">AVERAGE(B599:B648)</f>
        <v>1925.46</v>
      </c>
      <c r="D648" s="7" t="n">
        <f aca="false">AVERAGE(B449:B648)</f>
        <v>2215.2247</v>
      </c>
      <c r="E648" s="7" t="n">
        <f aca="false">B648/MAX(B397:B648)-1</f>
        <v>-0.531373679353319</v>
      </c>
      <c r="F648" s="7" t="str">
        <f aca="false">IFERROR(INDEX(02_轉折點45個!B:B,MATCH(A648,02_轉折點45個!A:A,0)),"")</f>
        <v/>
      </c>
      <c r="G648" s="7" t="s">
        <v>1994</v>
      </c>
    </row>
    <row r="649" customFormat="false" ht="15" hidden="false" customHeight="false" outlineLevel="0" collapsed="false">
      <c r="A649" s="7" t="s">
        <v>2566</v>
      </c>
      <c r="B649" s="7" t="n">
        <v>1848.12</v>
      </c>
      <c r="C649" s="7" t="n">
        <f aca="false">AVERAGE(B600:B649)</f>
        <v>1924.3158</v>
      </c>
      <c r="D649" s="7" t="n">
        <f aca="false">AVERAGE(B450:B649)</f>
        <v>2209.13755</v>
      </c>
      <c r="E649" s="7" t="n">
        <f aca="false">B649/MAX(B398:B649)-1</f>
        <v>-0.522248388856288</v>
      </c>
      <c r="F649" s="7" t="str">
        <f aca="false">IFERROR(INDEX(02_轉折點45個!B:B,MATCH(A649,02_轉折點45個!A:A,0)),"")</f>
        <v/>
      </c>
      <c r="G649" s="7" t="s">
        <v>1994</v>
      </c>
    </row>
    <row r="650" customFormat="false" ht="15" hidden="false" customHeight="false" outlineLevel="0" collapsed="false">
      <c r="A650" s="7" t="s">
        <v>2567</v>
      </c>
      <c r="B650" s="7" t="n">
        <v>1853.7</v>
      </c>
      <c r="C650" s="7" t="n">
        <f aca="false">AVERAGE(B601:B650)</f>
        <v>1921.8058</v>
      </c>
      <c r="D650" s="7" t="n">
        <f aca="false">AVERAGE(B451:B650)</f>
        <v>2203.6037</v>
      </c>
      <c r="E650" s="7" t="n">
        <f aca="false">B650/MAX(B399:B650)-1</f>
        <v>-0.520805920840044</v>
      </c>
      <c r="F650" s="7" t="str">
        <f aca="false">IFERROR(INDEX(02_轉折點45個!B:B,MATCH(A650,02_轉折點45個!A:A,0)),"")</f>
        <v/>
      </c>
      <c r="G650" s="7" t="s">
        <v>1994</v>
      </c>
    </row>
    <row r="651" customFormat="false" ht="15" hidden="false" customHeight="false" outlineLevel="0" collapsed="false">
      <c r="A651" s="7" t="s">
        <v>2568</v>
      </c>
      <c r="B651" s="7" t="n">
        <v>1843.44</v>
      </c>
      <c r="C651" s="7" t="n">
        <f aca="false">AVERAGE(B602:B651)</f>
        <v>1918.5928</v>
      </c>
      <c r="D651" s="7" t="n">
        <f aca="false">AVERAGE(B452:B651)</f>
        <v>2198.34765</v>
      </c>
      <c r="E651" s="7" t="n">
        <f aca="false">B651/MAX(B400:B651)-1</f>
        <v>-0.523458200740881</v>
      </c>
      <c r="F651" s="7" t="str">
        <f aca="false">IFERROR(INDEX(02_轉折點45個!B:B,MATCH(A651,02_轉折點45個!A:A,0)),"")</f>
        <v/>
      </c>
      <c r="G651" s="7" t="s">
        <v>1994</v>
      </c>
    </row>
    <row r="652" customFormat="false" ht="15" hidden="false" customHeight="false" outlineLevel="0" collapsed="false">
      <c r="A652" s="7" t="s">
        <v>2569</v>
      </c>
      <c r="B652" s="7" t="n">
        <v>1851.93</v>
      </c>
      <c r="C652" s="7" t="n">
        <f aca="false">AVERAGE(B603:B652)</f>
        <v>1915.4546</v>
      </c>
      <c r="D652" s="7" t="n">
        <f aca="false">AVERAGE(B453:B652)</f>
        <v>2193.5626</v>
      </c>
      <c r="E652" s="7" t="n">
        <f aca="false">B652/MAX(B401:B652)-1</f>
        <v>-0.52126347789896</v>
      </c>
      <c r="F652" s="7" t="str">
        <f aca="false">IFERROR(INDEX(02_轉折點45個!B:B,MATCH(A652,02_轉折點45個!A:A,0)),"")</f>
        <v/>
      </c>
      <c r="G652" s="7" t="s">
        <v>1994</v>
      </c>
    </row>
    <row r="653" customFormat="false" ht="15" hidden="false" customHeight="false" outlineLevel="0" collapsed="false">
      <c r="A653" s="7" t="s">
        <v>2570</v>
      </c>
      <c r="B653" s="7" t="n">
        <v>1889.62</v>
      </c>
      <c r="C653" s="7" t="n">
        <f aca="false">AVERAGE(B604:B653)</f>
        <v>1911.1206</v>
      </c>
      <c r="D653" s="7" t="n">
        <f aca="false">AVERAGE(B454:B653)</f>
        <v>2187.86015</v>
      </c>
      <c r="E653" s="7" t="n">
        <f aca="false">B653/MAX(B402:B653)-1</f>
        <v>-0.511520356118986</v>
      </c>
      <c r="F653" s="7" t="str">
        <f aca="false">IFERROR(INDEX(02_轉折點45個!B:B,MATCH(A653,02_轉折點45個!A:A,0)),"")</f>
        <v/>
      </c>
      <c r="G653" s="7" t="s">
        <v>1994</v>
      </c>
    </row>
    <row r="654" customFormat="false" ht="15" hidden="false" customHeight="false" outlineLevel="0" collapsed="false">
      <c r="A654" s="7" t="s">
        <v>2571</v>
      </c>
      <c r="B654" s="7" t="n">
        <v>1906.97</v>
      </c>
      <c r="C654" s="7" t="n">
        <f aca="false">AVERAGE(B605:B654)</f>
        <v>1906.9826</v>
      </c>
      <c r="D654" s="7" t="n">
        <f aca="false">AVERAGE(B455:B654)</f>
        <v>2182.36545</v>
      </c>
      <c r="E654" s="7" t="n">
        <f aca="false">B654/MAX(B403:B654)-1</f>
        <v>-0.507035262914354</v>
      </c>
      <c r="F654" s="7" t="str">
        <f aca="false">IFERROR(INDEX(02_轉折點45個!B:B,MATCH(A654,02_轉折點45個!A:A,0)),"")</f>
        <v/>
      </c>
      <c r="G654" s="7" t="s">
        <v>1994</v>
      </c>
    </row>
    <row r="655" customFormat="false" ht="15" hidden="false" customHeight="false" outlineLevel="0" collapsed="false">
      <c r="A655" s="7" t="s">
        <v>2572</v>
      </c>
      <c r="B655" s="7" t="n">
        <v>1887.74</v>
      </c>
      <c r="C655" s="7" t="n">
        <f aca="false">AVERAGE(B606:B655)</f>
        <v>1903.7458</v>
      </c>
      <c r="D655" s="7" t="n">
        <f aca="false">AVERAGE(B456:B655)</f>
        <v>2177.1232</v>
      </c>
      <c r="E655" s="7" t="n">
        <f aca="false">B655/MAX(B404:B655)-1</f>
        <v>-0.512006348927326</v>
      </c>
      <c r="F655" s="7" t="str">
        <f aca="false">IFERROR(INDEX(02_轉折點45個!B:B,MATCH(A655,02_轉折點45個!A:A,0)),"")</f>
        <v/>
      </c>
      <c r="G655" s="7" t="s">
        <v>1994</v>
      </c>
    </row>
    <row r="656" customFormat="false" ht="15" hidden="false" customHeight="false" outlineLevel="0" collapsed="false">
      <c r="A656" s="7" t="s">
        <v>2573</v>
      </c>
      <c r="B656" s="7" t="n">
        <v>1858.44</v>
      </c>
      <c r="C656" s="7" t="n">
        <f aca="false">AVERAGE(B607:B656)</f>
        <v>1899.2188</v>
      </c>
      <c r="D656" s="7" t="n">
        <f aca="false">AVERAGE(B457:B656)</f>
        <v>2171.92815</v>
      </c>
      <c r="E656" s="7" t="n">
        <f aca="false">B656/MAX(B405:B656)-1</f>
        <v>-0.519580598546675</v>
      </c>
      <c r="F656" s="7" t="str">
        <f aca="false">IFERROR(INDEX(02_轉折點45個!B:B,MATCH(A656,02_轉折點45個!A:A,0)),"")</f>
        <v/>
      </c>
      <c r="G656" s="7" t="s">
        <v>1994</v>
      </c>
    </row>
    <row r="657" customFormat="false" ht="15" hidden="false" customHeight="false" outlineLevel="0" collapsed="false">
      <c r="A657" s="7" t="s">
        <v>2574</v>
      </c>
      <c r="B657" s="7" t="n">
        <v>1852.53</v>
      </c>
      <c r="C657" s="7" t="n">
        <f aca="false">AVERAGE(B608:B657)</f>
        <v>1895.1398</v>
      </c>
      <c r="D657" s="7" t="n">
        <f aca="false">AVERAGE(B458:B657)</f>
        <v>2165.5751</v>
      </c>
      <c r="E657" s="7" t="n">
        <f aca="false">B657/MAX(B406:B657)-1</f>
        <v>-0.521108373811192</v>
      </c>
      <c r="F657" s="7" t="str">
        <f aca="false">IFERROR(INDEX(02_轉折點45個!B:B,MATCH(A657,02_轉折點45個!A:A,0)),"")</f>
        <v/>
      </c>
      <c r="G657" s="7" t="s">
        <v>1994</v>
      </c>
    </row>
    <row r="658" customFormat="false" ht="15" hidden="false" customHeight="false" outlineLevel="0" collapsed="false">
      <c r="A658" s="7" t="s">
        <v>2575</v>
      </c>
      <c r="B658" s="7" t="n">
        <v>1796.41</v>
      </c>
      <c r="C658" s="7" t="n">
        <f aca="false">AVERAGE(B609:B658)</f>
        <v>1891.3178</v>
      </c>
      <c r="D658" s="7" t="n">
        <f aca="false">AVERAGE(B459:B658)</f>
        <v>2158.64665</v>
      </c>
      <c r="E658" s="7" t="n">
        <f aca="false">B658/MAX(B407:B658)-1</f>
        <v>-0.535615776153781</v>
      </c>
      <c r="F658" s="7" t="str">
        <f aca="false">IFERROR(INDEX(02_轉折點45個!B:B,MATCH(A658,02_轉折點45個!A:A,0)),"")</f>
        <v/>
      </c>
      <c r="G658" s="7" t="s">
        <v>1994</v>
      </c>
    </row>
    <row r="659" customFormat="false" ht="15" hidden="false" customHeight="false" outlineLevel="0" collapsed="false">
      <c r="A659" s="7" t="s">
        <v>2576</v>
      </c>
      <c r="B659" s="7" t="n">
        <v>1793.64</v>
      </c>
      <c r="C659" s="7" t="n">
        <f aca="false">AVERAGE(B610:B659)</f>
        <v>1889.1038</v>
      </c>
      <c r="D659" s="7" t="n">
        <f aca="false">AVERAGE(B460:B659)</f>
        <v>2151.77035</v>
      </c>
      <c r="E659" s="7" t="n">
        <f aca="false">B659/MAX(B408:B659)-1</f>
        <v>-0.536331840025644</v>
      </c>
      <c r="F659" s="7" t="str">
        <f aca="false">IFERROR(INDEX(02_轉折點45個!B:B,MATCH(A659,02_轉折點45個!A:A,0)),"")</f>
        <v/>
      </c>
      <c r="G659" s="7" t="s">
        <v>1994</v>
      </c>
    </row>
    <row r="660" customFormat="false" ht="15" hidden="false" customHeight="false" outlineLevel="0" collapsed="false">
      <c r="A660" s="7" t="s">
        <v>438</v>
      </c>
      <c r="B660" s="7" t="n">
        <v>1787.38</v>
      </c>
      <c r="C660" s="7" t="n">
        <f aca="false">AVERAGE(B611:B660)</f>
        <v>1886.2896</v>
      </c>
      <c r="D660" s="7" t="n">
        <f aca="false">AVERAGE(B461:B660)</f>
        <v>2145.0861</v>
      </c>
      <c r="E660" s="7" t="n">
        <f aca="false">B660/MAX(B409:B660)-1</f>
        <v>-0.537950092674692</v>
      </c>
      <c r="F660" s="7" t="str">
        <f aca="false">IFERROR(INDEX(02_轉折點45個!B:B,MATCH(A660,02_轉折點45個!A:A,0)),"")</f>
        <v/>
      </c>
      <c r="G660" s="7" t="s">
        <v>1994</v>
      </c>
    </row>
    <row r="661" customFormat="false" ht="15" hidden="false" customHeight="false" outlineLevel="0" collapsed="false">
      <c r="A661" s="7" t="s">
        <v>2577</v>
      </c>
      <c r="B661" s="7" t="n">
        <v>1810.93</v>
      </c>
      <c r="C661" s="7" t="n">
        <f aca="false">AVERAGE(B612:B661)</f>
        <v>1883.2348</v>
      </c>
      <c r="D661" s="7" t="n">
        <f aca="false">AVERAGE(B462:B661)</f>
        <v>2139.3885</v>
      </c>
      <c r="E661" s="7" t="n">
        <f aca="false">B661/MAX(B410:B661)-1</f>
        <v>-0.531862257229789</v>
      </c>
      <c r="F661" s="7" t="str">
        <f aca="false">IFERROR(INDEX(02_轉折點45個!B:B,MATCH(A661,02_轉折點45個!A:A,0)),"")</f>
        <v/>
      </c>
      <c r="G661" s="7" t="s">
        <v>1994</v>
      </c>
    </row>
    <row r="662" customFormat="false" ht="15" hidden="false" customHeight="false" outlineLevel="0" collapsed="false">
      <c r="A662" s="7" t="s">
        <v>2578</v>
      </c>
      <c r="B662" s="7" t="n">
        <v>1794.74</v>
      </c>
      <c r="C662" s="7" t="n">
        <f aca="false">AVERAGE(B613:B662)</f>
        <v>1879.7376</v>
      </c>
      <c r="D662" s="7" t="n">
        <f aca="false">AVERAGE(B463:B662)</f>
        <v>2133.41535</v>
      </c>
      <c r="E662" s="7" t="n">
        <f aca="false">B662/MAX(B411:B662)-1</f>
        <v>-0.536047482531402</v>
      </c>
      <c r="F662" s="7" t="str">
        <f aca="false">IFERROR(INDEX(02_轉折點45個!B:B,MATCH(A662,02_轉折點45個!A:A,0)),"")</f>
        <v/>
      </c>
      <c r="G662" s="7" t="s">
        <v>1994</v>
      </c>
    </row>
    <row r="663" customFormat="false" ht="15" hidden="false" customHeight="false" outlineLevel="0" collapsed="false">
      <c r="A663" s="7" t="s">
        <v>2579</v>
      </c>
      <c r="B663" s="7" t="n">
        <v>1753.05</v>
      </c>
      <c r="C663" s="7" t="n">
        <f aca="false">AVERAGE(B614:B663)</f>
        <v>1873.9864</v>
      </c>
      <c r="D663" s="7" t="n">
        <f aca="false">AVERAGE(B464:B663)</f>
        <v>2127.2055</v>
      </c>
      <c r="E663" s="7" t="n">
        <f aca="false">B663/MAX(B412:B663)-1</f>
        <v>-0.546824631563165</v>
      </c>
      <c r="F663" s="7" t="str">
        <f aca="false">IFERROR(INDEX(02_轉折點45個!B:B,MATCH(A663,02_轉折點45個!A:A,0)),"")</f>
        <v/>
      </c>
      <c r="G663" s="7" t="s">
        <v>1994</v>
      </c>
    </row>
    <row r="664" customFormat="false" ht="15" hidden="false" customHeight="false" outlineLevel="0" collapsed="false">
      <c r="A664" s="7" t="s">
        <v>2580</v>
      </c>
      <c r="B664" s="7" t="n">
        <v>1763.49</v>
      </c>
      <c r="C664" s="7" t="n">
        <f aca="false">AVERAGE(B615:B664)</f>
        <v>1868.735</v>
      </c>
      <c r="D664" s="7" t="n">
        <f aca="false">AVERAGE(B465:B664)</f>
        <v>2121.44505</v>
      </c>
      <c r="E664" s="7" t="n">
        <f aca="false">B664/MAX(B413:B664)-1</f>
        <v>-0.544125820435998</v>
      </c>
      <c r="F664" s="7" t="str">
        <f aca="false">IFERROR(INDEX(02_轉折點45個!B:B,MATCH(A664,02_轉折點45個!A:A,0)),"")</f>
        <v/>
      </c>
      <c r="G664" s="7" t="s">
        <v>1994</v>
      </c>
    </row>
    <row r="665" customFormat="false" ht="15" hidden="false" customHeight="false" outlineLevel="0" collapsed="false">
      <c r="A665" s="7" t="s">
        <v>2581</v>
      </c>
      <c r="B665" s="7" t="n">
        <v>1705.65</v>
      </c>
      <c r="C665" s="7" t="n">
        <f aca="false">AVERAGE(B616:B665)</f>
        <v>1861.4814</v>
      </c>
      <c r="D665" s="7" t="n">
        <f aca="false">AVERAGE(B466:B665)</f>
        <v>2114.5813</v>
      </c>
      <c r="E665" s="7" t="n">
        <f aca="false">B665/MAX(B414:B665)-1</f>
        <v>-0.559077854496855</v>
      </c>
      <c r="F665" s="7" t="str">
        <f aca="false">IFERROR(INDEX(02_轉折點45個!B:B,MATCH(A665,02_轉折點45個!A:A,0)),"")</f>
        <v/>
      </c>
      <c r="G665" s="7" t="s">
        <v>1994</v>
      </c>
    </row>
    <row r="666" customFormat="false" ht="15" hidden="false" customHeight="false" outlineLevel="0" collapsed="false">
      <c r="A666" s="7" t="s">
        <v>2582</v>
      </c>
      <c r="B666" s="7" t="n">
        <v>1718.75</v>
      </c>
      <c r="C666" s="7" t="n">
        <f aca="false">AVERAGE(B617:B666)</f>
        <v>1855.3834</v>
      </c>
      <c r="D666" s="7" t="n">
        <f aca="false">AVERAGE(B467:B666)</f>
        <v>2107.9486</v>
      </c>
      <c r="E666" s="7" t="n">
        <f aca="false">B666/MAX(B415:B666)-1</f>
        <v>-0.555691415247249</v>
      </c>
      <c r="F666" s="7" t="str">
        <f aca="false">IFERROR(INDEX(02_轉折點45個!B:B,MATCH(A666,02_轉折點45個!A:A,0)),"")</f>
        <v/>
      </c>
      <c r="G666" s="7" t="s">
        <v>1994</v>
      </c>
    </row>
    <row r="667" customFormat="false" ht="15" hidden="false" customHeight="false" outlineLevel="0" collapsed="false">
      <c r="A667" s="7" t="s">
        <v>2583</v>
      </c>
      <c r="B667" s="7" t="n">
        <v>1673.03</v>
      </c>
      <c r="C667" s="7" t="n">
        <f aca="false">AVERAGE(B618:B667)</f>
        <v>1849.1806</v>
      </c>
      <c r="D667" s="7" t="n">
        <f aca="false">AVERAGE(B468:B667)</f>
        <v>2100.65045</v>
      </c>
      <c r="E667" s="7" t="n">
        <f aca="false">B667/MAX(B416:B667)-1</f>
        <v>-0.567510346735188</v>
      </c>
      <c r="F667" s="7" t="str">
        <f aca="false">IFERROR(INDEX(02_轉折點45個!B:B,MATCH(A667,02_轉折點45個!A:A,0)),"")</f>
        <v/>
      </c>
      <c r="G667" s="7" t="s">
        <v>1994</v>
      </c>
    </row>
    <row r="668" customFormat="false" ht="15" hidden="false" customHeight="false" outlineLevel="0" collapsed="false">
      <c r="A668" s="7" t="s">
        <v>2584</v>
      </c>
      <c r="B668" s="7" t="n">
        <v>1699.25</v>
      </c>
      <c r="C668" s="7" t="n">
        <f aca="false">AVERAGE(B619:B668)</f>
        <v>1843.5174</v>
      </c>
      <c r="D668" s="7" t="n">
        <f aca="false">AVERAGE(B469:B668)</f>
        <v>2093.38035</v>
      </c>
      <c r="E668" s="7" t="n">
        <f aca="false">B668/MAX(B417:B668)-1</f>
        <v>-0.560732298099717</v>
      </c>
      <c r="F668" s="7" t="str">
        <f aca="false">IFERROR(INDEX(02_轉折點45個!B:B,MATCH(A668,02_轉折點45個!A:A,0)),"")</f>
        <v/>
      </c>
      <c r="G668" s="7" t="s">
        <v>1994</v>
      </c>
    </row>
    <row r="669" customFormat="false" ht="15" hidden="false" customHeight="false" outlineLevel="0" collapsed="false">
      <c r="A669" s="7" t="s">
        <v>2585</v>
      </c>
      <c r="B669" s="7" t="n">
        <v>1683.69</v>
      </c>
      <c r="C669" s="7" t="n">
        <f aca="false">AVERAGE(B620:B669)</f>
        <v>1838.4254</v>
      </c>
      <c r="D669" s="7" t="n">
        <f aca="false">AVERAGE(B470:B669)</f>
        <v>2086.194</v>
      </c>
      <c r="E669" s="7" t="n">
        <f aca="false">B669/MAX(B418:B669)-1</f>
        <v>-0.564754664109173</v>
      </c>
      <c r="F669" s="7" t="str">
        <f aca="false">IFERROR(INDEX(02_轉折點45個!B:B,MATCH(A669,02_轉折點45個!A:A,0)),"")</f>
        <v/>
      </c>
      <c r="G669" s="7" t="s">
        <v>1994</v>
      </c>
    </row>
    <row r="670" customFormat="false" ht="15" hidden="false" customHeight="false" outlineLevel="0" collapsed="false">
      <c r="A670" s="7" t="s">
        <v>2586</v>
      </c>
      <c r="B670" s="7" t="n">
        <v>1751.14</v>
      </c>
      <c r="C670" s="7" t="n">
        <f aca="false">AVERAGE(B621:B670)</f>
        <v>1836.1</v>
      </c>
      <c r="D670" s="7" t="n">
        <f aca="false">AVERAGE(B471:B670)</f>
        <v>2079.34685</v>
      </c>
      <c r="E670" s="7" t="n">
        <f aca="false">B670/MAX(B419:B670)-1</f>
        <v>-0.547318379575894</v>
      </c>
      <c r="F670" s="7" t="str">
        <f aca="false">IFERROR(INDEX(02_轉折點45個!B:B,MATCH(A670,02_轉折點45個!A:A,0)),"")</f>
        <v/>
      </c>
      <c r="G670" s="7" t="s">
        <v>1994</v>
      </c>
    </row>
    <row r="671" customFormat="false" ht="15" hidden="false" customHeight="false" outlineLevel="0" collapsed="false">
      <c r="A671" s="7" t="s">
        <v>2587</v>
      </c>
      <c r="B671" s="7" t="n">
        <v>1747.13</v>
      </c>
      <c r="C671" s="7" t="n">
        <f aca="false">AVERAGE(B622:B671)</f>
        <v>1833.9802</v>
      </c>
      <c r="D671" s="7" t="n">
        <f aca="false">AVERAGE(B472:B671)</f>
        <v>2073.32055</v>
      </c>
      <c r="E671" s="7" t="n">
        <f aca="false">B671/MAX(B420:B671)-1</f>
        <v>-0.548354991895811</v>
      </c>
      <c r="F671" s="7" t="str">
        <f aca="false">IFERROR(INDEX(02_轉折點45個!B:B,MATCH(A671,02_轉折點45個!A:A,0)),"")</f>
        <v/>
      </c>
      <c r="G671" s="7" t="s">
        <v>1994</v>
      </c>
    </row>
    <row r="672" customFormat="false" ht="15" hidden="false" customHeight="false" outlineLevel="0" collapsed="false">
      <c r="A672" s="7" t="s">
        <v>2588</v>
      </c>
      <c r="B672" s="7" t="n">
        <v>1703.79</v>
      </c>
      <c r="C672" s="7" t="n">
        <f aca="false">AVERAGE(B623:B672)</f>
        <v>1831.7208</v>
      </c>
      <c r="D672" s="7" t="n">
        <f aca="false">AVERAGE(B473:B672)</f>
        <v>2067.22075</v>
      </c>
      <c r="E672" s="7" t="n">
        <f aca="false">B672/MAX(B421:B672)-1</f>
        <v>-0.559558677168937</v>
      </c>
      <c r="F672" s="7" t="str">
        <f aca="false">IFERROR(INDEX(02_轉折點45個!B:B,MATCH(A672,02_轉折點45個!A:A,0)),"")</f>
        <v/>
      </c>
      <c r="G672" s="7" t="s">
        <v>1994</v>
      </c>
    </row>
    <row r="673" customFormat="false" ht="15" hidden="false" customHeight="false" outlineLevel="0" collapsed="false">
      <c r="A673" s="7" t="s">
        <v>2589</v>
      </c>
      <c r="B673" s="7" t="n">
        <v>1683.87</v>
      </c>
      <c r="C673" s="7" t="n">
        <f aca="false">AVERAGE(B624:B673)</f>
        <v>1828.9894</v>
      </c>
      <c r="D673" s="7" t="n">
        <f aca="false">AVERAGE(B474:B673)</f>
        <v>2061.8041</v>
      </c>
      <c r="E673" s="7" t="n">
        <f aca="false">B673/MAX(B422:B673)-1</f>
        <v>-0.564708132882842</v>
      </c>
      <c r="F673" s="7" t="str">
        <f aca="false">IFERROR(INDEX(02_轉折點45個!B:B,MATCH(A673,02_轉折點45個!A:A,0)),"")</f>
        <v/>
      </c>
      <c r="G673" s="7" t="s">
        <v>1994</v>
      </c>
    </row>
    <row r="674" customFormat="false" ht="15" hidden="false" customHeight="false" outlineLevel="0" collapsed="false">
      <c r="A674" s="7" t="s">
        <v>2590</v>
      </c>
      <c r="B674" s="7" t="n">
        <v>1636.83</v>
      </c>
      <c r="C674" s="7" t="n">
        <f aca="false">AVERAGE(B625:B674)</f>
        <v>1824.6122</v>
      </c>
      <c r="D674" s="7" t="n">
        <f aca="false">AVERAGE(B475:B674)</f>
        <v>2056.4367</v>
      </c>
      <c r="E674" s="7" t="n">
        <f aca="false">B674/MAX(B423:B674)-1</f>
        <v>-0.576868293363872</v>
      </c>
      <c r="F674" s="7" t="str">
        <f aca="false">IFERROR(INDEX(02_轉折點45個!B:B,MATCH(A674,02_轉折點45個!A:A,0)),"")</f>
        <v/>
      </c>
      <c r="G674" s="7" t="s">
        <v>1994</v>
      </c>
    </row>
    <row r="675" customFormat="false" ht="15" hidden="false" customHeight="false" outlineLevel="0" collapsed="false">
      <c r="A675" s="7" t="s">
        <v>2591</v>
      </c>
      <c r="B675" s="7" t="n">
        <v>1649.39</v>
      </c>
      <c r="C675" s="7" t="n">
        <f aca="false">AVERAGE(B626:B675)</f>
        <v>1819.9834</v>
      </c>
      <c r="D675" s="7" t="n">
        <f aca="false">AVERAGE(B476:B675)</f>
        <v>2050.34845</v>
      </c>
      <c r="E675" s="7" t="n">
        <f aca="false">B675/MAX(B424:B675)-1</f>
        <v>-0.573621447793257</v>
      </c>
      <c r="F675" s="7" t="str">
        <f aca="false">IFERROR(INDEX(02_轉折點45個!B:B,MATCH(A675,02_轉折點45個!A:A,0)),"")</f>
        <v/>
      </c>
      <c r="G675" s="7" t="s">
        <v>1994</v>
      </c>
    </row>
    <row r="676" customFormat="false" ht="15" hidden="false" customHeight="false" outlineLevel="0" collapsed="false">
      <c r="A676" s="7" t="s">
        <v>2592</v>
      </c>
      <c r="B676" s="7" t="n">
        <v>1617.74</v>
      </c>
      <c r="C676" s="7" t="n">
        <f aca="false">AVERAGE(B627:B676)</f>
        <v>1815.1588</v>
      </c>
      <c r="D676" s="7" t="n">
        <f aca="false">AVERAGE(B477:B676)</f>
        <v>2043.97765</v>
      </c>
      <c r="E676" s="7" t="n">
        <f aca="false">B676/MAX(B425:B676)-1</f>
        <v>-0.57260310163536</v>
      </c>
      <c r="F676" s="7" t="str">
        <f aca="false">IFERROR(INDEX(02_轉折點45個!B:B,MATCH(A676,02_轉折點45個!A:A,0)),"")</f>
        <v/>
      </c>
      <c r="G676" s="7" t="s">
        <v>1994</v>
      </c>
    </row>
    <row r="677" customFormat="false" ht="15" hidden="false" customHeight="false" outlineLevel="0" collapsed="false">
      <c r="A677" s="7" t="s">
        <v>2593</v>
      </c>
      <c r="B677" s="7" t="n">
        <v>1606.98</v>
      </c>
      <c r="C677" s="7" t="n">
        <f aca="false">AVERAGE(B628:B677)</f>
        <v>1809.826</v>
      </c>
      <c r="D677" s="7" t="n">
        <f aca="false">AVERAGE(B478:B677)</f>
        <v>2038.16335</v>
      </c>
      <c r="E677" s="7" t="n">
        <f aca="false">B677/MAX(B426:B677)-1</f>
        <v>-0.570801305506739</v>
      </c>
      <c r="F677" s="7" t="str">
        <f aca="false">IFERROR(INDEX(02_轉折點45個!B:B,MATCH(A677,02_轉折點45個!A:A,0)),"")</f>
        <v/>
      </c>
      <c r="G677" s="7" t="s">
        <v>1994</v>
      </c>
    </row>
    <row r="678" customFormat="false" ht="15" hidden="false" customHeight="false" outlineLevel="0" collapsed="false">
      <c r="A678" s="7" t="s">
        <v>2594</v>
      </c>
      <c r="B678" s="7" t="n">
        <v>1558.23</v>
      </c>
      <c r="C678" s="7" t="n">
        <f aca="false">AVERAGE(B629:B678)</f>
        <v>1803.267</v>
      </c>
      <c r="D678" s="7" t="n">
        <f aca="false">AVERAGE(B479:B678)</f>
        <v>2032.1267</v>
      </c>
      <c r="E678" s="7" t="n">
        <f aca="false">B678/MAX(B427:B678)-1</f>
        <v>-0.583821651968142</v>
      </c>
      <c r="F678" s="7" t="str">
        <f aca="false">IFERROR(INDEX(02_轉折點45個!B:B,MATCH(A678,02_轉折點45個!A:A,0)),"")</f>
        <v/>
      </c>
      <c r="G678" s="7" t="s">
        <v>1994</v>
      </c>
    </row>
    <row r="679" customFormat="false" ht="15" hidden="false" customHeight="false" outlineLevel="0" collapsed="false">
      <c r="A679" s="7" t="s">
        <v>2595</v>
      </c>
      <c r="B679" s="7" t="n">
        <v>1541.84</v>
      </c>
      <c r="C679" s="7" t="n">
        <f aca="false">AVERAGE(B630:B679)</f>
        <v>1796.1952</v>
      </c>
      <c r="D679" s="7" t="n">
        <f aca="false">AVERAGE(B480:B679)</f>
        <v>2026.70035</v>
      </c>
      <c r="E679" s="7" t="n">
        <f aca="false">B679/MAX(B428:B679)-1</f>
        <v>-0.575784755830814</v>
      </c>
      <c r="F679" s="7" t="str">
        <f aca="false">IFERROR(INDEX(02_轉折點45個!B:B,MATCH(A679,02_轉折點45個!A:A,0)),"")</f>
        <v/>
      </c>
      <c r="G679" s="7" t="s">
        <v>1994</v>
      </c>
    </row>
    <row r="680" customFormat="false" ht="15" hidden="false" customHeight="false" outlineLevel="0" collapsed="false">
      <c r="A680" s="7" t="s">
        <v>2596</v>
      </c>
      <c r="B680" s="7" t="n">
        <v>1548.85</v>
      </c>
      <c r="C680" s="7" t="n">
        <f aca="false">AVERAGE(B631:B680)</f>
        <v>1788.337</v>
      </c>
      <c r="D680" s="7" t="n">
        <f aca="false">AVERAGE(B481:B680)</f>
        <v>2021.3282</v>
      </c>
      <c r="E680" s="7" t="n">
        <f aca="false">B680/MAX(B429:B680)-1</f>
        <v>-0.566827944960286</v>
      </c>
      <c r="F680" s="7" t="str">
        <f aca="false">IFERROR(INDEX(02_轉折點45個!B:B,MATCH(A680,02_轉折點45個!A:A,0)),"")</f>
        <v/>
      </c>
      <c r="G680" s="7" t="s">
        <v>1994</v>
      </c>
    </row>
    <row r="681" customFormat="false" ht="15" hidden="false" customHeight="false" outlineLevel="0" collapsed="false">
      <c r="A681" s="7" t="s">
        <v>2597</v>
      </c>
      <c r="B681" s="7" t="n">
        <v>1443.03</v>
      </c>
      <c r="C681" s="7" t="n">
        <f aca="false">AVERAGE(B632:B681)</f>
        <v>1777.7214</v>
      </c>
      <c r="D681" s="7" t="n">
        <f aca="false">AVERAGE(B482:B681)</f>
        <v>2015.95735</v>
      </c>
      <c r="E681" s="7" t="n">
        <f aca="false">B681/MAX(B430:B681)-1</f>
        <v>-0.596422977961741</v>
      </c>
      <c r="F681" s="7" t="str">
        <f aca="false">IFERROR(INDEX(02_轉折點45個!B:B,MATCH(A681,02_轉折點45個!A:A,0)),"")</f>
        <v/>
      </c>
      <c r="G681" s="7" t="s">
        <v>1994</v>
      </c>
    </row>
    <row r="682" customFormat="false" ht="15" hidden="false" customHeight="false" outlineLevel="0" collapsed="false">
      <c r="A682" s="7" t="s">
        <v>2598</v>
      </c>
      <c r="B682" s="7" t="n">
        <v>1420.68</v>
      </c>
      <c r="C682" s="7" t="n">
        <f aca="false">AVERAGE(B633:B682)</f>
        <v>1766.8748</v>
      </c>
      <c r="D682" s="7" t="n">
        <f aca="false">AVERAGE(B483:B682)</f>
        <v>2009.79395</v>
      </c>
      <c r="E682" s="7" t="n">
        <f aca="false">B682/MAX(B431:B682)-1</f>
        <v>-0.602673677145095</v>
      </c>
      <c r="F682" s="7" t="str">
        <f aca="false">IFERROR(INDEX(02_轉折點45個!B:B,MATCH(A682,02_轉折點45個!A:A,0)),"")</f>
        <v/>
      </c>
      <c r="G682" s="7" t="s">
        <v>1994</v>
      </c>
    </row>
    <row r="683" customFormat="false" ht="15" hidden="false" customHeight="false" outlineLevel="0" collapsed="false">
      <c r="A683" s="7" t="s">
        <v>2599</v>
      </c>
      <c r="B683" s="7" t="n">
        <v>1395.76</v>
      </c>
      <c r="C683" s="7" t="n">
        <f aca="false">AVERAGE(B634:B683)</f>
        <v>1755.6744</v>
      </c>
      <c r="D683" s="7" t="n">
        <f aca="false">AVERAGE(B484:B683)</f>
        <v>2003.61505</v>
      </c>
      <c r="E683" s="7" t="n">
        <f aca="false">B683/MAX(B432:B683)-1</f>
        <v>-0.609643136816199</v>
      </c>
      <c r="F683" s="7" t="str">
        <f aca="false">IFERROR(INDEX(02_轉折點45個!B:B,MATCH(A683,02_轉折點45個!A:A,0)),"")</f>
        <v/>
      </c>
      <c r="G683" s="7" t="s">
        <v>1994</v>
      </c>
    </row>
    <row r="684" customFormat="false" ht="15" hidden="false" customHeight="false" outlineLevel="0" collapsed="false">
      <c r="A684" s="7" t="s">
        <v>2600</v>
      </c>
      <c r="B684" s="7" t="n">
        <v>1343.8</v>
      </c>
      <c r="C684" s="7" t="n">
        <f aca="false">AVERAGE(B635:B684)</f>
        <v>1744.5438</v>
      </c>
      <c r="D684" s="7" t="n">
        <f aca="false">AVERAGE(B485:B684)</f>
        <v>1997.84105</v>
      </c>
      <c r="E684" s="7" t="n">
        <f aca="false">B684/MAX(B433:B684)-1</f>
        <v>-0.62259063806841</v>
      </c>
      <c r="F684" s="7" t="str">
        <f aca="false">IFERROR(INDEX(02_轉折點45個!B:B,MATCH(A684,02_轉折點45個!A:A,0)),"")</f>
        <v/>
      </c>
      <c r="G684" s="7" t="s">
        <v>1994</v>
      </c>
    </row>
    <row r="685" customFormat="false" ht="15" hidden="false" customHeight="false" outlineLevel="0" collapsed="false">
      <c r="A685" s="7" t="s">
        <v>125</v>
      </c>
      <c r="B685" s="7" t="n">
        <v>1300.19</v>
      </c>
      <c r="C685" s="7" t="n">
        <f aca="false">AVERAGE(B636:B685)</f>
        <v>1733.9286</v>
      </c>
      <c r="D685" s="7" t="n">
        <f aca="false">AVERAGE(B486:B685)</f>
        <v>1991.9771</v>
      </c>
      <c r="E685" s="7" t="n">
        <f aca="false">B685/MAX(B434:B685)-1</f>
        <v>-0.63483860820819</v>
      </c>
      <c r="F685" s="7" t="str">
        <f aca="false">IFERROR(INDEX(02_轉折點45個!B:B,MATCH(A685,02_轉折點45個!A:A,0)),"")</f>
        <v>BOTTOM</v>
      </c>
      <c r="G685" s="7" t="s">
        <v>1994</v>
      </c>
    </row>
    <row r="686" customFormat="false" ht="15" hidden="false" customHeight="false" outlineLevel="0" collapsed="false">
      <c r="A686" s="7" t="s">
        <v>2601</v>
      </c>
      <c r="B686" s="7" t="n">
        <v>1369.81</v>
      </c>
      <c r="C686" s="7" t="n">
        <f aca="false">AVERAGE(B637:B686)</f>
        <v>1724.2938</v>
      </c>
      <c r="D686" s="7" t="n">
        <f aca="false">AVERAGE(B487:B686)</f>
        <v>1986.95915</v>
      </c>
      <c r="E686" s="7" t="n">
        <f aca="false">B686/MAX(B435:B686)-1</f>
        <v>-0.615285668948124</v>
      </c>
      <c r="F686" s="7" t="str">
        <f aca="false">IFERROR(INDEX(02_轉折點45個!B:B,MATCH(A686,02_轉折點45個!A:A,0)),"")</f>
        <v/>
      </c>
      <c r="G686" s="7" t="s">
        <v>1994</v>
      </c>
    </row>
    <row r="687" customFormat="false" ht="15" hidden="false" customHeight="false" outlineLevel="0" collapsed="false">
      <c r="A687" s="7" t="s">
        <v>2602</v>
      </c>
      <c r="B687" s="7" t="n">
        <v>1371.86</v>
      </c>
      <c r="C687" s="7" t="n">
        <f aca="false">AVERAGE(B638:B687)</f>
        <v>1715.868</v>
      </c>
      <c r="D687" s="7" t="n">
        <f aca="false">AVERAGE(B488:B687)</f>
        <v>1981.73515</v>
      </c>
      <c r="E687" s="7" t="n">
        <f aca="false">B687/MAX(B436:B687)-1</f>
        <v>-0.614709921670285</v>
      </c>
      <c r="F687" s="7" t="str">
        <f aca="false">IFERROR(INDEX(02_轉折點45個!B:B,MATCH(A687,02_轉折點45個!A:A,0)),"")</f>
        <v/>
      </c>
      <c r="G687" s="7" t="s">
        <v>1994</v>
      </c>
    </row>
    <row r="688" customFormat="false" ht="15" hidden="false" customHeight="false" outlineLevel="0" collapsed="false">
      <c r="A688" s="7" t="s">
        <v>2603</v>
      </c>
      <c r="B688" s="7" t="n">
        <v>1337.51</v>
      </c>
      <c r="C688" s="7" t="n">
        <f aca="false">AVERAGE(B639:B688)</f>
        <v>1706.5862</v>
      </c>
      <c r="D688" s="7" t="n">
        <f aca="false">AVERAGE(B489:B688)</f>
        <v>1976.4743</v>
      </c>
      <c r="E688" s="7" t="n">
        <f aca="false">B688/MAX(B437:B688)-1</f>
        <v>-0.617630326333996</v>
      </c>
      <c r="F688" s="7" t="str">
        <f aca="false">IFERROR(INDEX(02_轉折點45個!B:B,MATCH(A688,02_轉折點45個!A:A,0)),"")</f>
        <v/>
      </c>
      <c r="G688" s="7" t="s">
        <v>1994</v>
      </c>
    </row>
    <row r="689" customFormat="false" ht="15" hidden="false" customHeight="false" outlineLevel="0" collapsed="false">
      <c r="A689" s="7" t="s">
        <v>2604</v>
      </c>
      <c r="B689" s="7" t="n">
        <v>1334.46</v>
      </c>
      <c r="C689" s="7" t="n">
        <f aca="false">AVERAGE(B640:B689)</f>
        <v>1695.3486</v>
      </c>
      <c r="D689" s="7" t="n">
        <f aca="false">AVERAGE(B490:B689)</f>
        <v>1969.9464</v>
      </c>
      <c r="E689" s="7" t="n">
        <f aca="false">B689/MAX(B438:B689)-1</f>
        <v>-0.615983838895428</v>
      </c>
      <c r="F689" s="7" t="str">
        <f aca="false">IFERROR(INDEX(02_轉折點45個!B:B,MATCH(A689,02_轉折點45個!A:A,0)),"")</f>
        <v/>
      </c>
      <c r="G689" s="7" t="s">
        <v>1994</v>
      </c>
    </row>
    <row r="690" customFormat="false" ht="15" hidden="false" customHeight="false" outlineLevel="0" collapsed="false">
      <c r="A690" s="7" t="s">
        <v>2605</v>
      </c>
      <c r="B690" s="7" t="n">
        <v>1369.26</v>
      </c>
      <c r="C690" s="7" t="n">
        <f aca="false">AVERAGE(B641:B690)</f>
        <v>1684.6416</v>
      </c>
      <c r="D690" s="7" t="n">
        <f aca="false">AVERAGE(B491:B690)</f>
        <v>1964.01865</v>
      </c>
      <c r="E690" s="7" t="n">
        <f aca="false">B690/MAX(B439:B690)-1</f>
        <v>-0.603316559330431</v>
      </c>
      <c r="F690" s="7" t="str">
        <f aca="false">IFERROR(INDEX(02_轉折點45個!B:B,MATCH(A690,02_轉折點45個!A:A,0)),"")</f>
        <v/>
      </c>
      <c r="G690" s="7" t="s">
        <v>1994</v>
      </c>
    </row>
    <row r="691" customFormat="false" ht="15" hidden="false" customHeight="false" outlineLevel="0" collapsed="false">
      <c r="A691" s="7" t="s">
        <v>2606</v>
      </c>
      <c r="B691" s="7" t="n">
        <v>1352.51</v>
      </c>
      <c r="C691" s="7" t="n">
        <f aca="false">AVERAGE(B642:B691)</f>
        <v>1674.6168</v>
      </c>
      <c r="D691" s="7" t="n">
        <f aca="false">AVERAGE(B492:B691)</f>
        <v>1958.20745</v>
      </c>
      <c r="E691" s="7" t="n">
        <f aca="false">B691/MAX(B440:B691)-1</f>
        <v>-0.608169142208201</v>
      </c>
      <c r="F691" s="7" t="str">
        <f aca="false">IFERROR(INDEX(02_轉折點45個!B:B,MATCH(A691,02_轉折點45個!A:A,0)),"")</f>
        <v/>
      </c>
      <c r="G691" s="7" t="s">
        <v>1994</v>
      </c>
    </row>
    <row r="692" customFormat="false" ht="15" hidden="false" customHeight="false" outlineLevel="0" collapsed="false">
      <c r="A692" s="7" t="s">
        <v>2607</v>
      </c>
      <c r="B692" s="7" t="n">
        <v>1363.35</v>
      </c>
      <c r="C692" s="7" t="n">
        <f aca="false">AVERAGE(B643:B692)</f>
        <v>1664.1108</v>
      </c>
      <c r="D692" s="7" t="n">
        <f aca="false">AVERAGE(B493:B692)</f>
        <v>1951.6978</v>
      </c>
      <c r="E692" s="7" t="n">
        <f aca="false">B692/MAX(B441:B692)-1</f>
        <v>-0.605028724393572</v>
      </c>
      <c r="F692" s="7" t="str">
        <f aca="false">IFERROR(INDEX(02_轉折點45個!B:B,MATCH(A692,02_轉折點45個!A:A,0)),"")</f>
        <v/>
      </c>
      <c r="G692" s="7" t="s">
        <v>1994</v>
      </c>
    </row>
    <row r="693" customFormat="false" ht="15" hidden="false" customHeight="false" outlineLevel="0" collapsed="false">
      <c r="A693" s="7" t="s">
        <v>439</v>
      </c>
      <c r="B693" s="7" t="n">
        <v>1444.18</v>
      </c>
      <c r="C693" s="7" t="n">
        <f aca="false">AVERAGE(B644:B693)</f>
        <v>1656.156</v>
      </c>
      <c r="D693" s="7" t="n">
        <f aca="false">AVERAGE(B494:B693)</f>
        <v>1945.14615</v>
      </c>
      <c r="E693" s="7" t="n">
        <f aca="false">B693/MAX(B442:B693)-1</f>
        <v>-0.581611752810877</v>
      </c>
      <c r="F693" s="7" t="str">
        <f aca="false">IFERROR(INDEX(02_轉折點45個!B:B,MATCH(A693,02_轉折點45個!A:A,0)),"")</f>
        <v/>
      </c>
      <c r="G693" s="7" t="s">
        <v>1994</v>
      </c>
    </row>
    <row r="694" customFormat="false" ht="15" hidden="false" customHeight="false" outlineLevel="0" collapsed="false">
      <c r="A694" s="7" t="s">
        <v>2608</v>
      </c>
      <c r="B694" s="7" t="n">
        <v>1459.26</v>
      </c>
      <c r="C694" s="7" t="n">
        <f aca="false">AVERAGE(B645:B694)</f>
        <v>1647.947</v>
      </c>
      <c r="D694" s="7" t="n">
        <f aca="false">AVERAGE(B495:B694)</f>
        <v>1939.05055</v>
      </c>
      <c r="E694" s="7" t="n">
        <f aca="false">B694/MAX(B443:B694)-1</f>
        <v>-0.565099735053153</v>
      </c>
      <c r="F694" s="7" t="str">
        <f aca="false">IFERROR(INDEX(02_轉折點45個!B:B,MATCH(A694,02_轉折點45個!A:A,0)),"")</f>
        <v/>
      </c>
      <c r="G694" s="7" t="s">
        <v>1994</v>
      </c>
    </row>
    <row r="695" customFormat="false" ht="15" hidden="false" customHeight="false" outlineLevel="0" collapsed="false">
      <c r="A695" s="7" t="s">
        <v>2609</v>
      </c>
      <c r="B695" s="7" t="n">
        <v>1466.56</v>
      </c>
      <c r="C695" s="7" t="n">
        <f aca="false">AVERAGE(B646:B695)</f>
        <v>1640.1986</v>
      </c>
      <c r="D695" s="7" t="n">
        <f aca="false">AVERAGE(B496:B695)</f>
        <v>1933.4893</v>
      </c>
      <c r="E695" s="7" t="n">
        <f aca="false">B695/MAX(B444:B695)-1</f>
        <v>-0.550197058688218</v>
      </c>
      <c r="F695" s="7" t="str">
        <f aca="false">IFERROR(INDEX(02_轉折點45個!B:B,MATCH(A695,02_轉折點45個!A:A,0)),"")</f>
        <v/>
      </c>
      <c r="G695" s="7" t="s">
        <v>1994</v>
      </c>
    </row>
    <row r="696" customFormat="false" ht="15" hidden="false" customHeight="false" outlineLevel="0" collapsed="false">
      <c r="A696" s="7" t="s">
        <v>2610</v>
      </c>
      <c r="B696" s="7" t="n">
        <v>1467.15</v>
      </c>
      <c r="C696" s="7" t="n">
        <f aca="false">AVERAGE(B647:B696)</f>
        <v>1633.2078</v>
      </c>
      <c r="D696" s="7" t="n">
        <f aca="false">AVERAGE(B497:B696)</f>
        <v>1928.3616</v>
      </c>
      <c r="E696" s="7" t="n">
        <f aca="false">B696/MAX(B445:B696)-1</f>
        <v>-0.544166581226057</v>
      </c>
      <c r="F696" s="7" t="str">
        <f aca="false">IFERROR(INDEX(02_轉折點45個!B:B,MATCH(A696,02_轉折點45個!A:A,0)),"")</f>
        <v/>
      </c>
      <c r="G696" s="7" t="s">
        <v>1994</v>
      </c>
    </row>
    <row r="697" customFormat="false" ht="15" hidden="false" customHeight="false" outlineLevel="0" collapsed="false">
      <c r="A697" s="7" t="s">
        <v>2611</v>
      </c>
      <c r="B697" s="7" t="n">
        <v>1434.48</v>
      </c>
      <c r="C697" s="7" t="n">
        <f aca="false">AVERAGE(B648:B697)</f>
        <v>1626.0992</v>
      </c>
      <c r="D697" s="7" t="n">
        <f aca="false">AVERAGE(B498:B697)</f>
        <v>1923.41425</v>
      </c>
      <c r="E697" s="7" t="n">
        <f aca="false">B697/MAX(B446:B697)-1</f>
        <v>-0.554316925629387</v>
      </c>
      <c r="F697" s="7" t="str">
        <f aca="false">IFERROR(INDEX(02_轉折點45個!B:B,MATCH(A697,02_轉折點45個!A:A,0)),"")</f>
        <v/>
      </c>
      <c r="G697" s="7" t="s">
        <v>1994</v>
      </c>
    </row>
    <row r="698" customFormat="false" ht="15" hidden="false" customHeight="false" outlineLevel="0" collapsed="false">
      <c r="A698" s="7" t="s">
        <v>2612</v>
      </c>
      <c r="B698" s="7" t="n">
        <v>1485.71</v>
      </c>
      <c r="C698" s="7" t="n">
        <f aca="false">AVERAGE(B649:B698)</f>
        <v>1619.557</v>
      </c>
      <c r="D698" s="7" t="n">
        <f aca="false">AVERAGE(B499:B698)</f>
        <v>1918.85435</v>
      </c>
      <c r="E698" s="7" t="n">
        <f aca="false">B698/MAX(B447:B698)-1</f>
        <v>-0.533103925080921</v>
      </c>
      <c r="F698" s="7" t="str">
        <f aca="false">IFERROR(INDEX(02_轉折點45個!B:B,MATCH(A698,02_轉折點45個!A:A,0)),"")</f>
        <v/>
      </c>
      <c r="G698" s="7" t="s">
        <v>1994</v>
      </c>
    </row>
    <row r="699" customFormat="false" ht="15" hidden="false" customHeight="false" outlineLevel="0" collapsed="false">
      <c r="A699" s="7" t="s">
        <v>2613</v>
      </c>
      <c r="B699" s="7" t="n">
        <v>1554.42</v>
      </c>
      <c r="C699" s="7" t="n">
        <f aca="false">AVERAGE(B650:B699)</f>
        <v>1613.683</v>
      </c>
      <c r="D699" s="7" t="n">
        <f aca="false">AVERAGE(B500:B699)</f>
        <v>1915.1533</v>
      </c>
      <c r="E699" s="7" t="n">
        <f aca="false">B699/MAX(B448:B699)-1</f>
        <v>-0.511511266144999</v>
      </c>
      <c r="F699" s="7" t="str">
        <f aca="false">IFERROR(INDEX(02_轉折點45個!B:B,MATCH(A699,02_轉折點45個!A:A,0)),"")</f>
        <v/>
      </c>
      <c r="G699" s="7" t="s">
        <v>1994</v>
      </c>
    </row>
    <row r="700" customFormat="false" ht="15" hidden="false" customHeight="false" outlineLevel="0" collapsed="false">
      <c r="A700" s="7" t="s">
        <v>2614</v>
      </c>
      <c r="B700" s="7" t="n">
        <v>1556.18</v>
      </c>
      <c r="C700" s="7" t="n">
        <f aca="false">AVERAGE(B651:B700)</f>
        <v>1607.7326</v>
      </c>
      <c r="D700" s="7" t="n">
        <f aca="false">AVERAGE(B501:B700)</f>
        <v>1912.2784</v>
      </c>
      <c r="E700" s="7" t="n">
        <f aca="false">B700/MAX(B449:B700)-1</f>
        <v>-0.51095817227617</v>
      </c>
      <c r="F700" s="7" t="str">
        <f aca="false">IFERROR(INDEX(02_轉折點45個!B:B,MATCH(A700,02_轉折點45個!A:A,0)),"")</f>
        <v/>
      </c>
      <c r="G700" s="7" t="s">
        <v>1994</v>
      </c>
    </row>
    <row r="701" customFormat="false" ht="15" hidden="false" customHeight="false" outlineLevel="0" collapsed="false">
      <c r="A701" s="7" t="s">
        <v>2615</v>
      </c>
      <c r="B701" s="7" t="n">
        <v>1549.7</v>
      </c>
      <c r="C701" s="7" t="n">
        <f aca="false">AVERAGE(B652:B701)</f>
        <v>1601.8578</v>
      </c>
      <c r="D701" s="7" t="n">
        <f aca="false">AVERAGE(B502:B701)</f>
        <v>1909.33755</v>
      </c>
      <c r="E701" s="7" t="n">
        <f aca="false">B701/MAX(B450:B701)-1</f>
        <v>-0.512994563338676</v>
      </c>
      <c r="F701" s="7" t="str">
        <f aca="false">IFERROR(INDEX(02_轉折點45個!B:B,MATCH(A701,02_轉折點45個!A:A,0)),"")</f>
        <v/>
      </c>
      <c r="G701" s="7" t="s">
        <v>1994</v>
      </c>
    </row>
    <row r="702" customFormat="false" ht="15" hidden="false" customHeight="false" outlineLevel="0" collapsed="false">
      <c r="A702" s="7" t="s">
        <v>2616</v>
      </c>
      <c r="B702" s="7" t="n">
        <v>1573.24</v>
      </c>
      <c r="C702" s="7" t="n">
        <f aca="false">AVERAGE(B653:B702)</f>
        <v>1596.284</v>
      </c>
      <c r="D702" s="7" t="n">
        <f aca="false">AVERAGE(B503:B702)</f>
        <v>1905.70635</v>
      </c>
      <c r="E702" s="7" t="n">
        <f aca="false">B702/MAX(B451:B702)-1</f>
        <v>-0.505596932843091</v>
      </c>
      <c r="F702" s="7" t="str">
        <f aca="false">IFERROR(INDEX(02_轉折點45個!B:B,MATCH(A702,02_轉折點45個!A:A,0)),"")</f>
        <v/>
      </c>
      <c r="G702" s="7" t="s">
        <v>1994</v>
      </c>
    </row>
    <row r="703" customFormat="false" ht="15" hidden="false" customHeight="false" outlineLevel="0" collapsed="false">
      <c r="A703" s="7" t="s">
        <v>2617</v>
      </c>
      <c r="B703" s="7" t="n">
        <v>1504.05</v>
      </c>
      <c r="C703" s="7" t="n">
        <f aca="false">AVERAGE(B654:B703)</f>
        <v>1588.5726</v>
      </c>
      <c r="D703" s="7" t="n">
        <f aca="false">AVERAGE(B504:B703)</f>
        <v>1901.83655</v>
      </c>
      <c r="E703" s="7" t="n">
        <f aca="false">B703/MAX(B452:B703)-1</f>
        <v>-0.527340435561422</v>
      </c>
      <c r="F703" s="7" t="str">
        <f aca="false">IFERROR(INDEX(02_轉折點45個!B:B,MATCH(A703,02_轉折點45個!A:A,0)),"")</f>
        <v/>
      </c>
      <c r="G703" s="7" t="s">
        <v>1994</v>
      </c>
    </row>
    <row r="704" customFormat="false" ht="15" hidden="false" customHeight="false" outlineLevel="0" collapsed="false">
      <c r="A704" s="7" t="s">
        <v>2618</v>
      </c>
      <c r="B704" s="7" t="n">
        <v>1509.88</v>
      </c>
      <c r="C704" s="7" t="n">
        <f aca="false">AVERAGE(B655:B704)</f>
        <v>1580.6308</v>
      </c>
      <c r="D704" s="7" t="n">
        <f aca="false">AVERAGE(B505:B704)</f>
        <v>1897.78655</v>
      </c>
      <c r="E704" s="7" t="n">
        <f aca="false">B704/MAX(B453:B704)-1</f>
        <v>-0.525508312120926</v>
      </c>
      <c r="F704" s="7" t="str">
        <f aca="false">IFERROR(INDEX(02_轉折點45個!B:B,MATCH(A704,02_轉折點45個!A:A,0)),"")</f>
        <v/>
      </c>
      <c r="G704" s="7" t="s">
        <v>1994</v>
      </c>
    </row>
    <row r="705" customFormat="false" ht="15" hidden="false" customHeight="false" outlineLevel="0" collapsed="false">
      <c r="A705" s="7" t="s">
        <v>2619</v>
      </c>
      <c r="B705" s="7" t="n">
        <v>1526.86</v>
      </c>
      <c r="C705" s="7" t="n">
        <f aca="false">AVERAGE(B656:B705)</f>
        <v>1573.4132</v>
      </c>
      <c r="D705" s="7" t="n">
        <f aca="false">AVERAGE(B506:B705)</f>
        <v>1893.73735</v>
      </c>
      <c r="E705" s="7" t="n">
        <f aca="false">B705/MAX(B454:B705)-1</f>
        <v>-0.520172213318249</v>
      </c>
      <c r="F705" s="7" t="str">
        <f aca="false">IFERROR(INDEX(02_轉折點45個!B:B,MATCH(A705,02_轉折點45個!A:A,0)),"")</f>
        <v/>
      </c>
      <c r="G705" s="7" t="s">
        <v>1994</v>
      </c>
    </row>
    <row r="706" customFormat="false" ht="15" hidden="false" customHeight="false" outlineLevel="0" collapsed="false">
      <c r="A706" s="7" t="s">
        <v>2620</v>
      </c>
      <c r="B706" s="7" t="n">
        <v>1560.46</v>
      </c>
      <c r="C706" s="7" t="n">
        <f aca="false">AVERAGE(B657:B706)</f>
        <v>1567.4536</v>
      </c>
      <c r="D706" s="7" t="n">
        <f aca="false">AVERAGE(B507:B706)</f>
        <v>1890.25465</v>
      </c>
      <c r="E706" s="7" t="n">
        <f aca="false">B706/MAX(B455:B706)-1</f>
        <v>-0.5096131485497</v>
      </c>
      <c r="F706" s="7" t="str">
        <f aca="false">IFERROR(INDEX(02_轉折點45個!B:B,MATCH(A706,02_轉折點45個!A:A,0)),"")</f>
        <v/>
      </c>
      <c r="G706" s="7" t="s">
        <v>1994</v>
      </c>
    </row>
    <row r="707" customFormat="false" ht="15" hidden="false" customHeight="false" outlineLevel="0" collapsed="false">
      <c r="A707" s="7" t="s">
        <v>2621</v>
      </c>
      <c r="B707" s="7" t="n">
        <v>1557.13</v>
      </c>
      <c r="C707" s="7" t="n">
        <f aca="false">AVERAGE(B658:B707)</f>
        <v>1561.5456</v>
      </c>
      <c r="D707" s="7" t="n">
        <f aca="false">AVERAGE(B508:B707)</f>
        <v>1887.5714</v>
      </c>
      <c r="E707" s="7" t="n">
        <f aca="false">B707/MAX(B456:B707)-1</f>
        <v>-0.510659627290154</v>
      </c>
      <c r="F707" s="7" t="str">
        <f aca="false">IFERROR(INDEX(02_轉折點45個!B:B,MATCH(A707,02_轉折點45個!A:A,0)),"")</f>
        <v/>
      </c>
      <c r="G707" s="7" t="s">
        <v>1994</v>
      </c>
    </row>
    <row r="708" customFormat="false" ht="15" hidden="false" customHeight="false" outlineLevel="0" collapsed="false">
      <c r="A708" s="7" t="s">
        <v>2622</v>
      </c>
      <c r="B708" s="7" t="n">
        <v>1581.89</v>
      </c>
      <c r="C708" s="7" t="n">
        <f aca="false">AVERAGE(B659:B708)</f>
        <v>1557.2552</v>
      </c>
      <c r="D708" s="7" t="n">
        <f aca="false">AVERAGE(B509:B708)</f>
        <v>1883.52815</v>
      </c>
      <c r="E708" s="7" t="n">
        <f aca="false">B708/MAX(B457:B708)-1</f>
        <v>-0.50287860218095</v>
      </c>
      <c r="F708" s="7" t="str">
        <f aca="false">IFERROR(INDEX(02_轉折點45個!B:B,MATCH(A708,02_轉折點45個!A:A,0)),"")</f>
        <v/>
      </c>
      <c r="G708" s="7" t="s">
        <v>1994</v>
      </c>
    </row>
    <row r="709" customFormat="false" ht="15" hidden="false" customHeight="false" outlineLevel="0" collapsed="false">
      <c r="A709" s="7" t="s">
        <v>2623</v>
      </c>
      <c r="B709" s="7" t="n">
        <v>1622.02</v>
      </c>
      <c r="C709" s="7" t="n">
        <f aca="false">AVERAGE(B660:B709)</f>
        <v>1553.8228</v>
      </c>
      <c r="D709" s="7" t="n">
        <f aca="false">AVERAGE(B510:B709)</f>
        <v>1879.9133</v>
      </c>
      <c r="E709" s="7" t="n">
        <f aca="false">B709/MAX(B458:B709)-1</f>
        <v>-0.490267433455894</v>
      </c>
      <c r="F709" s="7" t="str">
        <f aca="false">IFERROR(INDEX(02_轉折點45個!B:B,MATCH(A709,02_轉折點45個!A:A,0)),"")</f>
        <v/>
      </c>
      <c r="G709" s="7" t="s">
        <v>1994</v>
      </c>
    </row>
    <row r="710" customFormat="false" ht="15" hidden="false" customHeight="false" outlineLevel="0" collapsed="false">
      <c r="A710" s="7" t="s">
        <v>2624</v>
      </c>
      <c r="B710" s="7" t="n">
        <v>1616.07</v>
      </c>
      <c r="C710" s="7" t="n">
        <f aca="false">AVERAGE(B661:B710)</f>
        <v>1550.3966</v>
      </c>
      <c r="D710" s="7" t="n">
        <f aca="false">AVERAGE(B511:B710)</f>
        <v>1876.99585</v>
      </c>
      <c r="E710" s="7" t="n">
        <f aca="false">B710/MAX(B459:B710)-1</f>
        <v>-0.490021774117202</v>
      </c>
      <c r="F710" s="7" t="str">
        <f aca="false">IFERROR(INDEX(02_轉折點45個!B:B,MATCH(A710,02_轉折點45個!A:A,0)),"")</f>
        <v/>
      </c>
      <c r="G710" s="7" t="s">
        <v>1994</v>
      </c>
    </row>
    <row r="711" customFormat="false" ht="15" hidden="false" customHeight="false" outlineLevel="0" collapsed="false">
      <c r="A711" s="7" t="s">
        <v>2625</v>
      </c>
      <c r="B711" s="7" t="n">
        <v>1552.63</v>
      </c>
      <c r="C711" s="7" t="n">
        <f aca="false">AVERAGE(B662:B711)</f>
        <v>1545.2306</v>
      </c>
      <c r="D711" s="7" t="n">
        <f aca="false">AVERAGE(B512:B711)</f>
        <v>1873.81475</v>
      </c>
      <c r="E711" s="7" t="n">
        <f aca="false">B711/MAX(B460:B711)-1</f>
        <v>-0.50761273217961</v>
      </c>
      <c r="F711" s="7" t="str">
        <f aca="false">IFERROR(INDEX(02_轉折點45個!B:B,MATCH(A711,02_轉折點45個!A:A,0)),"")</f>
        <v/>
      </c>
      <c r="G711" s="7" t="s">
        <v>1994</v>
      </c>
    </row>
    <row r="712" customFormat="false" ht="15" hidden="false" customHeight="false" outlineLevel="0" collapsed="false">
      <c r="A712" s="7" t="s">
        <v>2626</v>
      </c>
      <c r="B712" s="7" t="n">
        <v>1523.3</v>
      </c>
      <c r="C712" s="7" t="n">
        <f aca="false">AVERAGE(B663:B712)</f>
        <v>1539.8018</v>
      </c>
      <c r="D712" s="7" t="n">
        <f aca="false">AVERAGE(B513:B712)</f>
        <v>1870.27975</v>
      </c>
      <c r="E712" s="7" t="n">
        <f aca="false">B712/MAX(B461:B712)-1</f>
        <v>-0.516914187494252</v>
      </c>
      <c r="F712" s="7" t="str">
        <f aca="false">IFERROR(INDEX(02_轉折點45個!B:B,MATCH(A712,02_轉折點45個!A:A,0)),"")</f>
        <v/>
      </c>
      <c r="G712" s="7" t="s">
        <v>1994</v>
      </c>
    </row>
    <row r="713" customFormat="false" ht="15" hidden="false" customHeight="false" outlineLevel="0" collapsed="false">
      <c r="A713" s="7" t="s">
        <v>2627</v>
      </c>
      <c r="B713" s="7" t="n">
        <v>1544.12</v>
      </c>
      <c r="C713" s="7" t="n">
        <f aca="false">AVERAGE(B664:B713)</f>
        <v>1535.6232</v>
      </c>
      <c r="D713" s="7" t="n">
        <f aca="false">AVERAGE(B514:B713)</f>
        <v>1866.47025</v>
      </c>
      <c r="E713" s="7" t="n">
        <f aca="false">B713/MAX(B462:B713)-1</f>
        <v>-0.510311517884609</v>
      </c>
      <c r="F713" s="7" t="str">
        <f aca="false">IFERROR(INDEX(02_轉折點45個!B:B,MATCH(A713,02_轉折點45個!A:A,0)),"")</f>
        <v/>
      </c>
      <c r="G713" s="7" t="s">
        <v>1994</v>
      </c>
    </row>
    <row r="714" customFormat="false" ht="15" hidden="false" customHeight="false" outlineLevel="0" collapsed="false">
      <c r="A714" s="7" t="s">
        <v>2628</v>
      </c>
      <c r="B714" s="7" t="n">
        <v>1595.37</v>
      </c>
      <c r="C714" s="7" t="n">
        <f aca="false">AVERAGE(B665:B714)</f>
        <v>1532.2608</v>
      </c>
      <c r="D714" s="7" t="n">
        <f aca="false">AVERAGE(B515:B714)</f>
        <v>1862.38535</v>
      </c>
      <c r="E714" s="7" t="n">
        <f aca="false">B714/MAX(B463:B714)-1</f>
        <v>-0.494058548744637</v>
      </c>
      <c r="F714" s="7" t="str">
        <f aca="false">IFERROR(INDEX(02_轉折點45個!B:B,MATCH(A714,02_轉折點45個!A:A,0)),"")</f>
        <v/>
      </c>
      <c r="G714" s="7" t="s">
        <v>1994</v>
      </c>
    </row>
    <row r="715" customFormat="false" ht="15" hidden="false" customHeight="false" outlineLevel="0" collapsed="false">
      <c r="A715" s="7" t="s">
        <v>2629</v>
      </c>
      <c r="B715" s="7" t="n">
        <v>1594.85</v>
      </c>
      <c r="C715" s="7" t="n">
        <f aca="false">AVERAGE(B666:B715)</f>
        <v>1530.0448</v>
      </c>
      <c r="D715" s="7" t="n">
        <f aca="false">AVERAGE(B516:B715)</f>
        <v>1858.3621</v>
      </c>
      <c r="E715" s="7" t="n">
        <f aca="false">B715/MAX(B464:B715)-1</f>
        <v>-0.494223456919325</v>
      </c>
      <c r="F715" s="7" t="str">
        <f aca="false">IFERROR(INDEX(02_轉折點45個!B:B,MATCH(A715,02_轉折點45個!A:A,0)),"")</f>
        <v/>
      </c>
      <c r="G715" s="7" t="s">
        <v>1994</v>
      </c>
    </row>
    <row r="716" customFormat="false" ht="15" hidden="false" customHeight="false" outlineLevel="0" collapsed="false">
      <c r="A716" s="7" t="s">
        <v>2630</v>
      </c>
      <c r="B716" s="7" t="n">
        <v>1638.63</v>
      </c>
      <c r="C716" s="7" t="n">
        <f aca="false">AVERAGE(B667:B716)</f>
        <v>1528.4424</v>
      </c>
      <c r="D716" s="7" t="n">
        <f aca="false">AVERAGE(B517:B716)</f>
        <v>1854.59405</v>
      </c>
      <c r="E716" s="7" t="n">
        <f aca="false">B716/MAX(B465:B716)-1</f>
        <v>-0.480339457134974</v>
      </c>
      <c r="F716" s="7" t="str">
        <f aca="false">IFERROR(INDEX(02_轉折點45個!B:B,MATCH(A716,02_轉折點45個!A:A,0)),"")</f>
        <v/>
      </c>
      <c r="G716" s="7" t="s">
        <v>1994</v>
      </c>
    </row>
    <row r="717" customFormat="false" ht="15" hidden="false" customHeight="false" outlineLevel="0" collapsed="false">
      <c r="A717" s="7" t="s">
        <v>2631</v>
      </c>
      <c r="B717" s="7" t="n">
        <v>1676.48</v>
      </c>
      <c r="C717" s="7" t="n">
        <f aca="false">AVERAGE(B668:B717)</f>
        <v>1528.5114</v>
      </c>
      <c r="D717" s="7" t="n">
        <f aca="false">AVERAGE(B518:B717)</f>
        <v>1850.7219</v>
      </c>
      <c r="E717" s="7" t="n">
        <f aca="false">B717/MAX(B466:B717)-1</f>
        <v>-0.468336044804283</v>
      </c>
      <c r="F717" s="7" t="str">
        <f aca="false">IFERROR(INDEX(02_轉折點45個!B:B,MATCH(A717,02_轉折點45個!A:A,0)),"")</f>
        <v/>
      </c>
      <c r="G717" s="7" t="s">
        <v>1994</v>
      </c>
    </row>
    <row r="718" customFormat="false" ht="15" hidden="false" customHeight="false" outlineLevel="0" collapsed="false">
      <c r="A718" s="7" t="s">
        <v>2632</v>
      </c>
      <c r="B718" s="7" t="n">
        <v>1678.72</v>
      </c>
      <c r="C718" s="7" t="n">
        <f aca="false">AVERAGE(B669:B718)</f>
        <v>1528.1008</v>
      </c>
      <c r="D718" s="7" t="n">
        <f aca="false">AVERAGE(B519:B718)</f>
        <v>1846.4694</v>
      </c>
      <c r="E718" s="7" t="n">
        <f aca="false">B718/MAX(B467:B718)-1</f>
        <v>-0.467625671128701</v>
      </c>
      <c r="F718" s="7" t="str">
        <f aca="false">IFERROR(INDEX(02_轉折點45個!B:B,MATCH(A718,02_轉折點45個!A:A,0)),"")</f>
        <v/>
      </c>
      <c r="G718" s="7" t="s">
        <v>1994</v>
      </c>
    </row>
    <row r="719" customFormat="false" ht="15" hidden="false" customHeight="false" outlineLevel="0" collapsed="false">
      <c r="A719" s="7" t="s">
        <v>2633</v>
      </c>
      <c r="B719" s="7" t="n">
        <v>1669.8</v>
      </c>
      <c r="C719" s="7" t="n">
        <f aca="false">AVERAGE(B670:B719)</f>
        <v>1527.823</v>
      </c>
      <c r="D719" s="7" t="n">
        <f aca="false">AVERAGE(B520:B719)</f>
        <v>1842.1637</v>
      </c>
      <c r="E719" s="7" t="n">
        <f aca="false">B719/MAX(B468:B719)-1</f>
        <v>-0.470454480586819</v>
      </c>
      <c r="F719" s="7" t="str">
        <f aca="false">IFERROR(INDEX(02_轉折點45個!B:B,MATCH(A719,02_轉折點45個!A:A,0)),"")</f>
        <v/>
      </c>
      <c r="G719" s="7" t="s">
        <v>1994</v>
      </c>
    </row>
    <row r="720" customFormat="false" ht="15" hidden="false" customHeight="false" outlineLevel="0" collapsed="false">
      <c r="A720" s="7" t="s">
        <v>2634</v>
      </c>
      <c r="B720" s="7" t="n">
        <v>1670.45</v>
      </c>
      <c r="C720" s="7" t="n">
        <f aca="false">AVERAGE(B671:B720)</f>
        <v>1526.2092</v>
      </c>
      <c r="D720" s="7" t="n">
        <f aca="false">AVERAGE(B521:B720)</f>
        <v>1837.9182</v>
      </c>
      <c r="E720" s="7" t="n">
        <f aca="false">B720/MAX(B469:B720)-1</f>
        <v>-0.46476404695991</v>
      </c>
      <c r="F720" s="7" t="str">
        <f aca="false">IFERROR(INDEX(02_轉折點45個!B:B,MATCH(A720,02_轉折點45個!A:A,0)),"")</f>
        <v/>
      </c>
      <c r="G720" s="7" t="s">
        <v>1994</v>
      </c>
    </row>
    <row r="721" customFormat="false" ht="15" hidden="false" customHeight="false" outlineLevel="0" collapsed="false">
      <c r="A721" s="7" t="s">
        <v>2635</v>
      </c>
      <c r="B721" s="7" t="n">
        <v>1681.09</v>
      </c>
      <c r="C721" s="7" t="n">
        <f aca="false">AVERAGE(B672:B721)</f>
        <v>1524.8884</v>
      </c>
      <c r="D721" s="7" t="n">
        <f aca="false">AVERAGE(B522:B721)</f>
        <v>1833.34915</v>
      </c>
      <c r="E721" s="7" t="n">
        <f aca="false">B721/MAX(B470:B721)-1</f>
        <v>-0.461287521190039</v>
      </c>
      <c r="F721" s="7" t="str">
        <f aca="false">IFERROR(INDEX(02_轉折點45個!B:B,MATCH(A721,02_轉折點45個!A:A,0)),"")</f>
        <v/>
      </c>
      <c r="G721" s="7" t="s">
        <v>1994</v>
      </c>
    </row>
    <row r="722" customFormat="false" ht="15" hidden="false" customHeight="false" outlineLevel="0" collapsed="false">
      <c r="A722" s="7" t="s">
        <v>2636</v>
      </c>
      <c r="B722" s="7" t="n">
        <v>1728.58</v>
      </c>
      <c r="C722" s="7" t="n">
        <f aca="false">AVERAGE(B673:B722)</f>
        <v>1525.3842</v>
      </c>
      <c r="D722" s="7" t="n">
        <f aca="false">AVERAGE(B523:B722)</f>
        <v>1828.93185</v>
      </c>
      <c r="E722" s="7" t="n">
        <f aca="false">B722/MAX(B471:B722)-1</f>
        <v>-0.414515020034616</v>
      </c>
      <c r="F722" s="7" t="str">
        <f aca="false">IFERROR(INDEX(02_轉折點45個!B:B,MATCH(A722,02_轉折點45個!A:A,0)),"")</f>
        <v/>
      </c>
      <c r="G722" s="7" t="s">
        <v>1994</v>
      </c>
    </row>
    <row r="723" customFormat="false" ht="15" hidden="false" customHeight="false" outlineLevel="0" collapsed="false">
      <c r="A723" s="7" t="s">
        <v>2637</v>
      </c>
      <c r="B723" s="7" t="n">
        <v>1738.7</v>
      </c>
      <c r="C723" s="7" t="n">
        <f aca="false">AVERAGE(B674:B723)</f>
        <v>1526.4808</v>
      </c>
      <c r="D723" s="7" t="n">
        <f aca="false">AVERAGE(B524:B723)</f>
        <v>1825.0442</v>
      </c>
      <c r="E723" s="7" t="n">
        <f aca="false">B723/MAX(B472:B723)-1</f>
        <v>-0.405318512184694</v>
      </c>
      <c r="F723" s="7" t="str">
        <f aca="false">IFERROR(INDEX(02_轉折點45個!B:B,MATCH(A723,02_轉折點45個!A:A,0)),"")</f>
        <v/>
      </c>
      <c r="G723" s="7" t="s">
        <v>1994</v>
      </c>
    </row>
    <row r="724" customFormat="false" ht="15" hidden="false" customHeight="false" outlineLevel="0" collapsed="false">
      <c r="A724" s="7" t="s">
        <v>2638</v>
      </c>
      <c r="B724" s="7" t="n">
        <v>1736.31</v>
      </c>
      <c r="C724" s="7" t="n">
        <f aca="false">AVERAGE(B675:B724)</f>
        <v>1528.4704</v>
      </c>
      <c r="D724" s="7" t="n">
        <f aca="false">AVERAGE(B525:B724)</f>
        <v>1821.02115</v>
      </c>
      <c r="E724" s="7" t="n">
        <f aca="false">B724/MAX(B473:B724)-1</f>
        <v>-0.399595421695079</v>
      </c>
      <c r="F724" s="7" t="str">
        <f aca="false">IFERROR(INDEX(02_轉折點45個!B:B,MATCH(A724,02_轉折點45個!A:A,0)),"")</f>
        <v/>
      </c>
      <c r="G724" s="7" t="s">
        <v>1994</v>
      </c>
    </row>
    <row r="725" customFormat="false" ht="15" hidden="false" customHeight="false" outlineLevel="0" collapsed="false">
      <c r="A725" s="7" t="s">
        <v>2639</v>
      </c>
      <c r="B725" s="7" t="n">
        <v>1734.49</v>
      </c>
      <c r="C725" s="7" t="n">
        <f aca="false">AVERAGE(B676:B725)</f>
        <v>1530.1724</v>
      </c>
      <c r="D725" s="7" t="n">
        <f aca="false">AVERAGE(B526:B725)</f>
        <v>1816.72845</v>
      </c>
      <c r="E725" s="7" t="n">
        <f aca="false">B725/MAX(B474:B725)-1</f>
        <v>-0.400224765724956</v>
      </c>
      <c r="F725" s="7" t="str">
        <f aca="false">IFERROR(INDEX(02_轉折點45個!B:B,MATCH(A725,02_轉折點45個!A:A,0)),"")</f>
        <v/>
      </c>
      <c r="G725" s="7" t="s">
        <v>1994</v>
      </c>
    </row>
    <row r="726" customFormat="false" ht="15" hidden="false" customHeight="false" outlineLevel="0" collapsed="false">
      <c r="A726" s="7" t="s">
        <v>2640</v>
      </c>
      <c r="B726" s="7" t="n">
        <v>1767.23</v>
      </c>
      <c r="C726" s="7" t="n">
        <f aca="false">AVERAGE(B677:B726)</f>
        <v>1533.1622</v>
      </c>
      <c r="D726" s="7" t="n">
        <f aca="false">AVERAGE(B527:B726)</f>
        <v>1812.5994</v>
      </c>
      <c r="E726" s="7" t="n">
        <f aca="false">B726/MAX(B475:B726)-1</f>
        <v>-0.388903489055638</v>
      </c>
      <c r="F726" s="7" t="str">
        <f aca="false">IFERROR(INDEX(02_轉折點45個!B:B,MATCH(A726,02_轉折點45個!A:A,0)),"")</f>
        <v/>
      </c>
      <c r="G726" s="7" t="s">
        <v>1994</v>
      </c>
    </row>
    <row r="727" customFormat="false" ht="15" hidden="false" customHeight="false" outlineLevel="0" collapsed="false">
      <c r="A727" s="7" t="s">
        <v>2641</v>
      </c>
      <c r="B727" s="7" t="n">
        <v>1717.98</v>
      </c>
      <c r="C727" s="7" t="n">
        <f aca="false">AVERAGE(B678:B727)</f>
        <v>1535.3822</v>
      </c>
      <c r="D727" s="7" t="n">
        <f aca="false">AVERAGE(B528:B727)</f>
        <v>1808.52385</v>
      </c>
      <c r="E727" s="7" t="n">
        <f aca="false">B727/MAX(B476:B727)-1</f>
        <v>-0.405933815138836</v>
      </c>
      <c r="F727" s="7" t="str">
        <f aca="false">IFERROR(INDEX(02_轉折點45個!B:B,MATCH(A727,02_轉折點45個!A:A,0)),"")</f>
        <v/>
      </c>
      <c r="G727" s="7" t="s">
        <v>1994</v>
      </c>
    </row>
    <row r="728" customFormat="false" ht="15" hidden="false" customHeight="false" outlineLevel="0" collapsed="false">
      <c r="A728" s="7" t="s">
        <v>2642</v>
      </c>
      <c r="B728" s="7" t="n">
        <v>1712.99</v>
      </c>
      <c r="C728" s="7" t="n">
        <f aca="false">AVERAGE(B679:B728)</f>
        <v>1538.4774</v>
      </c>
      <c r="D728" s="7" t="n">
        <f aca="false">AVERAGE(B529:B728)</f>
        <v>1804.3774</v>
      </c>
      <c r="E728" s="7" t="n">
        <f aca="false">B728/MAX(B477:B728)-1</f>
        <v>-0.381556335383993</v>
      </c>
      <c r="F728" s="7" t="str">
        <f aca="false">IFERROR(INDEX(02_轉折點45個!B:B,MATCH(A728,02_轉折點45個!A:A,0)),"")</f>
        <v/>
      </c>
      <c r="G728" s="7" t="s">
        <v>1994</v>
      </c>
    </row>
    <row r="729" customFormat="false" ht="15" hidden="false" customHeight="false" outlineLevel="0" collapsed="false">
      <c r="A729" s="7" t="s">
        <v>2643</v>
      </c>
      <c r="B729" s="7" t="n">
        <v>1738.71</v>
      </c>
      <c r="C729" s="7" t="n">
        <f aca="false">AVERAGE(B680:B729)</f>
        <v>1542.4148</v>
      </c>
      <c r="D729" s="7" t="n">
        <f aca="false">AVERAGE(B530:B729)</f>
        <v>1800.91815</v>
      </c>
      <c r="E729" s="7" t="n">
        <f aca="false">B729/MAX(B478:B729)-1</f>
        <v>-0.371299122058462</v>
      </c>
      <c r="F729" s="7" t="str">
        <f aca="false">IFERROR(INDEX(02_轉折點45個!B:B,MATCH(A729,02_轉折點45個!A:A,0)),"")</f>
        <v/>
      </c>
      <c r="G729" s="7" t="s">
        <v>1994</v>
      </c>
    </row>
    <row r="730" customFormat="false" ht="15" hidden="false" customHeight="false" outlineLevel="0" collapsed="false">
      <c r="A730" s="7" t="s">
        <v>2644</v>
      </c>
      <c r="B730" s="7" t="n">
        <v>1773.45</v>
      </c>
      <c r="C730" s="7" t="n">
        <f aca="false">AVERAGE(B681:B730)</f>
        <v>1546.9068</v>
      </c>
      <c r="D730" s="7" t="n">
        <f aca="false">AVERAGE(B531:B730)</f>
        <v>1797.7116</v>
      </c>
      <c r="E730" s="7" t="n">
        <f aca="false">B730/MAX(B479:B730)-1</f>
        <v>-0.356164980341331</v>
      </c>
      <c r="F730" s="7" t="str">
        <f aca="false">IFERROR(INDEX(02_轉折點45個!B:B,MATCH(A730,02_轉折點45個!A:A,0)),"")</f>
        <v/>
      </c>
      <c r="G730" s="7" t="s">
        <v>1994</v>
      </c>
    </row>
    <row r="731" customFormat="false" ht="15" hidden="false" customHeight="false" outlineLevel="0" collapsed="false">
      <c r="A731" s="7" t="s">
        <v>2645</v>
      </c>
      <c r="B731" s="7" t="n">
        <v>1768.65</v>
      </c>
      <c r="C731" s="7" t="n">
        <f aca="false">AVERAGE(B682:B731)</f>
        <v>1553.4192</v>
      </c>
      <c r="D731" s="7" t="n">
        <f aca="false">AVERAGE(B532:B731)</f>
        <v>1794.3838</v>
      </c>
      <c r="E731" s="7" t="n">
        <f aca="false">B731/MAX(B480:B731)-1</f>
        <v>-0.357907577028219</v>
      </c>
      <c r="F731" s="7" t="str">
        <f aca="false">IFERROR(INDEX(02_轉折點45個!B:B,MATCH(A731,02_轉折點45個!A:A,0)),"")</f>
        <v/>
      </c>
      <c r="G731" s="7" t="s">
        <v>1994</v>
      </c>
    </row>
    <row r="732" customFormat="false" ht="15" hidden="false" customHeight="false" outlineLevel="0" collapsed="false">
      <c r="A732" s="7" t="s">
        <v>2646</v>
      </c>
      <c r="B732" s="7" t="n">
        <v>1724.8</v>
      </c>
      <c r="C732" s="7" t="n">
        <f aca="false">AVERAGE(B683:B732)</f>
        <v>1559.5016</v>
      </c>
      <c r="D732" s="7" t="n">
        <f aca="false">AVERAGE(B533:B732)</f>
        <v>1791.09565</v>
      </c>
      <c r="E732" s="7" t="n">
        <f aca="false">B732/MAX(B481:B732)-1</f>
        <v>-0.373826923844894</v>
      </c>
      <c r="F732" s="7" t="str">
        <f aca="false">IFERROR(INDEX(02_轉折點45個!B:B,MATCH(A732,02_轉折點45個!A:A,0)),"")</f>
        <v/>
      </c>
      <c r="G732" s="7" t="s">
        <v>1994</v>
      </c>
    </row>
    <row r="733" customFormat="false" ht="15" hidden="false" customHeight="false" outlineLevel="0" collapsed="false">
      <c r="A733" s="7" t="s">
        <v>2647</v>
      </c>
      <c r="B733" s="7" t="n">
        <v>1766.17</v>
      </c>
      <c r="C733" s="7" t="n">
        <f aca="false">AVERAGE(B684:B733)</f>
        <v>1566.9098</v>
      </c>
      <c r="D733" s="7" t="n">
        <f aca="false">AVERAGE(B534:B733)</f>
        <v>1788.22335</v>
      </c>
      <c r="E733" s="7" t="n">
        <f aca="false">B733/MAX(B482:B733)-1</f>
        <v>-0.358807918649778</v>
      </c>
      <c r="F733" s="7" t="str">
        <f aca="false">IFERROR(INDEX(02_轉折點45個!B:B,MATCH(A733,02_轉折點45個!A:A,0)),"")</f>
        <v/>
      </c>
      <c r="G733" s="7" t="s">
        <v>1994</v>
      </c>
    </row>
    <row r="734" customFormat="false" ht="15" hidden="false" customHeight="false" outlineLevel="0" collapsed="false">
      <c r="A734" s="7" t="s">
        <v>2648</v>
      </c>
      <c r="B734" s="7" t="n">
        <v>1763.72</v>
      </c>
      <c r="C734" s="7" t="n">
        <f aca="false">AVERAGE(B685:B734)</f>
        <v>1575.3082</v>
      </c>
      <c r="D734" s="7" t="n">
        <f aca="false">AVERAGE(B535:B734)</f>
        <v>1785.7549</v>
      </c>
      <c r="E734" s="7" t="n">
        <f aca="false">B734/MAX(B483:B734)-1</f>
        <v>-0.359697369042044</v>
      </c>
      <c r="F734" s="7" t="str">
        <f aca="false">IFERROR(INDEX(02_轉折點45個!B:B,MATCH(A734,02_轉折點45個!A:A,0)),"")</f>
        <v/>
      </c>
      <c r="G734" s="7" t="s">
        <v>1994</v>
      </c>
    </row>
    <row r="735" customFormat="false" ht="15" hidden="false" customHeight="false" outlineLevel="0" collapsed="false">
      <c r="A735" s="7" t="s">
        <v>2649</v>
      </c>
      <c r="B735" s="7" t="n">
        <v>1740.26</v>
      </c>
      <c r="C735" s="7" t="n">
        <f aca="false">AVERAGE(B686:B735)</f>
        <v>1584.1096</v>
      </c>
      <c r="D735" s="7" t="n">
        <f aca="false">AVERAGE(B536:B735)</f>
        <v>1783.08375</v>
      </c>
      <c r="E735" s="7" t="n">
        <f aca="false">B735/MAX(B484:B735)-1</f>
        <v>-0.368214310349209</v>
      </c>
      <c r="F735" s="7" t="str">
        <f aca="false">IFERROR(INDEX(02_轉折點45個!B:B,MATCH(A735,02_轉折點45個!A:A,0)),"")</f>
        <v/>
      </c>
      <c r="G735" s="7" t="s">
        <v>1994</v>
      </c>
    </row>
    <row r="736" customFormat="false" ht="15" hidden="false" customHeight="false" outlineLevel="0" collapsed="false">
      <c r="A736" s="7" t="s">
        <v>440</v>
      </c>
      <c r="B736" s="7" t="n">
        <v>1793.43</v>
      </c>
      <c r="C736" s="7" t="n">
        <f aca="false">AVERAGE(B687:B736)</f>
        <v>1592.582</v>
      </c>
      <c r="D736" s="7" t="n">
        <f aca="false">AVERAGE(B537:B736)</f>
        <v>1780.9614</v>
      </c>
      <c r="E736" s="7" t="n">
        <f aca="false">B736/MAX(B485:B736)-1</f>
        <v>-0.34891142163216</v>
      </c>
      <c r="F736" s="7" t="str">
        <f aca="false">IFERROR(INDEX(02_轉折點45個!B:B,MATCH(A736,02_轉折點45個!A:A,0)),"")</f>
        <v/>
      </c>
      <c r="G736" s="7" t="s">
        <v>1994</v>
      </c>
    </row>
    <row r="737" customFormat="false" ht="15" hidden="false" customHeight="false" outlineLevel="0" collapsed="false">
      <c r="A737" s="7" t="s">
        <v>2650</v>
      </c>
      <c r="B737" s="7" t="n">
        <v>1869.94</v>
      </c>
      <c r="C737" s="7" t="n">
        <f aca="false">AVERAGE(B688:B737)</f>
        <v>1602.5436</v>
      </c>
      <c r="D737" s="7" t="n">
        <f aca="false">AVERAGE(B538:B737)</f>
        <v>1778.93075</v>
      </c>
      <c r="E737" s="7" t="n">
        <f aca="false">B737/MAX(B486:B737)-1</f>
        <v>-0.321135156525117</v>
      </c>
      <c r="F737" s="7" t="str">
        <f aca="false">IFERROR(INDEX(02_轉折點45個!B:B,MATCH(A737,02_轉折點45個!A:A,0)),"")</f>
        <v/>
      </c>
      <c r="G737" s="7" t="s">
        <v>1994</v>
      </c>
    </row>
    <row r="738" customFormat="false" ht="15" hidden="false" customHeight="false" outlineLevel="0" collapsed="false">
      <c r="A738" s="7" t="s">
        <v>2651</v>
      </c>
      <c r="B738" s="7" t="n">
        <v>1876.72</v>
      </c>
      <c r="C738" s="7" t="n">
        <f aca="false">AVERAGE(B689:B738)</f>
        <v>1613.3278</v>
      </c>
      <c r="D738" s="7" t="n">
        <f aca="false">AVERAGE(B539:B738)</f>
        <v>1776.653</v>
      </c>
      <c r="E738" s="7" t="n">
        <f aca="false">B738/MAX(B487:B738)-1</f>
        <v>-0.318673738704888</v>
      </c>
      <c r="F738" s="7" t="str">
        <f aca="false">IFERROR(INDEX(02_轉折點45個!B:B,MATCH(A738,02_轉折點45個!A:A,0)),"")</f>
        <v/>
      </c>
      <c r="G738" s="7" t="s">
        <v>1994</v>
      </c>
    </row>
    <row r="739" customFormat="false" ht="15" hidden="false" customHeight="false" outlineLevel="0" collapsed="false">
      <c r="A739" s="7" t="s">
        <v>2652</v>
      </c>
      <c r="B739" s="7" t="n">
        <v>1846.57</v>
      </c>
      <c r="C739" s="7" t="n">
        <f aca="false">AVERAGE(B690:B739)</f>
        <v>1623.57</v>
      </c>
      <c r="D739" s="7" t="n">
        <f aca="false">AVERAGE(B540:B739)</f>
        <v>1774.80705</v>
      </c>
      <c r="E739" s="7" t="n">
        <f aca="false">B739/MAX(B488:B739)-1</f>
        <v>-0.329619424144403</v>
      </c>
      <c r="F739" s="7" t="str">
        <f aca="false">IFERROR(INDEX(02_轉折點45個!B:B,MATCH(A739,02_轉折點45個!A:A,0)),"")</f>
        <v/>
      </c>
      <c r="G739" s="7" t="s">
        <v>1994</v>
      </c>
    </row>
    <row r="740" customFormat="false" ht="15" hidden="false" customHeight="false" outlineLevel="0" collapsed="false">
      <c r="A740" s="7" t="s">
        <v>2653</v>
      </c>
      <c r="B740" s="7" t="n">
        <v>1819.95</v>
      </c>
      <c r="C740" s="7" t="n">
        <f aca="false">AVERAGE(B691:B740)</f>
        <v>1632.5838</v>
      </c>
      <c r="D740" s="7" t="n">
        <f aca="false">AVERAGE(B541:B740)</f>
        <v>1773.3169</v>
      </c>
      <c r="E740" s="7" t="n">
        <f aca="false">B740/MAX(B489:B740)-1</f>
        <v>-0.339283574937103</v>
      </c>
      <c r="F740" s="7" t="str">
        <f aca="false">IFERROR(INDEX(02_轉折點45個!B:B,MATCH(A740,02_轉折點45個!A:A,0)),"")</f>
        <v/>
      </c>
      <c r="G740" s="7" t="s">
        <v>1994</v>
      </c>
    </row>
    <row r="741" customFormat="false" ht="15" hidden="false" customHeight="false" outlineLevel="0" collapsed="false">
      <c r="A741" s="7" t="s">
        <v>2654</v>
      </c>
      <c r="B741" s="7" t="n">
        <v>1828.91</v>
      </c>
      <c r="C741" s="7" t="n">
        <f aca="false">AVERAGE(B692:B741)</f>
        <v>1642.1118</v>
      </c>
      <c r="D741" s="7" t="n">
        <f aca="false">AVERAGE(B542:B741)</f>
        <v>1772.09725</v>
      </c>
      <c r="E741" s="7" t="n">
        <f aca="false">B741/MAX(B490:B741)-1</f>
        <v>-0.336030727788246</v>
      </c>
      <c r="F741" s="7" t="str">
        <f aca="false">IFERROR(INDEX(02_轉折點45個!B:B,MATCH(A741,02_轉折點45個!A:A,0)),"")</f>
        <v/>
      </c>
      <c r="G741" s="7" t="s">
        <v>1994</v>
      </c>
    </row>
    <row r="742" customFormat="false" ht="15" hidden="false" customHeight="false" outlineLevel="0" collapsed="false">
      <c r="A742" s="7" t="s">
        <v>2655</v>
      </c>
      <c r="B742" s="7" t="n">
        <v>1837.54</v>
      </c>
      <c r="C742" s="7" t="n">
        <f aca="false">AVERAGE(B693:B742)</f>
        <v>1651.5956</v>
      </c>
      <c r="D742" s="7" t="n">
        <f aca="false">AVERAGE(B543:B742)</f>
        <v>1771.0303</v>
      </c>
      <c r="E742" s="7" t="n">
        <f aca="false">B742/MAX(B491:B742)-1</f>
        <v>-0.332897684161611</v>
      </c>
      <c r="F742" s="7" t="str">
        <f aca="false">IFERROR(INDEX(02_轉折點45個!B:B,MATCH(A742,02_轉折點45個!A:A,0)),"")</f>
        <v/>
      </c>
      <c r="G742" s="7" t="s">
        <v>1994</v>
      </c>
    </row>
    <row r="743" customFormat="false" ht="15" hidden="false" customHeight="false" outlineLevel="0" collapsed="false">
      <c r="A743" s="7" t="s">
        <v>2656</v>
      </c>
      <c r="B743" s="7" t="n">
        <v>1778.28</v>
      </c>
      <c r="C743" s="7" t="n">
        <f aca="false">AVERAGE(B694:B743)</f>
        <v>1658.2776</v>
      </c>
      <c r="D743" s="7" t="n">
        <f aca="false">AVERAGE(B544:B743)</f>
        <v>1769.58685</v>
      </c>
      <c r="E743" s="7" t="n">
        <f aca="false">B743/MAX(B492:B743)-1</f>
        <v>-0.35441149242515</v>
      </c>
      <c r="F743" s="7" t="str">
        <f aca="false">IFERROR(INDEX(02_轉折點45個!B:B,MATCH(A743,02_轉折點45個!A:A,0)),"")</f>
        <v/>
      </c>
      <c r="G743" s="7" t="s">
        <v>1994</v>
      </c>
    </row>
    <row r="744" customFormat="false" ht="15" hidden="false" customHeight="false" outlineLevel="0" collapsed="false">
      <c r="A744" s="7" t="s">
        <v>2657</v>
      </c>
      <c r="B744" s="7" t="n">
        <v>1784.36</v>
      </c>
      <c r="C744" s="7" t="n">
        <f aca="false">AVERAGE(B695:B744)</f>
        <v>1664.7796</v>
      </c>
      <c r="D744" s="7" t="n">
        <f aca="false">AVERAGE(B545:B744)</f>
        <v>1767.96375</v>
      </c>
      <c r="E744" s="7" t="n">
        <f aca="false">B744/MAX(B493:B744)-1</f>
        <v>-0.352204203288425</v>
      </c>
      <c r="F744" s="7" t="str">
        <f aca="false">IFERROR(INDEX(02_轉折點45個!B:B,MATCH(A744,02_轉折點45個!A:A,0)),"")</f>
        <v/>
      </c>
      <c r="G744" s="7" t="s">
        <v>1994</v>
      </c>
    </row>
    <row r="745" customFormat="false" ht="15" hidden="false" customHeight="false" outlineLevel="0" collapsed="false">
      <c r="A745" s="7" t="s">
        <v>2658</v>
      </c>
      <c r="B745" s="7" t="n">
        <v>1815.68</v>
      </c>
      <c r="C745" s="7" t="n">
        <f aca="false">AVERAGE(B696:B745)</f>
        <v>1671.762</v>
      </c>
      <c r="D745" s="7" t="n">
        <f aca="false">AVERAGE(B546:B745)</f>
        <v>1766.95715</v>
      </c>
      <c r="E745" s="7" t="n">
        <f aca="false">B745/MAX(B494:B745)-1</f>
        <v>-0.32209768591462</v>
      </c>
      <c r="F745" s="7" t="str">
        <f aca="false">IFERROR(INDEX(02_轉折點45個!B:B,MATCH(A745,02_轉折點45個!A:A,0)),"")</f>
        <v/>
      </c>
      <c r="G745" s="7" t="s">
        <v>1994</v>
      </c>
    </row>
    <row r="746" customFormat="false" ht="15" hidden="false" customHeight="false" outlineLevel="0" collapsed="false">
      <c r="A746" s="7" t="s">
        <v>2659</v>
      </c>
      <c r="B746" s="7" t="n">
        <v>1831.49</v>
      </c>
      <c r="C746" s="7" t="n">
        <f aca="false">AVERAGE(B697:B746)</f>
        <v>1679.0488</v>
      </c>
      <c r="D746" s="7" t="n">
        <f aca="false">AVERAGE(B547:B746)</f>
        <v>1766.28535</v>
      </c>
      <c r="E746" s="7" t="n">
        <f aca="false">B746/MAX(B495:B746)-1</f>
        <v>-0.298827736175556</v>
      </c>
      <c r="F746" s="7" t="str">
        <f aca="false">IFERROR(INDEX(02_轉折點45個!B:B,MATCH(A746,02_轉折點45個!A:A,0)),"")</f>
        <v/>
      </c>
      <c r="G746" s="7" t="s">
        <v>1994</v>
      </c>
    </row>
    <row r="747" customFormat="false" ht="15" hidden="false" customHeight="false" outlineLevel="0" collapsed="false">
      <c r="A747" s="7" t="s">
        <v>2660</v>
      </c>
      <c r="B747" s="7" t="n">
        <v>1811.51</v>
      </c>
      <c r="C747" s="7" t="n">
        <f aca="false">AVERAGE(B698:B747)</f>
        <v>1686.5894</v>
      </c>
      <c r="D747" s="7" t="n">
        <f aca="false">AVERAGE(B548:B747)</f>
        <v>1765.36955</v>
      </c>
      <c r="E747" s="7" t="n">
        <f aca="false">B747/MAX(B496:B747)-1</f>
        <v>-0.30647692990919</v>
      </c>
      <c r="F747" s="7" t="str">
        <f aca="false">IFERROR(INDEX(02_轉折點45個!B:B,MATCH(A747,02_轉折點45個!A:A,0)),"")</f>
        <v/>
      </c>
      <c r="G747" s="7" t="s">
        <v>1994</v>
      </c>
    </row>
    <row r="748" customFormat="false" ht="15" hidden="false" customHeight="false" outlineLevel="0" collapsed="false">
      <c r="A748" s="7" t="s">
        <v>441</v>
      </c>
      <c r="B748" s="7" t="n">
        <v>1752.73</v>
      </c>
      <c r="C748" s="7" t="n">
        <f aca="false">AVERAGE(B699:B748)</f>
        <v>1691.9298</v>
      </c>
      <c r="D748" s="7" t="n">
        <f aca="false">AVERAGE(B549:B748)</f>
        <v>1764.46015</v>
      </c>
      <c r="E748" s="7" t="n">
        <f aca="false">B748/MAX(B497:B748)-1</f>
        <v>-0.328980413776206</v>
      </c>
      <c r="F748" s="7" t="str">
        <f aca="false">IFERROR(INDEX(02_轉折點45個!B:B,MATCH(A748,02_轉折點45個!A:A,0)),"")</f>
        <v/>
      </c>
      <c r="G748" s="7" t="s">
        <v>1994</v>
      </c>
    </row>
    <row r="749" customFormat="false" ht="15" hidden="false" customHeight="false" outlineLevel="0" collapsed="false">
      <c r="A749" s="7" t="s">
        <v>442</v>
      </c>
      <c r="B749" s="7" t="n">
        <v>1777.66</v>
      </c>
      <c r="C749" s="7" t="n">
        <f aca="false">AVERAGE(B700:B749)</f>
        <v>1696.3946</v>
      </c>
      <c r="D749" s="7" t="n">
        <f aca="false">AVERAGE(B550:B749)</f>
        <v>1763.5599</v>
      </c>
      <c r="E749" s="7" t="n">
        <f aca="false">B749/MAX(B498:B749)-1</f>
        <v>-0.319436149522978</v>
      </c>
      <c r="F749" s="7" t="str">
        <f aca="false">IFERROR(INDEX(02_轉折點45個!B:B,MATCH(A749,02_轉折點45個!A:A,0)),"")</f>
        <v/>
      </c>
      <c r="G749" s="7" t="s">
        <v>1994</v>
      </c>
    </row>
    <row r="750" customFormat="false" ht="15" hidden="false" customHeight="false" outlineLevel="0" collapsed="false">
      <c r="A750" s="7" t="s">
        <v>2661</v>
      </c>
      <c r="B750" s="7" t="n">
        <v>1776.42</v>
      </c>
      <c r="C750" s="7" t="n">
        <f aca="false">AVERAGE(B701:B750)</f>
        <v>1700.7994</v>
      </c>
      <c r="D750" s="7" t="n">
        <f aca="false">AVERAGE(B551:B750)</f>
        <v>1762.37245</v>
      </c>
      <c r="E750" s="7" t="n">
        <f aca="false">B750/MAX(B499:B750)-1</f>
        <v>-0.3199108742592</v>
      </c>
      <c r="F750" s="7" t="str">
        <f aca="false">IFERROR(INDEX(02_轉折點45個!B:B,MATCH(A750,02_轉折點45個!A:A,0)),"")</f>
        <v/>
      </c>
      <c r="G750" s="7" t="s">
        <v>1994</v>
      </c>
    </row>
    <row r="751" customFormat="false" ht="15" hidden="false" customHeight="false" outlineLevel="0" collapsed="false">
      <c r="A751" s="7" t="s">
        <v>2662</v>
      </c>
      <c r="B751" s="7" t="n">
        <v>1791.24</v>
      </c>
      <c r="C751" s="7" t="n">
        <f aca="false">AVERAGE(B702:B751)</f>
        <v>1705.6302</v>
      </c>
      <c r="D751" s="7" t="n">
        <f aca="false">AVERAGE(B552:B751)</f>
        <v>1761.1701</v>
      </c>
      <c r="E751" s="7" t="n">
        <f aca="false">B751/MAX(B500:B751)-1</f>
        <v>-0.314237147976294</v>
      </c>
      <c r="F751" s="7" t="str">
        <f aca="false">IFERROR(INDEX(02_轉折點45個!B:B,MATCH(A751,02_轉折點45個!A:A,0)),"")</f>
        <v/>
      </c>
      <c r="G751" s="7" t="s">
        <v>1994</v>
      </c>
    </row>
    <row r="752" customFormat="false" ht="15" hidden="false" customHeight="false" outlineLevel="0" collapsed="false">
      <c r="A752" s="7" t="s">
        <v>2663</v>
      </c>
      <c r="B752" s="7" t="n">
        <v>1805.6</v>
      </c>
      <c r="C752" s="7" t="n">
        <f aca="false">AVERAGE(B703:B752)</f>
        <v>1710.2774</v>
      </c>
      <c r="D752" s="7" t="n">
        <f aca="false">AVERAGE(B553:B752)</f>
        <v>1760.29165</v>
      </c>
      <c r="E752" s="7" t="n">
        <f aca="false">B752/MAX(B501:B752)-1</f>
        <v>-0.308739529256826</v>
      </c>
      <c r="F752" s="7" t="str">
        <f aca="false">IFERROR(INDEX(02_轉折點45個!B:B,MATCH(A752,02_轉折點45個!A:A,0)),"")</f>
        <v/>
      </c>
      <c r="G752" s="7" t="s">
        <v>1994</v>
      </c>
    </row>
    <row r="753" customFormat="false" ht="15" hidden="false" customHeight="false" outlineLevel="0" collapsed="false">
      <c r="A753" s="7" t="s">
        <v>2664</v>
      </c>
      <c r="B753" s="7" t="n">
        <v>1815.51</v>
      </c>
      <c r="C753" s="7" t="n">
        <f aca="false">AVERAGE(B704:B753)</f>
        <v>1716.5066</v>
      </c>
      <c r="D753" s="7" t="n">
        <f aca="false">AVERAGE(B554:B753)</f>
        <v>1759.9924</v>
      </c>
      <c r="E753" s="7" t="n">
        <f aca="false">B753/MAX(B502:B753)-1</f>
        <v>-0.304945559792346</v>
      </c>
      <c r="F753" s="7" t="str">
        <f aca="false">IFERROR(INDEX(02_轉折點45個!B:B,MATCH(A753,02_轉折點45個!A:A,0)),"")</f>
        <v/>
      </c>
      <c r="G753" s="7" t="s">
        <v>1994</v>
      </c>
    </row>
    <row r="754" customFormat="false" ht="15" hidden="false" customHeight="false" outlineLevel="0" collapsed="false">
      <c r="A754" s="7" t="s">
        <v>443</v>
      </c>
      <c r="B754" s="7" t="n">
        <v>1781.83</v>
      </c>
      <c r="C754" s="7" t="n">
        <f aca="false">AVERAGE(B705:B754)</f>
        <v>1721.9456</v>
      </c>
      <c r="D754" s="7" t="n">
        <f aca="false">AVERAGE(B555:B754)</f>
        <v>1760.1158</v>
      </c>
      <c r="E754" s="7" t="n">
        <f aca="false">B754/MAX(B503:B754)-1</f>
        <v>-0.317839696176169</v>
      </c>
      <c r="F754" s="7" t="str">
        <f aca="false">IFERROR(INDEX(02_轉折點45個!B:B,MATCH(A754,02_轉折點45個!A:A,0)),"")</f>
        <v/>
      </c>
      <c r="G754" s="7" t="s">
        <v>1994</v>
      </c>
    </row>
    <row r="755" customFormat="false" ht="15" hidden="false" customHeight="false" outlineLevel="0" collapsed="false">
      <c r="A755" s="7" t="s">
        <v>2665</v>
      </c>
      <c r="B755" s="7" t="n">
        <v>1808.19</v>
      </c>
      <c r="C755" s="7" t="n">
        <f aca="false">AVERAGE(B706:B755)</f>
        <v>1727.5722</v>
      </c>
      <c r="D755" s="7" t="n">
        <f aca="false">AVERAGE(B556:B755)</f>
        <v>1759.9535</v>
      </c>
      <c r="E755" s="7" t="n">
        <f aca="false">B755/MAX(B504:B755)-1</f>
        <v>-0.30774796710617</v>
      </c>
      <c r="F755" s="7" t="str">
        <f aca="false">IFERROR(INDEX(02_轉折點45個!B:B,MATCH(A755,02_轉折點45個!A:A,0)),"")</f>
        <v/>
      </c>
      <c r="G755" s="7" t="s">
        <v>1994</v>
      </c>
    </row>
    <row r="756" customFormat="false" ht="15" hidden="false" customHeight="false" outlineLevel="0" collapsed="false">
      <c r="A756" s="7" t="s">
        <v>2666</v>
      </c>
      <c r="B756" s="7" t="n">
        <v>1867.59</v>
      </c>
      <c r="C756" s="7" t="n">
        <f aca="false">AVERAGE(B707:B756)</f>
        <v>1733.7148</v>
      </c>
      <c r="D756" s="7" t="n">
        <f aca="false">AVERAGE(B557:B756)</f>
        <v>1760.2832</v>
      </c>
      <c r="E756" s="7" t="n">
        <f aca="false">B756/MAX(B505:B756)-1</f>
        <v>-0.285007120871043</v>
      </c>
      <c r="F756" s="7" t="str">
        <f aca="false">IFERROR(INDEX(02_轉折點45個!B:B,MATCH(A756,02_轉折點45個!A:A,0)),"")</f>
        <v/>
      </c>
      <c r="G756" s="7" t="s">
        <v>1994</v>
      </c>
    </row>
    <row r="757" customFormat="false" ht="15" hidden="false" customHeight="false" outlineLevel="0" collapsed="false">
      <c r="A757" s="7" t="s">
        <v>126</v>
      </c>
      <c r="B757" s="7" t="n">
        <v>1881.39</v>
      </c>
      <c r="C757" s="7" t="n">
        <f aca="false">AVERAGE(B708:B757)</f>
        <v>1740.2</v>
      </c>
      <c r="D757" s="7" t="n">
        <f aca="false">AVERAGE(B558:B757)</f>
        <v>1760.82525</v>
      </c>
      <c r="E757" s="7" t="n">
        <f aca="false">B757/MAX(B506:B757)-1</f>
        <v>-0.279723893967933</v>
      </c>
      <c r="F757" s="7" t="str">
        <f aca="false">IFERROR(INDEX(02_轉折點45個!B:B,MATCH(A757,02_轉折點45個!A:A,0)),"")</f>
        <v>TOP</v>
      </c>
      <c r="G757" s="7" t="s">
        <v>1994</v>
      </c>
    </row>
    <row r="758" customFormat="false" ht="15" hidden="false" customHeight="false" outlineLevel="0" collapsed="false">
      <c r="A758" s="7" t="s">
        <v>2667</v>
      </c>
      <c r="B758" s="7" t="n">
        <v>1861.04</v>
      </c>
      <c r="C758" s="7" t="n">
        <f aca="false">AVERAGE(B709:B758)</f>
        <v>1745.783</v>
      </c>
      <c r="D758" s="7" t="n">
        <f aca="false">AVERAGE(B559:B758)</f>
        <v>1761.49305</v>
      </c>
      <c r="E758" s="7" t="n">
        <f aca="false">B758/MAX(B507:B758)-1</f>
        <v>-0.287514739437375</v>
      </c>
      <c r="F758" s="7" t="str">
        <f aca="false">IFERROR(INDEX(02_轉折點45個!B:B,MATCH(A758,02_轉折點45個!A:A,0)),"")</f>
        <v/>
      </c>
      <c r="G758" s="7" t="s">
        <v>1994</v>
      </c>
    </row>
    <row r="759" customFormat="false" ht="15" hidden="false" customHeight="false" outlineLevel="0" collapsed="false">
      <c r="A759" s="7" t="s">
        <v>2668</v>
      </c>
      <c r="B759" s="7" t="n">
        <v>1878.07</v>
      </c>
      <c r="C759" s="7" t="n">
        <f aca="false">AVERAGE(B710:B759)</f>
        <v>1750.904</v>
      </c>
      <c r="D759" s="7" t="n">
        <f aca="false">AVERAGE(B560:B759)</f>
        <v>1761.9707</v>
      </c>
      <c r="E759" s="7" t="n">
        <f aca="false">B759/MAX(B508:B759)-1</f>
        <v>-0.280994931164913</v>
      </c>
      <c r="F759" s="7" t="str">
        <f aca="false">IFERROR(INDEX(02_轉折點45個!B:B,MATCH(A759,02_轉折點45個!A:A,0)),"")</f>
        <v/>
      </c>
      <c r="G759" s="7" t="s">
        <v>1994</v>
      </c>
    </row>
    <row r="760" customFormat="false" ht="15" hidden="false" customHeight="false" outlineLevel="0" collapsed="false">
      <c r="A760" s="7" t="s">
        <v>2669</v>
      </c>
      <c r="B760" s="7" t="n">
        <v>1868.16</v>
      </c>
      <c r="C760" s="7" t="n">
        <f aca="false">AVERAGE(B711:B760)</f>
        <v>1755.9458</v>
      </c>
      <c r="D760" s="7" t="n">
        <f aca="false">AVERAGE(B561:B760)</f>
        <v>1762.82695</v>
      </c>
      <c r="E760" s="7" t="n">
        <f aca="false">B760/MAX(B509:B760)-1</f>
        <v>-0.284788900629393</v>
      </c>
      <c r="F760" s="7" t="str">
        <f aca="false">IFERROR(INDEX(02_轉折點45個!B:B,MATCH(A760,02_轉折點45個!A:A,0)),"")</f>
        <v/>
      </c>
      <c r="G760" s="7" t="s">
        <v>1994</v>
      </c>
    </row>
    <row r="761" customFormat="false" ht="15" hidden="false" customHeight="false" outlineLevel="0" collapsed="false">
      <c r="A761" s="7" t="s">
        <v>2670</v>
      </c>
      <c r="B761" s="7" t="n">
        <v>1870.3</v>
      </c>
      <c r="C761" s="7" t="n">
        <f aca="false">AVERAGE(B712:B761)</f>
        <v>1762.2992</v>
      </c>
      <c r="D761" s="7" t="n">
        <f aca="false">AVERAGE(B562:B761)</f>
        <v>1763.8182</v>
      </c>
      <c r="E761" s="7" t="n">
        <f aca="false">B761/MAX(B510:B761)-1</f>
        <v>-0.283969617616882</v>
      </c>
      <c r="F761" s="7" t="str">
        <f aca="false">IFERROR(INDEX(02_轉折點45個!B:B,MATCH(A761,02_轉折點45個!A:A,0)),"")</f>
        <v/>
      </c>
      <c r="G761" s="7" t="s">
        <v>1994</v>
      </c>
    </row>
    <row r="762" customFormat="false" ht="15" hidden="false" customHeight="false" outlineLevel="0" collapsed="false">
      <c r="A762" s="7" t="s">
        <v>444</v>
      </c>
      <c r="B762" s="7" t="n">
        <v>1847.66</v>
      </c>
      <c r="C762" s="7" t="n">
        <f aca="false">AVERAGE(B713:B762)</f>
        <v>1768.7864</v>
      </c>
      <c r="D762" s="7" t="n">
        <f aca="false">AVERAGE(B563:B762)</f>
        <v>1764.38805</v>
      </c>
      <c r="E762" s="7" t="n">
        <f aca="false">B762/MAX(B511:B762)-1</f>
        <v>-0.292637172478216</v>
      </c>
      <c r="F762" s="7" t="str">
        <f aca="false">IFERROR(INDEX(02_轉折點45個!B:B,MATCH(A762,02_轉折點45個!A:A,0)),"")</f>
        <v/>
      </c>
      <c r="G762" s="7" t="s">
        <v>1994</v>
      </c>
    </row>
    <row r="763" customFormat="false" ht="15" hidden="false" customHeight="false" outlineLevel="0" collapsed="false">
      <c r="A763" s="7" t="s">
        <v>2671</v>
      </c>
      <c r="B763" s="7" t="n">
        <v>1818.69</v>
      </c>
      <c r="C763" s="7" t="n">
        <f aca="false">AVERAGE(B714:B763)</f>
        <v>1774.2778</v>
      </c>
      <c r="D763" s="7" t="n">
        <f aca="false">AVERAGE(B564:B763)</f>
        <v>1764.67155</v>
      </c>
      <c r="E763" s="7" t="n">
        <f aca="false">B763/MAX(B512:B763)-1</f>
        <v>-0.303728120549456</v>
      </c>
      <c r="F763" s="7" t="str">
        <f aca="false">IFERROR(INDEX(02_轉折點45個!B:B,MATCH(A763,02_轉折點45個!A:A,0)),"")</f>
        <v/>
      </c>
      <c r="G763" s="7" t="s">
        <v>1994</v>
      </c>
    </row>
    <row r="764" customFormat="false" ht="15" hidden="false" customHeight="false" outlineLevel="0" collapsed="false">
      <c r="A764" s="7" t="s">
        <v>2672</v>
      </c>
      <c r="B764" s="7" t="n">
        <v>1827.98</v>
      </c>
      <c r="C764" s="7" t="n">
        <f aca="false">AVERAGE(B715:B764)</f>
        <v>1778.93</v>
      </c>
      <c r="D764" s="7" t="n">
        <f aca="false">AVERAGE(B565:B764)</f>
        <v>1765.04805</v>
      </c>
      <c r="E764" s="7" t="n">
        <f aca="false">B764/MAX(B513:B764)-1</f>
        <v>-0.300171513453086</v>
      </c>
      <c r="F764" s="7" t="str">
        <f aca="false">IFERROR(INDEX(02_轉折點45個!B:B,MATCH(A764,02_轉折點45個!A:A,0)),"")</f>
        <v/>
      </c>
      <c r="G764" s="7" t="s">
        <v>1994</v>
      </c>
    </row>
    <row r="765" customFormat="false" ht="15" hidden="false" customHeight="false" outlineLevel="0" collapsed="false">
      <c r="A765" s="7" t="s">
        <v>445</v>
      </c>
      <c r="B765" s="7" t="n">
        <v>1776.39</v>
      </c>
      <c r="C765" s="7" t="n">
        <f aca="false">AVERAGE(B716:B765)</f>
        <v>1782.5608</v>
      </c>
      <c r="D765" s="7" t="n">
        <f aca="false">AVERAGE(B566:B765)</f>
        <v>1764.9211</v>
      </c>
      <c r="E765" s="7" t="n">
        <f aca="false">B765/MAX(B514:B765)-1</f>
        <v>-0.319922359535076</v>
      </c>
      <c r="F765" s="7" t="str">
        <f aca="false">IFERROR(INDEX(02_轉折點45個!B:B,MATCH(A765,02_轉折點45個!A:A,0)),"")</f>
        <v/>
      </c>
      <c r="G765" s="7" t="s">
        <v>1994</v>
      </c>
    </row>
    <row r="766" customFormat="false" ht="15" hidden="false" customHeight="false" outlineLevel="0" collapsed="false">
      <c r="A766" s="7" t="s">
        <v>2673</v>
      </c>
      <c r="B766" s="7" t="n">
        <v>1814.19</v>
      </c>
      <c r="C766" s="7" t="n">
        <f aca="false">AVERAGE(B717:B766)</f>
        <v>1786.072</v>
      </c>
      <c r="D766" s="7" t="n">
        <f aca="false">AVERAGE(B567:B766)</f>
        <v>1765.52265</v>
      </c>
      <c r="E766" s="7" t="n">
        <f aca="false">B766/MAX(B515:B766)-1</f>
        <v>-0.305450911930905</v>
      </c>
      <c r="F766" s="7" t="str">
        <f aca="false">IFERROR(INDEX(02_轉折點45個!B:B,MATCH(A766,02_轉折點45個!A:A,0)),"")</f>
        <v/>
      </c>
      <c r="G766" s="7" t="s">
        <v>1994</v>
      </c>
    </row>
    <row r="767" customFormat="false" ht="15" hidden="false" customHeight="false" outlineLevel="0" collapsed="false">
      <c r="A767" s="7" t="s">
        <v>446</v>
      </c>
      <c r="B767" s="7" t="n">
        <v>1763.51</v>
      </c>
      <c r="C767" s="7" t="n">
        <f aca="false">AVERAGE(B718:B767)</f>
        <v>1787.8126</v>
      </c>
      <c r="D767" s="7" t="n">
        <f aca="false">AVERAGE(B568:B767)</f>
        <v>1766.0241</v>
      </c>
      <c r="E767" s="7" t="n">
        <f aca="false">B767/MAX(B516:B767)-1</f>
        <v>-0.324853371311312</v>
      </c>
      <c r="F767" s="7" t="str">
        <f aca="false">IFERROR(INDEX(02_轉折點45個!B:B,MATCH(A767,02_轉折點45個!A:A,0)),"")</f>
        <v/>
      </c>
      <c r="G767" s="7" t="s">
        <v>1994</v>
      </c>
    </row>
    <row r="768" customFormat="false" ht="15" hidden="false" customHeight="false" outlineLevel="0" collapsed="false">
      <c r="A768" s="7" t="s">
        <v>2674</v>
      </c>
      <c r="B768" s="7" t="n">
        <v>1719.83</v>
      </c>
      <c r="C768" s="7" t="n">
        <f aca="false">AVERAGE(B719:B768)</f>
        <v>1788.6348</v>
      </c>
      <c r="D768" s="7" t="n">
        <f aca="false">AVERAGE(B569:B768)</f>
        <v>1766.2172</v>
      </c>
      <c r="E768" s="7" t="n">
        <f aca="false">B768/MAX(B517:B768)-1</f>
        <v>-0.341575932987244</v>
      </c>
      <c r="F768" s="7" t="str">
        <f aca="false">IFERROR(INDEX(02_轉折點45個!B:B,MATCH(A768,02_轉折點45個!A:A,0)),"")</f>
        <v/>
      </c>
      <c r="G768" s="7" t="s">
        <v>1994</v>
      </c>
    </row>
    <row r="769" customFormat="false" ht="15" hidden="false" customHeight="false" outlineLevel="0" collapsed="false">
      <c r="A769" s="7" t="s">
        <v>2675</v>
      </c>
      <c r="B769" s="7" t="n">
        <v>1756.23</v>
      </c>
      <c r="C769" s="7" t="n">
        <f aca="false">AVERAGE(B720:B769)</f>
        <v>1790.3634</v>
      </c>
      <c r="D769" s="7" t="n">
        <f aca="false">AVERAGE(B570:B769)</f>
        <v>1766.854</v>
      </c>
      <c r="E769" s="7" t="n">
        <f aca="false">B769/MAX(B518:B769)-1</f>
        <v>-0.327640464923968</v>
      </c>
      <c r="F769" s="7" t="str">
        <f aca="false">IFERROR(INDEX(02_轉折點45個!B:B,MATCH(A769,02_轉折點45個!A:A,0)),"")</f>
        <v/>
      </c>
      <c r="G769" s="7" t="s">
        <v>1994</v>
      </c>
    </row>
    <row r="770" customFormat="false" ht="15" hidden="false" customHeight="false" outlineLevel="0" collapsed="false">
      <c r="A770" s="7" t="s">
        <v>447</v>
      </c>
      <c r="B770" s="7" t="n">
        <v>1774.69</v>
      </c>
      <c r="C770" s="7" t="n">
        <f aca="false">AVERAGE(B721:B770)</f>
        <v>1792.4482</v>
      </c>
      <c r="D770" s="7" t="n">
        <f aca="false">AVERAGE(B571:B770)</f>
        <v>1768.0854</v>
      </c>
      <c r="E770" s="7" t="n">
        <f aca="false">B770/MAX(B519:B770)-1</f>
        <v>-0.320573191834735</v>
      </c>
      <c r="F770" s="7" t="str">
        <f aca="false">IFERROR(INDEX(02_轉折點45個!B:B,MATCH(A770,02_轉折點45個!A:A,0)),"")</f>
        <v/>
      </c>
      <c r="G770" s="7" t="s">
        <v>1994</v>
      </c>
    </row>
    <row r="771" customFormat="false" ht="15" hidden="false" customHeight="false" outlineLevel="0" collapsed="false">
      <c r="A771" s="7" t="s">
        <v>2676</v>
      </c>
      <c r="B771" s="7" t="n">
        <v>1770.23</v>
      </c>
      <c r="C771" s="7" t="n">
        <f aca="false">AVERAGE(B722:B771)</f>
        <v>1794.231</v>
      </c>
      <c r="D771" s="7" t="n">
        <f aca="false">AVERAGE(B572:B771)</f>
        <v>1769.45075</v>
      </c>
      <c r="E771" s="7" t="n">
        <f aca="false">B771/MAX(B520:B771)-1</f>
        <v>-0.322280669515015</v>
      </c>
      <c r="F771" s="7" t="str">
        <f aca="false">IFERROR(INDEX(02_轉折點45個!B:B,MATCH(A771,02_轉折點45個!A:A,0)),"")</f>
        <v/>
      </c>
      <c r="G771" s="7" t="s">
        <v>1994</v>
      </c>
    </row>
    <row r="772" customFormat="false" ht="15" hidden="false" customHeight="false" outlineLevel="0" collapsed="false">
      <c r="A772" s="7" t="s">
        <v>2677</v>
      </c>
      <c r="B772" s="7" t="n">
        <v>1775.9</v>
      </c>
      <c r="C772" s="7" t="n">
        <f aca="false">AVERAGE(B723:B772)</f>
        <v>1795.1774</v>
      </c>
      <c r="D772" s="7" t="n">
        <f aca="false">AVERAGE(B573:B772)</f>
        <v>1770.1766</v>
      </c>
      <c r="E772" s="7" t="n">
        <f aca="false">B772/MAX(B521:B772)-1</f>
        <v>-0.320109952374389</v>
      </c>
      <c r="F772" s="7" t="str">
        <f aca="false">IFERROR(INDEX(02_轉折點45個!B:B,MATCH(A772,02_轉折點45個!A:A,0)),"")</f>
        <v/>
      </c>
      <c r="G772" s="7" t="s">
        <v>1994</v>
      </c>
    </row>
    <row r="773" customFormat="false" ht="15" hidden="false" customHeight="false" outlineLevel="0" collapsed="false">
      <c r="A773" s="7" t="s">
        <v>448</v>
      </c>
      <c r="B773" s="7" t="n">
        <v>1729.38</v>
      </c>
      <c r="C773" s="7" t="n">
        <f aca="false">AVERAGE(B724:B773)</f>
        <v>1794.991</v>
      </c>
      <c r="D773" s="7" t="n">
        <f aca="false">AVERAGE(B574:B773)</f>
        <v>1770.96515</v>
      </c>
      <c r="E773" s="7" t="n">
        <f aca="false">B773/MAX(B522:B773)-1</f>
        <v>-0.33791978683328</v>
      </c>
      <c r="F773" s="7" t="str">
        <f aca="false">IFERROR(INDEX(02_轉折點45個!B:B,MATCH(A773,02_轉折點45個!A:A,0)),"")</f>
        <v/>
      </c>
      <c r="G773" s="7" t="s">
        <v>1994</v>
      </c>
    </row>
    <row r="774" customFormat="false" ht="15" hidden="false" customHeight="false" outlineLevel="0" collapsed="false">
      <c r="A774" s="7" t="s">
        <v>2678</v>
      </c>
      <c r="B774" s="7" t="n">
        <v>1748.07</v>
      </c>
      <c r="C774" s="7" t="n">
        <f aca="false">AVERAGE(B725:B774)</f>
        <v>1795.2262</v>
      </c>
      <c r="D774" s="7" t="n">
        <f aca="false">AVERAGE(B575:B774)</f>
        <v>1771.73135</v>
      </c>
      <c r="E774" s="7" t="n">
        <f aca="false">B774/MAX(B523:B774)-1</f>
        <v>-0.325860765742141</v>
      </c>
      <c r="F774" s="7" t="str">
        <f aca="false">IFERROR(INDEX(02_轉折點45個!B:B,MATCH(A774,02_轉折點45個!A:A,0)),"")</f>
        <v/>
      </c>
      <c r="G774" s="7" t="s">
        <v>1994</v>
      </c>
    </row>
    <row r="775" customFormat="false" ht="15" hidden="false" customHeight="false" outlineLevel="0" collapsed="false">
      <c r="A775" s="7" t="s">
        <v>2679</v>
      </c>
      <c r="B775" s="7" t="n">
        <v>1766.88</v>
      </c>
      <c r="C775" s="7" t="n">
        <f aca="false">AVERAGE(B726:B775)</f>
        <v>1795.874</v>
      </c>
      <c r="D775" s="7" t="n">
        <f aca="false">AVERAGE(B576:B775)</f>
        <v>1772.10595</v>
      </c>
      <c r="E775" s="7" t="n">
        <f aca="false">B775/MAX(B524:B775)-1</f>
        <v>-0.318606731866844</v>
      </c>
      <c r="F775" s="7" t="str">
        <f aca="false">IFERROR(INDEX(02_轉折點45個!B:B,MATCH(A775,02_轉折點45個!A:A,0)),"")</f>
        <v/>
      </c>
      <c r="G775" s="7" t="s">
        <v>1994</v>
      </c>
    </row>
    <row r="776" customFormat="false" ht="15" hidden="false" customHeight="false" outlineLevel="0" collapsed="false">
      <c r="A776" s="7" t="s">
        <v>2680</v>
      </c>
      <c r="B776" s="7" t="n">
        <v>1746.06</v>
      </c>
      <c r="C776" s="7" t="n">
        <f aca="false">AVERAGE(B727:B776)</f>
        <v>1795.4506</v>
      </c>
      <c r="D776" s="7" t="n">
        <f aca="false">AVERAGE(B577:B776)</f>
        <v>1772.1621</v>
      </c>
      <c r="E776" s="7" t="n">
        <f aca="false">B776/MAX(B525:B776)-1</f>
        <v>-0.326635917687348</v>
      </c>
      <c r="F776" s="7" t="str">
        <f aca="false">IFERROR(INDEX(02_轉折點45個!B:B,MATCH(A776,02_轉折點45個!A:A,0)),"")</f>
        <v/>
      </c>
      <c r="G776" s="7" t="s">
        <v>1994</v>
      </c>
    </row>
    <row r="777" customFormat="false" ht="15" hidden="false" customHeight="false" outlineLevel="0" collapsed="false">
      <c r="A777" s="7" t="s">
        <v>2681</v>
      </c>
      <c r="B777" s="7" t="n">
        <v>1695.16</v>
      </c>
      <c r="C777" s="7" t="n">
        <f aca="false">AVERAGE(B728:B777)</f>
        <v>1794.9942</v>
      </c>
      <c r="D777" s="7" t="n">
        <f aca="false">AVERAGE(B578:B777)</f>
        <v>1771.67835</v>
      </c>
      <c r="E777" s="7" t="n">
        <f aca="false">B777/MAX(B526:B777)-1</f>
        <v>-0.346265387344584</v>
      </c>
      <c r="F777" s="7" t="str">
        <f aca="false">IFERROR(INDEX(02_轉折點45個!B:B,MATCH(A777,02_轉折點45個!A:A,0)),"")</f>
        <v/>
      </c>
      <c r="G777" s="7" t="s">
        <v>1994</v>
      </c>
    </row>
    <row r="778" customFormat="false" ht="15" hidden="false" customHeight="false" outlineLevel="0" collapsed="false">
      <c r="A778" s="7" t="s">
        <v>2682</v>
      </c>
      <c r="B778" s="7" t="n">
        <v>1679.62</v>
      </c>
      <c r="C778" s="7" t="n">
        <f aca="false">AVERAGE(B729:B778)</f>
        <v>1794.3268</v>
      </c>
      <c r="D778" s="7" t="n">
        <f aca="false">AVERAGE(B579:B778)</f>
        <v>1771.3538</v>
      </c>
      <c r="E778" s="7" t="n">
        <f aca="false">B778/MAX(B527:B778)-1</f>
        <v>-0.339325330018723</v>
      </c>
      <c r="F778" s="7" t="str">
        <f aca="false">IFERROR(INDEX(02_轉折點45個!B:B,MATCH(A778,02_轉折點45個!A:A,0)),"")</f>
        <v/>
      </c>
      <c r="G778" s="7" t="s">
        <v>1994</v>
      </c>
    </row>
    <row r="779" customFormat="false" ht="15" hidden="false" customHeight="false" outlineLevel="0" collapsed="false">
      <c r="A779" s="7" t="s">
        <v>2683</v>
      </c>
      <c r="B779" s="7" t="n">
        <v>1656.04</v>
      </c>
      <c r="C779" s="7" t="n">
        <f aca="false">AVERAGE(B730:B779)</f>
        <v>1792.6734</v>
      </c>
      <c r="D779" s="7" t="n">
        <f aca="false">AVERAGE(B580:B779)</f>
        <v>1770.849</v>
      </c>
      <c r="E779" s="7" t="n">
        <f aca="false">B779/MAX(B528:B779)-1</f>
        <v>-0.348600468870463</v>
      </c>
      <c r="F779" s="7" t="str">
        <f aca="false">IFERROR(INDEX(02_轉折點45個!B:B,MATCH(A779,02_轉折點45個!A:A,0)),"")</f>
        <v/>
      </c>
      <c r="G779" s="7" t="s">
        <v>1994</v>
      </c>
    </row>
    <row r="780" customFormat="false" ht="15" hidden="false" customHeight="false" outlineLevel="0" collapsed="false">
      <c r="A780" s="7" t="s">
        <v>2684</v>
      </c>
      <c r="B780" s="7" t="n">
        <v>1628.09</v>
      </c>
      <c r="C780" s="7" t="n">
        <f aca="false">AVERAGE(B731:B780)</f>
        <v>1789.7662</v>
      </c>
      <c r="D780" s="7" t="n">
        <f aca="false">AVERAGE(B581:B780)</f>
        <v>1769.49085</v>
      </c>
      <c r="E780" s="7" t="n">
        <f aca="false">B780/MAX(B529:B780)-1</f>
        <v>-0.331162882413596</v>
      </c>
      <c r="F780" s="7" t="str">
        <f aca="false">IFERROR(INDEX(02_轉折點45個!B:B,MATCH(A780,02_轉折點45個!A:A,0)),"")</f>
        <v/>
      </c>
      <c r="G780" s="7" t="s">
        <v>1994</v>
      </c>
    </row>
    <row r="781" customFormat="false" ht="15" hidden="false" customHeight="false" outlineLevel="0" collapsed="false">
      <c r="A781" s="7" t="s">
        <v>2685</v>
      </c>
      <c r="B781" s="7" t="n">
        <v>1661.68</v>
      </c>
      <c r="C781" s="7" t="n">
        <f aca="false">AVERAGE(B732:B781)</f>
        <v>1787.6268</v>
      </c>
      <c r="D781" s="7" t="n">
        <f aca="false">AVERAGE(B582:B781)</f>
        <v>1767.83155</v>
      </c>
      <c r="E781" s="7" t="n">
        <f aca="false">B781/MAX(B530:B781)-1</f>
        <v>-0.317363744294864</v>
      </c>
      <c r="F781" s="7" t="str">
        <f aca="false">IFERROR(INDEX(02_轉折點45個!B:B,MATCH(A781,02_轉折點45個!A:A,0)),"")</f>
        <v/>
      </c>
      <c r="G781" s="7" t="s">
        <v>1994</v>
      </c>
    </row>
    <row r="782" customFormat="false" ht="15" hidden="false" customHeight="false" outlineLevel="0" collapsed="false">
      <c r="A782" s="7" t="s">
        <v>2686</v>
      </c>
      <c r="B782" s="7" t="n">
        <v>1687.06</v>
      </c>
      <c r="C782" s="7" t="n">
        <f aca="false">AVERAGE(B733:B782)</f>
        <v>1786.872</v>
      </c>
      <c r="D782" s="7" t="n">
        <f aca="false">AVERAGE(B583:B782)</f>
        <v>1766.3847</v>
      </c>
      <c r="E782" s="7" t="n">
        <f aca="false">B782/MAX(B531:B782)-1</f>
        <v>-0.306937363662133</v>
      </c>
      <c r="F782" s="7" t="str">
        <f aca="false">IFERROR(INDEX(02_轉折點45個!B:B,MATCH(A782,02_轉折點45個!A:A,0)),"")</f>
        <v/>
      </c>
      <c r="G782" s="7" t="s">
        <v>1994</v>
      </c>
    </row>
    <row r="783" customFormat="false" ht="15" hidden="false" customHeight="false" outlineLevel="0" collapsed="false">
      <c r="A783" s="7" t="s">
        <v>2687</v>
      </c>
      <c r="B783" s="7" t="n">
        <v>1675.68</v>
      </c>
      <c r="C783" s="7" t="n">
        <f aca="false">AVERAGE(B734:B783)</f>
        <v>1785.0622</v>
      </c>
      <c r="D783" s="7" t="n">
        <f aca="false">AVERAGE(B584:B783)</f>
        <v>1765.3564</v>
      </c>
      <c r="E783" s="7" t="n">
        <f aca="false">B783/MAX(B532:B783)-1</f>
        <v>-0.29665089845242</v>
      </c>
      <c r="F783" s="7" t="str">
        <f aca="false">IFERROR(INDEX(02_轉折點45個!B:B,MATCH(A783,02_轉折點45個!A:A,0)),"")</f>
        <v/>
      </c>
      <c r="G783" s="7" t="s">
        <v>1994</v>
      </c>
    </row>
    <row r="784" customFormat="false" ht="15" hidden="false" customHeight="false" outlineLevel="0" collapsed="false">
      <c r="A784" s="7" t="s">
        <v>449</v>
      </c>
      <c r="B784" s="7" t="n">
        <v>1698.48</v>
      </c>
      <c r="C784" s="7" t="n">
        <f aca="false">AVERAGE(B735:B784)</f>
        <v>1783.7574</v>
      </c>
      <c r="D784" s="7" t="n">
        <f aca="false">AVERAGE(B585:B784)</f>
        <v>1764.6372</v>
      </c>
      <c r="E784" s="7" t="n">
        <f aca="false">B784/MAX(B533:B784)-1</f>
        <v>-0.274349213673242</v>
      </c>
      <c r="F784" s="7" t="str">
        <f aca="false">IFERROR(INDEX(02_轉折點45個!B:B,MATCH(A784,02_轉折點45個!A:A,0)),"")</f>
        <v/>
      </c>
      <c r="G784" s="7" t="s">
        <v>1994</v>
      </c>
    </row>
    <row r="785" customFormat="false" ht="15" hidden="false" customHeight="false" outlineLevel="0" collapsed="false">
      <c r="A785" s="7" t="s">
        <v>2688</v>
      </c>
      <c r="B785" s="7" t="n">
        <v>1684.05</v>
      </c>
      <c r="C785" s="7" t="n">
        <f aca="false">AVERAGE(B736:B785)</f>
        <v>1782.6332</v>
      </c>
      <c r="D785" s="7" t="n">
        <f aca="false">AVERAGE(B586:B785)</f>
        <v>1763.64855</v>
      </c>
      <c r="E785" s="7" t="n">
        <f aca="false">B785/MAX(B534:B785)-1</f>
        <v>-0.277935230483606</v>
      </c>
      <c r="F785" s="7" t="str">
        <f aca="false">IFERROR(INDEX(02_轉折點45個!B:B,MATCH(A785,02_轉折點45個!A:A,0)),"")</f>
        <v/>
      </c>
      <c r="G785" s="7" t="s">
        <v>1994</v>
      </c>
    </row>
    <row r="786" customFormat="false" ht="15" hidden="false" customHeight="false" outlineLevel="0" collapsed="false">
      <c r="A786" s="7" t="s">
        <v>2689</v>
      </c>
      <c r="B786" s="7" t="n">
        <v>1649.18</v>
      </c>
      <c r="C786" s="7" t="n">
        <f aca="false">AVERAGE(B737:B786)</f>
        <v>1779.7482</v>
      </c>
      <c r="D786" s="7" t="n">
        <f aca="false">AVERAGE(B587:B786)</f>
        <v>1762.5994</v>
      </c>
      <c r="E786" s="7" t="n">
        <f aca="false">B786/MAX(B535:B786)-1</f>
        <v>-0.292886329627359</v>
      </c>
      <c r="F786" s="7" t="str">
        <f aca="false">IFERROR(INDEX(02_轉折點45個!B:B,MATCH(A786,02_轉折點45個!A:A,0)),"")</f>
        <v/>
      </c>
      <c r="G786" s="7" t="s">
        <v>1994</v>
      </c>
    </row>
    <row r="787" customFormat="false" ht="15" hidden="false" customHeight="false" outlineLevel="0" collapsed="false">
      <c r="A787" s="7" t="s">
        <v>2690</v>
      </c>
      <c r="B787" s="7" t="n">
        <v>1599.31</v>
      </c>
      <c r="C787" s="7" t="n">
        <f aca="false">AVERAGE(B738:B787)</f>
        <v>1774.3356</v>
      </c>
      <c r="D787" s="7" t="n">
        <f aca="false">AVERAGE(B588:B787)</f>
        <v>1761.11455</v>
      </c>
      <c r="E787" s="7" t="n">
        <f aca="false">B787/MAX(B536:B787)-1</f>
        <v>-0.314268931127185</v>
      </c>
      <c r="F787" s="7" t="str">
        <f aca="false">IFERROR(INDEX(02_轉折點45個!B:B,MATCH(A787,02_轉折點45個!A:A,0)),"")</f>
        <v/>
      </c>
      <c r="G787" s="7" t="s">
        <v>1994</v>
      </c>
    </row>
    <row r="788" customFormat="false" ht="15" hidden="false" customHeight="false" outlineLevel="0" collapsed="false">
      <c r="A788" s="7" t="s">
        <v>2691</v>
      </c>
      <c r="B788" s="7" t="n">
        <v>1622.11</v>
      </c>
      <c r="C788" s="7" t="n">
        <f aca="false">AVERAGE(B739:B788)</f>
        <v>1769.2434</v>
      </c>
      <c r="D788" s="7" t="n">
        <f aca="false">AVERAGE(B589:B788)</f>
        <v>1759.5584</v>
      </c>
      <c r="E788" s="7" t="n">
        <f aca="false">B788/MAX(B537:B788)-1</f>
        <v>-0.304493047545953</v>
      </c>
      <c r="F788" s="7" t="str">
        <f aca="false">IFERROR(INDEX(02_轉折點45個!B:B,MATCH(A788,02_轉折點45個!A:A,0)),"")</f>
        <v/>
      </c>
      <c r="G788" s="7" t="s">
        <v>1994</v>
      </c>
    </row>
    <row r="789" customFormat="false" ht="15" hidden="false" customHeight="false" outlineLevel="0" collapsed="false">
      <c r="A789" s="7" t="s">
        <v>2692</v>
      </c>
      <c r="B789" s="7" t="n">
        <v>1567.91</v>
      </c>
      <c r="C789" s="7" t="n">
        <f aca="false">AVERAGE(B740:B789)</f>
        <v>1763.6702</v>
      </c>
      <c r="D789" s="7" t="n">
        <f aca="false">AVERAGE(B590:B789)</f>
        <v>1757.49375</v>
      </c>
      <c r="E789" s="7" t="n">
        <f aca="false">B789/MAX(B538:B789)-1</f>
        <v>-0.327732209392566</v>
      </c>
      <c r="F789" s="7" t="str">
        <f aca="false">IFERROR(INDEX(02_轉折點45個!B:B,MATCH(A789,02_轉折點45個!A:A,0)),"")</f>
        <v/>
      </c>
      <c r="G789" s="7" t="s">
        <v>1994</v>
      </c>
    </row>
    <row r="790" customFormat="false" ht="15" hidden="false" customHeight="false" outlineLevel="0" collapsed="false">
      <c r="A790" s="7" t="s">
        <v>2693</v>
      </c>
      <c r="B790" s="7" t="n">
        <v>1575.49</v>
      </c>
      <c r="C790" s="7" t="n">
        <f aca="false">AVERAGE(B741:B790)</f>
        <v>1758.781</v>
      </c>
      <c r="D790" s="7" t="n">
        <f aca="false">AVERAGE(B591:B790)</f>
        <v>1755.2278</v>
      </c>
      <c r="E790" s="7" t="n">
        <f aca="false">B790/MAX(B539:B790)-1</f>
        <v>-0.288961800917067</v>
      </c>
      <c r="F790" s="7" t="str">
        <f aca="false">IFERROR(INDEX(02_轉折點45個!B:B,MATCH(A790,02_轉折點45個!A:A,0)),"")</f>
        <v/>
      </c>
      <c r="G790" s="7" t="s">
        <v>1994</v>
      </c>
    </row>
    <row r="791" customFormat="false" ht="15" hidden="false" customHeight="false" outlineLevel="0" collapsed="false">
      <c r="A791" s="7" t="s">
        <v>2694</v>
      </c>
      <c r="B791" s="7" t="n">
        <v>1616.91</v>
      </c>
      <c r="C791" s="7" t="n">
        <f aca="false">AVERAGE(B742:B791)</f>
        <v>1754.541</v>
      </c>
      <c r="D791" s="7" t="n">
        <f aca="false">AVERAGE(B592:B791)</f>
        <v>1753.5088</v>
      </c>
      <c r="E791" s="7" t="n">
        <f aca="false">B791/MAX(B540:B791)-1</f>
        <v>-0.236579193382374</v>
      </c>
      <c r="F791" s="7" t="str">
        <f aca="false">IFERROR(INDEX(02_轉折點45個!B:B,MATCH(A791,02_轉折點45個!A:A,0)),"")</f>
        <v/>
      </c>
      <c r="G791" s="7" t="s">
        <v>1994</v>
      </c>
    </row>
    <row r="792" customFormat="false" ht="15" hidden="false" customHeight="false" outlineLevel="0" collapsed="false">
      <c r="A792" s="7" t="s">
        <v>2695</v>
      </c>
      <c r="B792" s="7" t="n">
        <v>1614.15</v>
      </c>
      <c r="C792" s="7" t="n">
        <f aca="false">AVERAGE(B743:B792)</f>
        <v>1750.0732</v>
      </c>
      <c r="D792" s="7" t="n">
        <f aca="false">AVERAGE(B593:B792)</f>
        <v>1751.56895</v>
      </c>
      <c r="E792" s="7" t="n">
        <f aca="false">B792/MAX(B541:B792)-1</f>
        <v>-0.236400535510698</v>
      </c>
      <c r="F792" s="7" t="str">
        <f aca="false">IFERROR(INDEX(02_轉折點45個!B:B,MATCH(A792,02_轉折點45個!A:A,0)),"")</f>
        <v/>
      </c>
      <c r="G792" s="7" t="s">
        <v>1994</v>
      </c>
    </row>
    <row r="793" customFormat="false" ht="15" hidden="false" customHeight="false" outlineLevel="0" collapsed="false">
      <c r="A793" s="7" t="s">
        <v>2696</v>
      </c>
      <c r="B793" s="7" t="n">
        <v>1600.47</v>
      </c>
      <c r="C793" s="7" t="n">
        <f aca="false">AVERAGE(B744:B793)</f>
        <v>1746.517</v>
      </c>
      <c r="D793" s="7" t="n">
        <f aca="false">AVERAGE(B594:B793)</f>
        <v>1749.64275</v>
      </c>
      <c r="E793" s="7" t="n">
        <f aca="false">B793/MAX(B542:B793)-1</f>
        <v>-0.242872078226192</v>
      </c>
      <c r="F793" s="7" t="str">
        <f aca="false">IFERROR(INDEX(02_轉折點45個!B:B,MATCH(A793,02_轉折點45個!A:A,0)),"")</f>
        <v/>
      </c>
      <c r="G793" s="7" t="s">
        <v>1994</v>
      </c>
    </row>
    <row r="794" customFormat="false" ht="15" hidden="false" customHeight="false" outlineLevel="0" collapsed="false">
      <c r="A794" s="7" t="s">
        <v>2697</v>
      </c>
      <c r="B794" s="7" t="n">
        <v>1581.84</v>
      </c>
      <c r="C794" s="7" t="n">
        <f aca="false">AVERAGE(B745:B794)</f>
        <v>1742.4666</v>
      </c>
      <c r="D794" s="7" t="n">
        <f aca="false">AVERAGE(B595:B794)</f>
        <v>1747.50825</v>
      </c>
      <c r="E794" s="7" t="n">
        <f aca="false">B794/MAX(B543:B794)-1</f>
        <v>-0.25168529758216</v>
      </c>
      <c r="F794" s="7" t="str">
        <f aca="false">IFERROR(INDEX(02_轉折點45個!B:B,MATCH(A794,02_轉折點45個!A:A,0)),"")</f>
        <v/>
      </c>
      <c r="G794" s="7" t="s">
        <v>1994</v>
      </c>
    </row>
    <row r="795" customFormat="false" ht="15" hidden="false" customHeight="false" outlineLevel="0" collapsed="false">
      <c r="A795" s="7" t="s">
        <v>2698</v>
      </c>
      <c r="B795" s="7" t="n">
        <v>1646.93</v>
      </c>
      <c r="C795" s="7" t="n">
        <f aca="false">AVERAGE(B746:B795)</f>
        <v>1739.0916</v>
      </c>
      <c r="D795" s="7" t="n">
        <f aca="false">AVERAGE(B596:B795)</f>
        <v>1745.8917</v>
      </c>
      <c r="E795" s="7" t="n">
        <f aca="false">B795/MAX(B544:B795)-1</f>
        <v>-0.220893432424889</v>
      </c>
      <c r="F795" s="7" t="str">
        <f aca="false">IFERROR(INDEX(02_轉折點45個!B:B,MATCH(A795,02_轉折點45個!A:A,0)),"")</f>
        <v/>
      </c>
      <c r="G795" s="7" t="s">
        <v>1994</v>
      </c>
    </row>
    <row r="796" customFormat="false" ht="15" hidden="false" customHeight="false" outlineLevel="0" collapsed="false">
      <c r="A796" s="7" t="s">
        <v>2699</v>
      </c>
      <c r="B796" s="7" t="n">
        <v>1698.62</v>
      </c>
      <c r="C796" s="7" t="n">
        <f aca="false">AVERAGE(B747:B796)</f>
        <v>1736.4342</v>
      </c>
      <c r="D796" s="7" t="n">
        <f aca="false">AVERAGE(B597:B796)</f>
        <v>1744.66045</v>
      </c>
      <c r="E796" s="7" t="n">
        <f aca="false">B796/MAX(B545:B796)-1</f>
        <v>-0.196440651506479</v>
      </c>
      <c r="F796" s="7" t="str">
        <f aca="false">IFERROR(INDEX(02_轉折點45個!B:B,MATCH(A796,02_轉折點45個!A:A,0)),"")</f>
        <v/>
      </c>
      <c r="G796" s="7" t="s">
        <v>1994</v>
      </c>
    </row>
    <row r="797" customFormat="false" ht="15" hidden="false" customHeight="false" outlineLevel="0" collapsed="false">
      <c r="A797" s="7" t="s">
        <v>2700</v>
      </c>
      <c r="B797" s="7" t="n">
        <v>1704.99</v>
      </c>
      <c r="C797" s="7" t="n">
        <f aca="false">AVERAGE(B748:B797)</f>
        <v>1734.3038</v>
      </c>
      <c r="D797" s="7" t="n">
        <f aca="false">AVERAGE(B598:B797)</f>
        <v>1743.55895</v>
      </c>
      <c r="E797" s="7" t="n">
        <f aca="false">B797/MAX(B546:B797)-1</f>
        <v>-0.19342722116308</v>
      </c>
      <c r="F797" s="7" t="str">
        <f aca="false">IFERROR(INDEX(02_轉折點45個!B:B,MATCH(A797,02_轉折點45個!A:A,0)),"")</f>
        <v/>
      </c>
      <c r="G797" s="7" t="s">
        <v>1994</v>
      </c>
    </row>
    <row r="798" customFormat="false" ht="15" hidden="false" customHeight="false" outlineLevel="0" collapsed="false">
      <c r="A798" s="7" t="s">
        <v>2701</v>
      </c>
      <c r="B798" s="7" t="n">
        <v>1727.02</v>
      </c>
      <c r="C798" s="7" t="n">
        <f aca="false">AVERAGE(B749:B798)</f>
        <v>1733.7896</v>
      </c>
      <c r="D798" s="7" t="n">
        <f aca="false">AVERAGE(B599:B798)</f>
        <v>1742.6841</v>
      </c>
      <c r="E798" s="7" t="n">
        <f aca="false">B798/MAX(B547:B798)-1</f>
        <v>-0.183005577447998</v>
      </c>
      <c r="F798" s="7" t="str">
        <f aca="false">IFERROR(INDEX(02_轉折點45個!B:B,MATCH(A798,02_轉折點45個!A:A,0)),"")</f>
        <v/>
      </c>
      <c r="G798" s="7" t="s">
        <v>1994</v>
      </c>
    </row>
    <row r="799" customFormat="false" ht="15" hidden="false" customHeight="false" outlineLevel="0" collapsed="false">
      <c r="A799" s="7" t="s">
        <v>2702</v>
      </c>
      <c r="B799" s="7" t="n">
        <v>1719.01</v>
      </c>
      <c r="C799" s="7" t="n">
        <f aca="false">AVERAGE(B750:B799)</f>
        <v>1732.6166</v>
      </c>
      <c r="D799" s="7" t="n">
        <f aca="false">AVERAGE(B600:B799)</f>
        <v>1741.7525</v>
      </c>
      <c r="E799" s="7" t="n">
        <f aca="false">B799/MAX(B548:B799)-1</f>
        <v>-0.186794836011675</v>
      </c>
      <c r="F799" s="7" t="str">
        <f aca="false">IFERROR(INDEX(02_轉折點45個!B:B,MATCH(A799,02_轉折點45個!A:A,0)),"")</f>
        <v/>
      </c>
      <c r="G799" s="7" t="s">
        <v>1994</v>
      </c>
    </row>
    <row r="800" customFormat="false" ht="15" hidden="false" customHeight="false" outlineLevel="0" collapsed="false">
      <c r="A800" s="7" t="s">
        <v>450</v>
      </c>
      <c r="B800" s="7" t="n">
        <v>1762.89</v>
      </c>
      <c r="C800" s="7" t="n">
        <f aca="false">AVERAGE(B751:B800)</f>
        <v>1732.346</v>
      </c>
      <c r="D800" s="7" t="n">
        <f aca="false">AVERAGE(B601:B800)</f>
        <v>1740.67095</v>
      </c>
      <c r="E800" s="7" t="n">
        <f aca="false">B800/MAX(B549:B800)-1</f>
        <v>-0.166036700459347</v>
      </c>
      <c r="F800" s="7" t="str">
        <f aca="false">IFERROR(INDEX(02_轉折點45個!B:B,MATCH(A800,02_轉折點45個!A:A,0)),"")</f>
        <v/>
      </c>
      <c r="G800" s="7" t="s">
        <v>1994</v>
      </c>
    </row>
    <row r="801" customFormat="false" ht="15" hidden="false" customHeight="false" outlineLevel="0" collapsed="false">
      <c r="A801" s="7" t="s">
        <v>2703</v>
      </c>
      <c r="B801" s="7" t="n">
        <v>1762.73</v>
      </c>
      <c r="C801" s="7" t="n">
        <f aca="false">AVERAGE(B752:B801)</f>
        <v>1731.7758</v>
      </c>
      <c r="D801" s="7" t="n">
        <f aca="false">AVERAGE(B602:B801)</f>
        <v>1739.46415</v>
      </c>
      <c r="E801" s="7" t="n">
        <f aca="false">B801/MAX(B550:B801)-1</f>
        <v>-0.166112391017423</v>
      </c>
      <c r="F801" s="7" t="str">
        <f aca="false">IFERROR(INDEX(02_轉折點45個!B:B,MATCH(A801,02_轉折點45個!A:A,0)),"")</f>
        <v/>
      </c>
      <c r="G801" s="7" t="s">
        <v>1994</v>
      </c>
    </row>
    <row r="802" customFormat="false" ht="15" hidden="false" customHeight="false" outlineLevel="0" collapsed="false">
      <c r="A802" s="7" t="s">
        <v>451</v>
      </c>
      <c r="B802" s="7" t="n">
        <v>1733.16</v>
      </c>
      <c r="C802" s="7" t="n">
        <f aca="false">AVERAGE(B753:B802)</f>
        <v>1730.327</v>
      </c>
      <c r="D802" s="7" t="n">
        <f aca="false">AVERAGE(B603:B802)</f>
        <v>1738.08575</v>
      </c>
      <c r="E802" s="7" t="n">
        <f aca="false">B802/MAX(B551:B802)-1</f>
        <v>-0.180100952281834</v>
      </c>
      <c r="F802" s="7" t="str">
        <f aca="false">IFERROR(INDEX(02_轉折點45個!B:B,MATCH(A802,02_轉折點45個!A:A,0)),"")</f>
        <v/>
      </c>
      <c r="G802" s="7" t="s">
        <v>1994</v>
      </c>
    </row>
    <row r="803" customFormat="false" ht="15" hidden="false" customHeight="false" outlineLevel="0" collapsed="false">
      <c r="A803" s="7" t="s">
        <v>2704</v>
      </c>
      <c r="B803" s="7" t="n">
        <v>1701.1</v>
      </c>
      <c r="C803" s="7" t="n">
        <f aca="false">AVERAGE(B754:B803)</f>
        <v>1728.0388</v>
      </c>
      <c r="D803" s="7" t="n">
        <f aca="false">AVERAGE(B604:B803)</f>
        <v>1736.05965</v>
      </c>
      <c r="E803" s="7" t="n">
        <f aca="false">B803/MAX(B552:B803)-1</f>
        <v>-0.195267447856301</v>
      </c>
      <c r="F803" s="7" t="str">
        <f aca="false">IFERROR(INDEX(02_轉折點45個!B:B,MATCH(A803,02_轉折點45個!A:A,0)),"")</f>
        <v/>
      </c>
      <c r="G803" s="7" t="s">
        <v>1994</v>
      </c>
    </row>
    <row r="804" customFormat="false" ht="15" hidden="false" customHeight="false" outlineLevel="0" collapsed="false">
      <c r="A804" s="7" t="s">
        <v>2705</v>
      </c>
      <c r="B804" s="7" t="n">
        <v>1693.89</v>
      </c>
      <c r="C804" s="7" t="n">
        <f aca="false">AVERAGE(B755:B804)</f>
        <v>1726.28</v>
      </c>
      <c r="D804" s="7" t="n">
        <f aca="false">AVERAGE(B605:B804)</f>
        <v>1733.95975</v>
      </c>
      <c r="E804" s="7" t="n">
        <f aca="false">B804/MAX(B553:B804)-1</f>
        <v>-0.198678253629599</v>
      </c>
      <c r="F804" s="7" t="str">
        <f aca="false">IFERROR(INDEX(02_轉折點45個!B:B,MATCH(A804,02_轉折點45個!A:A,0)),"")</f>
        <v/>
      </c>
      <c r="G804" s="7" t="s">
        <v>1994</v>
      </c>
    </row>
    <row r="805" customFormat="false" ht="15" hidden="false" customHeight="false" outlineLevel="0" collapsed="false">
      <c r="A805" s="7" t="s">
        <v>452</v>
      </c>
      <c r="B805" s="7" t="n">
        <v>1706.83</v>
      </c>
      <c r="C805" s="7" t="n">
        <f aca="false">AVERAGE(B756:B805)</f>
        <v>1724.2528</v>
      </c>
      <c r="D805" s="7" t="n">
        <f aca="false">AVERAGE(B606:B805)</f>
        <v>1732.246</v>
      </c>
      <c r="E805" s="7" t="n">
        <f aca="false">B805/MAX(B554:B805)-1</f>
        <v>-0.192556779745207</v>
      </c>
      <c r="F805" s="7" t="str">
        <f aca="false">IFERROR(INDEX(02_轉折點45個!B:B,MATCH(A805,02_轉折點45個!A:A,0)),"")</f>
        <v/>
      </c>
      <c r="G805" s="7" t="s">
        <v>1994</v>
      </c>
    </row>
    <row r="806" customFormat="false" ht="15" hidden="false" customHeight="false" outlineLevel="0" collapsed="false">
      <c r="A806" s="7" t="s">
        <v>2706</v>
      </c>
      <c r="B806" s="7" t="n">
        <v>1714.83</v>
      </c>
      <c r="C806" s="7" t="n">
        <f aca="false">AVERAGE(B757:B806)</f>
        <v>1721.1976</v>
      </c>
      <c r="D806" s="7" t="n">
        <f aca="false">AVERAGE(B607:B806)</f>
        <v>1730.3962</v>
      </c>
      <c r="E806" s="7" t="n">
        <f aca="false">B806/MAX(B555:B806)-1</f>
        <v>-0.188772251841409</v>
      </c>
      <c r="F806" s="7" t="str">
        <f aca="false">IFERROR(INDEX(02_轉折點45個!B:B,MATCH(A806,02_轉折點45個!A:A,0)),"")</f>
        <v/>
      </c>
      <c r="G806" s="7" t="s">
        <v>1994</v>
      </c>
    </row>
    <row r="807" customFormat="false" ht="15" hidden="false" customHeight="false" outlineLevel="0" collapsed="false">
      <c r="A807" s="7" t="s">
        <v>2707</v>
      </c>
      <c r="B807" s="7" t="n">
        <v>1718.31</v>
      </c>
      <c r="C807" s="7" t="n">
        <f aca="false">AVERAGE(B758:B807)</f>
        <v>1717.936</v>
      </c>
      <c r="D807" s="7" t="n">
        <f aca="false">AVERAGE(B608:B807)</f>
        <v>1728.70535</v>
      </c>
      <c r="E807" s="7" t="n">
        <f aca="false">B807/MAX(B556:B807)-1</f>
        <v>-0.187125982203258</v>
      </c>
      <c r="F807" s="7" t="str">
        <f aca="false">IFERROR(INDEX(02_轉折點45個!B:B,MATCH(A807,02_轉折點45個!A:A,0)),"")</f>
        <v/>
      </c>
      <c r="G807" s="7" t="s">
        <v>1994</v>
      </c>
    </row>
    <row r="808" customFormat="false" ht="15" hidden="false" customHeight="false" outlineLevel="0" collapsed="false">
      <c r="A808" s="7" t="s">
        <v>2708</v>
      </c>
      <c r="B808" s="7" t="n">
        <v>1674.46</v>
      </c>
      <c r="C808" s="7" t="n">
        <f aca="false">AVERAGE(B759:B808)</f>
        <v>1714.2044</v>
      </c>
      <c r="D808" s="7" t="n">
        <f aca="false">AVERAGE(B609:B808)</f>
        <v>1727.1401</v>
      </c>
      <c r="E808" s="7" t="n">
        <f aca="false">B808/MAX(B557:B808)-1</f>
        <v>-0.207869925775946</v>
      </c>
      <c r="F808" s="7" t="str">
        <f aca="false">IFERROR(INDEX(02_轉折點45個!B:B,MATCH(A808,02_轉折點45個!A:A,0)),"")</f>
        <v/>
      </c>
      <c r="G808" s="7" t="s">
        <v>1994</v>
      </c>
    </row>
    <row r="809" customFormat="false" ht="15" hidden="false" customHeight="false" outlineLevel="0" collapsed="false">
      <c r="A809" s="7" t="s">
        <v>2709</v>
      </c>
      <c r="B809" s="7" t="n">
        <v>1707.31</v>
      </c>
      <c r="C809" s="7" t="n">
        <f aca="false">AVERAGE(B760:B809)</f>
        <v>1710.7892</v>
      </c>
      <c r="D809" s="7" t="n">
        <f aca="false">AVERAGE(B610:B809)</f>
        <v>1726.15495</v>
      </c>
      <c r="E809" s="7" t="n">
        <f aca="false">B809/MAX(B558:B809)-1</f>
        <v>-0.192329708070979</v>
      </c>
      <c r="F809" s="7" t="str">
        <f aca="false">IFERROR(INDEX(02_轉折點45個!B:B,MATCH(A809,02_轉折點45個!A:A,0)),"")</f>
        <v/>
      </c>
      <c r="G809" s="7" t="s">
        <v>1994</v>
      </c>
    </row>
    <row r="810" customFormat="false" ht="15" hidden="false" customHeight="false" outlineLevel="0" collapsed="false">
      <c r="A810" s="7" t="s">
        <v>2710</v>
      </c>
      <c r="B810" s="7" t="n">
        <v>1691.38</v>
      </c>
      <c r="C810" s="7" t="n">
        <f aca="false">AVERAGE(B761:B810)</f>
        <v>1707.2536</v>
      </c>
      <c r="D810" s="7" t="n">
        <f aca="false">AVERAGE(B611:B810)</f>
        <v>1724.9714</v>
      </c>
      <c r="E810" s="7" t="n">
        <f aca="false">B810/MAX(B559:B810)-1</f>
        <v>-0.199865649259415</v>
      </c>
      <c r="F810" s="7" t="str">
        <f aca="false">IFERROR(INDEX(02_轉折點45個!B:B,MATCH(A810,02_轉折點45個!A:A,0)),"")</f>
        <v/>
      </c>
      <c r="G810" s="7" t="s">
        <v>1994</v>
      </c>
    </row>
    <row r="811" customFormat="false" ht="15" hidden="false" customHeight="false" outlineLevel="0" collapsed="false">
      <c r="A811" s="7" t="s">
        <v>2711</v>
      </c>
      <c r="B811" s="7" t="n">
        <v>1655.84</v>
      </c>
      <c r="C811" s="7" t="n">
        <f aca="false">AVERAGE(B762:B811)</f>
        <v>1702.9644</v>
      </c>
      <c r="D811" s="7" t="n">
        <f aca="false">AVERAGE(B612:B811)</f>
        <v>1723.43225</v>
      </c>
      <c r="E811" s="7" t="n">
        <f aca="false">B811/MAX(B560:B811)-1</f>
        <v>-0.216678414472035</v>
      </c>
      <c r="F811" s="7" t="str">
        <f aca="false">IFERROR(INDEX(02_轉折點45個!B:B,MATCH(A811,02_轉折點45個!A:A,0)),"")</f>
        <v/>
      </c>
      <c r="G811" s="7" t="s">
        <v>1994</v>
      </c>
    </row>
    <row r="812" customFormat="false" ht="15" hidden="false" customHeight="false" outlineLevel="0" collapsed="false">
      <c r="A812" s="7" t="s">
        <v>2712</v>
      </c>
      <c r="B812" s="7" t="n">
        <v>1666.51</v>
      </c>
      <c r="C812" s="7" t="n">
        <f aca="false">AVERAGE(B763:B812)</f>
        <v>1699.3414</v>
      </c>
      <c r="D812" s="7" t="n">
        <f aca="false">AVERAGE(B613:B812)</f>
        <v>1721.9168</v>
      </c>
      <c r="E812" s="7" t="n">
        <f aca="false">B812/MAX(B561:B812)-1</f>
        <v>-0.211630800380345</v>
      </c>
      <c r="F812" s="7" t="str">
        <f aca="false">IFERROR(INDEX(02_轉折點45個!B:B,MATCH(A812,02_轉折點45個!A:A,0)),"")</f>
        <v/>
      </c>
      <c r="G812" s="7" t="s">
        <v>1994</v>
      </c>
    </row>
    <row r="813" customFormat="false" ht="15" hidden="false" customHeight="false" outlineLevel="0" collapsed="false">
      <c r="A813" s="7" t="s">
        <v>2713</v>
      </c>
      <c r="B813" s="7" t="n">
        <v>1668.87</v>
      </c>
      <c r="C813" s="7" t="n">
        <f aca="false">AVERAGE(B764:B813)</f>
        <v>1696.345</v>
      </c>
      <c r="D813" s="7" t="n">
        <f aca="false">AVERAGE(B614:B813)</f>
        <v>1720.0581</v>
      </c>
      <c r="E813" s="7" t="n">
        <f aca="false">B813/MAX(B562:B813)-1</f>
        <v>-0.210514364648725</v>
      </c>
      <c r="F813" s="7" t="str">
        <f aca="false">IFERROR(INDEX(02_轉折點45個!B:B,MATCH(A813,02_轉折點45個!A:A,0)),"")</f>
        <v/>
      </c>
      <c r="G813" s="7" t="s">
        <v>1994</v>
      </c>
    </row>
    <row r="814" customFormat="false" ht="15" hidden="false" customHeight="false" outlineLevel="0" collapsed="false">
      <c r="A814" s="7" t="s">
        <v>2714</v>
      </c>
      <c r="B814" s="7" t="n">
        <v>1685.86</v>
      </c>
      <c r="C814" s="7" t="n">
        <f aca="false">AVERAGE(B765:B814)</f>
        <v>1693.5026</v>
      </c>
      <c r="D814" s="7" t="n">
        <f aca="false">AVERAGE(B615:B814)</f>
        <v>1718.3571</v>
      </c>
      <c r="E814" s="7" t="n">
        <f aca="false">B814/MAX(B563:B814)-1</f>
        <v>-0.202476973513035</v>
      </c>
      <c r="F814" s="7" t="str">
        <f aca="false">IFERROR(INDEX(02_轉折點45個!B:B,MATCH(A814,02_轉折點45個!A:A,0)),"")</f>
        <v/>
      </c>
      <c r="G814" s="7" t="s">
        <v>1994</v>
      </c>
    </row>
    <row r="815" customFormat="false" ht="15" hidden="false" customHeight="false" outlineLevel="0" collapsed="false">
      <c r="A815" s="7" t="s">
        <v>2715</v>
      </c>
      <c r="B815" s="7" t="n">
        <v>1701.64</v>
      </c>
      <c r="C815" s="7" t="n">
        <f aca="false">AVERAGE(B766:B815)</f>
        <v>1692.0076</v>
      </c>
      <c r="D815" s="7" t="n">
        <f aca="false">AVERAGE(B616:B815)</f>
        <v>1716.52365</v>
      </c>
      <c r="E815" s="7" t="n">
        <f aca="false">B815/MAX(B564:B815)-1</f>
        <v>-0.195011992222795</v>
      </c>
      <c r="F815" s="7" t="str">
        <f aca="false">IFERROR(INDEX(02_轉折點45個!B:B,MATCH(A815,02_轉折點45個!A:A,0)),"")</f>
        <v/>
      </c>
      <c r="G815" s="7" t="s">
        <v>1994</v>
      </c>
    </row>
    <row r="816" customFormat="false" ht="15" hidden="false" customHeight="false" outlineLevel="0" collapsed="false">
      <c r="A816" s="7" t="s">
        <v>2716</v>
      </c>
      <c r="B816" s="7" t="n">
        <v>1648.45</v>
      </c>
      <c r="C816" s="7" t="n">
        <f aca="false">AVERAGE(B767:B816)</f>
        <v>1688.6928</v>
      </c>
      <c r="D816" s="7" t="n">
        <f aca="false">AVERAGE(B617:B816)</f>
        <v>1714.64765</v>
      </c>
      <c r="E816" s="7" t="n">
        <f aca="false">B816/MAX(B565:B816)-1</f>
        <v>-0.220174372123167</v>
      </c>
      <c r="F816" s="7" t="str">
        <f aca="false">IFERROR(INDEX(02_轉折點45個!B:B,MATCH(A816,02_轉折點45個!A:A,0)),"")</f>
        <v/>
      </c>
      <c r="G816" s="7" t="s">
        <v>1994</v>
      </c>
    </row>
    <row r="817" customFormat="false" ht="15" hidden="false" customHeight="false" outlineLevel="0" collapsed="false">
      <c r="A817" s="7" t="s">
        <v>2717</v>
      </c>
      <c r="B817" s="7" t="n">
        <v>1630.13</v>
      </c>
      <c r="C817" s="7" t="n">
        <f aca="false">AVERAGE(B768:B817)</f>
        <v>1686.0252</v>
      </c>
      <c r="D817" s="7" t="n">
        <f aca="false">AVERAGE(B618:B817)</f>
        <v>1712.88245</v>
      </c>
      <c r="E817" s="7" t="n">
        <f aca="false">B817/MAX(B566:B817)-1</f>
        <v>-0.228840941022863</v>
      </c>
      <c r="F817" s="7" t="str">
        <f aca="false">IFERROR(INDEX(02_轉折點45個!B:B,MATCH(A817,02_轉折點45個!A:A,0)),"")</f>
        <v/>
      </c>
      <c r="G817" s="7" t="s">
        <v>1994</v>
      </c>
    </row>
    <row r="818" customFormat="false" ht="15" hidden="false" customHeight="false" outlineLevel="0" collapsed="false">
      <c r="A818" s="7" t="s">
        <v>2718</v>
      </c>
      <c r="B818" s="7" t="n">
        <v>1635.07</v>
      </c>
      <c r="C818" s="7" t="n">
        <f aca="false">AVERAGE(B769:B818)</f>
        <v>1684.33</v>
      </c>
      <c r="D818" s="7" t="n">
        <f aca="false">AVERAGE(B619:B818)</f>
        <v>1711.14575</v>
      </c>
      <c r="E818" s="7" t="n">
        <f aca="false">B818/MAX(B567:B818)-1</f>
        <v>-0.226503995042268</v>
      </c>
      <c r="F818" s="7" t="str">
        <f aca="false">IFERROR(INDEX(02_轉折點45個!B:B,MATCH(A818,02_轉折點45個!A:A,0)),"")</f>
        <v/>
      </c>
      <c r="G818" s="7" t="s">
        <v>1994</v>
      </c>
    </row>
    <row r="819" customFormat="false" ht="15" hidden="false" customHeight="false" outlineLevel="0" collapsed="false">
      <c r="A819" s="7" t="s">
        <v>2719</v>
      </c>
      <c r="B819" s="7" t="n">
        <v>1617.05</v>
      </c>
      <c r="C819" s="7" t="n">
        <f aca="false">AVERAGE(B770:B819)</f>
        <v>1681.5464</v>
      </c>
      <c r="D819" s="7" t="n">
        <f aca="false">AVERAGE(B620:B819)</f>
        <v>1709.53955</v>
      </c>
      <c r="E819" s="7" t="n">
        <f aca="false">B819/MAX(B568:B819)-1</f>
        <v>-0.235028644145572</v>
      </c>
      <c r="F819" s="7" t="str">
        <f aca="false">IFERROR(INDEX(02_轉折點45個!B:B,MATCH(A819,02_轉折點45個!A:A,0)),"")</f>
        <v/>
      </c>
      <c r="G819" s="7" t="s">
        <v>1994</v>
      </c>
    </row>
    <row r="820" customFormat="false" ht="15" hidden="false" customHeight="false" outlineLevel="0" collapsed="false">
      <c r="A820" s="7" t="s">
        <v>2720</v>
      </c>
      <c r="B820" s="7" t="n">
        <v>1631.52</v>
      </c>
      <c r="C820" s="7" t="n">
        <f aca="false">AVERAGE(B771:B820)</f>
        <v>1678.683</v>
      </c>
      <c r="D820" s="7" t="n">
        <f aca="false">AVERAGE(B621:B820)</f>
        <v>1708.3601</v>
      </c>
      <c r="E820" s="7" t="n">
        <f aca="false">B820/MAX(B569:B820)-1</f>
        <v>-0.228183379299578</v>
      </c>
      <c r="F820" s="7" t="str">
        <f aca="false">IFERROR(INDEX(02_轉折點45個!B:B,MATCH(A820,02_轉折點45個!A:A,0)),"")</f>
        <v/>
      </c>
      <c r="G820" s="7" t="s">
        <v>1994</v>
      </c>
    </row>
    <row r="821" customFormat="false" ht="15" hidden="false" customHeight="false" outlineLevel="0" collapsed="false">
      <c r="A821" s="7" t="s">
        <v>2721</v>
      </c>
      <c r="B821" s="7" t="n">
        <v>1591.96</v>
      </c>
      <c r="C821" s="7" t="n">
        <f aca="false">AVERAGE(B772:B821)</f>
        <v>1675.1176</v>
      </c>
      <c r="D821" s="7" t="n">
        <f aca="false">AVERAGE(B622:B821)</f>
        <v>1707.0543</v>
      </c>
      <c r="E821" s="7" t="n">
        <f aca="false">B821/MAX(B570:B821)-1</f>
        <v>-0.246897869783856</v>
      </c>
      <c r="F821" s="7" t="str">
        <f aca="false">IFERROR(INDEX(02_轉折點45個!B:B,MATCH(A821,02_轉折點45個!A:A,0)),"")</f>
        <v/>
      </c>
      <c r="G821" s="7" t="s">
        <v>1994</v>
      </c>
    </row>
    <row r="822" customFormat="false" ht="15" hidden="false" customHeight="false" outlineLevel="0" collapsed="false">
      <c r="A822" s="7" t="s">
        <v>2722</v>
      </c>
      <c r="B822" s="7" t="n">
        <v>1614.35</v>
      </c>
      <c r="C822" s="7" t="n">
        <f aca="false">AVERAGE(B773:B822)</f>
        <v>1671.8866</v>
      </c>
      <c r="D822" s="7" t="n">
        <f aca="false">AVERAGE(B623:B822)</f>
        <v>1706.04225</v>
      </c>
      <c r="E822" s="7" t="n">
        <f aca="false">B822/MAX(B571:B822)-1</f>
        <v>-0.236305922313103</v>
      </c>
      <c r="F822" s="7" t="str">
        <f aca="false">IFERROR(INDEX(02_轉折點45個!B:B,MATCH(A822,02_轉折點45個!A:A,0)),"")</f>
        <v/>
      </c>
      <c r="G822" s="7" t="s">
        <v>1994</v>
      </c>
    </row>
    <row r="823" customFormat="false" ht="15" hidden="false" customHeight="false" outlineLevel="0" collapsed="false">
      <c r="A823" s="7" t="s">
        <v>2723</v>
      </c>
      <c r="B823" s="7" t="n">
        <v>1576.13</v>
      </c>
      <c r="C823" s="7" t="n">
        <f aca="false">AVERAGE(B774:B823)</f>
        <v>1668.8216</v>
      </c>
      <c r="D823" s="7" t="n">
        <f aca="false">AVERAGE(B624:B823)</f>
        <v>1704.8207</v>
      </c>
      <c r="E823" s="7" t="n">
        <f aca="false">B823/MAX(B572:B823)-1</f>
        <v>-0.254386504373495</v>
      </c>
      <c r="F823" s="7" t="str">
        <f aca="false">IFERROR(INDEX(02_轉折點45個!B:B,MATCH(A823,02_轉折點45個!A:A,0)),"")</f>
        <v/>
      </c>
      <c r="G823" s="7" t="s">
        <v>1994</v>
      </c>
    </row>
    <row r="824" customFormat="false" ht="15" hidden="false" customHeight="false" outlineLevel="0" collapsed="false">
      <c r="A824" s="7" t="s">
        <v>2724</v>
      </c>
      <c r="B824" s="7" t="n">
        <v>1604.41</v>
      </c>
      <c r="C824" s="7" t="n">
        <f aca="false">AVERAGE(B775:B824)</f>
        <v>1665.9484</v>
      </c>
      <c r="D824" s="7" t="n">
        <f aca="false">AVERAGE(B625:B824)</f>
        <v>1703.5643</v>
      </c>
      <c r="E824" s="7" t="n">
        <f aca="false">B824/MAX(B573:B824)-1</f>
        <v>-0.241008198233572</v>
      </c>
      <c r="F824" s="7" t="str">
        <f aca="false">IFERROR(INDEX(02_轉折點45個!B:B,MATCH(A824,02_轉折點45個!A:A,0)),"")</f>
        <v/>
      </c>
      <c r="G824" s="7" t="s">
        <v>1994</v>
      </c>
    </row>
    <row r="825" customFormat="false" ht="15" hidden="false" customHeight="false" outlineLevel="0" collapsed="false">
      <c r="A825" s="7" t="s">
        <v>2725</v>
      </c>
      <c r="B825" s="7" t="n">
        <v>1602.21</v>
      </c>
      <c r="C825" s="7" t="n">
        <f aca="false">AVERAGE(B776:B825)</f>
        <v>1662.655</v>
      </c>
      <c r="D825" s="7" t="n">
        <f aca="false">AVERAGE(B626:B825)</f>
        <v>1702.1712</v>
      </c>
      <c r="E825" s="7" t="n">
        <f aca="false">B825/MAX(B574:B825)-1</f>
        <v>-0.242048943407116</v>
      </c>
      <c r="F825" s="7" t="str">
        <f aca="false">IFERROR(INDEX(02_轉折點45個!B:B,MATCH(A825,02_轉折點45個!A:A,0)),"")</f>
        <v/>
      </c>
      <c r="G825" s="7" t="s">
        <v>1994</v>
      </c>
    </row>
    <row r="826" customFormat="false" ht="15" hidden="false" customHeight="false" outlineLevel="0" collapsed="false">
      <c r="A826" s="7" t="s">
        <v>2726</v>
      </c>
      <c r="B826" s="7" t="n">
        <v>1659.77</v>
      </c>
      <c r="C826" s="7" t="n">
        <f aca="false">AVERAGE(B777:B826)</f>
        <v>1660.9292</v>
      </c>
      <c r="D826" s="7" t="n">
        <f aca="false">AVERAGE(B627:B826)</f>
        <v>1701.1752</v>
      </c>
      <c r="E826" s="7" t="n">
        <f aca="false">B826/MAX(B575:B826)-1</f>
        <v>-0.214819265139294</v>
      </c>
      <c r="F826" s="7" t="str">
        <f aca="false">IFERROR(INDEX(02_轉折點45個!B:B,MATCH(A826,02_轉折點45個!A:A,0)),"")</f>
        <v/>
      </c>
      <c r="G826" s="7" t="s">
        <v>1994</v>
      </c>
    </row>
    <row r="827" customFormat="false" ht="15" hidden="false" customHeight="false" outlineLevel="0" collapsed="false">
      <c r="A827" s="7" t="s">
        <v>2727</v>
      </c>
      <c r="B827" s="7" t="n">
        <v>1654.18</v>
      </c>
      <c r="C827" s="7" t="n">
        <f aca="false">AVERAGE(B778:B827)</f>
        <v>1660.1096</v>
      </c>
      <c r="D827" s="7" t="n">
        <f aca="false">AVERAGE(B628:B827)</f>
        <v>1700.078</v>
      </c>
      <c r="E827" s="7" t="n">
        <f aca="false">B827/MAX(B576:B827)-1</f>
        <v>-0.217463704012073</v>
      </c>
      <c r="F827" s="7" t="str">
        <f aca="false">IFERROR(INDEX(02_轉折點45個!B:B,MATCH(A827,02_轉折點45個!A:A,0)),"")</f>
        <v/>
      </c>
      <c r="G827" s="7" t="s">
        <v>1994</v>
      </c>
    </row>
    <row r="828" customFormat="false" ht="15" hidden="false" customHeight="false" outlineLevel="0" collapsed="false">
      <c r="A828" s="7" t="s">
        <v>2728</v>
      </c>
      <c r="B828" s="7" t="n">
        <v>1646.65</v>
      </c>
      <c r="C828" s="7" t="n">
        <f aca="false">AVERAGE(B779:B828)</f>
        <v>1659.4502</v>
      </c>
      <c r="D828" s="7" t="n">
        <f aca="false">AVERAGE(B629:B828)</f>
        <v>1698.88035</v>
      </c>
      <c r="E828" s="7" t="n">
        <f aca="false">B828/MAX(B577:B828)-1</f>
        <v>-0.221025890901522</v>
      </c>
      <c r="F828" s="7" t="str">
        <f aca="false">IFERROR(INDEX(02_轉折點45個!B:B,MATCH(A828,02_轉折點45個!A:A,0)),"")</f>
        <v/>
      </c>
      <c r="G828" s="7" t="s">
        <v>1994</v>
      </c>
    </row>
    <row r="829" customFormat="false" ht="15" hidden="false" customHeight="false" outlineLevel="0" collapsed="false">
      <c r="A829" s="7" t="s">
        <v>2729</v>
      </c>
      <c r="B829" s="7" t="n">
        <v>1641.53</v>
      </c>
      <c r="C829" s="7" t="n">
        <f aca="false">AVERAGE(B780:B829)</f>
        <v>1659.16</v>
      </c>
      <c r="D829" s="7" t="n">
        <f aca="false">AVERAGE(B630:B829)</f>
        <v>1697.61085</v>
      </c>
      <c r="E829" s="7" t="n">
        <f aca="false">B829/MAX(B578:B829)-1</f>
        <v>-0.223447988759952</v>
      </c>
      <c r="F829" s="7" t="str">
        <f aca="false">IFERROR(INDEX(02_轉折點45個!B:B,MATCH(A829,02_轉折點45個!A:A,0)),"")</f>
        <v/>
      </c>
      <c r="G829" s="7" t="s">
        <v>1994</v>
      </c>
    </row>
    <row r="830" customFormat="false" ht="15" hidden="false" customHeight="false" outlineLevel="0" collapsed="false">
      <c r="A830" s="7" t="s">
        <v>2730</v>
      </c>
      <c r="B830" s="7" t="n">
        <v>1606.68</v>
      </c>
      <c r="C830" s="7" t="n">
        <f aca="false">AVERAGE(B781:B830)</f>
        <v>1658.7318</v>
      </c>
      <c r="D830" s="7" t="n">
        <f aca="false">AVERAGE(B631:B830)</f>
        <v>1695.93545</v>
      </c>
      <c r="E830" s="7" t="n">
        <f aca="false">B830/MAX(B579:B830)-1</f>
        <v>-0.239934338440869</v>
      </c>
      <c r="F830" s="7" t="str">
        <f aca="false">IFERROR(INDEX(02_轉折點45個!B:B,MATCH(A830,02_轉折點45個!A:A,0)),"")</f>
        <v/>
      </c>
      <c r="G830" s="7" t="s">
        <v>1994</v>
      </c>
    </row>
    <row r="831" customFormat="false" ht="15" hidden="false" customHeight="false" outlineLevel="0" collapsed="false">
      <c r="A831" s="7" t="s">
        <v>2731</v>
      </c>
      <c r="B831" s="7" t="n">
        <v>1580.75</v>
      </c>
      <c r="C831" s="7" t="n">
        <f aca="false">AVERAGE(B782:B831)</f>
        <v>1657.1132</v>
      </c>
      <c r="D831" s="7" t="n">
        <f aca="false">AVERAGE(B632:B831)</f>
        <v>1693.97015</v>
      </c>
      <c r="E831" s="7" t="n">
        <f aca="false">B831/MAX(B580:B831)-1</f>
        <v>-0.252200939509052</v>
      </c>
      <c r="F831" s="7" t="str">
        <f aca="false">IFERROR(INDEX(02_轉折點45個!B:B,MATCH(A831,02_轉折點45個!A:A,0)),"")</f>
        <v/>
      </c>
      <c r="G831" s="7" t="s">
        <v>1994</v>
      </c>
    </row>
    <row r="832" customFormat="false" ht="15" hidden="false" customHeight="false" outlineLevel="0" collapsed="false">
      <c r="A832" s="7" t="s">
        <v>454</v>
      </c>
      <c r="B832" s="7" t="n">
        <v>1565.26</v>
      </c>
      <c r="C832" s="7" t="n">
        <f aca="false">AVERAGE(B783:B832)</f>
        <v>1654.6772</v>
      </c>
      <c r="D832" s="7" t="n">
        <f aca="false">AVERAGE(B633:B832)</f>
        <v>1691.9814</v>
      </c>
      <c r="E832" s="7" t="n">
        <f aca="false">B832/MAX(B581:B832)-1</f>
        <v>-0.25952873166278</v>
      </c>
      <c r="F832" s="7" t="str">
        <f aca="false">IFERROR(INDEX(02_轉折點45個!B:B,MATCH(A832,02_轉折點45個!A:A,0)),"")</f>
        <v/>
      </c>
      <c r="G832" s="7" t="s">
        <v>1994</v>
      </c>
    </row>
    <row r="833" customFormat="false" ht="15" hidden="false" customHeight="false" outlineLevel="0" collapsed="false">
      <c r="A833" s="7" t="s">
        <v>2732</v>
      </c>
      <c r="B833" s="7" t="n">
        <v>1565.59</v>
      </c>
      <c r="C833" s="7" t="n">
        <f aca="false">AVERAGE(B784:B833)</f>
        <v>1652.4754</v>
      </c>
      <c r="D833" s="7" t="n">
        <f aca="false">AVERAGE(B634:B833)</f>
        <v>1690.03045</v>
      </c>
      <c r="E833" s="7" t="n">
        <f aca="false">B833/MAX(B582:B833)-1</f>
        <v>-0.259372619886748</v>
      </c>
      <c r="F833" s="7" t="str">
        <f aca="false">IFERROR(INDEX(02_轉折點45個!B:B,MATCH(A833,02_轉折點45個!A:A,0)),"")</f>
        <v/>
      </c>
      <c r="G833" s="7" t="s">
        <v>1994</v>
      </c>
    </row>
    <row r="834" customFormat="false" ht="15" hidden="false" customHeight="false" outlineLevel="0" collapsed="false">
      <c r="A834" s="7" t="s">
        <v>2733</v>
      </c>
      <c r="B834" s="7" t="n">
        <v>1520.08</v>
      </c>
      <c r="C834" s="7" t="n">
        <f aca="false">AVERAGE(B785:B834)</f>
        <v>1648.9074</v>
      </c>
      <c r="D834" s="7" t="n">
        <f aca="false">AVERAGE(B635:B834)</f>
        <v>1688.1292</v>
      </c>
      <c r="E834" s="7" t="n">
        <f aca="false">B834/MAX(B583:B834)-1</f>
        <v>-0.280901852999475</v>
      </c>
      <c r="F834" s="7" t="str">
        <f aca="false">IFERROR(INDEX(02_轉折點45個!B:B,MATCH(A834,02_轉折點45個!A:A,0)),"")</f>
        <v/>
      </c>
      <c r="G834" s="7" t="s">
        <v>1994</v>
      </c>
    </row>
    <row r="835" customFormat="false" ht="15" hidden="false" customHeight="false" outlineLevel="0" collapsed="false">
      <c r="A835" s="7" t="s">
        <v>2734</v>
      </c>
      <c r="B835" s="7" t="n">
        <v>1513.73</v>
      </c>
      <c r="C835" s="7" t="n">
        <f aca="false">AVERAGE(B786:B835)</f>
        <v>1645.501</v>
      </c>
      <c r="D835" s="7" t="n">
        <f aca="false">AVERAGE(B636:B835)</f>
        <v>1686.5431</v>
      </c>
      <c r="E835" s="7" t="n">
        <f aca="false">B835/MAX(B584:B835)-1</f>
        <v>-0.283905822023114</v>
      </c>
      <c r="F835" s="7" t="str">
        <f aca="false">IFERROR(INDEX(02_轉折點45個!B:B,MATCH(A835,02_轉折點45個!A:A,0)),"")</f>
        <v/>
      </c>
      <c r="G835" s="7" t="s">
        <v>1994</v>
      </c>
    </row>
    <row r="836" customFormat="false" ht="15" hidden="false" customHeight="false" outlineLevel="0" collapsed="false">
      <c r="A836" s="7" t="s">
        <v>455</v>
      </c>
      <c r="B836" s="7" t="n">
        <v>1542.32</v>
      </c>
      <c r="C836" s="7" t="n">
        <f aca="false">AVERAGE(B787:B836)</f>
        <v>1643.3638</v>
      </c>
      <c r="D836" s="7" t="n">
        <f aca="false">AVERAGE(B637:B836)</f>
        <v>1684.99695</v>
      </c>
      <c r="E836" s="7" t="n">
        <f aca="false">B836/MAX(B585:B836)-1</f>
        <v>-0.270380865426918</v>
      </c>
      <c r="F836" s="7" t="str">
        <f aca="false">IFERROR(INDEX(02_轉折點45個!B:B,MATCH(A836,02_轉折點45個!A:A,0)),"")</f>
        <v/>
      </c>
      <c r="G836" s="7" t="s">
        <v>1994</v>
      </c>
    </row>
    <row r="837" customFormat="false" ht="15" hidden="false" customHeight="false" outlineLevel="0" collapsed="false">
      <c r="A837" s="7" t="s">
        <v>2735</v>
      </c>
      <c r="B837" s="7" t="n">
        <v>1532.55</v>
      </c>
      <c r="C837" s="7" t="n">
        <f aca="false">AVERAGE(B788:B837)</f>
        <v>1642.0286</v>
      </c>
      <c r="D837" s="7" t="n">
        <f aca="false">AVERAGE(B638:B837)</f>
        <v>1683.69395</v>
      </c>
      <c r="E837" s="7" t="n">
        <f aca="false">B837/MAX(B586:B837)-1</f>
        <v>-0.275002720129431</v>
      </c>
      <c r="F837" s="7" t="str">
        <f aca="false">IFERROR(INDEX(02_轉折點45個!B:B,MATCH(A837,02_轉折點45個!A:A,0)),"")</f>
        <v/>
      </c>
      <c r="G837" s="7" t="s">
        <v>1994</v>
      </c>
    </row>
    <row r="838" customFormat="false" ht="15" hidden="false" customHeight="false" outlineLevel="0" collapsed="false">
      <c r="A838" s="7" t="s">
        <v>2736</v>
      </c>
      <c r="B838" s="7" t="n">
        <v>1502.66</v>
      </c>
      <c r="C838" s="7" t="n">
        <f aca="false">AVERAGE(B789:B838)</f>
        <v>1639.6396</v>
      </c>
      <c r="D838" s="7" t="n">
        <f aca="false">AVERAGE(B639:B838)</f>
        <v>1682.19925</v>
      </c>
      <c r="E838" s="7" t="n">
        <f aca="false">B838/MAX(B587:B838)-1</f>
        <v>-0.289142662509993</v>
      </c>
      <c r="F838" s="7" t="str">
        <f aca="false">IFERROR(INDEX(02_轉折點45個!B:B,MATCH(A838,02_轉折點45個!A:A,0)),"")</f>
        <v/>
      </c>
      <c r="G838" s="7" t="s">
        <v>1994</v>
      </c>
    </row>
    <row r="839" customFormat="false" ht="15" hidden="false" customHeight="false" outlineLevel="0" collapsed="false">
      <c r="A839" s="7" t="s">
        <v>2737</v>
      </c>
      <c r="B839" s="7" t="n">
        <v>1473.62</v>
      </c>
      <c r="C839" s="7" t="n">
        <f aca="false">AVERAGE(B790:B839)</f>
        <v>1637.7538</v>
      </c>
      <c r="D839" s="7" t="n">
        <f aca="false">AVERAGE(B640:B839)</f>
        <v>1680.08565</v>
      </c>
      <c r="E839" s="7" t="n">
        <f aca="false">B839/MAX(B588:B839)-1</f>
        <v>-0.302880498800778</v>
      </c>
      <c r="F839" s="7" t="str">
        <f aca="false">IFERROR(INDEX(02_轉折點45個!B:B,MATCH(A839,02_轉折點45個!A:A,0)),"")</f>
        <v/>
      </c>
      <c r="G839" s="7" t="s">
        <v>1994</v>
      </c>
    </row>
    <row r="840" customFormat="false" ht="15" hidden="false" customHeight="false" outlineLevel="0" collapsed="false">
      <c r="A840" s="7" t="s">
        <v>2738</v>
      </c>
      <c r="B840" s="7" t="n">
        <v>1442.06</v>
      </c>
      <c r="C840" s="7" t="n">
        <f aca="false">AVERAGE(B791:B840)</f>
        <v>1635.0852</v>
      </c>
      <c r="D840" s="7" t="n">
        <f aca="false">AVERAGE(B641:B840)</f>
        <v>1677.7729</v>
      </c>
      <c r="E840" s="7" t="n">
        <f aca="false">B840/MAX(B589:B840)-1</f>
        <v>-0.317810461381258</v>
      </c>
      <c r="F840" s="7" t="str">
        <f aca="false">IFERROR(INDEX(02_轉折點45個!B:B,MATCH(A840,02_轉折點45個!A:A,0)),"")</f>
        <v/>
      </c>
      <c r="G840" s="7" t="s">
        <v>1994</v>
      </c>
    </row>
    <row r="841" customFormat="false" ht="15" hidden="false" customHeight="false" outlineLevel="0" collapsed="false">
      <c r="A841" s="7" t="s">
        <v>2739</v>
      </c>
      <c r="B841" s="7" t="n">
        <v>1437.8</v>
      </c>
      <c r="C841" s="7" t="n">
        <f aca="false">AVERAGE(B792:B841)</f>
        <v>1631.503</v>
      </c>
      <c r="D841" s="7" t="n">
        <f aca="false">AVERAGE(B642:B841)</f>
        <v>1675.69315</v>
      </c>
      <c r="E841" s="7" t="n">
        <f aca="false">B841/MAX(B590:B841)-1</f>
        <v>-0.31982572249003</v>
      </c>
      <c r="F841" s="7" t="str">
        <f aca="false">IFERROR(INDEX(02_轉折點45個!B:B,MATCH(A841,02_轉折點45個!A:A,0)),"")</f>
        <v/>
      </c>
      <c r="G841" s="7" t="s">
        <v>1994</v>
      </c>
    </row>
    <row r="842" customFormat="false" ht="15" hidden="false" customHeight="false" outlineLevel="0" collapsed="false">
      <c r="A842" s="7" t="s">
        <v>2740</v>
      </c>
      <c r="B842" s="7" t="n">
        <v>1549.68</v>
      </c>
      <c r="C842" s="7" t="n">
        <f aca="false">AVERAGE(B793:B842)</f>
        <v>1630.2136</v>
      </c>
      <c r="D842" s="7" t="n">
        <f aca="false">AVERAGE(B643:B842)</f>
        <v>1673.9983</v>
      </c>
      <c r="E842" s="7" t="n">
        <f aca="false">B842/MAX(B591:B842)-1</f>
        <v>-0.266899099755425</v>
      </c>
      <c r="F842" s="7" t="str">
        <f aca="false">IFERROR(INDEX(02_轉折點45個!B:B,MATCH(A842,02_轉折點45個!A:A,0)),"")</f>
        <v/>
      </c>
      <c r="G842" s="7" t="s">
        <v>1994</v>
      </c>
    </row>
    <row r="843" customFormat="false" ht="15" hidden="false" customHeight="false" outlineLevel="0" collapsed="false">
      <c r="A843" s="7" t="s">
        <v>2741</v>
      </c>
      <c r="B843" s="7" t="n">
        <v>1507.84</v>
      </c>
      <c r="C843" s="7" t="n">
        <f aca="false">AVERAGE(B794:B843)</f>
        <v>1628.361</v>
      </c>
      <c r="D843" s="7" t="n">
        <f aca="false">AVERAGE(B644:B843)</f>
        <v>1672.3279</v>
      </c>
      <c r="E843" s="7" t="n">
        <f aca="false">B843/MAX(B592:B843)-1</f>
        <v>-0.286692180692285</v>
      </c>
      <c r="F843" s="7" t="str">
        <f aca="false">IFERROR(INDEX(02_轉折點45個!B:B,MATCH(A843,02_轉折點45個!A:A,0)),"")</f>
        <v/>
      </c>
      <c r="G843" s="7" t="s">
        <v>1994</v>
      </c>
    </row>
    <row r="844" customFormat="false" ht="15" hidden="false" customHeight="false" outlineLevel="0" collapsed="false">
      <c r="A844" s="7" t="s">
        <v>2742</v>
      </c>
      <c r="B844" s="7" t="n">
        <v>1462.49</v>
      </c>
      <c r="C844" s="7" t="n">
        <f aca="false">AVERAGE(B795:B844)</f>
        <v>1625.974</v>
      </c>
      <c r="D844" s="7" t="n">
        <f aca="false">AVERAGE(B645:B844)</f>
        <v>1670.2918</v>
      </c>
      <c r="E844" s="7" t="n">
        <f aca="false">B844/MAX(B593:B844)-1</f>
        <v>-0.308145723246936</v>
      </c>
      <c r="F844" s="7" t="str">
        <f aca="false">IFERROR(INDEX(02_轉折點45個!B:B,MATCH(A844,02_轉折點45個!A:A,0)),"")</f>
        <v/>
      </c>
      <c r="G844" s="7" t="s">
        <v>1994</v>
      </c>
    </row>
    <row r="845" customFormat="false" ht="15" hidden="false" customHeight="false" outlineLevel="0" collapsed="false">
      <c r="A845" s="7" t="s">
        <v>2743</v>
      </c>
      <c r="B845" s="7" t="n">
        <v>1509.72</v>
      </c>
      <c r="C845" s="7" t="n">
        <f aca="false">AVERAGE(B796:B845)</f>
        <v>1623.2298</v>
      </c>
      <c r="D845" s="7" t="n">
        <f aca="false">AVERAGE(B646:B845)</f>
        <v>1668.5705</v>
      </c>
      <c r="E845" s="7" t="n">
        <f aca="false">B845/MAX(B594:B845)-1</f>
        <v>-0.285802816634892</v>
      </c>
      <c r="F845" s="7" t="str">
        <f aca="false">IFERROR(INDEX(02_轉折點45個!B:B,MATCH(A845,02_轉折點45個!A:A,0)),"")</f>
        <v/>
      </c>
      <c r="G845" s="7" t="s">
        <v>1994</v>
      </c>
    </row>
    <row r="846" customFormat="false" ht="15" hidden="false" customHeight="false" outlineLevel="0" collapsed="false">
      <c r="A846" s="7" t="s">
        <v>2744</v>
      </c>
      <c r="B846" s="7" t="n">
        <v>1570.48</v>
      </c>
      <c r="C846" s="7" t="n">
        <f aca="false">AVERAGE(B797:B846)</f>
        <v>1620.667</v>
      </c>
      <c r="D846" s="7" t="n">
        <f aca="false">AVERAGE(B647:B846)</f>
        <v>1667.33945</v>
      </c>
      <c r="E846" s="7" t="n">
        <f aca="false">B846/MAX(B595:B846)-1</f>
        <v>-0.257059327205552</v>
      </c>
      <c r="F846" s="7" t="str">
        <f aca="false">IFERROR(INDEX(02_轉折點45個!B:B,MATCH(A846,02_轉折點45個!A:A,0)),"")</f>
        <v/>
      </c>
      <c r="G846" s="7" t="s">
        <v>1994</v>
      </c>
    </row>
    <row r="847" customFormat="false" ht="15" hidden="false" customHeight="false" outlineLevel="0" collapsed="false">
      <c r="A847" s="7" t="s">
        <v>2745</v>
      </c>
      <c r="B847" s="7" t="n">
        <v>1576.42</v>
      </c>
      <c r="C847" s="7" t="n">
        <f aca="false">AVERAGE(B798:B847)</f>
        <v>1618.0956</v>
      </c>
      <c r="D847" s="7" t="n">
        <f aca="false">AVERAGE(B648:B847)</f>
        <v>1666.272</v>
      </c>
      <c r="E847" s="7" t="n">
        <f aca="false">B847/MAX(B596:B847)-1</f>
        <v>-0.254249315236982</v>
      </c>
      <c r="F847" s="7" t="str">
        <f aca="false">IFERROR(INDEX(02_轉折點45個!B:B,MATCH(A847,02_轉折點45個!A:A,0)),"")</f>
        <v/>
      </c>
      <c r="G847" s="7" t="s">
        <v>1994</v>
      </c>
    </row>
    <row r="848" customFormat="false" ht="15" hidden="false" customHeight="false" outlineLevel="0" collapsed="false">
      <c r="A848" s="7" t="s">
        <v>2746</v>
      </c>
      <c r="B848" s="7" t="n">
        <v>1580.88</v>
      </c>
      <c r="C848" s="7" t="n">
        <f aca="false">AVERAGE(B799:B848)</f>
        <v>1615.1728</v>
      </c>
      <c r="D848" s="7" t="n">
        <f aca="false">AVERAGE(B649:B848)</f>
        <v>1665.1123</v>
      </c>
      <c r="E848" s="7" t="n">
        <f aca="false">B848/MAX(B597:B848)-1</f>
        <v>-0.252139440930615</v>
      </c>
      <c r="F848" s="7" t="str">
        <f aca="false">IFERROR(INDEX(02_轉折點45個!B:B,MATCH(A848,02_轉折點45個!A:A,0)),"")</f>
        <v/>
      </c>
      <c r="G848" s="7" t="s">
        <v>1994</v>
      </c>
    </row>
    <row r="849" customFormat="false" ht="15" hidden="false" customHeight="false" outlineLevel="0" collapsed="false">
      <c r="A849" s="7" t="s">
        <v>2747</v>
      </c>
      <c r="B849" s="7" t="n">
        <v>1590.89</v>
      </c>
      <c r="C849" s="7" t="n">
        <f aca="false">AVERAGE(B800:B849)</f>
        <v>1612.6104</v>
      </c>
      <c r="D849" s="7" t="n">
        <f aca="false">AVERAGE(B650:B849)</f>
        <v>1663.82615</v>
      </c>
      <c r="E849" s="7" t="n">
        <f aca="false">B849/MAX(B598:B849)-1</f>
        <v>-0.247404050390989</v>
      </c>
      <c r="F849" s="7" t="str">
        <f aca="false">IFERROR(INDEX(02_轉折點45個!B:B,MATCH(A849,02_轉折點45個!A:A,0)),"")</f>
        <v/>
      </c>
      <c r="G849" s="7" t="s">
        <v>1994</v>
      </c>
    </row>
    <row r="850" customFormat="false" ht="15" hidden="false" customHeight="false" outlineLevel="0" collapsed="false">
      <c r="A850" s="7" t="s">
        <v>2748</v>
      </c>
      <c r="B850" s="7" t="n">
        <v>1554.53</v>
      </c>
      <c r="C850" s="7" t="n">
        <f aca="false">AVERAGE(B801:B850)</f>
        <v>1608.4432</v>
      </c>
      <c r="D850" s="7" t="n">
        <f aca="false">AVERAGE(B651:B850)</f>
        <v>1662.3303</v>
      </c>
      <c r="E850" s="7" t="n">
        <f aca="false">B850/MAX(B599:B850)-1</f>
        <v>-0.264604729713748</v>
      </c>
      <c r="F850" s="7" t="str">
        <f aca="false">IFERROR(INDEX(02_轉折點45個!B:B,MATCH(A850,02_轉折點45個!A:A,0)),"")</f>
        <v/>
      </c>
      <c r="G850" s="7" t="s">
        <v>1994</v>
      </c>
    </row>
    <row r="851" customFormat="false" ht="15" hidden="false" customHeight="false" outlineLevel="0" collapsed="false">
      <c r="A851" s="7" t="s">
        <v>2749</v>
      </c>
      <c r="B851" s="7" t="n">
        <v>1520.35</v>
      </c>
      <c r="C851" s="7" t="n">
        <f aca="false">AVERAGE(B802:B851)</f>
        <v>1603.5956</v>
      </c>
      <c r="D851" s="7" t="n">
        <f aca="false">AVERAGE(B652:B851)</f>
        <v>1660.71485</v>
      </c>
      <c r="E851" s="7" t="n">
        <f aca="false">B851/MAX(B600:B851)-1</f>
        <v>-0.280774125182722</v>
      </c>
      <c r="F851" s="7" t="str">
        <f aca="false">IFERROR(INDEX(02_轉折點45個!B:B,MATCH(A851,02_轉折點45個!A:A,0)),"")</f>
        <v/>
      </c>
      <c r="G851" s="7" t="s">
        <v>1994</v>
      </c>
    </row>
    <row r="852" customFormat="false" ht="15" hidden="false" customHeight="false" outlineLevel="0" collapsed="false">
      <c r="A852" s="7" t="s">
        <v>2750</v>
      </c>
      <c r="B852" s="7" t="n">
        <v>1528.82</v>
      </c>
      <c r="C852" s="7" t="n">
        <f aca="false">AVERAGE(B803:B852)</f>
        <v>1599.5088</v>
      </c>
      <c r="D852" s="7" t="n">
        <f aca="false">AVERAGE(B653:B852)</f>
        <v>1659.0993</v>
      </c>
      <c r="E852" s="7" t="n">
        <f aca="false">B852/MAX(B601:B852)-1</f>
        <v>-0.276767256264576</v>
      </c>
      <c r="F852" s="7" t="str">
        <f aca="false">IFERROR(INDEX(02_轉折點45個!B:B,MATCH(A852,02_轉折點45個!A:A,0)),"")</f>
        <v/>
      </c>
      <c r="G852" s="7" t="s">
        <v>1994</v>
      </c>
    </row>
    <row r="853" customFormat="false" ht="15" hidden="false" customHeight="false" outlineLevel="0" collapsed="false">
      <c r="A853" s="7" t="s">
        <v>2751</v>
      </c>
      <c r="B853" s="7" t="n">
        <v>1550.91</v>
      </c>
      <c r="C853" s="7" t="n">
        <f aca="false">AVERAGE(B804:B853)</f>
        <v>1596.505</v>
      </c>
      <c r="D853" s="7" t="n">
        <f aca="false">AVERAGE(B654:B853)</f>
        <v>1657.40575</v>
      </c>
      <c r="E853" s="7" t="n">
        <f aca="false">B853/MAX(B602:B853)-1</f>
        <v>-0.266317228590216</v>
      </c>
      <c r="F853" s="7" t="str">
        <f aca="false">IFERROR(INDEX(02_轉折點45個!B:B,MATCH(A853,02_轉折點45個!A:A,0)),"")</f>
        <v/>
      </c>
      <c r="G853" s="7" t="s">
        <v>1994</v>
      </c>
    </row>
    <row r="854" customFormat="false" ht="15" hidden="false" customHeight="false" outlineLevel="0" collapsed="false">
      <c r="A854" s="7" t="s">
        <v>2752</v>
      </c>
      <c r="B854" s="7" t="n">
        <v>1517.89</v>
      </c>
      <c r="C854" s="7" t="n">
        <f aca="false">AVERAGE(B805:B854)</f>
        <v>1592.985</v>
      </c>
      <c r="D854" s="7" t="n">
        <f aca="false">AVERAGE(B655:B854)</f>
        <v>1655.46035</v>
      </c>
      <c r="E854" s="7" t="n">
        <f aca="false">B854/MAX(B603:B854)-1</f>
        <v>-0.281937867513139</v>
      </c>
      <c r="F854" s="7" t="str">
        <f aca="false">IFERROR(INDEX(02_轉折點45個!B:B,MATCH(A854,02_轉折點45個!A:A,0)),"")</f>
        <v/>
      </c>
      <c r="G854" s="7" t="s">
        <v>1994</v>
      </c>
    </row>
    <row r="855" customFormat="false" ht="15" hidden="false" customHeight="false" outlineLevel="0" collapsed="false">
      <c r="A855" s="7" t="s">
        <v>2753</v>
      </c>
      <c r="B855" s="7" t="n">
        <v>1509.38</v>
      </c>
      <c r="C855" s="7" t="n">
        <f aca="false">AVERAGE(B806:B855)</f>
        <v>1589.036</v>
      </c>
      <c r="D855" s="7" t="n">
        <f aca="false">AVERAGE(B656:B855)</f>
        <v>1653.56855</v>
      </c>
      <c r="E855" s="7" t="n">
        <f aca="false">B855/MAX(B604:B855)-1</f>
        <v>-0.285963659070804</v>
      </c>
      <c r="F855" s="7" t="str">
        <f aca="false">IFERROR(INDEX(02_轉折點45個!B:B,MATCH(A855,02_轉折點45個!A:A,0)),"")</f>
        <v/>
      </c>
      <c r="G855" s="7" t="s">
        <v>1994</v>
      </c>
    </row>
    <row r="856" customFormat="false" ht="15" hidden="false" customHeight="false" outlineLevel="0" collapsed="false">
      <c r="A856" s="7" t="s">
        <v>2754</v>
      </c>
      <c r="B856" s="7" t="n">
        <v>1484</v>
      </c>
      <c r="C856" s="7" t="n">
        <f aca="false">AVERAGE(B807:B856)</f>
        <v>1584.4194</v>
      </c>
      <c r="D856" s="7" t="n">
        <f aca="false">AVERAGE(B657:B856)</f>
        <v>1651.69635</v>
      </c>
      <c r="E856" s="7" t="n">
        <f aca="false">B856/MAX(B605:B856)-1</f>
        <v>-0.288177706147861</v>
      </c>
      <c r="F856" s="7" t="str">
        <f aca="false">IFERROR(INDEX(02_轉折點45個!B:B,MATCH(A856,02_轉折點45個!A:A,0)),"")</f>
        <v/>
      </c>
      <c r="G856" s="7" t="s">
        <v>1994</v>
      </c>
    </row>
    <row r="857" customFormat="false" ht="15" hidden="false" customHeight="false" outlineLevel="0" collapsed="false">
      <c r="A857" s="7" t="s">
        <v>2755</v>
      </c>
      <c r="B857" s="7" t="n">
        <v>1490.88</v>
      </c>
      <c r="C857" s="7" t="n">
        <f aca="false">AVERAGE(B808:B857)</f>
        <v>1579.8708</v>
      </c>
      <c r="D857" s="7" t="n">
        <f aca="false">AVERAGE(B658:B857)</f>
        <v>1649.8881</v>
      </c>
      <c r="E857" s="7" t="n">
        <f aca="false">B857/MAX(B606:B857)-1</f>
        <v>-0.28487761357259</v>
      </c>
      <c r="F857" s="7" t="str">
        <f aca="false">IFERROR(INDEX(02_轉折點45個!B:B,MATCH(A857,02_轉折點45個!A:A,0)),"")</f>
        <v/>
      </c>
      <c r="G857" s="7" t="s">
        <v>1994</v>
      </c>
    </row>
    <row r="858" customFormat="false" ht="15" hidden="false" customHeight="false" outlineLevel="0" collapsed="false">
      <c r="A858" s="7" t="s">
        <v>2756</v>
      </c>
      <c r="B858" s="7" t="n">
        <v>1476.09</v>
      </c>
      <c r="C858" s="7" t="n">
        <f aca="false">AVERAGE(B809:B858)</f>
        <v>1575.9034</v>
      </c>
      <c r="D858" s="7" t="n">
        <f aca="false">AVERAGE(B659:B858)</f>
        <v>1648.2865</v>
      </c>
      <c r="E858" s="7" t="n">
        <f aca="false">B858/MAX(B607:B858)-1</f>
        <v>-0.286337286603202</v>
      </c>
      <c r="F858" s="7" t="str">
        <f aca="false">IFERROR(INDEX(02_轉折點45個!B:B,MATCH(A858,02_轉折點45個!A:A,0)),"")</f>
        <v/>
      </c>
      <c r="G858" s="7" t="s">
        <v>1994</v>
      </c>
    </row>
    <row r="859" customFormat="false" ht="15" hidden="false" customHeight="false" outlineLevel="0" collapsed="false">
      <c r="A859" s="7" t="s">
        <v>456</v>
      </c>
      <c r="B859" s="7" t="n">
        <v>1427.51</v>
      </c>
      <c r="C859" s="7" t="n">
        <f aca="false">AVERAGE(B810:B859)</f>
        <v>1570.3074</v>
      </c>
      <c r="D859" s="7" t="n">
        <f aca="false">AVERAGE(B660:B859)</f>
        <v>1646.45585</v>
      </c>
      <c r="E859" s="7" t="n">
        <f aca="false">B859/MAX(B608:B859)-1</f>
        <v>-0.309824834528339</v>
      </c>
      <c r="F859" s="7" t="str">
        <f aca="false">IFERROR(INDEX(02_轉折點45個!B:B,MATCH(A859,02_轉折點45個!A:A,0)),"")</f>
        <v/>
      </c>
      <c r="G859" s="7" t="s">
        <v>1994</v>
      </c>
    </row>
    <row r="860" customFormat="false" ht="15" hidden="false" customHeight="false" outlineLevel="0" collapsed="false">
      <c r="A860" s="7" t="s">
        <v>2757</v>
      </c>
      <c r="B860" s="7" t="n">
        <v>1441.73</v>
      </c>
      <c r="C860" s="7" t="n">
        <f aca="false">AVERAGE(B811:B860)</f>
        <v>1565.3144</v>
      </c>
      <c r="D860" s="7" t="n">
        <f aca="false">AVERAGE(B661:B860)</f>
        <v>1644.7276</v>
      </c>
      <c r="E860" s="7" t="n">
        <f aca="false">B860/MAX(B609:B860)-1</f>
        <v>-0.302949722723163</v>
      </c>
      <c r="F860" s="7" t="str">
        <f aca="false">IFERROR(INDEX(02_轉折點45個!B:B,MATCH(A860,02_轉折點45個!A:A,0)),"")</f>
        <v/>
      </c>
      <c r="G860" s="7" t="s">
        <v>1994</v>
      </c>
    </row>
    <row r="861" customFormat="false" ht="15" hidden="false" customHeight="false" outlineLevel="0" collapsed="false">
      <c r="A861" s="7" t="s">
        <v>2758</v>
      </c>
      <c r="B861" s="7" t="n">
        <v>1457.39</v>
      </c>
      <c r="C861" s="7" t="n">
        <f aca="false">AVERAGE(B812:B861)</f>
        <v>1561.3454</v>
      </c>
      <c r="D861" s="7" t="n">
        <f aca="false">AVERAGE(B662:B861)</f>
        <v>1642.9599</v>
      </c>
      <c r="E861" s="7" t="n">
        <f aca="false">B861/MAX(B610:B861)-1</f>
        <v>-0.295378397064298</v>
      </c>
      <c r="F861" s="7" t="str">
        <f aca="false">IFERROR(INDEX(02_轉折點45個!B:B,MATCH(A861,02_轉折點45個!A:A,0)),"")</f>
        <v/>
      </c>
      <c r="G861" s="7" t="s">
        <v>1994</v>
      </c>
    </row>
    <row r="862" customFormat="false" ht="15" hidden="false" customHeight="false" outlineLevel="0" collapsed="false">
      <c r="A862" s="7" t="s">
        <v>457</v>
      </c>
      <c r="B862" s="7" t="n">
        <v>1420.5</v>
      </c>
      <c r="C862" s="7" t="n">
        <f aca="false">AVERAGE(B813:B862)</f>
        <v>1556.4252</v>
      </c>
      <c r="D862" s="7" t="n">
        <f aca="false">AVERAGE(B663:B862)</f>
        <v>1641.0887</v>
      </c>
      <c r="E862" s="7" t="n">
        <f aca="false">B862/MAX(B611:B862)-1</f>
        <v>-0.313214042246643</v>
      </c>
      <c r="F862" s="7" t="str">
        <f aca="false">IFERROR(INDEX(02_轉折點45個!B:B,MATCH(A862,02_轉折點45個!A:A,0)),"")</f>
        <v/>
      </c>
      <c r="G862" s="7" t="s">
        <v>1994</v>
      </c>
    </row>
    <row r="863" customFormat="false" ht="15" hidden="false" customHeight="false" outlineLevel="0" collapsed="false">
      <c r="A863" s="7" t="s">
        <v>458</v>
      </c>
      <c r="B863" s="7" t="n">
        <v>1402.77</v>
      </c>
      <c r="C863" s="7" t="n">
        <f aca="false">AVERAGE(B814:B863)</f>
        <v>1551.1032</v>
      </c>
      <c r="D863" s="7" t="n">
        <f aca="false">AVERAGE(B664:B863)</f>
        <v>1639.3373</v>
      </c>
      <c r="E863" s="7" t="n">
        <f aca="false">B863/MAX(B612:B863)-1</f>
        <v>-0.321786175320186</v>
      </c>
      <c r="F863" s="7" t="str">
        <f aca="false">IFERROR(INDEX(02_轉折點45個!B:B,MATCH(A863,02_轉折點45個!A:A,0)),"")</f>
        <v/>
      </c>
      <c r="G863" s="7" t="s">
        <v>1994</v>
      </c>
    </row>
    <row r="864" customFormat="false" ht="15" hidden="false" customHeight="false" outlineLevel="0" collapsed="false">
      <c r="A864" s="7" t="s">
        <v>459</v>
      </c>
      <c r="B864" s="7" t="n">
        <v>1398.4</v>
      </c>
      <c r="C864" s="7" t="n">
        <f aca="false">AVERAGE(B815:B864)</f>
        <v>1545.354</v>
      </c>
      <c r="D864" s="7" t="n">
        <f aca="false">AVERAGE(B665:B864)</f>
        <v>1637.51185</v>
      </c>
      <c r="E864" s="7" t="n">
        <f aca="false">B864/MAX(B613:B864)-1</f>
        <v>-0.323898990973394</v>
      </c>
      <c r="F864" s="7" t="str">
        <f aca="false">IFERROR(INDEX(02_轉折點45個!B:B,MATCH(A864,02_轉折點45個!A:A,0)),"")</f>
        <v/>
      </c>
      <c r="G864" s="7" t="s">
        <v>1994</v>
      </c>
    </row>
    <row r="865" customFormat="false" ht="15" hidden="false" customHeight="false" outlineLevel="0" collapsed="false">
      <c r="A865" s="7" t="s">
        <v>460</v>
      </c>
      <c r="B865" s="7" t="n">
        <v>1367.78</v>
      </c>
      <c r="C865" s="7" t="n">
        <f aca="false">AVERAGE(B816:B865)</f>
        <v>1538.6768</v>
      </c>
      <c r="D865" s="7" t="n">
        <f aca="false">AVERAGE(B666:B865)</f>
        <v>1635.8225</v>
      </c>
      <c r="E865" s="7" t="n">
        <f aca="false">B865/MAX(B614:B865)-1</f>
        <v>-0.338703205001136</v>
      </c>
      <c r="F865" s="7" t="str">
        <f aca="false">IFERROR(INDEX(02_轉折點45個!B:B,MATCH(A865,02_轉折點45個!A:A,0)),"")</f>
        <v/>
      </c>
      <c r="G865" s="7" t="s">
        <v>1994</v>
      </c>
    </row>
    <row r="866" customFormat="false" ht="15" hidden="false" customHeight="false" outlineLevel="0" collapsed="false">
      <c r="A866" s="7" t="s">
        <v>2759</v>
      </c>
      <c r="B866" s="7" t="n">
        <v>1387.83</v>
      </c>
      <c r="C866" s="7" t="n">
        <f aca="false">AVERAGE(B817:B866)</f>
        <v>1533.4644</v>
      </c>
      <c r="D866" s="7" t="n">
        <f aca="false">AVERAGE(B667:B866)</f>
        <v>1634.1679</v>
      </c>
      <c r="E866" s="7" t="n">
        <f aca="false">B866/MAX(B615:B866)-1</f>
        <v>-0.329009394052206</v>
      </c>
      <c r="F866" s="7" t="str">
        <f aca="false">IFERROR(INDEX(02_轉折點45個!B:B,MATCH(A866,02_轉折點45個!A:A,0)),"")</f>
        <v/>
      </c>
      <c r="G866" s="7" t="s">
        <v>1994</v>
      </c>
    </row>
    <row r="867" customFormat="false" ht="15" hidden="false" customHeight="false" outlineLevel="0" collapsed="false">
      <c r="A867" s="7" t="s">
        <v>461</v>
      </c>
      <c r="B867" s="7" t="n">
        <v>1367.51</v>
      </c>
      <c r="C867" s="7" t="n">
        <f aca="false">AVERAGE(B818:B867)</f>
        <v>1528.212</v>
      </c>
      <c r="D867" s="7" t="n">
        <f aca="false">AVERAGE(B668:B867)</f>
        <v>1632.6403</v>
      </c>
      <c r="E867" s="7" t="n">
        <f aca="false">B867/MAX(B616:B867)-1</f>
        <v>-0.324235910359993</v>
      </c>
      <c r="F867" s="7" t="str">
        <f aca="false">IFERROR(INDEX(02_轉折點45個!B:B,MATCH(A867,02_轉折點45個!A:A,0)),"")</f>
        <v/>
      </c>
      <c r="G867" s="7" t="s">
        <v>1994</v>
      </c>
    </row>
    <row r="868" customFormat="false" ht="15" hidden="false" customHeight="false" outlineLevel="0" collapsed="false">
      <c r="A868" s="7" t="s">
        <v>2760</v>
      </c>
      <c r="B868" s="7" t="n">
        <v>1374.69</v>
      </c>
      <c r="C868" s="7" t="n">
        <f aca="false">AVERAGE(B819:B868)</f>
        <v>1523.0044</v>
      </c>
      <c r="D868" s="7" t="n">
        <f aca="false">AVERAGE(B669:B868)</f>
        <v>1631.0175</v>
      </c>
      <c r="E868" s="7" t="n">
        <f aca="false">B868/MAX(B617:B868)-1</f>
        <v>-0.306821906341867</v>
      </c>
      <c r="F868" s="7" t="str">
        <f aca="false">IFERROR(INDEX(02_轉折點45個!B:B,MATCH(A868,02_轉折點45個!A:A,0)),"")</f>
        <v/>
      </c>
      <c r="G868" s="7" t="s">
        <v>1994</v>
      </c>
    </row>
    <row r="869" customFormat="false" ht="15" hidden="false" customHeight="false" outlineLevel="0" collapsed="false">
      <c r="A869" s="7" t="s">
        <v>2761</v>
      </c>
      <c r="B869" s="7" t="n">
        <v>1419.04</v>
      </c>
      <c r="C869" s="7" t="n">
        <f aca="false">AVERAGE(B820:B869)</f>
        <v>1519.0442</v>
      </c>
      <c r="D869" s="7" t="n">
        <f aca="false">AVERAGE(B670:B869)</f>
        <v>1629.69425</v>
      </c>
      <c r="E869" s="7" t="n">
        <f aca="false">B869/MAX(B618:B869)-1</f>
        <v>-0.284184401813954</v>
      </c>
      <c r="F869" s="7" t="str">
        <f aca="false">IFERROR(INDEX(02_轉折點45個!B:B,MATCH(A869,02_轉折點45個!A:A,0)),"")</f>
        <v/>
      </c>
      <c r="G869" s="7" t="s">
        <v>1994</v>
      </c>
    </row>
    <row r="870" customFormat="false" ht="15" hidden="false" customHeight="false" outlineLevel="0" collapsed="false">
      <c r="A870" s="7" t="s">
        <v>2762</v>
      </c>
      <c r="B870" s="7" t="n">
        <v>1409.61</v>
      </c>
      <c r="C870" s="7" t="n">
        <f aca="false">AVERAGE(B821:B870)</f>
        <v>1514.606</v>
      </c>
      <c r="D870" s="7" t="n">
        <f aca="false">AVERAGE(B671:B870)</f>
        <v>1627.9866</v>
      </c>
      <c r="E870" s="7" t="n">
        <f aca="false">B870/MAX(B619:B870)-1</f>
        <v>-0.285843115598766</v>
      </c>
      <c r="F870" s="7" t="str">
        <f aca="false">IFERROR(INDEX(02_轉折點45個!B:B,MATCH(A870,02_轉折點45個!A:A,0)),"")</f>
        <v/>
      </c>
      <c r="G870" s="7" t="s">
        <v>1994</v>
      </c>
    </row>
    <row r="871" customFormat="false" ht="15" hidden="false" customHeight="false" outlineLevel="0" collapsed="false">
      <c r="A871" s="7" t="s">
        <v>2763</v>
      </c>
      <c r="B871" s="7" t="n">
        <v>1367.46</v>
      </c>
      <c r="C871" s="7" t="n">
        <f aca="false">AVERAGE(B822:B871)</f>
        <v>1510.116</v>
      </c>
      <c r="D871" s="7" t="n">
        <f aca="false">AVERAGE(B672:B871)</f>
        <v>1626.08825</v>
      </c>
      <c r="E871" s="7" t="n">
        <f aca="false">B871/MAX(B620:B871)-1</f>
        <v>-0.30719775459644</v>
      </c>
      <c r="F871" s="7" t="str">
        <f aca="false">IFERROR(INDEX(02_轉折點45個!B:B,MATCH(A871,02_轉折點45個!A:A,0)),"")</f>
        <v/>
      </c>
      <c r="G871" s="7" t="s">
        <v>1994</v>
      </c>
    </row>
    <row r="872" customFormat="false" ht="15" hidden="false" customHeight="false" outlineLevel="0" collapsed="false">
      <c r="A872" s="7" t="s">
        <v>2764</v>
      </c>
      <c r="B872" s="7" t="n">
        <v>1338.16</v>
      </c>
      <c r="C872" s="7" t="n">
        <f aca="false">AVERAGE(B823:B872)</f>
        <v>1504.5922</v>
      </c>
      <c r="D872" s="7" t="n">
        <f aca="false">AVERAGE(B673:B872)</f>
        <v>1624.2601</v>
      </c>
      <c r="E872" s="7" t="n">
        <f aca="false">B872/MAX(B621:B872)-1</f>
        <v>-0.322042141847493</v>
      </c>
      <c r="F872" s="7" t="str">
        <f aca="false">IFERROR(INDEX(02_轉折點45個!B:B,MATCH(A872,02_轉折點45個!A:A,0)),"")</f>
        <v/>
      </c>
      <c r="G872" s="7" t="s">
        <v>1994</v>
      </c>
    </row>
    <row r="873" customFormat="false" ht="15" hidden="false" customHeight="false" outlineLevel="0" collapsed="false">
      <c r="A873" s="7" t="s">
        <v>2765</v>
      </c>
      <c r="B873" s="7" t="n">
        <v>1316.42</v>
      </c>
      <c r="C873" s="7" t="n">
        <f aca="false">AVERAGE(B824:B873)</f>
        <v>1499.398</v>
      </c>
      <c r="D873" s="7" t="n">
        <f aca="false">AVERAGE(B674:B873)</f>
        <v>1622.42285</v>
      </c>
      <c r="E873" s="7" t="n">
        <f aca="false">B873/MAX(B622:B873)-1</f>
        <v>-0.333056373207148</v>
      </c>
      <c r="F873" s="7" t="str">
        <f aca="false">IFERROR(INDEX(02_轉折點45個!B:B,MATCH(A873,02_轉折點45個!A:A,0)),"")</f>
        <v/>
      </c>
      <c r="G873" s="7" t="s">
        <v>1994</v>
      </c>
    </row>
    <row r="874" customFormat="false" ht="15" hidden="false" customHeight="false" outlineLevel="0" collapsed="false">
      <c r="A874" s="7" t="s">
        <v>2766</v>
      </c>
      <c r="B874" s="7" t="n">
        <v>1334.13</v>
      </c>
      <c r="C874" s="7" t="n">
        <f aca="false">AVERAGE(B825:B874)</f>
        <v>1493.9924</v>
      </c>
      <c r="D874" s="7" t="n">
        <f aca="false">AVERAGE(B675:B874)</f>
        <v>1620.90935</v>
      </c>
      <c r="E874" s="7" t="n">
        <f aca="false">B874/MAX(B623:B874)-1</f>
        <v>-0.324083878387484</v>
      </c>
      <c r="F874" s="7" t="str">
        <f aca="false">IFERROR(INDEX(02_轉折點45個!B:B,MATCH(A874,02_轉折點45個!A:A,0)),"")</f>
        <v/>
      </c>
      <c r="G874" s="7" t="s">
        <v>1994</v>
      </c>
    </row>
    <row r="875" customFormat="false" ht="15" hidden="false" customHeight="false" outlineLevel="0" collapsed="false">
      <c r="A875" s="7" t="s">
        <v>2767</v>
      </c>
      <c r="B875" s="7" t="n">
        <v>1300.92</v>
      </c>
      <c r="C875" s="7" t="n">
        <f aca="false">AVERAGE(B826:B875)</f>
        <v>1487.9666</v>
      </c>
      <c r="D875" s="7" t="n">
        <f aca="false">AVERAGE(B676:B875)</f>
        <v>1619.167</v>
      </c>
      <c r="E875" s="7" t="n">
        <f aca="false">B875/MAX(B624:B875)-1</f>
        <v>-0.340909206053267</v>
      </c>
      <c r="F875" s="7" t="str">
        <f aca="false">IFERROR(INDEX(02_轉折點45個!B:B,MATCH(A875,02_轉折點45個!A:A,0)),"")</f>
        <v/>
      </c>
      <c r="G875" s="7" t="s">
        <v>1994</v>
      </c>
    </row>
    <row r="876" customFormat="false" ht="15" hidden="false" customHeight="false" outlineLevel="0" collapsed="false">
      <c r="A876" s="7" t="s">
        <v>2768</v>
      </c>
      <c r="B876" s="7" t="n">
        <v>1305.8</v>
      </c>
      <c r="C876" s="7" t="n">
        <f aca="false">AVERAGE(B827:B876)</f>
        <v>1480.8872</v>
      </c>
      <c r="D876" s="7" t="n">
        <f aca="false">AVERAGE(B677:B876)</f>
        <v>1617.6073</v>
      </c>
      <c r="E876" s="7" t="n">
        <f aca="false">B876/MAX(B625:B876)-1</f>
        <v>-0.338436830292683</v>
      </c>
      <c r="F876" s="7" t="str">
        <f aca="false">IFERROR(INDEX(02_轉折點45個!B:B,MATCH(A876,02_轉折點45個!A:A,0)),"")</f>
        <v/>
      </c>
      <c r="G876" s="7" t="s">
        <v>1994</v>
      </c>
    </row>
    <row r="877" customFormat="false" ht="15" hidden="false" customHeight="false" outlineLevel="0" collapsed="false">
      <c r="A877" s="7" t="s">
        <v>2769</v>
      </c>
      <c r="B877" s="7" t="n">
        <v>1333.09</v>
      </c>
      <c r="C877" s="7" t="n">
        <f aca="false">AVERAGE(B828:B877)</f>
        <v>1474.4654</v>
      </c>
      <c r="D877" s="7" t="n">
        <f aca="false">AVERAGE(B678:B877)</f>
        <v>1616.23785</v>
      </c>
      <c r="E877" s="7" t="n">
        <f aca="false">B877/MAX(B626:B877)-1</f>
        <v>-0.32461077813974</v>
      </c>
      <c r="F877" s="7" t="str">
        <f aca="false">IFERROR(INDEX(02_轉折點45個!B:B,MATCH(A877,02_轉折點45個!A:A,0)),"")</f>
        <v/>
      </c>
      <c r="G877" s="7" t="s">
        <v>1994</v>
      </c>
    </row>
    <row r="878" customFormat="false" ht="15" hidden="false" customHeight="false" outlineLevel="0" collapsed="false">
      <c r="A878" s="7" t="s">
        <v>2770</v>
      </c>
      <c r="B878" s="7" t="n">
        <v>1336.75</v>
      </c>
      <c r="C878" s="7" t="n">
        <f aca="false">AVERAGE(B829:B878)</f>
        <v>1468.2674</v>
      </c>
      <c r="D878" s="7" t="n">
        <f aca="false">AVERAGE(B679:B878)</f>
        <v>1615.13045</v>
      </c>
      <c r="E878" s="7" t="n">
        <f aca="false">B878/MAX(B627:B878)-1</f>
        <v>-0.322756496319301</v>
      </c>
      <c r="F878" s="7" t="str">
        <f aca="false">IFERROR(INDEX(02_轉折點45個!B:B,MATCH(A878,02_轉折點45個!A:A,0)),"")</f>
        <v/>
      </c>
      <c r="G878" s="7" t="s">
        <v>1994</v>
      </c>
    </row>
    <row r="879" customFormat="false" ht="15" hidden="false" customHeight="false" outlineLevel="0" collapsed="false">
      <c r="A879" s="7" t="s">
        <v>463</v>
      </c>
      <c r="B879" s="7" t="n">
        <v>1282.47</v>
      </c>
      <c r="C879" s="7" t="n">
        <f aca="false">AVERAGE(B830:B879)</f>
        <v>1461.0862</v>
      </c>
      <c r="D879" s="7" t="n">
        <f aca="false">AVERAGE(B680:B879)</f>
        <v>1613.8336</v>
      </c>
      <c r="E879" s="7" t="n">
        <f aca="false">B879/MAX(B628:B879)-1</f>
        <v>-0.350256610312036</v>
      </c>
      <c r="F879" s="7" t="str">
        <f aca="false">IFERROR(INDEX(02_轉折點45個!B:B,MATCH(A879,02_轉折點45個!A:A,0)),"")</f>
        <v/>
      </c>
      <c r="G879" s="7" t="s">
        <v>1994</v>
      </c>
    </row>
    <row r="880" customFormat="false" ht="15" hidden="false" customHeight="false" outlineLevel="0" collapsed="false">
      <c r="A880" s="7" t="s">
        <v>2771</v>
      </c>
      <c r="B880" s="7" t="n">
        <v>1240.47</v>
      </c>
      <c r="C880" s="7" t="n">
        <f aca="false">AVERAGE(B831:B880)</f>
        <v>1453.762</v>
      </c>
      <c r="D880" s="7" t="n">
        <f aca="false">AVERAGE(B681:B880)</f>
        <v>1612.2917</v>
      </c>
      <c r="E880" s="7" t="n">
        <f aca="false">B880/MAX(B629:B880)-1</f>
        <v>-0.371535254153135</v>
      </c>
      <c r="F880" s="7" t="str">
        <f aca="false">IFERROR(INDEX(02_轉折點45個!B:B,MATCH(A880,02_轉折點45個!A:A,0)),"")</f>
        <v/>
      </c>
      <c r="G880" s="7" t="s">
        <v>1994</v>
      </c>
    </row>
    <row r="881" customFormat="false" ht="15" hidden="false" customHeight="false" outlineLevel="0" collapsed="false">
      <c r="A881" s="7" t="s">
        <v>2772</v>
      </c>
      <c r="B881" s="7" t="n">
        <v>1260.89</v>
      </c>
      <c r="C881" s="7" t="n">
        <f aca="false">AVERAGE(B832:B881)</f>
        <v>1447.3648</v>
      </c>
      <c r="D881" s="7" t="n">
        <f aca="false">AVERAGE(B682:B881)</f>
        <v>1611.381</v>
      </c>
      <c r="E881" s="7" t="n">
        <f aca="false">B881/MAX(B630:B881)-1</f>
        <v>-0.361189780171344</v>
      </c>
      <c r="F881" s="7" t="str">
        <f aca="false">IFERROR(INDEX(02_轉折點45個!B:B,MATCH(A881,02_轉折點45個!A:A,0)),"")</f>
        <v/>
      </c>
      <c r="G881" s="7" t="s">
        <v>1994</v>
      </c>
    </row>
    <row r="882" customFormat="false" ht="15" hidden="false" customHeight="false" outlineLevel="0" collapsed="false">
      <c r="A882" s="7" t="s">
        <v>2773</v>
      </c>
      <c r="B882" s="7" t="n">
        <v>1323.18</v>
      </c>
      <c r="C882" s="7" t="n">
        <f aca="false">AVERAGE(B833:B882)</f>
        <v>1442.5232</v>
      </c>
      <c r="D882" s="7" t="n">
        <f aca="false">AVERAGE(B683:B882)</f>
        <v>1610.8935</v>
      </c>
      <c r="E882" s="7" t="n">
        <f aca="false">B882/MAX(B631:B882)-1</f>
        <v>-0.329631524817485</v>
      </c>
      <c r="F882" s="7" t="str">
        <f aca="false">IFERROR(INDEX(02_轉折點45個!B:B,MATCH(A882,02_轉折點45個!A:A,0)),"")</f>
        <v/>
      </c>
      <c r="G882" s="7" t="s">
        <v>1994</v>
      </c>
    </row>
    <row r="883" customFormat="false" ht="15" hidden="false" customHeight="false" outlineLevel="0" collapsed="false">
      <c r="A883" s="7" t="s">
        <v>2774</v>
      </c>
      <c r="B883" s="7" t="n">
        <v>1284.13</v>
      </c>
      <c r="C883" s="7" t="n">
        <f aca="false">AVERAGE(B834:B883)</f>
        <v>1436.894</v>
      </c>
      <c r="D883" s="7" t="n">
        <f aca="false">AVERAGE(B684:B883)</f>
        <v>1610.33535</v>
      </c>
      <c r="E883" s="7" t="n">
        <f aca="false">B883/MAX(B632:B883)-1</f>
        <v>-0.34583624128252</v>
      </c>
      <c r="F883" s="7" t="str">
        <f aca="false">IFERROR(INDEX(02_轉折點45個!B:B,MATCH(A883,02_轉折點45個!A:A,0)),"")</f>
        <v/>
      </c>
      <c r="G883" s="7" t="s">
        <v>1994</v>
      </c>
    </row>
    <row r="884" customFormat="false" ht="15" hidden="false" customHeight="false" outlineLevel="0" collapsed="false">
      <c r="A884" s="7" t="s">
        <v>2775</v>
      </c>
      <c r="B884" s="7" t="n">
        <v>1261.75</v>
      </c>
      <c r="C884" s="7" t="n">
        <f aca="false">AVERAGE(B835:B884)</f>
        <v>1431.7274</v>
      </c>
      <c r="D884" s="7" t="n">
        <f aca="false">AVERAGE(B685:B884)</f>
        <v>1609.9251</v>
      </c>
      <c r="E884" s="7" t="n">
        <f aca="false">B884/MAX(B633:B884)-1</f>
        <v>-0.354860976183415</v>
      </c>
      <c r="F884" s="7" t="str">
        <f aca="false">IFERROR(INDEX(02_轉折點45個!B:B,MATCH(A884,02_轉折點45個!A:A,0)),"")</f>
        <v/>
      </c>
      <c r="G884" s="7" t="s">
        <v>1994</v>
      </c>
    </row>
    <row r="885" customFormat="false" ht="15" hidden="false" customHeight="false" outlineLevel="0" collapsed="false">
      <c r="A885" s="7" t="s">
        <v>464</v>
      </c>
      <c r="B885" s="7" t="n">
        <v>1229.68</v>
      </c>
      <c r="C885" s="7" t="n">
        <f aca="false">AVERAGE(B836:B885)</f>
        <v>1426.0464</v>
      </c>
      <c r="D885" s="7" t="n">
        <f aca="false">AVERAGE(B686:B885)</f>
        <v>1609.57255</v>
      </c>
      <c r="E885" s="7" t="n">
        <f aca="false">B885/MAX(B634:B885)-1</f>
        <v>-0.355165524365879</v>
      </c>
      <c r="F885" s="7" t="str">
        <f aca="false">IFERROR(INDEX(02_轉折點45個!B:B,MATCH(A885,02_轉折點45個!A:A,0)),"")</f>
        <v/>
      </c>
      <c r="G885" s="7" t="s">
        <v>1994</v>
      </c>
    </row>
    <row r="886" customFormat="false" ht="15" hidden="false" customHeight="false" outlineLevel="0" collapsed="false">
      <c r="A886" s="7" t="s">
        <v>2776</v>
      </c>
      <c r="B886" s="7" t="n">
        <v>1255.64</v>
      </c>
      <c r="C886" s="7" t="n">
        <f aca="false">AVERAGE(B837:B886)</f>
        <v>1420.3128</v>
      </c>
      <c r="D886" s="7" t="n">
        <f aca="false">AVERAGE(B687:B886)</f>
        <v>1609.0017</v>
      </c>
      <c r="E886" s="7" t="n">
        <f aca="false">B886/MAX(B635:B886)-1</f>
        <v>-0.341552305489861</v>
      </c>
      <c r="F886" s="7" t="str">
        <f aca="false">IFERROR(INDEX(02_轉折點45個!B:B,MATCH(A886,02_轉折點45個!A:A,0)),"")</f>
        <v/>
      </c>
      <c r="G886" s="7" t="s">
        <v>1994</v>
      </c>
    </row>
    <row r="887" customFormat="false" ht="15" hidden="false" customHeight="false" outlineLevel="0" collapsed="false">
      <c r="A887" s="7" t="s">
        <v>2777</v>
      </c>
      <c r="B887" s="7" t="n">
        <v>1254.79</v>
      </c>
      <c r="C887" s="7" t="n">
        <f aca="false">AVERAGE(B838:B887)</f>
        <v>1414.7576</v>
      </c>
      <c r="D887" s="7" t="n">
        <f aca="false">AVERAGE(B688:B887)</f>
        <v>1608.41635</v>
      </c>
      <c r="E887" s="7" t="n">
        <f aca="false">B887/MAX(B636:B887)-1</f>
        <v>-0.341998038773552</v>
      </c>
      <c r="F887" s="7" t="str">
        <f aca="false">IFERROR(INDEX(02_轉折點45個!B:B,MATCH(A887,02_轉折點45個!A:A,0)),"")</f>
        <v/>
      </c>
      <c r="G887" s="7" t="s">
        <v>1994</v>
      </c>
    </row>
    <row r="888" customFormat="false" ht="15" hidden="false" customHeight="false" outlineLevel="0" collapsed="false">
      <c r="A888" s="7" t="s">
        <v>2778</v>
      </c>
      <c r="B888" s="7" t="n">
        <v>1263.12</v>
      </c>
      <c r="C888" s="7" t="n">
        <f aca="false">AVERAGE(B839:B888)</f>
        <v>1409.9668</v>
      </c>
      <c r="D888" s="7" t="n">
        <f aca="false">AVERAGE(B689:B888)</f>
        <v>1608.0444</v>
      </c>
      <c r="E888" s="7" t="n">
        <f aca="false">B888/MAX(B637:B888)-1</f>
        <v>-0.337629852593381</v>
      </c>
      <c r="F888" s="7" t="str">
        <f aca="false">IFERROR(INDEX(02_轉折點45個!B:B,MATCH(A888,02_轉折點45個!A:A,0)),"")</f>
        <v/>
      </c>
      <c r="G888" s="7" t="s">
        <v>1994</v>
      </c>
    </row>
    <row r="889" customFormat="false" ht="15" hidden="false" customHeight="false" outlineLevel="0" collapsed="false">
      <c r="A889" s="7" t="s">
        <v>2779</v>
      </c>
      <c r="B889" s="7" t="n">
        <v>1256.4</v>
      </c>
      <c r="C889" s="7" t="n">
        <f aca="false">AVERAGE(B840:B889)</f>
        <v>1405.6224</v>
      </c>
      <c r="D889" s="7" t="n">
        <f aca="false">AVERAGE(B690:B889)</f>
        <v>1607.6541</v>
      </c>
      <c r="E889" s="7" t="n">
        <f aca="false">B889/MAX(B638:B889)-1</f>
        <v>-0.341153767495031</v>
      </c>
      <c r="F889" s="7" t="str">
        <f aca="false">IFERROR(INDEX(02_轉折點45個!B:B,MATCH(A889,02_轉折點45個!A:A,0)),"")</f>
        <v/>
      </c>
      <c r="G889" s="7" t="s">
        <v>1994</v>
      </c>
    </row>
    <row r="890" customFormat="false" ht="15" hidden="false" customHeight="false" outlineLevel="0" collapsed="false">
      <c r="A890" s="7" t="s">
        <v>2780</v>
      </c>
      <c r="B890" s="7" t="n">
        <v>1276.49</v>
      </c>
      <c r="C890" s="7" t="n">
        <f aca="false">AVERAGE(B841:B890)</f>
        <v>1402.311</v>
      </c>
      <c r="D890" s="7" t="n">
        <f aca="false">AVERAGE(B691:B890)</f>
        <v>1607.19025</v>
      </c>
      <c r="E890" s="7" t="n">
        <f aca="false">B890/MAX(B639:B890)-1</f>
        <v>-0.330618730236973</v>
      </c>
      <c r="F890" s="7" t="str">
        <f aca="false">IFERROR(INDEX(02_轉折點45個!B:B,MATCH(A890,02_轉折點45個!A:A,0)),"")</f>
        <v/>
      </c>
      <c r="G890" s="7" t="s">
        <v>1994</v>
      </c>
    </row>
    <row r="891" customFormat="false" ht="15" hidden="false" customHeight="false" outlineLevel="0" collapsed="false">
      <c r="A891" s="7" t="s">
        <v>2781</v>
      </c>
      <c r="B891" s="7" t="n">
        <v>1239.67</v>
      </c>
      <c r="C891" s="7" t="n">
        <f aca="false">AVERAGE(B842:B891)</f>
        <v>1398.3484</v>
      </c>
      <c r="D891" s="7" t="n">
        <f aca="false">AVERAGE(B692:B891)</f>
        <v>1606.62605</v>
      </c>
      <c r="E891" s="7" t="n">
        <f aca="false">B891/MAX(B640:B891)-1</f>
        <v>-0.349926847302265</v>
      </c>
      <c r="F891" s="7" t="str">
        <f aca="false">IFERROR(INDEX(02_轉折點45個!B:B,MATCH(A891,02_轉折點45個!A:A,0)),"")</f>
        <v/>
      </c>
      <c r="G891" s="7" t="s">
        <v>1994</v>
      </c>
    </row>
    <row r="892" customFormat="false" ht="15" hidden="false" customHeight="false" outlineLevel="0" collapsed="false">
      <c r="A892" s="7" t="s">
        <v>465</v>
      </c>
      <c r="B892" s="7" t="n">
        <v>1205.14</v>
      </c>
      <c r="C892" s="7" t="n">
        <f aca="false">AVERAGE(B843:B892)</f>
        <v>1391.4576</v>
      </c>
      <c r="D892" s="7" t="n">
        <f aca="false">AVERAGE(B693:B892)</f>
        <v>1605.835</v>
      </c>
      <c r="E892" s="7" t="n">
        <f aca="false">B892/MAX(B641:B892)-1</f>
        <v>-0.368034106462084</v>
      </c>
      <c r="F892" s="7" t="str">
        <f aca="false">IFERROR(INDEX(02_轉折點45個!B:B,MATCH(A892,02_轉折點45個!A:A,0)),"")</f>
        <v/>
      </c>
      <c r="G892" s="7" t="s">
        <v>1994</v>
      </c>
    </row>
    <row r="893" customFormat="false" ht="15" hidden="false" customHeight="false" outlineLevel="0" collapsed="false">
      <c r="A893" s="7" t="s">
        <v>466</v>
      </c>
      <c r="B893" s="7" t="n">
        <v>1171.79</v>
      </c>
      <c r="C893" s="7" t="n">
        <f aca="false">AVERAGE(B844:B893)</f>
        <v>1384.7366</v>
      </c>
      <c r="D893" s="7" t="n">
        <f aca="false">AVERAGE(B694:B893)</f>
        <v>1604.47305</v>
      </c>
      <c r="E893" s="7" t="n">
        <f aca="false">B893/MAX(B642:B893)-1</f>
        <v>-0.38552258294572</v>
      </c>
      <c r="F893" s="7" t="str">
        <f aca="false">IFERROR(INDEX(02_轉折點45個!B:B,MATCH(A893,02_轉折點45個!A:A,0)),"")</f>
        <v/>
      </c>
      <c r="G893" s="7" t="s">
        <v>1994</v>
      </c>
    </row>
    <row r="894" customFormat="false" ht="15" hidden="false" customHeight="false" outlineLevel="0" collapsed="false">
      <c r="A894" s="7" t="s">
        <v>2782</v>
      </c>
      <c r="B894" s="7" t="n">
        <v>1122.83</v>
      </c>
      <c r="C894" s="7" t="n">
        <f aca="false">AVERAGE(B845:B894)</f>
        <v>1377.9434</v>
      </c>
      <c r="D894" s="7" t="n">
        <f aca="false">AVERAGE(B695:B894)</f>
        <v>1602.7909</v>
      </c>
      <c r="E894" s="7" t="n">
        <f aca="false">B894/MAX(B643:B894)-1</f>
        <v>-0.411196820086315</v>
      </c>
      <c r="F894" s="7" t="str">
        <f aca="false">IFERROR(INDEX(02_轉折點45個!B:B,MATCH(A894,02_轉折點45個!A:A,0)),"")</f>
        <v/>
      </c>
      <c r="G894" s="7" t="s">
        <v>1994</v>
      </c>
    </row>
    <row r="895" customFormat="false" ht="15" hidden="false" customHeight="false" outlineLevel="0" collapsed="false">
      <c r="A895" s="7" t="s">
        <v>2783</v>
      </c>
      <c r="B895" s="7" t="n">
        <v>1178.72</v>
      </c>
      <c r="C895" s="7" t="n">
        <f aca="false">AVERAGE(B846:B895)</f>
        <v>1371.3234</v>
      </c>
      <c r="D895" s="7" t="n">
        <f aca="false">AVERAGE(B696:B895)</f>
        <v>1601.3517</v>
      </c>
      <c r="E895" s="7" t="n">
        <f aca="false">B895/MAX(B644:B895)-1</f>
        <v>-0.381888545703393</v>
      </c>
      <c r="F895" s="7" t="str">
        <f aca="false">IFERROR(INDEX(02_轉折點45個!B:B,MATCH(A895,02_轉折點45個!A:A,0)),"")</f>
        <v/>
      </c>
      <c r="G895" s="7" t="s">
        <v>1994</v>
      </c>
    </row>
    <row r="896" customFormat="false" ht="15" hidden="false" customHeight="false" outlineLevel="0" collapsed="false">
      <c r="A896" s="7" t="s">
        <v>2784</v>
      </c>
      <c r="B896" s="7" t="n">
        <v>1132.9</v>
      </c>
      <c r="C896" s="7" t="n">
        <f aca="false">AVERAGE(B847:B896)</f>
        <v>1362.5718</v>
      </c>
      <c r="D896" s="7" t="n">
        <f aca="false">AVERAGE(B697:B896)</f>
        <v>1599.68045</v>
      </c>
      <c r="E896" s="7" t="n">
        <f aca="false">B896/MAX(B645:B896)-1</f>
        <v>-0.405916191654824</v>
      </c>
      <c r="F896" s="7" t="str">
        <f aca="false">IFERROR(INDEX(02_轉折點45個!B:B,MATCH(A896,02_轉折點45個!A:A,0)),"")</f>
        <v/>
      </c>
      <c r="G896" s="7" t="s">
        <v>1994</v>
      </c>
    </row>
    <row r="897" customFormat="false" ht="15" hidden="false" customHeight="false" outlineLevel="0" collapsed="false">
      <c r="A897" s="7" t="s">
        <v>2785</v>
      </c>
      <c r="B897" s="7" t="n">
        <v>1153.04</v>
      </c>
      <c r="C897" s="7" t="n">
        <f aca="false">AVERAGE(B848:B897)</f>
        <v>1354.1042</v>
      </c>
      <c r="D897" s="7" t="n">
        <f aca="false">AVERAGE(B698:B897)</f>
        <v>1598.27325</v>
      </c>
      <c r="E897" s="7" t="n">
        <f aca="false">B897/MAX(B646:B897)-1</f>
        <v>-0.395354934791843</v>
      </c>
      <c r="F897" s="7" t="str">
        <f aca="false">IFERROR(INDEX(02_轉折點45個!B:B,MATCH(A897,02_轉折點45個!A:A,0)),"")</f>
        <v/>
      </c>
      <c r="G897" s="7" t="s">
        <v>1994</v>
      </c>
    </row>
    <row r="898" customFormat="false" ht="15" hidden="false" customHeight="false" outlineLevel="0" collapsed="false">
      <c r="A898" s="7" t="s">
        <v>2786</v>
      </c>
      <c r="B898" s="7" t="n">
        <v>1219.85</v>
      </c>
      <c r="C898" s="7" t="n">
        <f aca="false">AVERAGE(B849:B898)</f>
        <v>1346.8836</v>
      </c>
      <c r="D898" s="7" t="n">
        <f aca="false">AVERAGE(B699:B898)</f>
        <v>1596.94395</v>
      </c>
      <c r="E898" s="7" t="n">
        <f aca="false">B898/MAX(B647:B898)-1</f>
        <v>-0.360320298693739</v>
      </c>
      <c r="F898" s="7" t="str">
        <f aca="false">IFERROR(INDEX(02_轉折點45個!B:B,MATCH(A898,02_轉折點45個!A:A,0)),"")</f>
        <v/>
      </c>
      <c r="G898" s="7" t="s">
        <v>1994</v>
      </c>
    </row>
    <row r="899" customFormat="false" ht="15" hidden="false" customHeight="false" outlineLevel="0" collapsed="false">
      <c r="A899" s="7" t="s">
        <v>2787</v>
      </c>
      <c r="B899" s="7" t="n">
        <v>1228.02</v>
      </c>
      <c r="C899" s="7" t="n">
        <f aca="false">AVERAGE(B850:B899)</f>
        <v>1339.6262</v>
      </c>
      <c r="D899" s="7" t="n">
        <f aca="false">AVERAGE(B700:B899)</f>
        <v>1595.31195</v>
      </c>
      <c r="E899" s="7" t="n">
        <f aca="false">B899/MAX(B648:B899)-1</f>
        <v>-0.356036015249322</v>
      </c>
      <c r="F899" s="7" t="str">
        <f aca="false">IFERROR(INDEX(02_轉折點45個!B:B,MATCH(A899,02_轉折點45個!A:A,0)),"")</f>
        <v/>
      </c>
      <c r="G899" s="7" t="s">
        <v>1994</v>
      </c>
    </row>
    <row r="900" customFormat="false" ht="15" hidden="false" customHeight="false" outlineLevel="0" collapsed="false">
      <c r="A900" s="7" t="s">
        <v>467</v>
      </c>
      <c r="B900" s="7" t="n">
        <v>1213.46</v>
      </c>
      <c r="C900" s="7" t="n">
        <f aca="false">AVERAGE(B851:B900)</f>
        <v>1332.8048</v>
      </c>
      <c r="D900" s="7" t="n">
        <f aca="false">AVERAGE(B701:B900)</f>
        <v>1593.59835</v>
      </c>
      <c r="E900" s="7" t="n">
        <f aca="false">B900/MAX(B649:B900)-1</f>
        <v>-0.363671164202898</v>
      </c>
      <c r="F900" s="7" t="str">
        <f aca="false">IFERROR(INDEX(02_轉折點45個!B:B,MATCH(A900,02_轉折點45個!A:A,0)),"")</f>
        <v/>
      </c>
      <c r="G900" s="7" t="s">
        <v>1994</v>
      </c>
    </row>
    <row r="901" customFormat="false" ht="15" hidden="false" customHeight="false" outlineLevel="0" collapsed="false">
      <c r="A901" s="7" t="s">
        <v>2788</v>
      </c>
      <c r="B901" s="7" t="n">
        <v>1169.37</v>
      </c>
      <c r="C901" s="7" t="n">
        <f aca="false">AVERAGE(B852:B901)</f>
        <v>1325.7852</v>
      </c>
      <c r="D901" s="7" t="n">
        <f aca="false">AVERAGE(B702:B901)</f>
        <v>1591.6967</v>
      </c>
      <c r="E901" s="7" t="n">
        <f aca="false">B901/MAX(B650:B901)-1</f>
        <v>-0.386791611823993</v>
      </c>
      <c r="F901" s="7" t="str">
        <f aca="false">IFERROR(INDEX(02_轉折點45個!B:B,MATCH(A901,02_轉折點45個!A:A,0)),"")</f>
        <v/>
      </c>
      <c r="G901" s="7" t="s">
        <v>1994</v>
      </c>
    </row>
    <row r="902" customFormat="false" ht="15" hidden="false" customHeight="false" outlineLevel="0" collapsed="false">
      <c r="A902" s="7" t="s">
        <v>2789</v>
      </c>
      <c r="B902" s="7" t="n">
        <v>1140.07</v>
      </c>
      <c r="C902" s="7" t="n">
        <f aca="false">AVERAGE(B853:B902)</f>
        <v>1318.0102</v>
      </c>
      <c r="D902" s="7" t="n">
        <f aca="false">AVERAGE(B703:B902)</f>
        <v>1589.53085</v>
      </c>
      <c r="E902" s="7" t="n">
        <f aca="false">B902/MAX(B651:B902)-1</f>
        <v>-0.402156300308867</v>
      </c>
      <c r="F902" s="7" t="str">
        <f aca="false">IFERROR(INDEX(02_轉折點45個!B:B,MATCH(A902,02_轉折點45個!A:A,0)),"")</f>
        <v/>
      </c>
      <c r="G902" s="7" t="s">
        <v>1994</v>
      </c>
    </row>
    <row r="903" customFormat="false" ht="15" hidden="false" customHeight="false" outlineLevel="0" collapsed="false">
      <c r="A903" s="7" t="s">
        <v>127</v>
      </c>
      <c r="B903" s="7" t="n">
        <v>1101.78</v>
      </c>
      <c r="C903" s="7" t="n">
        <f aca="false">AVERAGE(B854:B903)</f>
        <v>1309.0276</v>
      </c>
      <c r="D903" s="7" t="n">
        <f aca="false">AVERAGE(B704:B903)</f>
        <v>1587.5195</v>
      </c>
      <c r="E903" s="7" t="n">
        <f aca="false">B903/MAX(B652:B903)-1</f>
        <v>-0.422235273758895</v>
      </c>
      <c r="F903" s="7" t="str">
        <f aca="false">IFERROR(INDEX(02_轉折點45個!B:B,MATCH(A903,02_轉折點45個!A:A,0)),"")</f>
        <v>BOTTOM</v>
      </c>
      <c r="G903" s="7" t="s">
        <v>1994</v>
      </c>
    </row>
    <row r="904" customFormat="false" ht="15" hidden="false" customHeight="false" outlineLevel="0" collapsed="false">
      <c r="A904" s="7" t="s">
        <v>2790</v>
      </c>
      <c r="B904" s="7" t="n">
        <v>1150.69</v>
      </c>
      <c r="C904" s="7" t="n">
        <f aca="false">AVERAGE(B855:B904)</f>
        <v>1301.6836</v>
      </c>
      <c r="D904" s="7" t="n">
        <f aca="false">AVERAGE(B705:B904)</f>
        <v>1585.72355</v>
      </c>
      <c r="E904" s="7" t="n">
        <f aca="false">B904/MAX(B653:B904)-1</f>
        <v>-0.396587256223223</v>
      </c>
      <c r="F904" s="7" t="str">
        <f aca="false">IFERROR(INDEX(02_轉折點45個!B:B,MATCH(A904,02_轉折點45個!A:A,0)),"")</f>
        <v/>
      </c>
      <c r="G904" s="7" t="s">
        <v>1994</v>
      </c>
    </row>
    <row r="905" customFormat="false" ht="15" hidden="false" customHeight="false" outlineLevel="0" collapsed="false">
      <c r="A905" s="7" t="s">
        <v>2791</v>
      </c>
      <c r="B905" s="7" t="n">
        <v>1170.2</v>
      </c>
      <c r="C905" s="7" t="n">
        <f aca="false">AVERAGE(B856:B905)</f>
        <v>1294.9</v>
      </c>
      <c r="D905" s="7" t="n">
        <f aca="false">AVERAGE(B706:B905)</f>
        <v>1583.94025</v>
      </c>
      <c r="E905" s="7" t="n">
        <f aca="false">B905/MAX(B654:B905)-1</f>
        <v>-0.386356366382271</v>
      </c>
      <c r="F905" s="7" t="str">
        <f aca="false">IFERROR(INDEX(02_轉折點45個!B:B,MATCH(A905,02_轉折點45個!A:A,0)),"")</f>
        <v/>
      </c>
      <c r="G905" s="7" t="s">
        <v>1994</v>
      </c>
    </row>
    <row r="906" customFormat="false" ht="15" hidden="false" customHeight="false" outlineLevel="0" collapsed="false">
      <c r="A906" s="7" t="s">
        <v>2792</v>
      </c>
      <c r="B906" s="7" t="n">
        <v>1202.74</v>
      </c>
      <c r="C906" s="7" t="n">
        <f aca="false">AVERAGE(B857:B906)</f>
        <v>1289.2748</v>
      </c>
      <c r="D906" s="7" t="n">
        <f aca="false">AVERAGE(B707:B906)</f>
        <v>1582.15165</v>
      </c>
      <c r="E906" s="7" t="n">
        <f aca="false">B906/MAX(B655:B906)-1</f>
        <v>-0.362867767807007</v>
      </c>
      <c r="F906" s="7" t="str">
        <f aca="false">IFERROR(INDEX(02_轉折點45個!B:B,MATCH(A906,02_轉折點45個!A:A,0)),"")</f>
        <v/>
      </c>
      <c r="G906" s="7" t="s">
        <v>1994</v>
      </c>
    </row>
    <row r="907" customFormat="false" ht="15" hidden="false" customHeight="false" outlineLevel="0" collapsed="false">
      <c r="A907" s="7" t="s">
        <v>2793</v>
      </c>
      <c r="B907" s="7" t="n">
        <v>1193.24</v>
      </c>
      <c r="C907" s="7" t="n">
        <f aca="false">AVERAGE(B858:B907)</f>
        <v>1283.322</v>
      </c>
      <c r="D907" s="7" t="n">
        <f aca="false">AVERAGE(B708:B907)</f>
        <v>1580.3322</v>
      </c>
      <c r="E907" s="7" t="n">
        <f aca="false">B907/MAX(B656:B907)-1</f>
        <v>-0.365766800078665</v>
      </c>
      <c r="F907" s="7" t="str">
        <f aca="false">IFERROR(INDEX(02_轉折點45個!B:B,MATCH(A907,02_轉折點45個!A:A,0)),"")</f>
        <v/>
      </c>
      <c r="G907" s="7" t="s">
        <v>1994</v>
      </c>
    </row>
    <row r="908" customFormat="false" ht="15" hidden="false" customHeight="false" outlineLevel="0" collapsed="false">
      <c r="A908" s="7" t="s">
        <v>468</v>
      </c>
      <c r="B908" s="7" t="n">
        <v>1193.89</v>
      </c>
      <c r="C908" s="7" t="n">
        <f aca="false">AVERAGE(B859:B908)</f>
        <v>1277.678</v>
      </c>
      <c r="D908" s="7" t="n">
        <f aca="false">AVERAGE(B709:B908)</f>
        <v>1578.3922</v>
      </c>
      <c r="E908" s="7" t="n">
        <f aca="false">B908/MAX(B657:B908)-1</f>
        <v>-0.365421310839326</v>
      </c>
      <c r="F908" s="7" t="str">
        <f aca="false">IFERROR(INDEX(02_轉折點45個!B:B,MATCH(A908,02_轉折點45個!A:A,0)),"")</f>
        <v/>
      </c>
      <c r="G908" s="7" t="s">
        <v>1994</v>
      </c>
    </row>
    <row r="909" customFormat="false" ht="15" hidden="false" customHeight="false" outlineLevel="0" collapsed="false">
      <c r="A909" s="7" t="s">
        <v>2794</v>
      </c>
      <c r="B909" s="7" t="n">
        <v>1159.58</v>
      </c>
      <c r="C909" s="7" t="n">
        <f aca="false">AVERAGE(B860:B909)</f>
        <v>1272.3194</v>
      </c>
      <c r="D909" s="7" t="n">
        <f aca="false">AVERAGE(B710:B909)</f>
        <v>1576.08</v>
      </c>
      <c r="E909" s="7" t="n">
        <f aca="false">B909/MAX(B658:B909)-1</f>
        <v>-0.383657827457359</v>
      </c>
      <c r="F909" s="7" t="str">
        <f aca="false">IFERROR(INDEX(02_轉折點45個!B:B,MATCH(A909,02_轉折點45個!A:A,0)),"")</f>
        <v/>
      </c>
      <c r="G909" s="7" t="s">
        <v>1994</v>
      </c>
    </row>
    <row r="910" customFormat="false" ht="15" hidden="false" customHeight="false" outlineLevel="0" collapsed="false">
      <c r="A910" s="7" t="s">
        <v>2795</v>
      </c>
      <c r="B910" s="7" t="n">
        <v>1218.98</v>
      </c>
      <c r="C910" s="7" t="n">
        <f aca="false">AVERAGE(B861:B910)</f>
        <v>1267.8644</v>
      </c>
      <c r="D910" s="7" t="n">
        <f aca="false">AVERAGE(B711:B910)</f>
        <v>1574.09455</v>
      </c>
      <c r="E910" s="7" t="n">
        <f aca="false">B910/MAX(B659:B910)-1</f>
        <v>-0.352085426200841</v>
      </c>
      <c r="F910" s="7" t="str">
        <f aca="false">IFERROR(INDEX(02_轉折點45個!B:B,MATCH(A910,02_轉折點45個!A:A,0)),"")</f>
        <v/>
      </c>
      <c r="G910" s="7" t="s">
        <v>1994</v>
      </c>
    </row>
    <row r="911" customFormat="false" ht="15" hidden="false" customHeight="false" outlineLevel="0" collapsed="false">
      <c r="A911" s="7" t="s">
        <v>2796</v>
      </c>
      <c r="B911" s="7" t="n">
        <v>1228.76</v>
      </c>
      <c r="C911" s="7" t="n">
        <f aca="false">AVERAGE(B862:B911)</f>
        <v>1263.2918</v>
      </c>
      <c r="D911" s="7" t="n">
        <f aca="false">AVERAGE(B712:B911)</f>
        <v>1572.4752</v>
      </c>
      <c r="E911" s="7" t="n">
        <f aca="false">B911/MAX(B660:B911)-1</f>
        <v>-0.346887141953556</v>
      </c>
      <c r="F911" s="7" t="str">
        <f aca="false">IFERROR(INDEX(02_轉折點45個!B:B,MATCH(A911,02_轉折點45個!A:A,0)),"")</f>
        <v/>
      </c>
      <c r="G911" s="7" t="s">
        <v>1994</v>
      </c>
    </row>
    <row r="912" customFormat="false" ht="15" hidden="false" customHeight="false" outlineLevel="0" collapsed="false">
      <c r="A912" s="7" t="s">
        <v>2797</v>
      </c>
      <c r="B912" s="7" t="n">
        <v>1243.38</v>
      </c>
      <c r="C912" s="7" t="n">
        <f aca="false">AVERAGE(B863:B912)</f>
        <v>1259.7494</v>
      </c>
      <c r="D912" s="7" t="n">
        <f aca="false">AVERAGE(B713:B912)</f>
        <v>1571.0756</v>
      </c>
      <c r="E912" s="7" t="n">
        <f aca="false">B912/MAX(B661:B912)-1</f>
        <v>-0.339116291677962</v>
      </c>
      <c r="F912" s="7" t="str">
        <f aca="false">IFERROR(INDEX(02_轉折點45個!B:B,MATCH(A912,02_轉折點45個!A:A,0)),"")</f>
        <v/>
      </c>
      <c r="G912" s="7" t="s">
        <v>1994</v>
      </c>
    </row>
    <row r="913" customFormat="false" ht="15" hidden="false" customHeight="false" outlineLevel="0" collapsed="false">
      <c r="A913" s="7" t="s">
        <v>2798</v>
      </c>
      <c r="B913" s="7" t="n">
        <v>1274.01</v>
      </c>
      <c r="C913" s="7" t="n">
        <f aca="false">AVERAGE(B864:B913)</f>
        <v>1257.1742</v>
      </c>
      <c r="D913" s="7" t="n">
        <f aca="false">AVERAGE(B714:B913)</f>
        <v>1569.72505</v>
      </c>
      <c r="E913" s="7" t="n">
        <f aca="false">B913/MAX(B662:B913)-1</f>
        <v>-0.322835775676495</v>
      </c>
      <c r="F913" s="7" t="str">
        <f aca="false">IFERROR(INDEX(02_轉折點45個!B:B,MATCH(A913,02_轉折點45個!A:A,0)),"")</f>
        <v/>
      </c>
      <c r="G913" s="7" t="s">
        <v>1994</v>
      </c>
    </row>
    <row r="914" customFormat="false" ht="15" hidden="false" customHeight="false" outlineLevel="0" collapsed="false">
      <c r="A914" s="7" t="s">
        <v>2799</v>
      </c>
      <c r="B914" s="7" t="n">
        <v>1257.61</v>
      </c>
      <c r="C914" s="7" t="n">
        <f aca="false">AVERAGE(B865:B914)</f>
        <v>1254.3584</v>
      </c>
      <c r="D914" s="7" t="n">
        <f aca="false">AVERAGE(B715:B914)</f>
        <v>1568.03625</v>
      </c>
      <c r="E914" s="7" t="n">
        <f aca="false">B914/MAX(B663:B914)-1</f>
        <v>-0.331552734945971</v>
      </c>
      <c r="F914" s="7" t="str">
        <f aca="false">IFERROR(INDEX(02_轉折點45個!B:B,MATCH(A914,02_轉折點45個!A:A,0)),"")</f>
        <v/>
      </c>
      <c r="G914" s="7" t="s">
        <v>1994</v>
      </c>
    </row>
    <row r="915" customFormat="false" ht="15" hidden="false" customHeight="false" outlineLevel="0" collapsed="false">
      <c r="A915" s="7" t="s">
        <v>2800</v>
      </c>
      <c r="B915" s="7" t="n">
        <v>1287.45</v>
      </c>
      <c r="C915" s="7" t="n">
        <f aca="false">AVERAGE(B866:B915)</f>
        <v>1252.7518</v>
      </c>
      <c r="D915" s="7" t="n">
        <f aca="false">AVERAGE(B716:B915)</f>
        <v>1566.49925</v>
      </c>
      <c r="E915" s="7" t="n">
        <f aca="false">B915/MAX(B664:B915)-1</f>
        <v>-0.315692121250777</v>
      </c>
      <c r="F915" s="7" t="str">
        <f aca="false">IFERROR(INDEX(02_轉折點45個!B:B,MATCH(A915,02_轉折點45個!A:A,0)),"")</f>
        <v/>
      </c>
      <c r="G915" s="7" t="s">
        <v>1994</v>
      </c>
    </row>
    <row r="916" customFormat="false" ht="15" hidden="false" customHeight="false" outlineLevel="0" collapsed="false">
      <c r="A916" s="7" t="s">
        <v>128</v>
      </c>
      <c r="B916" s="7" t="n">
        <v>1299.97</v>
      </c>
      <c r="C916" s="7" t="n">
        <f aca="false">AVERAGE(B867:B916)</f>
        <v>1250.9946</v>
      </c>
      <c r="D916" s="7" t="n">
        <f aca="false">AVERAGE(B717:B916)</f>
        <v>1564.80595</v>
      </c>
      <c r="E916" s="7" t="n">
        <f aca="false">B916/MAX(B665:B916)-1</f>
        <v>-0.309037466979202</v>
      </c>
      <c r="F916" s="7" t="str">
        <f aca="false">IFERROR(INDEX(02_轉折點45個!B:B,MATCH(A916,02_轉折點45個!A:A,0)),"")</f>
        <v>TOP</v>
      </c>
      <c r="G916" s="7" t="s">
        <v>1994</v>
      </c>
    </row>
    <row r="917" customFormat="false" ht="15" hidden="false" customHeight="false" outlineLevel="0" collapsed="false">
      <c r="A917" s="7" t="s">
        <v>2801</v>
      </c>
      <c r="B917" s="7" t="n">
        <v>1261.3</v>
      </c>
      <c r="C917" s="7" t="n">
        <f aca="false">AVERAGE(B868:B917)</f>
        <v>1248.8704</v>
      </c>
      <c r="D917" s="7" t="n">
        <f aca="false">AVERAGE(B718:B917)</f>
        <v>1562.73005</v>
      </c>
      <c r="E917" s="7" t="n">
        <f aca="false">B917/MAX(B666:B917)-1</f>
        <v>-0.329591419110339</v>
      </c>
      <c r="F917" s="7" t="str">
        <f aca="false">IFERROR(INDEX(02_轉折點45個!B:B,MATCH(A917,02_轉折點45個!A:A,0)),"")</f>
        <v/>
      </c>
      <c r="G917" s="7" t="s">
        <v>1994</v>
      </c>
    </row>
    <row r="918" customFormat="false" ht="15" hidden="false" customHeight="false" outlineLevel="0" collapsed="false">
      <c r="A918" s="7" t="s">
        <v>2802</v>
      </c>
      <c r="B918" s="7" t="n">
        <v>1271.46</v>
      </c>
      <c r="C918" s="7" t="n">
        <f aca="false">AVERAGE(B869:B918)</f>
        <v>1246.8058</v>
      </c>
      <c r="D918" s="7" t="n">
        <f aca="false">AVERAGE(B719:B918)</f>
        <v>1560.69375</v>
      </c>
      <c r="E918" s="7" t="n">
        <f aca="false">B918/MAX(B667:B918)-1</f>
        <v>-0.324191156538517</v>
      </c>
      <c r="F918" s="7" t="str">
        <f aca="false">IFERROR(INDEX(02_轉折點45個!B:B,MATCH(A918,02_轉折點45個!A:A,0)),"")</f>
        <v/>
      </c>
      <c r="G918" s="7" t="s">
        <v>1994</v>
      </c>
    </row>
    <row r="919" customFormat="false" ht="15" hidden="false" customHeight="false" outlineLevel="0" collapsed="false">
      <c r="A919" s="7" t="s">
        <v>2803</v>
      </c>
      <c r="B919" s="7" t="n">
        <v>1231.29</v>
      </c>
      <c r="C919" s="7" t="n">
        <f aca="false">AVERAGE(B870:B919)</f>
        <v>1243.0508</v>
      </c>
      <c r="D919" s="7" t="n">
        <f aca="false">AVERAGE(B720:B919)</f>
        <v>1558.5012</v>
      </c>
      <c r="E919" s="7" t="n">
        <f aca="false">B919/MAX(B668:B919)-1</f>
        <v>-0.345542391529667</v>
      </c>
      <c r="F919" s="7" t="str">
        <f aca="false">IFERROR(INDEX(02_轉折點45個!B:B,MATCH(A919,02_轉折點45個!A:A,0)),"")</f>
        <v/>
      </c>
      <c r="G919" s="7" t="s">
        <v>1994</v>
      </c>
    </row>
    <row r="920" customFormat="false" ht="15" hidden="false" customHeight="false" outlineLevel="0" collapsed="false">
      <c r="A920" s="7" t="s">
        <v>2804</v>
      </c>
      <c r="B920" s="7" t="n">
        <v>1200.78</v>
      </c>
      <c r="C920" s="7" t="n">
        <f aca="false">AVERAGE(B871:B920)</f>
        <v>1238.8742</v>
      </c>
      <c r="D920" s="7" t="n">
        <f aca="false">AVERAGE(B721:B920)</f>
        <v>1556.15285</v>
      </c>
      <c r="E920" s="7" t="n">
        <f aca="false">B920/MAX(B669:B920)-1</f>
        <v>-0.361759124902333</v>
      </c>
      <c r="F920" s="7" t="str">
        <f aca="false">IFERROR(INDEX(02_轉折點45個!B:B,MATCH(A920,02_轉折點45個!A:A,0)),"")</f>
        <v/>
      </c>
      <c r="G920" s="7" t="s">
        <v>1994</v>
      </c>
    </row>
    <row r="921" customFormat="false" ht="15" hidden="false" customHeight="false" outlineLevel="0" collapsed="false">
      <c r="A921" s="7" t="s">
        <v>2805</v>
      </c>
      <c r="B921" s="7" t="n">
        <v>1220.32</v>
      </c>
      <c r="C921" s="7" t="n">
        <f aca="false">AVERAGE(B872:B921)</f>
        <v>1235.9314</v>
      </c>
      <c r="D921" s="7" t="n">
        <f aca="false">AVERAGE(B722:B921)</f>
        <v>1553.849</v>
      </c>
      <c r="E921" s="7" t="n">
        <f aca="false">B921/MAX(B670:B921)-1</f>
        <v>-0.351373186845896</v>
      </c>
      <c r="F921" s="7" t="str">
        <f aca="false">IFERROR(INDEX(02_轉折點45個!B:B,MATCH(A921,02_轉折點45個!A:A,0)),"")</f>
        <v/>
      </c>
      <c r="G921" s="7" t="s">
        <v>1994</v>
      </c>
    </row>
    <row r="922" customFormat="false" ht="15" hidden="false" customHeight="false" outlineLevel="0" collapsed="false">
      <c r="A922" s="7" t="s">
        <v>2806</v>
      </c>
      <c r="B922" s="7" t="n">
        <v>1201.21</v>
      </c>
      <c r="C922" s="7" t="n">
        <f aca="false">AVERAGE(B873:B922)</f>
        <v>1233.1924</v>
      </c>
      <c r="D922" s="7" t="n">
        <f aca="false">AVERAGE(B723:B922)</f>
        <v>1551.21215</v>
      </c>
      <c r="E922" s="7" t="n">
        <f aca="false">B922/MAX(B671:B922)-1</f>
        <v>-0.361530570482462</v>
      </c>
      <c r="F922" s="7" t="str">
        <f aca="false">IFERROR(INDEX(02_轉折點45個!B:B,MATCH(A922,02_轉折點45個!A:A,0)),"")</f>
        <v/>
      </c>
      <c r="G922" s="7" t="s">
        <v>1994</v>
      </c>
    </row>
    <row r="923" customFormat="false" ht="15" hidden="false" customHeight="false" outlineLevel="0" collapsed="false">
      <c r="A923" s="7" t="s">
        <v>2807</v>
      </c>
      <c r="B923" s="7" t="n">
        <v>1154.61</v>
      </c>
      <c r="C923" s="7" t="n">
        <f aca="false">AVERAGE(B874:B923)</f>
        <v>1229.9562</v>
      </c>
      <c r="D923" s="7" t="n">
        <f aca="false">AVERAGE(B724:B923)</f>
        <v>1548.2917</v>
      </c>
      <c r="E923" s="7" t="n">
        <f aca="false">B923/MAX(B672:B923)-1</f>
        <v>-0.386299491333535</v>
      </c>
      <c r="F923" s="7" t="str">
        <f aca="false">IFERROR(INDEX(02_轉折點45個!B:B,MATCH(A923,02_轉折點45個!A:A,0)),"")</f>
        <v/>
      </c>
      <c r="G923" s="7" t="s">
        <v>1994</v>
      </c>
    </row>
    <row r="924" customFormat="false" ht="15" hidden="false" customHeight="false" outlineLevel="0" collapsed="false">
      <c r="A924" s="7" t="s">
        <v>2808</v>
      </c>
      <c r="B924" s="7" t="n">
        <v>1180.62</v>
      </c>
      <c r="C924" s="7" t="n">
        <f aca="false">AVERAGE(B875:B924)</f>
        <v>1226.886</v>
      </c>
      <c r="D924" s="7" t="n">
        <f aca="false">AVERAGE(B725:B924)</f>
        <v>1545.51325</v>
      </c>
      <c r="E924" s="7" t="n">
        <f aca="false">B924/MAX(B673:B924)-1</f>
        <v>-0.372474606540909</v>
      </c>
      <c r="F924" s="7" t="str">
        <f aca="false">IFERROR(INDEX(02_轉折點45個!B:B,MATCH(A924,02_轉折點45個!A:A,0)),"")</f>
        <v/>
      </c>
      <c r="G924" s="7" t="s">
        <v>1994</v>
      </c>
    </row>
    <row r="925" customFormat="false" ht="15" hidden="false" customHeight="false" outlineLevel="0" collapsed="false">
      <c r="A925" s="7" t="s">
        <v>2809</v>
      </c>
      <c r="B925" s="7" t="n">
        <v>1142.88</v>
      </c>
      <c r="C925" s="7" t="n">
        <f aca="false">AVERAGE(B876:B925)</f>
        <v>1223.7252</v>
      </c>
      <c r="D925" s="7" t="n">
        <f aca="false">AVERAGE(B726:B925)</f>
        <v>1542.5552</v>
      </c>
      <c r="E925" s="7" t="n">
        <f aca="false">B925/MAX(B674:B925)-1</f>
        <v>-0.392534243298838</v>
      </c>
      <c r="F925" s="7" t="str">
        <f aca="false">IFERROR(INDEX(02_轉折點45個!B:B,MATCH(A925,02_轉折點45個!A:A,0)),"")</f>
        <v/>
      </c>
      <c r="G925" s="7" t="s">
        <v>1994</v>
      </c>
    </row>
    <row r="926" customFormat="false" ht="15" hidden="false" customHeight="false" outlineLevel="0" collapsed="false">
      <c r="A926" s="7" t="s">
        <v>2810</v>
      </c>
      <c r="B926" s="7" t="n">
        <v>1183.35</v>
      </c>
      <c r="C926" s="7" t="n">
        <f aca="false">AVERAGE(B877:B926)</f>
        <v>1221.2762</v>
      </c>
      <c r="D926" s="7" t="n">
        <f aca="false">AVERAGE(B727:B926)</f>
        <v>1539.6358</v>
      </c>
      <c r="E926" s="7" t="n">
        <f aca="false">B926/MAX(B675:B926)-1</f>
        <v>-0.371023551735685</v>
      </c>
      <c r="F926" s="7" t="str">
        <f aca="false">IFERROR(INDEX(02_轉折點45個!B:B,MATCH(A926,02_轉折點45個!A:A,0)),"")</f>
        <v/>
      </c>
      <c r="G926" s="7" t="s">
        <v>1994</v>
      </c>
    </row>
    <row r="927" customFormat="false" ht="15" hidden="false" customHeight="false" outlineLevel="0" collapsed="false">
      <c r="A927" s="7" t="s">
        <v>2811</v>
      </c>
      <c r="B927" s="7" t="n">
        <v>1191.85</v>
      </c>
      <c r="C927" s="7" t="n">
        <f aca="false">AVERAGE(B878:B927)</f>
        <v>1218.4514</v>
      </c>
      <c r="D927" s="7" t="n">
        <f aca="false">AVERAGE(B728:B927)</f>
        <v>1537.00515</v>
      </c>
      <c r="E927" s="7" t="n">
        <f aca="false">B927/MAX(B676:B927)-1</f>
        <v>-0.366505615528944</v>
      </c>
      <c r="F927" s="7" t="str">
        <f aca="false">IFERROR(INDEX(02_轉折點45個!B:B,MATCH(A927,02_轉折點45個!A:A,0)),"")</f>
        <v/>
      </c>
      <c r="G927" s="7" t="s">
        <v>1994</v>
      </c>
    </row>
    <row r="928" customFormat="false" ht="15" hidden="false" customHeight="false" outlineLevel="0" collapsed="false">
      <c r="A928" s="7" t="s">
        <v>2812</v>
      </c>
      <c r="B928" s="7" t="n">
        <v>1206</v>
      </c>
      <c r="C928" s="7" t="n">
        <f aca="false">AVERAGE(B879:B928)</f>
        <v>1215.8364</v>
      </c>
      <c r="D928" s="7" t="n">
        <f aca="false">AVERAGE(B729:B928)</f>
        <v>1534.4702</v>
      </c>
      <c r="E928" s="7" t="n">
        <f aca="false">B928/MAX(B677:B928)-1</f>
        <v>-0.358984580549487</v>
      </c>
      <c r="F928" s="7" t="str">
        <f aca="false">IFERROR(INDEX(02_轉折點45個!B:B,MATCH(A928,02_轉折點45個!A:A,0)),"")</f>
        <v/>
      </c>
      <c r="G928" s="7" t="s">
        <v>1994</v>
      </c>
    </row>
    <row r="929" customFormat="false" ht="15" hidden="false" customHeight="false" outlineLevel="0" collapsed="false">
      <c r="A929" s="7" t="s">
        <v>2813</v>
      </c>
      <c r="B929" s="7" t="n">
        <v>1201.76</v>
      </c>
      <c r="C929" s="7" t="n">
        <f aca="false">AVERAGE(B880:B929)</f>
        <v>1214.2222</v>
      </c>
      <c r="D929" s="7" t="n">
        <f aca="false">AVERAGE(B730:B929)</f>
        <v>1531.78545</v>
      </c>
      <c r="E929" s="7" t="n">
        <f aca="false">B929/MAX(B678:B929)-1</f>
        <v>-0.361238233433791</v>
      </c>
      <c r="F929" s="7" t="str">
        <f aca="false">IFERROR(INDEX(02_轉折點45個!B:B,MATCH(A929,02_轉折點45個!A:A,0)),"")</f>
        <v/>
      </c>
      <c r="G929" s="7" t="s">
        <v>1994</v>
      </c>
    </row>
    <row r="930" customFormat="false" ht="15" hidden="false" customHeight="false" outlineLevel="0" collapsed="false">
      <c r="A930" s="7" t="s">
        <v>470</v>
      </c>
      <c r="B930" s="7" t="n">
        <v>1169.08</v>
      </c>
      <c r="C930" s="7" t="n">
        <f aca="false">AVERAGE(B881:B930)</f>
        <v>1212.7944</v>
      </c>
      <c r="D930" s="7" t="n">
        <f aca="false">AVERAGE(B731:B930)</f>
        <v>1528.7636</v>
      </c>
      <c r="E930" s="7" t="n">
        <f aca="false">B930/MAX(B679:B930)-1</f>
        <v>-0.378608369343943</v>
      </c>
      <c r="F930" s="7" t="str">
        <f aca="false">IFERROR(INDEX(02_轉折點45個!B:B,MATCH(A930,02_轉折點45個!A:A,0)),"")</f>
        <v/>
      </c>
      <c r="G930" s="7" t="s">
        <v>1994</v>
      </c>
    </row>
    <row r="931" customFormat="false" ht="15" hidden="false" customHeight="false" outlineLevel="0" collapsed="false">
      <c r="A931" s="7" t="s">
        <v>471</v>
      </c>
      <c r="B931" s="7" t="n">
        <v>1179.79</v>
      </c>
      <c r="C931" s="7" t="n">
        <f aca="false">AVERAGE(B882:B931)</f>
        <v>1211.1724</v>
      </c>
      <c r="D931" s="7" t="n">
        <f aca="false">AVERAGE(B732:B931)</f>
        <v>1525.8193</v>
      </c>
      <c r="E931" s="7" t="n">
        <f aca="false">B931/MAX(B680:B931)-1</f>
        <v>-0.372915769723449</v>
      </c>
      <c r="F931" s="7" t="str">
        <f aca="false">IFERROR(INDEX(02_轉折點45個!B:B,MATCH(A931,02_轉折點45個!A:A,0)),"")</f>
        <v/>
      </c>
      <c r="G931" s="7" t="s">
        <v>1994</v>
      </c>
    </row>
    <row r="932" customFormat="false" ht="15" hidden="false" customHeight="false" outlineLevel="0" collapsed="false">
      <c r="A932" s="7" t="s">
        <v>2814</v>
      </c>
      <c r="B932" s="7" t="n">
        <v>1165.61</v>
      </c>
      <c r="C932" s="7" t="n">
        <f aca="false">AVERAGE(B883:B932)</f>
        <v>1208.021</v>
      </c>
      <c r="D932" s="7" t="n">
        <f aca="false">AVERAGE(B733:B932)</f>
        <v>1523.02335</v>
      </c>
      <c r="E932" s="7" t="n">
        <f aca="false">B932/MAX(B681:B932)-1</f>
        <v>-0.380452750360106</v>
      </c>
      <c r="F932" s="7" t="str">
        <f aca="false">IFERROR(INDEX(02_轉折點45個!B:B,MATCH(A932,02_轉折點45個!A:A,0)),"")</f>
        <v/>
      </c>
      <c r="G932" s="7" t="s">
        <v>1994</v>
      </c>
    </row>
    <row r="933" customFormat="false" ht="15" hidden="false" customHeight="false" outlineLevel="0" collapsed="false">
      <c r="A933" s="7" t="s">
        <v>2815</v>
      </c>
      <c r="B933" s="7" t="n">
        <v>1151.05</v>
      </c>
      <c r="C933" s="7" t="n">
        <f aca="false">AVERAGE(B884:B933)</f>
        <v>1205.3594</v>
      </c>
      <c r="D933" s="7" t="n">
        <f aca="false">AVERAGE(B734:B933)</f>
        <v>1519.94775</v>
      </c>
      <c r="E933" s="7" t="n">
        <f aca="false">B933/MAX(B682:B933)-1</f>
        <v>-0.3881917093213</v>
      </c>
      <c r="F933" s="7" t="str">
        <f aca="false">IFERROR(INDEX(02_轉折點45個!B:B,MATCH(A933,02_轉折點45個!A:A,0)),"")</f>
        <v/>
      </c>
      <c r="G933" s="7" t="s">
        <v>1994</v>
      </c>
    </row>
    <row r="934" customFormat="false" ht="15" hidden="false" customHeight="false" outlineLevel="0" collapsed="false">
      <c r="A934" s="7" t="s">
        <v>2816</v>
      </c>
      <c r="B934" s="7" t="n">
        <v>1143.91</v>
      </c>
      <c r="C934" s="7" t="n">
        <f aca="false">AVERAGE(B885:B934)</f>
        <v>1203.0026</v>
      </c>
      <c r="D934" s="7" t="n">
        <f aca="false">AVERAGE(B735:B934)</f>
        <v>1516.8487</v>
      </c>
      <c r="E934" s="7" t="n">
        <f aca="false">B934/MAX(B683:B934)-1</f>
        <v>-0.391986775734962</v>
      </c>
      <c r="F934" s="7" t="str">
        <f aca="false">IFERROR(INDEX(02_轉折點45個!B:B,MATCH(A934,02_轉折點45個!A:A,0)),"")</f>
        <v/>
      </c>
      <c r="G934" s="7" t="s">
        <v>1994</v>
      </c>
    </row>
    <row r="935" customFormat="false" ht="15" hidden="false" customHeight="false" outlineLevel="0" collapsed="false">
      <c r="A935" s="7" t="s">
        <v>2817</v>
      </c>
      <c r="B935" s="7" t="n">
        <v>1111.32</v>
      </c>
      <c r="C935" s="7" t="n">
        <f aca="false">AVERAGE(B886:B935)</f>
        <v>1200.6354</v>
      </c>
      <c r="D935" s="7" t="n">
        <f aca="false">AVERAGE(B736:B935)</f>
        <v>1513.704</v>
      </c>
      <c r="E935" s="7" t="n">
        <f aca="false">B935/MAX(B684:B935)-1</f>
        <v>-0.409309074673513</v>
      </c>
      <c r="F935" s="7" t="str">
        <f aca="false">IFERROR(INDEX(02_轉折點45個!B:B,MATCH(A935,02_轉折點45個!A:A,0)),"")</f>
        <v/>
      </c>
      <c r="G935" s="7" t="s">
        <v>1994</v>
      </c>
    </row>
    <row r="936" customFormat="false" ht="15" hidden="false" customHeight="false" outlineLevel="0" collapsed="false">
      <c r="A936" s="7" t="s">
        <v>2818</v>
      </c>
      <c r="B936" s="7" t="n">
        <v>1115.55</v>
      </c>
      <c r="C936" s="7" t="n">
        <f aca="false">AVERAGE(B887:B936)</f>
        <v>1197.8336</v>
      </c>
      <c r="D936" s="7" t="n">
        <f aca="false">AVERAGE(B737:B936)</f>
        <v>1510.3146</v>
      </c>
      <c r="E936" s="7" t="n">
        <f aca="false">B936/MAX(B685:B936)-1</f>
        <v>-0.407060737008276</v>
      </c>
      <c r="F936" s="7" t="str">
        <f aca="false">IFERROR(INDEX(02_轉折點45個!B:B,MATCH(A936,02_轉折點45個!A:A,0)),"")</f>
        <v/>
      </c>
      <c r="G936" s="7" t="s">
        <v>1994</v>
      </c>
    </row>
    <row r="937" customFormat="false" ht="15" hidden="false" customHeight="false" outlineLevel="0" collapsed="false">
      <c r="A937" s="7" t="s">
        <v>472</v>
      </c>
      <c r="B937" s="7" t="n">
        <v>1082.52</v>
      </c>
      <c r="C937" s="7" t="n">
        <f aca="false">AVERAGE(B888:B937)</f>
        <v>1194.3882</v>
      </c>
      <c r="D937" s="7" t="n">
        <f aca="false">AVERAGE(B738:B937)</f>
        <v>1506.3775</v>
      </c>
      <c r="E937" s="7" t="n">
        <f aca="false">B937/MAX(B686:B937)-1</f>
        <v>-0.424616905585764</v>
      </c>
      <c r="F937" s="7" t="str">
        <f aca="false">IFERROR(INDEX(02_轉折點45個!B:B,MATCH(A937,02_轉折點45個!A:A,0)),"")</f>
        <v/>
      </c>
      <c r="G937" s="7" t="s">
        <v>1994</v>
      </c>
    </row>
    <row r="938" customFormat="false" ht="15" hidden="false" customHeight="false" outlineLevel="0" collapsed="false">
      <c r="A938" s="7" t="s">
        <v>2819</v>
      </c>
      <c r="B938" s="7" t="n">
        <v>1080</v>
      </c>
      <c r="C938" s="7" t="n">
        <f aca="false">AVERAGE(B889:B938)</f>
        <v>1190.7258</v>
      </c>
      <c r="D938" s="7" t="n">
        <f aca="false">AVERAGE(B739:B938)</f>
        <v>1502.3939</v>
      </c>
      <c r="E938" s="7" t="n">
        <f aca="false">B938/MAX(B687:B938)-1</f>
        <v>-0.425956340790586</v>
      </c>
      <c r="F938" s="7" t="str">
        <f aca="false">IFERROR(INDEX(02_轉折點45個!B:B,MATCH(A938,02_轉折點45個!A:A,0)),"")</f>
        <v/>
      </c>
      <c r="G938" s="7" t="s">
        <v>1994</v>
      </c>
    </row>
    <row r="939" customFormat="false" ht="15" hidden="false" customHeight="false" outlineLevel="0" collapsed="false">
      <c r="A939" s="7" t="s">
        <v>2820</v>
      </c>
      <c r="B939" s="7" t="n">
        <v>1116.65</v>
      </c>
      <c r="C939" s="7" t="n">
        <f aca="false">AVERAGE(B890:B939)</f>
        <v>1187.9308</v>
      </c>
      <c r="D939" s="7" t="n">
        <f aca="false">AVERAGE(B740:B939)</f>
        <v>1498.7443</v>
      </c>
      <c r="E939" s="7" t="n">
        <f aca="false">B939/MAX(B688:B939)-1</f>
        <v>-0.406476062910933</v>
      </c>
      <c r="F939" s="7" t="str">
        <f aca="false">IFERROR(INDEX(02_轉折點45個!B:B,MATCH(A939,02_轉折點45個!A:A,0)),"")</f>
        <v/>
      </c>
      <c r="G939" s="7" t="s">
        <v>1994</v>
      </c>
    </row>
    <row r="940" customFormat="false" ht="15" hidden="false" customHeight="false" outlineLevel="0" collapsed="false">
      <c r="A940" s="7" t="s">
        <v>2821</v>
      </c>
      <c r="B940" s="7" t="n">
        <v>1116.03</v>
      </c>
      <c r="C940" s="7" t="n">
        <f aca="false">AVERAGE(B891:B940)</f>
        <v>1184.7216</v>
      </c>
      <c r="D940" s="7" t="n">
        <f aca="false">AVERAGE(B741:B940)</f>
        <v>1495.2247</v>
      </c>
      <c r="E940" s="7" t="n">
        <f aca="false">B940/MAX(B689:B940)-1</f>
        <v>-0.406805606493072</v>
      </c>
      <c r="F940" s="7" t="str">
        <f aca="false">IFERROR(INDEX(02_轉折點45個!B:B,MATCH(A940,02_轉折點45個!A:A,0)),"")</f>
        <v/>
      </c>
      <c r="G940" s="7" t="s">
        <v>1994</v>
      </c>
    </row>
    <row r="941" customFormat="false" ht="15" hidden="false" customHeight="false" outlineLevel="0" collapsed="false">
      <c r="A941" s="7" t="s">
        <v>2822</v>
      </c>
      <c r="B941" s="7" t="n">
        <v>1095.52</v>
      </c>
      <c r="C941" s="7" t="n">
        <f aca="false">AVERAGE(B892:B941)</f>
        <v>1181.8386</v>
      </c>
      <c r="D941" s="7" t="n">
        <f aca="false">AVERAGE(B742:B941)</f>
        <v>1491.55775</v>
      </c>
      <c r="E941" s="7" t="n">
        <f aca="false">B941/MAX(B690:B941)-1</f>
        <v>-0.417707120798984</v>
      </c>
      <c r="F941" s="7" t="str">
        <f aca="false">IFERROR(INDEX(02_轉折點45個!B:B,MATCH(A941,02_轉折點45個!A:A,0)),"")</f>
        <v/>
      </c>
      <c r="G941" s="7" t="s">
        <v>1994</v>
      </c>
    </row>
    <row r="942" customFormat="false" ht="15" hidden="false" customHeight="false" outlineLevel="0" collapsed="false">
      <c r="A942" s="7" t="s">
        <v>2823</v>
      </c>
      <c r="B942" s="7" t="n">
        <v>1070.76</v>
      </c>
      <c r="C942" s="7" t="n">
        <f aca="false">AVERAGE(B893:B942)</f>
        <v>1179.151</v>
      </c>
      <c r="D942" s="7" t="n">
        <f aca="false">AVERAGE(B743:B942)</f>
        <v>1487.72385</v>
      </c>
      <c r="E942" s="7" t="n">
        <f aca="false">B942/MAX(B691:B942)-1</f>
        <v>-0.430867603208266</v>
      </c>
      <c r="F942" s="7" t="str">
        <f aca="false">IFERROR(INDEX(02_轉折點45個!B:B,MATCH(A942,02_轉折點45個!A:A,0)),"")</f>
        <v/>
      </c>
      <c r="G942" s="7" t="s">
        <v>1994</v>
      </c>
    </row>
    <row r="943" customFormat="false" ht="15" hidden="false" customHeight="false" outlineLevel="0" collapsed="false">
      <c r="A943" s="7" t="s">
        <v>2824</v>
      </c>
      <c r="B943" s="7" t="n">
        <v>1108.82</v>
      </c>
      <c r="C943" s="7" t="n">
        <f aca="false">AVERAGE(B894:B943)</f>
        <v>1177.8916</v>
      </c>
      <c r="D943" s="7" t="n">
        <f aca="false">AVERAGE(B744:B943)</f>
        <v>1484.37655</v>
      </c>
      <c r="E943" s="7" t="n">
        <f aca="false">B943/MAX(B692:B943)-1</f>
        <v>-0.410637879440201</v>
      </c>
      <c r="F943" s="7" t="str">
        <f aca="false">IFERROR(INDEX(02_轉折點45個!B:B,MATCH(A943,02_轉折點45個!A:A,0)),"")</f>
        <v/>
      </c>
      <c r="G943" s="7" t="s">
        <v>1994</v>
      </c>
    </row>
    <row r="944" customFormat="false" ht="15" hidden="false" customHeight="false" outlineLevel="0" collapsed="false">
      <c r="A944" s="7" t="s">
        <v>2825</v>
      </c>
      <c r="B944" s="7" t="n">
        <v>1084.68</v>
      </c>
      <c r="C944" s="7" t="n">
        <f aca="false">AVERAGE(B895:B944)</f>
        <v>1177.1286</v>
      </c>
      <c r="D944" s="7" t="n">
        <f aca="false">AVERAGE(B745:B944)</f>
        <v>1480.87815</v>
      </c>
      <c r="E944" s="7" t="n">
        <f aca="false">B944/MAX(B693:B944)-1</f>
        <v>-0.423468818267345</v>
      </c>
      <c r="F944" s="7" t="str">
        <f aca="false">IFERROR(INDEX(02_轉折點45個!B:B,MATCH(A944,02_轉折點45個!A:A,0)),"")</f>
        <v/>
      </c>
      <c r="G944" s="7" t="s">
        <v>1994</v>
      </c>
    </row>
    <row r="945" customFormat="false" ht="15" hidden="false" customHeight="false" outlineLevel="0" collapsed="false">
      <c r="A945" s="7" t="s">
        <v>473</v>
      </c>
      <c r="B945" s="7" t="n">
        <v>1064.82</v>
      </c>
      <c r="C945" s="7" t="n">
        <f aca="false">AVERAGE(B896:B945)</f>
        <v>1174.8506</v>
      </c>
      <c r="D945" s="7" t="n">
        <f aca="false">AVERAGE(B746:B945)</f>
        <v>1477.12385</v>
      </c>
      <c r="E945" s="7" t="n">
        <f aca="false">B945/MAX(B694:B945)-1</f>
        <v>-0.434024843333918</v>
      </c>
      <c r="F945" s="7" t="str">
        <f aca="false">IFERROR(INDEX(02_轉折點45個!B:B,MATCH(A945,02_轉折點45個!A:A,0)),"")</f>
        <v/>
      </c>
      <c r="G945" s="7" t="s">
        <v>1994</v>
      </c>
    </row>
    <row r="946" customFormat="false" ht="15" hidden="false" customHeight="false" outlineLevel="0" collapsed="false">
      <c r="A946" s="7" t="s">
        <v>2826</v>
      </c>
      <c r="B946" s="7" t="n">
        <v>1041.38</v>
      </c>
      <c r="C946" s="7" t="n">
        <f aca="false">AVERAGE(B897:B946)</f>
        <v>1173.0202</v>
      </c>
      <c r="D946" s="7" t="n">
        <f aca="false">AVERAGE(B747:B946)</f>
        <v>1473.1733</v>
      </c>
      <c r="E946" s="7" t="n">
        <f aca="false">B946/MAX(B695:B946)-1</f>
        <v>-0.446483716826389</v>
      </c>
      <c r="F946" s="7" t="str">
        <f aca="false">IFERROR(INDEX(02_轉折點45個!B:B,MATCH(A946,02_轉折點45個!A:A,0)),"")</f>
        <v/>
      </c>
      <c r="G946" s="7" t="s">
        <v>1994</v>
      </c>
    </row>
    <row r="947" customFormat="false" ht="15" hidden="false" customHeight="false" outlineLevel="0" collapsed="false">
      <c r="A947" s="7" t="s">
        <v>2827</v>
      </c>
      <c r="B947" s="7" t="n">
        <v>1022.65</v>
      </c>
      <c r="C947" s="7" t="n">
        <f aca="false">AVERAGE(B898:B947)</f>
        <v>1170.4124</v>
      </c>
      <c r="D947" s="7" t="n">
        <f aca="false">AVERAGE(B748:B947)</f>
        <v>1469.229</v>
      </c>
      <c r="E947" s="7" t="n">
        <f aca="false">B947/MAX(B696:B947)-1</f>
        <v>-0.456439122138419</v>
      </c>
      <c r="F947" s="7" t="str">
        <f aca="false">IFERROR(INDEX(02_轉折點45個!B:B,MATCH(A947,02_轉折點45個!A:A,0)),"")</f>
        <v/>
      </c>
      <c r="G947" s="7" t="s">
        <v>1994</v>
      </c>
    </row>
    <row r="948" customFormat="false" ht="15" hidden="false" customHeight="false" outlineLevel="0" collapsed="false">
      <c r="A948" s="7" t="s">
        <v>2828</v>
      </c>
      <c r="B948" s="7" t="n">
        <v>1031.62</v>
      </c>
      <c r="C948" s="7" t="n">
        <f aca="false">AVERAGE(B899:B948)</f>
        <v>1166.6478</v>
      </c>
      <c r="D948" s="7" t="n">
        <f aca="false">AVERAGE(B749:B948)</f>
        <v>1465.62345</v>
      </c>
      <c r="E948" s="7" t="n">
        <f aca="false">B948/MAX(B697:B948)-1</f>
        <v>-0.451671370635541</v>
      </c>
      <c r="F948" s="7" t="str">
        <f aca="false">IFERROR(INDEX(02_轉折點45個!B:B,MATCH(A948,02_轉折點45個!A:A,0)),"")</f>
        <v/>
      </c>
      <c r="G948" s="7" t="s">
        <v>1994</v>
      </c>
    </row>
    <row r="949" customFormat="false" ht="15" hidden="false" customHeight="false" outlineLevel="0" collapsed="false">
      <c r="A949" s="7" t="s">
        <v>129</v>
      </c>
      <c r="B949" s="7" t="n">
        <v>1017.82</v>
      </c>
      <c r="C949" s="7" t="n">
        <f aca="false">AVERAGE(B900:B949)</f>
        <v>1162.4438</v>
      </c>
      <c r="D949" s="7" t="n">
        <f aca="false">AVERAGE(B750:B949)</f>
        <v>1461.82425</v>
      </c>
      <c r="E949" s="7" t="n">
        <f aca="false">B949/MAX(B698:B949)-1</f>
        <v>-0.459006372947661</v>
      </c>
      <c r="F949" s="7" t="str">
        <f aca="false">IFERROR(INDEX(02_轉折點45個!B:B,MATCH(A949,02_轉折點45個!A:A,0)),"")</f>
        <v>BOTTOM</v>
      </c>
      <c r="G949" s="7" t="s">
        <v>1994</v>
      </c>
    </row>
    <row r="950" customFormat="false" ht="15" hidden="false" customHeight="false" outlineLevel="0" collapsed="false">
      <c r="A950" s="7" t="s">
        <v>2829</v>
      </c>
      <c r="B950" s="7" t="n">
        <v>1062.82</v>
      </c>
      <c r="C950" s="7" t="n">
        <f aca="false">AVERAGE(B901:B950)</f>
        <v>1159.431</v>
      </c>
      <c r="D950" s="7" t="n">
        <f aca="false">AVERAGE(B751:B950)</f>
        <v>1458.25625</v>
      </c>
      <c r="E950" s="7" t="n">
        <f aca="false">B950/MAX(B699:B950)-1</f>
        <v>-0.435087887147269</v>
      </c>
      <c r="F950" s="7" t="str">
        <f aca="false">IFERROR(INDEX(02_轉折點45個!B:B,MATCH(A950,02_轉折點45個!A:A,0)),"")</f>
        <v/>
      </c>
      <c r="G950" s="7" t="s">
        <v>1994</v>
      </c>
    </row>
    <row r="951" customFormat="false" ht="15" hidden="false" customHeight="false" outlineLevel="0" collapsed="false">
      <c r="A951" s="7" t="s">
        <v>2830</v>
      </c>
      <c r="B951" s="7" t="n">
        <v>1105.85</v>
      </c>
      <c r="C951" s="7" t="n">
        <f aca="false">AVERAGE(B902:B951)</f>
        <v>1158.1606</v>
      </c>
      <c r="D951" s="7" t="n">
        <f aca="false">AVERAGE(B752:B951)</f>
        <v>1454.8293</v>
      </c>
      <c r="E951" s="7" t="n">
        <f aca="false">B951/MAX(B700:B951)-1</f>
        <v>-0.412216499503027</v>
      </c>
      <c r="F951" s="7" t="str">
        <f aca="false">IFERROR(INDEX(02_轉折點45個!B:B,MATCH(A951,02_轉折點45個!A:A,0)),"")</f>
        <v/>
      </c>
      <c r="G951" s="7" t="s">
        <v>1994</v>
      </c>
    </row>
    <row r="952" customFormat="false" ht="15" hidden="false" customHeight="false" outlineLevel="0" collapsed="false">
      <c r="A952" s="7" t="s">
        <v>474</v>
      </c>
      <c r="B952" s="7" t="n">
        <v>1115.04</v>
      </c>
      <c r="C952" s="7" t="n">
        <f aca="false">AVERAGE(B903:B952)</f>
        <v>1157.66</v>
      </c>
      <c r="D952" s="7" t="n">
        <f aca="false">AVERAGE(B753:B952)</f>
        <v>1451.3765</v>
      </c>
      <c r="E952" s="7" t="n">
        <f aca="false">B952/MAX(B701:B952)-1</f>
        <v>-0.40733181318068</v>
      </c>
      <c r="F952" s="7" t="str">
        <f aca="false">IFERROR(INDEX(02_轉折點45個!B:B,MATCH(A952,02_轉折點45個!A:A,0)),"")</f>
        <v/>
      </c>
      <c r="G952" s="7" t="s">
        <v>1994</v>
      </c>
    </row>
    <row r="953" customFormat="false" ht="15" hidden="false" customHeight="false" outlineLevel="0" collapsed="false">
      <c r="A953" s="7" t="s">
        <v>2831</v>
      </c>
      <c r="B953" s="7" t="n">
        <v>1171.6</v>
      </c>
      <c r="C953" s="7" t="n">
        <f aca="false">AVERAGE(B904:B953)</f>
        <v>1159.0564</v>
      </c>
      <c r="D953" s="7" t="n">
        <f aca="false">AVERAGE(B754:B953)</f>
        <v>1448.15695</v>
      </c>
      <c r="E953" s="7" t="n">
        <f aca="false">B953/MAX(B702:B953)-1</f>
        <v>-0.377268934139121</v>
      </c>
      <c r="F953" s="7" t="str">
        <f aca="false">IFERROR(INDEX(02_轉折點45個!B:B,MATCH(A953,02_轉折點45個!A:A,0)),"")</f>
        <v/>
      </c>
      <c r="G953" s="7" t="s">
        <v>1994</v>
      </c>
    </row>
    <row r="954" customFormat="false" ht="15" hidden="false" customHeight="false" outlineLevel="0" collapsed="false">
      <c r="A954" s="7" t="s">
        <v>2832</v>
      </c>
      <c r="B954" s="7" t="n">
        <v>1125.91</v>
      </c>
      <c r="C954" s="7" t="n">
        <f aca="false">AVERAGE(B905:B954)</f>
        <v>1158.5608</v>
      </c>
      <c r="D954" s="7" t="n">
        <f aca="false">AVERAGE(B755:B954)</f>
        <v>1444.87735</v>
      </c>
      <c r="E954" s="7" t="n">
        <f aca="false">B954/MAX(B703:B954)-1</f>
        <v>-0.401554170055119</v>
      </c>
      <c r="F954" s="7" t="str">
        <f aca="false">IFERROR(INDEX(02_轉折點45個!B:B,MATCH(A954,02_轉折點45個!A:A,0)),"")</f>
        <v/>
      </c>
      <c r="G954" s="7" t="s">
        <v>1994</v>
      </c>
    </row>
    <row r="955" customFormat="false" ht="15" hidden="false" customHeight="false" outlineLevel="0" collapsed="false">
      <c r="A955" s="7" t="s">
        <v>2833</v>
      </c>
      <c r="B955" s="7" t="n">
        <v>1162.33</v>
      </c>
      <c r="C955" s="7" t="n">
        <f aca="false">AVERAGE(B906:B955)</f>
        <v>1158.4034</v>
      </c>
      <c r="D955" s="7" t="n">
        <f aca="false">AVERAGE(B756:B955)</f>
        <v>1441.64805</v>
      </c>
      <c r="E955" s="7" t="n">
        <f aca="false">B955/MAX(B704:B955)-1</f>
        <v>-0.382196142214001</v>
      </c>
      <c r="F955" s="7" t="str">
        <f aca="false">IFERROR(INDEX(02_轉折點45個!B:B,MATCH(A955,02_轉折點45個!A:A,0)),"")</f>
        <v/>
      </c>
      <c r="G955" s="7" t="s">
        <v>1994</v>
      </c>
    </row>
    <row r="956" customFormat="false" ht="15" hidden="false" customHeight="false" outlineLevel="0" collapsed="false">
      <c r="A956" s="7" t="s">
        <v>2834</v>
      </c>
      <c r="B956" s="7" t="n">
        <v>1176.55</v>
      </c>
      <c r="C956" s="7" t="n">
        <f aca="false">AVERAGE(B907:B956)</f>
        <v>1157.8796</v>
      </c>
      <c r="D956" s="7" t="n">
        <f aca="false">AVERAGE(B757:B956)</f>
        <v>1438.19285</v>
      </c>
      <c r="E956" s="7" t="n">
        <f aca="false">B956/MAX(B705:B956)-1</f>
        <v>-0.374637900701078</v>
      </c>
      <c r="F956" s="7" t="str">
        <f aca="false">IFERROR(INDEX(02_轉折點45個!B:B,MATCH(A956,02_轉折點45個!A:A,0)),"")</f>
        <v/>
      </c>
      <c r="G956" s="7" t="s">
        <v>1994</v>
      </c>
    </row>
    <row r="957" customFormat="false" ht="15" hidden="false" customHeight="false" outlineLevel="0" collapsed="false">
      <c r="A957" s="7" t="s">
        <v>2835</v>
      </c>
      <c r="B957" s="7" t="n">
        <v>1196.48</v>
      </c>
      <c r="C957" s="7" t="n">
        <f aca="false">AVERAGE(B908:B957)</f>
        <v>1157.9444</v>
      </c>
      <c r="D957" s="7" t="n">
        <f aca="false">AVERAGE(B758:B957)</f>
        <v>1434.7683</v>
      </c>
      <c r="E957" s="7" t="n">
        <f aca="false">B957/MAX(B706:B957)-1</f>
        <v>-0.364044669101037</v>
      </c>
      <c r="F957" s="7" t="str">
        <f aca="false">IFERROR(INDEX(02_轉折點45個!B:B,MATCH(A957,02_轉折點45個!A:A,0)),"")</f>
        <v/>
      </c>
      <c r="G957" s="7" t="s">
        <v>1994</v>
      </c>
    </row>
    <row r="958" customFormat="false" ht="15" hidden="false" customHeight="false" outlineLevel="0" collapsed="false">
      <c r="A958" s="7" t="s">
        <v>2836</v>
      </c>
      <c r="B958" s="7" t="n">
        <v>1181.07</v>
      </c>
      <c r="C958" s="7" t="n">
        <f aca="false">AVERAGE(B909:B958)</f>
        <v>1157.688</v>
      </c>
      <c r="D958" s="7" t="n">
        <f aca="false">AVERAGE(B759:B958)</f>
        <v>1431.36845</v>
      </c>
      <c r="E958" s="7" t="n">
        <f aca="false">B958/MAX(B707:B958)-1</f>
        <v>-0.372235421682905</v>
      </c>
      <c r="F958" s="7" t="str">
        <f aca="false">IFERROR(INDEX(02_轉折點45個!B:B,MATCH(A958,02_轉折點45個!A:A,0)),"")</f>
        <v/>
      </c>
      <c r="G958" s="7" t="s">
        <v>1994</v>
      </c>
    </row>
    <row r="959" customFormat="false" ht="15" hidden="false" customHeight="false" outlineLevel="0" collapsed="false">
      <c r="A959" s="7" t="s">
        <v>2837</v>
      </c>
      <c r="B959" s="7" t="n">
        <v>1206.13</v>
      </c>
      <c r="C959" s="7" t="n">
        <f aca="false">AVERAGE(B910:B959)</f>
        <v>1158.619</v>
      </c>
      <c r="D959" s="7" t="n">
        <f aca="false">AVERAGE(B760:B959)</f>
        <v>1428.00875</v>
      </c>
      <c r="E959" s="7" t="n">
        <f aca="false">B959/MAX(B708:B959)-1</f>
        <v>-0.35891548270162</v>
      </c>
      <c r="F959" s="7" t="str">
        <f aca="false">IFERROR(INDEX(02_轉折點45個!B:B,MATCH(A959,02_轉折點45個!A:A,0)),"")</f>
        <v/>
      </c>
      <c r="G959" s="7" t="s">
        <v>1994</v>
      </c>
    </row>
    <row r="960" customFormat="false" ht="15" hidden="false" customHeight="false" outlineLevel="0" collapsed="false">
      <c r="A960" s="7" t="s">
        <v>2838</v>
      </c>
      <c r="B960" s="7" t="n">
        <v>1186.47</v>
      </c>
      <c r="C960" s="7" t="n">
        <f aca="false">AVERAGE(B911:B960)</f>
        <v>1157.9688</v>
      </c>
      <c r="D960" s="7" t="n">
        <f aca="false">AVERAGE(B761:B960)</f>
        <v>1424.6003</v>
      </c>
      <c r="E960" s="7" t="n">
        <f aca="false">B960/MAX(B709:B960)-1</f>
        <v>-0.369365203386858</v>
      </c>
      <c r="F960" s="7" t="str">
        <f aca="false">IFERROR(INDEX(02_轉折點45個!B:B,MATCH(A960,02_轉折點45個!A:A,0)),"")</f>
        <v/>
      </c>
      <c r="G960" s="7" t="s">
        <v>1994</v>
      </c>
    </row>
    <row r="961" customFormat="false" ht="15" hidden="false" customHeight="false" outlineLevel="0" collapsed="false">
      <c r="A961" s="7" t="s">
        <v>2839</v>
      </c>
      <c r="B961" s="7" t="n">
        <v>1216.08</v>
      </c>
      <c r="C961" s="7" t="n">
        <f aca="false">AVERAGE(B912:B961)</f>
        <v>1157.7152</v>
      </c>
      <c r="D961" s="7" t="n">
        <f aca="false">AVERAGE(B762:B961)</f>
        <v>1421.3292</v>
      </c>
      <c r="E961" s="7" t="n">
        <f aca="false">B961/MAX(B710:B961)-1</f>
        <v>-0.3536268397302</v>
      </c>
      <c r="F961" s="7" t="str">
        <f aca="false">IFERROR(INDEX(02_轉折點45個!B:B,MATCH(A961,02_轉折點45個!A:A,0)),"")</f>
        <v/>
      </c>
      <c r="G961" s="7" t="s">
        <v>1994</v>
      </c>
    </row>
    <row r="962" customFormat="false" ht="15" hidden="false" customHeight="false" outlineLevel="0" collapsed="false">
      <c r="A962" s="7" t="s">
        <v>2840</v>
      </c>
      <c r="B962" s="7" t="n">
        <v>1202.11</v>
      </c>
      <c r="C962" s="7" t="n">
        <f aca="false">AVERAGE(B913:B962)</f>
        <v>1156.8898</v>
      </c>
      <c r="D962" s="7" t="n">
        <f aca="false">AVERAGE(B763:B962)</f>
        <v>1418.10145</v>
      </c>
      <c r="E962" s="7" t="n">
        <f aca="false">B962/MAX(B711:B962)-1</f>
        <v>-0.361052200766455</v>
      </c>
      <c r="F962" s="7" t="str">
        <f aca="false">IFERROR(INDEX(02_轉折點45個!B:B,MATCH(A962,02_轉折點45個!A:A,0)),"")</f>
        <v/>
      </c>
      <c r="G962" s="7" t="s">
        <v>1994</v>
      </c>
    </row>
    <row r="963" customFormat="false" ht="15" hidden="false" customHeight="false" outlineLevel="0" collapsed="false">
      <c r="A963" s="7" t="s">
        <v>2841</v>
      </c>
      <c r="B963" s="7" t="n">
        <v>1188.14</v>
      </c>
      <c r="C963" s="7" t="n">
        <f aca="false">AVERAGE(B914:B963)</f>
        <v>1155.1724</v>
      </c>
      <c r="D963" s="7" t="n">
        <f aca="false">AVERAGE(B764:B963)</f>
        <v>1414.9487</v>
      </c>
      <c r="E963" s="7" t="n">
        <f aca="false">B963/MAX(B712:B963)-1</f>
        <v>-0.36847756180271</v>
      </c>
      <c r="F963" s="7" t="str">
        <f aca="false">IFERROR(INDEX(02_轉折點45個!B:B,MATCH(A963,02_轉折點45個!A:A,0)),"")</f>
        <v/>
      </c>
      <c r="G963" s="7" t="s">
        <v>1994</v>
      </c>
    </row>
    <row r="964" customFormat="false" ht="15" hidden="false" customHeight="false" outlineLevel="0" collapsed="false">
      <c r="A964" s="7" t="s">
        <v>2842</v>
      </c>
      <c r="B964" s="7" t="n">
        <v>1212.06</v>
      </c>
      <c r="C964" s="7" t="n">
        <f aca="false">AVERAGE(B915:B964)</f>
        <v>1154.2614</v>
      </c>
      <c r="D964" s="7" t="n">
        <f aca="false">AVERAGE(B765:B964)</f>
        <v>1411.8691</v>
      </c>
      <c r="E964" s="7" t="n">
        <f aca="false">B964/MAX(B713:B964)-1</f>
        <v>-0.355763557795035</v>
      </c>
      <c r="F964" s="7" t="str">
        <f aca="false">IFERROR(INDEX(02_轉折點45個!B:B,MATCH(A964,02_轉折點45個!A:A,0)),"")</f>
        <v/>
      </c>
      <c r="G964" s="7" t="s">
        <v>1994</v>
      </c>
    </row>
    <row r="965" customFormat="false" ht="15" hidden="false" customHeight="false" outlineLevel="0" collapsed="false">
      <c r="A965" s="7" t="s">
        <v>2843</v>
      </c>
      <c r="B965" s="7" t="n">
        <v>1214.82</v>
      </c>
      <c r="C965" s="7" t="n">
        <f aca="false">AVERAGE(B916:B965)</f>
        <v>1152.8088</v>
      </c>
      <c r="D965" s="7" t="n">
        <f aca="false">AVERAGE(B766:B965)</f>
        <v>1409.06125</v>
      </c>
      <c r="E965" s="7" t="n">
        <f aca="false">B965/MAX(B714:B965)-1</f>
        <v>-0.354296557332611</v>
      </c>
      <c r="F965" s="7" t="str">
        <f aca="false">IFERROR(INDEX(02_轉折點45個!B:B,MATCH(A965,02_轉折點45個!A:A,0)),"")</f>
        <v/>
      </c>
      <c r="G965" s="7" t="s">
        <v>1994</v>
      </c>
    </row>
    <row r="966" customFormat="false" ht="15" hidden="false" customHeight="false" outlineLevel="0" collapsed="false">
      <c r="A966" s="7" t="s">
        <v>2844</v>
      </c>
      <c r="B966" s="7" t="n">
        <v>1243.1</v>
      </c>
      <c r="C966" s="7" t="n">
        <f aca="false">AVERAGE(B917:B966)</f>
        <v>1151.6714</v>
      </c>
      <c r="D966" s="7" t="n">
        <f aca="false">AVERAGE(B767:B966)</f>
        <v>1406.2058</v>
      </c>
      <c r="E966" s="7" t="n">
        <f aca="false">B966/MAX(B715:B966)-1</f>
        <v>-0.339265117811831</v>
      </c>
      <c r="F966" s="7" t="str">
        <f aca="false">IFERROR(INDEX(02_轉折點45個!B:B,MATCH(A966,02_轉折點45個!A:A,0)),"")</f>
        <v/>
      </c>
      <c r="G966" s="7" t="s">
        <v>1994</v>
      </c>
    </row>
    <row r="967" customFormat="false" ht="15" hidden="false" customHeight="false" outlineLevel="0" collapsed="false">
      <c r="A967" s="7" t="s">
        <v>2845</v>
      </c>
      <c r="B967" s="7" t="n">
        <v>1275.84</v>
      </c>
      <c r="C967" s="7" t="n">
        <f aca="false">AVERAGE(B918:B967)</f>
        <v>1151.9622</v>
      </c>
      <c r="D967" s="7" t="n">
        <f aca="false">AVERAGE(B768:B967)</f>
        <v>1403.76745</v>
      </c>
      <c r="E967" s="7" t="n">
        <f aca="false">B967/MAX(B716:B967)-1</f>
        <v>-0.321863090587279</v>
      </c>
      <c r="F967" s="7" t="str">
        <f aca="false">IFERROR(INDEX(02_轉折點45個!B:B,MATCH(A967,02_轉折點45個!A:A,0)),"")</f>
        <v/>
      </c>
      <c r="G967" s="7" t="s">
        <v>1994</v>
      </c>
    </row>
    <row r="968" customFormat="false" ht="15" hidden="false" customHeight="false" outlineLevel="0" collapsed="false">
      <c r="A968" s="7" t="s">
        <v>2846</v>
      </c>
      <c r="B968" s="7" t="n">
        <v>1280.07</v>
      </c>
      <c r="C968" s="7" t="n">
        <f aca="false">AVERAGE(B919:B968)</f>
        <v>1152.1344</v>
      </c>
      <c r="D968" s="7" t="n">
        <f aca="false">AVERAGE(B769:B968)</f>
        <v>1401.56865</v>
      </c>
      <c r="E968" s="7" t="n">
        <f aca="false">B968/MAX(B717:B968)-1</f>
        <v>-0.319614752922042</v>
      </c>
      <c r="F968" s="7" t="str">
        <f aca="false">IFERROR(INDEX(02_轉折點45個!B:B,MATCH(A968,02_轉折點45個!A:A,0)),"")</f>
        <v/>
      </c>
      <c r="G968" s="7" t="s">
        <v>1994</v>
      </c>
    </row>
    <row r="969" customFormat="false" ht="15" hidden="false" customHeight="false" outlineLevel="0" collapsed="false">
      <c r="A969" s="7" t="s">
        <v>2847</v>
      </c>
      <c r="B969" s="7" t="n">
        <v>1296.35</v>
      </c>
      <c r="C969" s="7" t="n">
        <f aca="false">AVERAGE(B920:B969)</f>
        <v>1153.4356</v>
      </c>
      <c r="D969" s="7" t="n">
        <f aca="false">AVERAGE(B770:B969)</f>
        <v>1399.26925</v>
      </c>
      <c r="E969" s="7" t="n">
        <f aca="false">B969/MAX(B718:B969)-1</f>
        <v>-0.310961576281367</v>
      </c>
      <c r="F969" s="7" t="str">
        <f aca="false">IFERROR(INDEX(02_轉折點45個!B:B,MATCH(A969,02_轉折點45個!A:A,0)),"")</f>
        <v/>
      </c>
      <c r="G969" s="7" t="s">
        <v>1994</v>
      </c>
    </row>
    <row r="970" customFormat="false" ht="15" hidden="false" customHeight="false" outlineLevel="0" collapsed="false">
      <c r="A970" s="7" t="s">
        <v>2848</v>
      </c>
      <c r="B970" s="7" t="n">
        <v>1257.72</v>
      </c>
      <c r="C970" s="7" t="n">
        <f aca="false">AVERAGE(B921:B970)</f>
        <v>1154.5744</v>
      </c>
      <c r="D970" s="7" t="n">
        <f aca="false">AVERAGE(B771:B970)</f>
        <v>1396.6844</v>
      </c>
      <c r="E970" s="7" t="n">
        <f aca="false">B970/MAX(B719:B970)-1</f>
        <v>-0.331494267536237</v>
      </c>
      <c r="F970" s="7" t="str">
        <f aca="false">IFERROR(INDEX(02_轉折點45個!B:B,MATCH(A970,02_轉折點45個!A:A,0)),"")</f>
        <v/>
      </c>
      <c r="G970" s="7" t="s">
        <v>1994</v>
      </c>
    </row>
    <row r="971" customFormat="false" ht="15" hidden="false" customHeight="false" outlineLevel="0" collapsed="false">
      <c r="A971" s="7" t="s">
        <v>2849</v>
      </c>
      <c r="B971" s="7" t="n">
        <v>1241.8</v>
      </c>
      <c r="C971" s="7" t="n">
        <f aca="false">AVERAGE(B922:B971)</f>
        <v>1155.004</v>
      </c>
      <c r="D971" s="7" t="n">
        <f aca="false">AVERAGE(B772:B971)</f>
        <v>1394.04225</v>
      </c>
      <c r="E971" s="7" t="n">
        <f aca="false">B971/MAX(B720:B971)-1</f>
        <v>-0.339956096290509</v>
      </c>
      <c r="F971" s="7" t="str">
        <f aca="false">IFERROR(INDEX(02_轉折點45個!B:B,MATCH(A971,02_轉折點45個!A:A,0)),"")</f>
        <v/>
      </c>
      <c r="G971" s="7" t="s">
        <v>1994</v>
      </c>
    </row>
    <row r="972" customFormat="false" ht="15" hidden="false" customHeight="false" outlineLevel="0" collapsed="false">
      <c r="A972" s="7" t="s">
        <v>2850</v>
      </c>
      <c r="B972" s="7" t="n">
        <v>1205.18</v>
      </c>
      <c r="C972" s="7" t="n">
        <f aca="false">AVERAGE(B923:B972)</f>
        <v>1155.0834</v>
      </c>
      <c r="D972" s="7" t="n">
        <f aca="false">AVERAGE(B773:B972)</f>
        <v>1391.18865</v>
      </c>
      <c r="E972" s="7" t="n">
        <f aca="false">B972/MAX(B721:B972)-1</f>
        <v>-0.359420428512961</v>
      </c>
      <c r="F972" s="7" t="str">
        <f aca="false">IFERROR(INDEX(02_轉折點45個!B:B,MATCH(A972,02_轉折點45個!A:A,0)),"")</f>
        <v/>
      </c>
      <c r="G972" s="7" t="s">
        <v>1994</v>
      </c>
    </row>
    <row r="973" customFormat="false" ht="15" hidden="false" customHeight="false" outlineLevel="0" collapsed="false">
      <c r="A973" s="7" t="s">
        <v>2851</v>
      </c>
      <c r="B973" s="7" t="n">
        <v>1232.92</v>
      </c>
      <c r="C973" s="7" t="n">
        <f aca="false">AVERAGE(B924:B973)</f>
        <v>1156.6496</v>
      </c>
      <c r="D973" s="7" t="n">
        <f aca="false">AVERAGE(B774:B973)</f>
        <v>1388.70635</v>
      </c>
      <c r="E973" s="7" t="n">
        <f aca="false">B973/MAX(B722:B973)-1</f>
        <v>-0.344676010821786</v>
      </c>
      <c r="F973" s="7" t="str">
        <f aca="false">IFERROR(INDEX(02_轉折點45個!B:B,MATCH(A973,02_轉折點45個!A:A,0)),"")</f>
        <v/>
      </c>
      <c r="G973" s="7" t="s">
        <v>1994</v>
      </c>
    </row>
    <row r="974" customFormat="false" ht="15" hidden="false" customHeight="false" outlineLevel="0" collapsed="false">
      <c r="A974" s="7" t="s">
        <v>2852</v>
      </c>
      <c r="B974" s="7" t="n">
        <v>1243.67</v>
      </c>
      <c r="C974" s="7" t="n">
        <f aca="false">AVERAGE(B925:B974)</f>
        <v>1157.9106</v>
      </c>
      <c r="D974" s="7" t="n">
        <f aca="false">AVERAGE(B775:B974)</f>
        <v>1386.18435</v>
      </c>
      <c r="E974" s="7" t="n">
        <f aca="false">B974/MAX(B723:B974)-1</f>
        <v>-0.338962150325026</v>
      </c>
      <c r="F974" s="7" t="str">
        <f aca="false">IFERROR(INDEX(02_轉折點45個!B:B,MATCH(A974,02_轉折點45個!A:A,0)),"")</f>
        <v/>
      </c>
      <c r="G974" s="7" t="s">
        <v>1994</v>
      </c>
    </row>
    <row r="975" customFormat="false" ht="15" hidden="false" customHeight="false" outlineLevel="0" collapsed="false">
      <c r="A975" s="7" t="s">
        <v>2853</v>
      </c>
      <c r="B975" s="7" t="n">
        <v>1289.53</v>
      </c>
      <c r="C975" s="7" t="n">
        <f aca="false">AVERAGE(B926:B975)</f>
        <v>1160.8436</v>
      </c>
      <c r="D975" s="7" t="n">
        <f aca="false">AVERAGE(B776:B975)</f>
        <v>1383.7976</v>
      </c>
      <c r="E975" s="7" t="n">
        <f aca="false">B975/MAX(B724:B975)-1</f>
        <v>-0.314586555684893</v>
      </c>
      <c r="F975" s="7" t="str">
        <f aca="false">IFERROR(INDEX(02_轉折點45個!B:B,MATCH(A975,02_轉折點45個!A:A,0)),"")</f>
        <v/>
      </c>
      <c r="G975" s="7" t="s">
        <v>1994</v>
      </c>
    </row>
    <row r="976" customFormat="false" ht="15" hidden="false" customHeight="false" outlineLevel="0" collapsed="false">
      <c r="A976" s="7" t="s">
        <v>2854</v>
      </c>
      <c r="B976" s="7" t="n">
        <v>1289.18</v>
      </c>
      <c r="C976" s="7" t="n">
        <f aca="false">AVERAGE(B927:B976)</f>
        <v>1162.9602</v>
      </c>
      <c r="D976" s="7" t="n">
        <f aca="false">AVERAGE(B777:B976)</f>
        <v>1381.5132</v>
      </c>
      <c r="E976" s="7" t="n">
        <f aca="false">B976/MAX(B725:B976)-1</f>
        <v>-0.314772588352229</v>
      </c>
      <c r="F976" s="7" t="str">
        <f aca="false">IFERROR(INDEX(02_轉折點45個!B:B,MATCH(A976,02_轉折點45個!A:A,0)),"")</f>
        <v/>
      </c>
      <c r="G976" s="7" t="s">
        <v>1994</v>
      </c>
    </row>
    <row r="977" customFormat="false" ht="15" hidden="false" customHeight="false" outlineLevel="0" collapsed="false">
      <c r="A977" s="7" t="s">
        <v>2855</v>
      </c>
      <c r="B977" s="7" t="n">
        <v>1273.24</v>
      </c>
      <c r="C977" s="7" t="n">
        <f aca="false">AVERAGE(B928:B977)</f>
        <v>1164.588</v>
      </c>
      <c r="D977" s="7" t="n">
        <f aca="false">AVERAGE(B778:B977)</f>
        <v>1379.4036</v>
      </c>
      <c r="E977" s="7" t="n">
        <f aca="false">B977/MAX(B726:B977)-1</f>
        <v>-0.323245047544635</v>
      </c>
      <c r="F977" s="7" t="str">
        <f aca="false">IFERROR(INDEX(02_轉折點45個!B:B,MATCH(A977,02_轉折點45個!A:A,0)),"")</f>
        <v/>
      </c>
      <c r="G977" s="7" t="s">
        <v>1994</v>
      </c>
    </row>
    <row r="978" customFormat="false" ht="15" hidden="false" customHeight="false" outlineLevel="0" collapsed="false">
      <c r="A978" s="7" t="s">
        <v>2856</v>
      </c>
      <c r="B978" s="7" t="n">
        <v>1255.71</v>
      </c>
      <c r="C978" s="7" t="n">
        <f aca="false">AVERAGE(B929:B978)</f>
        <v>1165.5822</v>
      </c>
      <c r="D978" s="7" t="n">
        <f aca="false">AVERAGE(B779:B978)</f>
        <v>1377.28405</v>
      </c>
      <c r="E978" s="7" t="n">
        <f aca="false">B978/MAX(B727:B978)-1</f>
        <v>-0.332562626568654</v>
      </c>
      <c r="F978" s="7" t="str">
        <f aca="false">IFERROR(INDEX(02_轉折點45個!B:B,MATCH(A978,02_轉折點45個!A:A,0)),"")</f>
        <v/>
      </c>
      <c r="G978" s="7" t="s">
        <v>1994</v>
      </c>
    </row>
    <row r="979" customFormat="false" ht="15" hidden="false" customHeight="false" outlineLevel="0" collapsed="false">
      <c r="A979" s="7" t="s">
        <v>2857</v>
      </c>
      <c r="B979" s="7" t="n">
        <v>1296.68</v>
      </c>
      <c r="C979" s="7" t="n">
        <f aca="false">AVERAGE(B930:B979)</f>
        <v>1167.4806</v>
      </c>
      <c r="D979" s="7" t="n">
        <f aca="false">AVERAGE(B780:B979)</f>
        <v>1375.48725</v>
      </c>
      <c r="E979" s="7" t="n">
        <f aca="false">B979/MAX(B728:B979)-1</f>
        <v>-0.310786174052164</v>
      </c>
      <c r="F979" s="7" t="str">
        <f aca="false">IFERROR(INDEX(02_轉折點45個!B:B,MATCH(A979,02_轉折點45個!A:A,0)),"")</f>
        <v/>
      </c>
      <c r="G979" s="7" t="s">
        <v>1994</v>
      </c>
    </row>
    <row r="980" customFormat="false" ht="15" hidden="false" customHeight="false" outlineLevel="0" collapsed="false">
      <c r="A980" s="7" t="s">
        <v>2858</v>
      </c>
      <c r="B980" s="7" t="n">
        <v>1340.71</v>
      </c>
      <c r="C980" s="7" t="n">
        <f aca="false">AVERAGE(B931:B980)</f>
        <v>1170.9132</v>
      </c>
      <c r="D980" s="7" t="n">
        <f aca="false">AVERAGE(B781:B980)</f>
        <v>1374.05035</v>
      </c>
      <c r="E980" s="7" t="n">
        <f aca="false">B980/MAX(B729:B980)-1</f>
        <v>-0.287383264501246</v>
      </c>
      <c r="F980" s="7" t="str">
        <f aca="false">IFERROR(INDEX(02_轉折點45個!B:B,MATCH(A980,02_轉折點45個!A:A,0)),"")</f>
        <v/>
      </c>
      <c r="G980" s="7" t="s">
        <v>1994</v>
      </c>
    </row>
    <row r="981" customFormat="false" ht="15" hidden="false" customHeight="false" outlineLevel="0" collapsed="false">
      <c r="A981" s="7" t="s">
        <v>2859</v>
      </c>
      <c r="B981" s="7" t="n">
        <v>1341.8</v>
      </c>
      <c r="C981" s="7" t="n">
        <f aca="false">AVERAGE(B932:B981)</f>
        <v>1174.1534</v>
      </c>
      <c r="D981" s="7" t="n">
        <f aca="false">AVERAGE(B782:B981)</f>
        <v>1372.45095</v>
      </c>
      <c r="E981" s="7" t="n">
        <f aca="false">B981/MAX(B730:B981)-1</f>
        <v>-0.28680390562297</v>
      </c>
      <c r="F981" s="7" t="str">
        <f aca="false">IFERROR(INDEX(02_轉折點45個!B:B,MATCH(A981,02_轉折點45個!A:A,0)),"")</f>
        <v/>
      </c>
      <c r="G981" s="7" t="s">
        <v>1994</v>
      </c>
    </row>
    <row r="982" customFormat="false" ht="15" hidden="false" customHeight="false" outlineLevel="0" collapsed="false">
      <c r="A982" s="7" t="s">
        <v>2860</v>
      </c>
      <c r="B982" s="7" t="n">
        <v>1353.82</v>
      </c>
      <c r="C982" s="7" t="n">
        <f aca="false">AVERAGE(B933:B982)</f>
        <v>1177.9176</v>
      </c>
      <c r="D982" s="7" t="n">
        <f aca="false">AVERAGE(B783:B982)</f>
        <v>1370.78475</v>
      </c>
      <c r="E982" s="7" t="n">
        <f aca="false">B982/MAX(B731:B982)-1</f>
        <v>-0.280415012304732</v>
      </c>
      <c r="F982" s="7" t="str">
        <f aca="false">IFERROR(INDEX(02_轉折點45個!B:B,MATCH(A982,02_轉折點45個!A:A,0)),"")</f>
        <v/>
      </c>
      <c r="G982" s="7" t="s">
        <v>1994</v>
      </c>
    </row>
    <row r="983" customFormat="false" ht="15" hidden="false" customHeight="false" outlineLevel="0" collapsed="false">
      <c r="A983" s="7" t="s">
        <v>2861</v>
      </c>
      <c r="B983" s="7" t="n">
        <v>1319.59</v>
      </c>
      <c r="C983" s="7" t="n">
        <f aca="false">AVERAGE(B934:B983)</f>
        <v>1181.2884</v>
      </c>
      <c r="D983" s="7" t="n">
        <f aca="false">AVERAGE(B784:B983)</f>
        <v>1369.0043</v>
      </c>
      <c r="E983" s="7" t="n">
        <f aca="false">B983/MAX(B732:B983)-1</f>
        <v>-0.298609007170231</v>
      </c>
      <c r="F983" s="7" t="str">
        <f aca="false">IFERROR(INDEX(02_轉折點45個!B:B,MATCH(A983,02_轉折點45個!A:A,0)),"")</f>
        <v/>
      </c>
      <c r="G983" s="7" t="s">
        <v>1994</v>
      </c>
    </row>
    <row r="984" customFormat="false" ht="15" hidden="false" customHeight="false" outlineLevel="0" collapsed="false">
      <c r="A984" s="7" t="s">
        <v>2862</v>
      </c>
      <c r="B984" s="7" t="n">
        <v>1359.34</v>
      </c>
      <c r="C984" s="7" t="n">
        <f aca="false">AVERAGE(B935:B984)</f>
        <v>1185.597</v>
      </c>
      <c r="D984" s="7" t="n">
        <f aca="false">AVERAGE(B785:B984)</f>
        <v>1367.3086</v>
      </c>
      <c r="E984" s="7" t="n">
        <f aca="false">B984/MAX(B733:B984)-1</f>
        <v>-0.277481011379884</v>
      </c>
      <c r="F984" s="7" t="str">
        <f aca="false">IFERROR(INDEX(02_轉折點45個!B:B,MATCH(A984,02_轉折點45個!A:A,0)),"")</f>
        <v/>
      </c>
      <c r="G984" s="7" t="s">
        <v>1994</v>
      </c>
    </row>
    <row r="985" customFormat="false" ht="15" hidden="false" customHeight="false" outlineLevel="0" collapsed="false">
      <c r="A985" s="7" t="s">
        <v>2863</v>
      </c>
      <c r="B985" s="7" t="n">
        <v>1350.97</v>
      </c>
      <c r="C985" s="7" t="n">
        <f aca="false">AVERAGE(B936:B985)</f>
        <v>1190.39</v>
      </c>
      <c r="D985" s="7" t="n">
        <f aca="false">AVERAGE(B786:B985)</f>
        <v>1365.6432</v>
      </c>
      <c r="E985" s="7" t="n">
        <f aca="false">B985/MAX(B734:B985)-1</f>
        <v>-0.281929849738757</v>
      </c>
      <c r="F985" s="7" t="str">
        <f aca="false">IFERROR(INDEX(02_轉折點45個!B:B,MATCH(A985,02_轉折點45個!A:A,0)),"")</f>
        <v/>
      </c>
      <c r="G985" s="7" t="s">
        <v>1994</v>
      </c>
    </row>
    <row r="986" customFormat="false" ht="15" hidden="false" customHeight="false" outlineLevel="0" collapsed="false">
      <c r="A986" s="7" t="s">
        <v>2864</v>
      </c>
      <c r="B986" s="7" t="n">
        <v>1356.45</v>
      </c>
      <c r="C986" s="7" t="n">
        <f aca="false">AVERAGE(B937:B986)</f>
        <v>1195.208</v>
      </c>
      <c r="D986" s="7" t="n">
        <f aca="false">AVERAGE(B787:B986)</f>
        <v>1364.17955</v>
      </c>
      <c r="E986" s="7" t="n">
        <f aca="false">B986/MAX(B735:B986)-1</f>
        <v>-0.279017109690176</v>
      </c>
      <c r="F986" s="7" t="str">
        <f aca="false">IFERROR(INDEX(02_轉折點45個!B:B,MATCH(A986,02_轉折點45個!A:A,0)),"")</f>
        <v/>
      </c>
      <c r="G986" s="7" t="s">
        <v>1994</v>
      </c>
    </row>
    <row r="987" customFormat="false" ht="15" hidden="false" customHeight="false" outlineLevel="0" collapsed="false">
      <c r="A987" s="7" t="s">
        <v>2865</v>
      </c>
      <c r="B987" s="7" t="n">
        <v>1323.73</v>
      </c>
      <c r="C987" s="7" t="n">
        <f aca="false">AVERAGE(B938:B987)</f>
        <v>1200.0322</v>
      </c>
      <c r="D987" s="7" t="n">
        <f aca="false">AVERAGE(B788:B987)</f>
        <v>1362.80165</v>
      </c>
      <c r="E987" s="7" t="n">
        <f aca="false">B987/MAX(B736:B987)-1</f>
        <v>-0.296408506476594</v>
      </c>
      <c r="F987" s="7" t="str">
        <f aca="false">IFERROR(INDEX(02_轉折點45個!B:B,MATCH(A987,02_轉折點45個!A:A,0)),"")</f>
        <v/>
      </c>
      <c r="G987" s="7" t="s">
        <v>1994</v>
      </c>
    </row>
    <row r="988" customFormat="false" ht="15" hidden="false" customHeight="false" outlineLevel="0" collapsed="false">
      <c r="A988" s="7" t="s">
        <v>2866</v>
      </c>
      <c r="B988" s="7" t="n">
        <v>1306.73</v>
      </c>
      <c r="C988" s="7" t="n">
        <f aca="false">AVERAGE(B939:B988)</f>
        <v>1204.5668</v>
      </c>
      <c r="D988" s="7" t="n">
        <f aca="false">AVERAGE(B789:B988)</f>
        <v>1361.22475</v>
      </c>
      <c r="E988" s="7" t="n">
        <f aca="false">B988/MAX(B737:B988)-1</f>
        <v>-0.305444378890076</v>
      </c>
      <c r="F988" s="7" t="str">
        <f aca="false">IFERROR(INDEX(02_轉折點45個!B:B,MATCH(A988,02_轉折點45個!A:A,0)),"")</f>
        <v/>
      </c>
      <c r="G988" s="7" t="s">
        <v>1994</v>
      </c>
    </row>
    <row r="989" customFormat="false" ht="15" hidden="false" customHeight="false" outlineLevel="0" collapsed="false">
      <c r="A989" s="7" t="s">
        <v>2867</v>
      </c>
      <c r="B989" s="7" t="n">
        <v>1288.82</v>
      </c>
      <c r="C989" s="7" t="n">
        <f aca="false">AVERAGE(B940:B989)</f>
        <v>1208.0102</v>
      </c>
      <c r="D989" s="7" t="n">
        <f aca="false">AVERAGE(B790:B989)</f>
        <v>1359.8293</v>
      </c>
      <c r="E989" s="7" t="n">
        <f aca="false">B989/MAX(B738:B989)-1</f>
        <v>-0.314963936238632</v>
      </c>
      <c r="F989" s="7" t="str">
        <f aca="false">IFERROR(INDEX(02_轉折點45個!B:B,MATCH(A989,02_轉折點45個!A:A,0)),"")</f>
        <v/>
      </c>
      <c r="G989" s="7" t="s">
        <v>1994</v>
      </c>
    </row>
    <row r="990" customFormat="false" ht="15" hidden="false" customHeight="false" outlineLevel="0" collapsed="false">
      <c r="A990" s="7" t="s">
        <v>2868</v>
      </c>
      <c r="B990" s="7" t="n">
        <v>1299.5</v>
      </c>
      <c r="C990" s="7" t="n">
        <f aca="false">AVERAGE(B941:B990)</f>
        <v>1211.6796</v>
      </c>
      <c r="D990" s="7" t="n">
        <f aca="false">AVERAGE(B791:B990)</f>
        <v>1358.44935</v>
      </c>
      <c r="E990" s="7" t="n">
        <f aca="false">B990/MAX(B739:B990)-1</f>
        <v>-0.309287282275339</v>
      </c>
      <c r="F990" s="7" t="str">
        <f aca="false">IFERROR(INDEX(02_轉折點45個!B:B,MATCH(A990,02_轉折點45個!A:A,0)),"")</f>
        <v/>
      </c>
      <c r="G990" s="7" t="s">
        <v>1994</v>
      </c>
    </row>
    <row r="991" customFormat="false" ht="15" hidden="false" customHeight="false" outlineLevel="0" collapsed="false">
      <c r="A991" s="7" t="s">
        <v>2869</v>
      </c>
      <c r="B991" s="7" t="n">
        <v>1248.98</v>
      </c>
      <c r="C991" s="7" t="n">
        <f aca="false">AVERAGE(B942:B991)</f>
        <v>1214.7488</v>
      </c>
      <c r="D991" s="7" t="n">
        <f aca="false">AVERAGE(B792:B991)</f>
        <v>1356.6097</v>
      </c>
      <c r="E991" s="7" t="n">
        <f aca="false">B991/MAX(B740:B991)-1</f>
        <v>-0.336139769000579</v>
      </c>
      <c r="F991" s="7" t="str">
        <f aca="false">IFERROR(INDEX(02_轉折點45個!B:B,MATCH(A991,02_轉折點45個!A:A,0)),"")</f>
        <v/>
      </c>
      <c r="G991" s="7" t="s">
        <v>1994</v>
      </c>
    </row>
    <row r="992" customFormat="false" ht="15" hidden="false" customHeight="false" outlineLevel="0" collapsed="false">
      <c r="A992" s="7" t="s">
        <v>2870</v>
      </c>
      <c r="B992" s="7" t="n">
        <v>1270.56</v>
      </c>
      <c r="C992" s="7" t="n">
        <f aca="false">AVERAGE(B943:B992)</f>
        <v>1218.7448</v>
      </c>
      <c r="D992" s="7" t="n">
        <f aca="false">AVERAGE(B793:B992)</f>
        <v>1354.89175</v>
      </c>
      <c r="E992" s="7" t="n">
        <f aca="false">B992/MAX(B741:B992)-1</f>
        <v>-0.324669526254525</v>
      </c>
      <c r="F992" s="7" t="str">
        <f aca="false">IFERROR(INDEX(02_轉折點45個!B:B,MATCH(A992,02_轉折點45個!A:A,0)),"")</f>
        <v/>
      </c>
      <c r="G992" s="7" t="s">
        <v>1994</v>
      </c>
    </row>
    <row r="993" customFormat="false" ht="15" hidden="false" customHeight="false" outlineLevel="0" collapsed="false">
      <c r="A993" s="7" t="s">
        <v>2871</v>
      </c>
      <c r="B993" s="7" t="n">
        <v>1275.89</v>
      </c>
      <c r="C993" s="7" t="n">
        <f aca="false">AVERAGE(B944:B993)</f>
        <v>1222.0862</v>
      </c>
      <c r="D993" s="7" t="n">
        <f aca="false">AVERAGE(B794:B993)</f>
        <v>1353.26885</v>
      </c>
      <c r="E993" s="7" t="n">
        <f aca="false">B993/MAX(B742:B993)-1</f>
        <v>-0.321836514491945</v>
      </c>
      <c r="F993" s="7" t="str">
        <f aca="false">IFERROR(INDEX(02_轉折點45個!B:B,MATCH(A993,02_轉折點45個!A:A,0)),"")</f>
        <v/>
      </c>
      <c r="G993" s="7" t="s">
        <v>1994</v>
      </c>
    </row>
    <row r="994" customFormat="false" ht="15" hidden="false" customHeight="false" outlineLevel="0" collapsed="false">
      <c r="A994" s="7" t="s">
        <v>2872</v>
      </c>
      <c r="B994" s="7" t="n">
        <v>1278.59</v>
      </c>
      <c r="C994" s="7" t="n">
        <f aca="false">AVERAGE(B945:B994)</f>
        <v>1225.9644</v>
      </c>
      <c r="D994" s="7" t="n">
        <f aca="false">AVERAGE(B795:B994)</f>
        <v>1351.7526</v>
      </c>
      <c r="E994" s="7" t="n">
        <f aca="false">B994/MAX(B743:B994)-1</f>
        <v>-0.320401405343921</v>
      </c>
      <c r="F994" s="7" t="str">
        <f aca="false">IFERROR(INDEX(02_轉折點45個!B:B,MATCH(A994,02_轉折點45個!A:A,0)),"")</f>
        <v/>
      </c>
      <c r="G994" s="7" t="s">
        <v>1994</v>
      </c>
    </row>
    <row r="995" customFormat="false" ht="15" hidden="false" customHeight="false" outlineLevel="0" collapsed="false">
      <c r="A995" s="7" t="s">
        <v>2873</v>
      </c>
      <c r="B995" s="7" t="n">
        <v>1244.67</v>
      </c>
      <c r="C995" s="7" t="n">
        <f aca="false">AVERAGE(B946:B995)</f>
        <v>1229.5614</v>
      </c>
      <c r="D995" s="7" t="n">
        <f aca="false">AVERAGE(B796:B995)</f>
        <v>1349.7413</v>
      </c>
      <c r="E995" s="7" t="n">
        <f aca="false">B995/MAX(B744:B995)-1</f>
        <v>-0.33843062841835</v>
      </c>
      <c r="F995" s="7" t="str">
        <f aca="false">IFERROR(INDEX(02_轉折點45個!B:B,MATCH(A995,02_轉折點45個!A:A,0)),"")</f>
        <v/>
      </c>
      <c r="G995" s="7" t="s">
        <v>1994</v>
      </c>
    </row>
    <row r="996" customFormat="false" ht="15" hidden="false" customHeight="false" outlineLevel="0" collapsed="false">
      <c r="A996" s="7" t="s">
        <v>2874</v>
      </c>
      <c r="B996" s="7" t="n">
        <v>1279.3</v>
      </c>
      <c r="C996" s="7" t="n">
        <f aca="false">AVERAGE(B947:B996)</f>
        <v>1234.3198</v>
      </c>
      <c r="D996" s="7" t="n">
        <f aca="false">AVERAGE(B797:B996)</f>
        <v>1347.6447</v>
      </c>
      <c r="E996" s="7" t="n">
        <f aca="false">B996/MAX(B745:B996)-1</f>
        <v>-0.320024024790182</v>
      </c>
      <c r="F996" s="7" t="str">
        <f aca="false">IFERROR(INDEX(02_轉折點45個!B:B,MATCH(A996,02_轉折點45個!A:A,0)),"")</f>
        <v/>
      </c>
      <c r="G996" s="7" t="s">
        <v>1994</v>
      </c>
    </row>
    <row r="997" customFormat="false" ht="15" hidden="false" customHeight="false" outlineLevel="0" collapsed="false">
      <c r="A997" s="7" t="s">
        <v>2875</v>
      </c>
      <c r="B997" s="7" t="n">
        <v>1271.74</v>
      </c>
      <c r="C997" s="7" t="n">
        <f aca="false">AVERAGE(B948:B997)</f>
        <v>1239.3016</v>
      </c>
      <c r="D997" s="7" t="n">
        <f aca="false">AVERAGE(B798:B997)</f>
        <v>1345.47845</v>
      </c>
      <c r="E997" s="7" t="n">
        <f aca="false">B997/MAX(B746:B997)-1</f>
        <v>-0.324042330404648</v>
      </c>
      <c r="F997" s="7" t="str">
        <f aca="false">IFERROR(INDEX(02_轉折點45個!B:B,MATCH(A997,02_轉折點45個!A:A,0)),"")</f>
        <v/>
      </c>
      <c r="G997" s="7" t="s">
        <v>1994</v>
      </c>
    </row>
    <row r="998" customFormat="false" ht="15" hidden="false" customHeight="false" outlineLevel="0" collapsed="false">
      <c r="A998" s="7" t="s">
        <v>2876</v>
      </c>
      <c r="B998" s="7" t="n">
        <v>1243.84</v>
      </c>
      <c r="C998" s="7" t="n">
        <f aca="false">AVERAGE(B949:B998)</f>
        <v>1243.546</v>
      </c>
      <c r="D998" s="7" t="n">
        <f aca="false">AVERAGE(B799:B998)</f>
        <v>1343.06255</v>
      </c>
      <c r="E998" s="7" t="n">
        <f aca="false">B998/MAX(B747:B998)-1</f>
        <v>-0.338871791600891</v>
      </c>
      <c r="F998" s="7" t="str">
        <f aca="false">IFERROR(INDEX(02_轉折點45個!B:B,MATCH(A998,02_轉折點45個!A:A,0)),"")</f>
        <v/>
      </c>
      <c r="G998" s="7" t="s">
        <v>1994</v>
      </c>
    </row>
    <row r="999" customFormat="false" ht="15" hidden="false" customHeight="false" outlineLevel="0" collapsed="false">
      <c r="A999" s="7" t="s">
        <v>2877</v>
      </c>
      <c r="B999" s="7" t="n">
        <v>1237.07</v>
      </c>
      <c r="C999" s="7" t="n">
        <f aca="false">AVERAGE(B950:B999)</f>
        <v>1247.931</v>
      </c>
      <c r="D999" s="7" t="n">
        <f aca="false">AVERAGE(B800:B999)</f>
        <v>1340.65285</v>
      </c>
      <c r="E999" s="7" t="n">
        <f aca="false">B999/MAX(B748:B999)-1</f>
        <v>-0.342470194909083</v>
      </c>
      <c r="F999" s="7" t="str">
        <f aca="false">IFERROR(INDEX(02_轉折點45個!B:B,MATCH(A999,02_轉折點45個!A:A,0)),"")</f>
        <v/>
      </c>
      <c r="G999" s="7" t="s">
        <v>1994</v>
      </c>
    </row>
    <row r="1000" customFormat="false" ht="15" hidden="false" customHeight="false" outlineLevel="0" collapsed="false">
      <c r="A1000" s="7" t="s">
        <v>2878</v>
      </c>
      <c r="B1000" s="7" t="n">
        <v>1245.25</v>
      </c>
      <c r="C1000" s="7" t="n">
        <f aca="false">AVERAGE(B951:B1000)</f>
        <v>1251.5796</v>
      </c>
      <c r="D1000" s="7" t="n">
        <f aca="false">AVERAGE(B801:B1000)</f>
        <v>1338.06465</v>
      </c>
      <c r="E1000" s="7" t="n">
        <f aca="false">B1000/MAX(B749:B1000)-1</f>
        <v>-0.338122345712479</v>
      </c>
      <c r="F1000" s="7" t="str">
        <f aca="false">IFERROR(INDEX(02_轉折點45個!B:B,MATCH(A1000,02_轉折點45個!A:A,0)),"")</f>
        <v/>
      </c>
      <c r="G1000" s="7" t="s">
        <v>1994</v>
      </c>
    </row>
    <row r="1001" customFormat="false" ht="15" hidden="false" customHeight="false" outlineLevel="0" collapsed="false">
      <c r="A1001" s="7" t="s">
        <v>2879</v>
      </c>
      <c r="B1001" s="7" t="n">
        <v>1262.27</v>
      </c>
      <c r="C1001" s="7" t="n">
        <f aca="false">AVERAGE(B952:B1001)</f>
        <v>1254.708</v>
      </c>
      <c r="D1001" s="7" t="n">
        <f aca="false">AVERAGE(B802:B1001)</f>
        <v>1335.56235</v>
      </c>
      <c r="E1001" s="7" t="n">
        <f aca="false">B1001/MAX(B750:B1001)-1</f>
        <v>-0.329075842860864</v>
      </c>
      <c r="F1001" s="7" t="str">
        <f aca="false">IFERROR(INDEX(02_轉折點45個!B:B,MATCH(A1001,02_轉折點45個!A:A,0)),"")</f>
        <v/>
      </c>
      <c r="G1001" s="7" t="s">
        <v>1994</v>
      </c>
    </row>
    <row r="1002" customFormat="false" ht="15" hidden="false" customHeight="false" outlineLevel="0" collapsed="false">
      <c r="A1002" s="7" t="s">
        <v>2880</v>
      </c>
      <c r="B1002" s="7" t="n">
        <v>1253.85</v>
      </c>
      <c r="C1002" s="7" t="n">
        <f aca="false">AVERAGE(B953:B1002)</f>
        <v>1257.4842</v>
      </c>
      <c r="D1002" s="7" t="n">
        <f aca="false">AVERAGE(B803:B1002)</f>
        <v>1333.1658</v>
      </c>
      <c r="E1002" s="7" t="n">
        <f aca="false">B1002/MAX(B751:B1002)-1</f>
        <v>-0.33355125731507</v>
      </c>
      <c r="F1002" s="7" t="str">
        <f aca="false">IFERROR(INDEX(02_轉折點45個!B:B,MATCH(A1002,02_轉折點45個!A:A,0)),"")</f>
        <v/>
      </c>
      <c r="G1002" s="7" t="s">
        <v>1994</v>
      </c>
    </row>
    <row r="1003" customFormat="false" ht="15" hidden="false" customHeight="false" outlineLevel="0" collapsed="false">
      <c r="A1003" s="7" t="s">
        <v>2881</v>
      </c>
      <c r="B1003" s="7" t="n">
        <v>1249.67</v>
      </c>
      <c r="C1003" s="7" t="n">
        <f aca="false">AVERAGE(B954:B1003)</f>
        <v>1259.0456</v>
      </c>
      <c r="D1003" s="7" t="n">
        <f aca="false">AVERAGE(B804:B1003)</f>
        <v>1330.90865</v>
      </c>
      <c r="E1003" s="7" t="n">
        <f aca="false">B1003/MAX(B752:B1003)-1</f>
        <v>-0.335773018884973</v>
      </c>
      <c r="F1003" s="7" t="str">
        <f aca="false">IFERROR(INDEX(02_轉折點45個!B:B,MATCH(A1003,02_轉折點45個!A:A,0)),"")</f>
        <v/>
      </c>
      <c r="G1003" s="7" t="s">
        <v>1994</v>
      </c>
    </row>
    <row r="1004" customFormat="false" ht="15" hidden="false" customHeight="false" outlineLevel="0" collapsed="false">
      <c r="A1004" s="7" t="s">
        <v>2882</v>
      </c>
      <c r="B1004" s="7" t="n">
        <v>1231.78</v>
      </c>
      <c r="C1004" s="7" t="n">
        <f aca="false">AVERAGE(B955:B1004)</f>
        <v>1261.163</v>
      </c>
      <c r="D1004" s="7" t="n">
        <f aca="false">AVERAGE(B805:B1004)</f>
        <v>1328.5981</v>
      </c>
      <c r="E1004" s="7" t="n">
        <f aca="false">B1004/MAX(B753:B1004)-1</f>
        <v>-0.345281945795396</v>
      </c>
      <c r="F1004" s="7" t="str">
        <f aca="false">IFERROR(INDEX(02_轉折點45個!B:B,MATCH(A1004,02_轉折點45個!A:A,0)),"")</f>
        <v/>
      </c>
      <c r="G1004" s="7" t="s">
        <v>1994</v>
      </c>
    </row>
    <row r="1005" customFormat="false" ht="15" hidden="false" customHeight="false" outlineLevel="0" collapsed="false">
      <c r="A1005" s="7" t="s">
        <v>2883</v>
      </c>
      <c r="B1005" s="7" t="n">
        <v>1223.77</v>
      </c>
      <c r="C1005" s="7" t="n">
        <f aca="false">AVERAGE(B956:B1005)</f>
        <v>1262.3918</v>
      </c>
      <c r="D1005" s="7" t="n">
        <f aca="false">AVERAGE(B806:B1005)</f>
        <v>1326.1828</v>
      </c>
      <c r="E1005" s="7" t="n">
        <f aca="false">B1005/MAX(B754:B1005)-1</f>
        <v>-0.349539436267866</v>
      </c>
      <c r="F1005" s="7" t="str">
        <f aca="false">IFERROR(INDEX(02_轉折點45個!B:B,MATCH(A1005,02_轉折點45個!A:A,0)),"")</f>
        <v/>
      </c>
      <c r="G1005" s="7" t="s">
        <v>1994</v>
      </c>
    </row>
    <row r="1006" customFormat="false" ht="15" hidden="false" customHeight="false" outlineLevel="0" collapsed="false">
      <c r="A1006" s="7" t="s">
        <v>2884</v>
      </c>
      <c r="B1006" s="7" t="n">
        <v>1220.09</v>
      </c>
      <c r="C1006" s="7" t="n">
        <f aca="false">AVERAGE(B957:B1006)</f>
        <v>1263.2626</v>
      </c>
      <c r="D1006" s="7" t="n">
        <f aca="false">AVERAGE(B807:B1006)</f>
        <v>1323.7091</v>
      </c>
      <c r="E1006" s="7" t="n">
        <f aca="false">B1006/MAX(B755:B1006)-1</f>
        <v>-0.351495436884431</v>
      </c>
      <c r="F1006" s="7" t="str">
        <f aca="false">IFERROR(INDEX(02_轉折點45個!B:B,MATCH(A1006,02_轉折點45個!A:A,0)),"")</f>
        <v/>
      </c>
      <c r="G1006" s="7" t="s">
        <v>1994</v>
      </c>
    </row>
    <row r="1007" customFormat="false" ht="15" hidden="false" customHeight="false" outlineLevel="0" collapsed="false">
      <c r="A1007" s="7" t="s">
        <v>2885</v>
      </c>
      <c r="B1007" s="7" t="n">
        <v>1265.16</v>
      </c>
      <c r="C1007" s="7" t="n">
        <f aca="false">AVERAGE(B958:B1007)</f>
        <v>1264.6362</v>
      </c>
      <c r="D1007" s="7" t="n">
        <f aca="false">AVERAGE(B808:B1007)</f>
        <v>1321.44335</v>
      </c>
      <c r="E1007" s="7" t="n">
        <f aca="false">B1007/MAX(B756:B1007)-1</f>
        <v>-0.327539744550572</v>
      </c>
      <c r="F1007" s="7" t="str">
        <f aca="false">IFERROR(INDEX(02_轉折點45個!B:B,MATCH(A1007,02_轉折點45個!A:A,0)),"")</f>
        <v/>
      </c>
      <c r="G1007" s="7" t="s">
        <v>1994</v>
      </c>
    </row>
    <row r="1008" customFormat="false" ht="15" hidden="false" customHeight="false" outlineLevel="0" collapsed="false">
      <c r="A1008" s="7" t="s">
        <v>2886</v>
      </c>
      <c r="B1008" s="7" t="n">
        <v>1267.2</v>
      </c>
      <c r="C1008" s="7" t="n">
        <f aca="false">AVERAGE(B959:B1008)</f>
        <v>1266.3588</v>
      </c>
      <c r="D1008" s="7" t="n">
        <f aca="false">AVERAGE(B809:B1008)</f>
        <v>1319.40705</v>
      </c>
      <c r="E1008" s="7" t="n">
        <f aca="false">B1008/MAX(B757:B1008)-1</f>
        <v>-0.326455439860954</v>
      </c>
      <c r="F1008" s="7" t="str">
        <f aca="false">IFERROR(INDEX(02_轉折點45個!B:B,MATCH(A1008,02_轉折點45個!A:A,0)),"")</f>
        <v/>
      </c>
      <c r="G1008" s="7" t="s">
        <v>1994</v>
      </c>
    </row>
    <row r="1009" customFormat="false" ht="15" hidden="false" customHeight="false" outlineLevel="0" collapsed="false">
      <c r="A1009" s="7" t="s">
        <v>2887</v>
      </c>
      <c r="B1009" s="7" t="n">
        <v>1298.48</v>
      </c>
      <c r="C1009" s="7" t="n">
        <f aca="false">AVERAGE(B960:B1009)</f>
        <v>1268.2058</v>
      </c>
      <c r="D1009" s="7" t="n">
        <f aca="false">AVERAGE(B810:B1009)</f>
        <v>1317.3629</v>
      </c>
      <c r="E1009" s="7" t="n">
        <f aca="false">B1009/MAX(B758:B1009)-1</f>
        <v>-0.308609370257765</v>
      </c>
      <c r="F1009" s="7" t="str">
        <f aca="false">IFERROR(INDEX(02_轉折點45個!B:B,MATCH(A1009,02_轉折點45個!A:A,0)),"")</f>
        <v/>
      </c>
      <c r="G1009" s="7" t="s">
        <v>1994</v>
      </c>
    </row>
    <row r="1010" customFormat="false" ht="15" hidden="false" customHeight="false" outlineLevel="0" collapsed="false">
      <c r="A1010" s="7" t="s">
        <v>2888</v>
      </c>
      <c r="B1010" s="7" t="n">
        <v>1307.84</v>
      </c>
      <c r="C1010" s="7" t="n">
        <f aca="false">AVERAGE(B961:B1010)</f>
        <v>1270.6332</v>
      </c>
      <c r="D1010" s="7" t="n">
        <f aca="false">AVERAGE(B811:B1010)</f>
        <v>1315.4452</v>
      </c>
      <c r="E1010" s="7" t="n">
        <f aca="false">B1010/MAX(B759:B1010)-1</f>
        <v>-0.303625530464786</v>
      </c>
      <c r="F1010" s="7" t="str">
        <f aca="false">IFERROR(INDEX(02_轉折點45個!B:B,MATCH(A1010,02_轉折點45個!A:A,0)),"")</f>
        <v/>
      </c>
      <c r="G1010" s="7" t="s">
        <v>1994</v>
      </c>
    </row>
    <row r="1011" customFormat="false" ht="15" hidden="false" customHeight="false" outlineLevel="0" collapsed="false">
      <c r="A1011" s="7" t="s">
        <v>2889</v>
      </c>
      <c r="B1011" s="7" t="n">
        <v>1279.98</v>
      </c>
      <c r="C1011" s="7" t="n">
        <f aca="false">AVERAGE(B962:B1011)</f>
        <v>1271.9112</v>
      </c>
      <c r="D1011" s="7" t="n">
        <f aca="false">AVERAGE(B812:B1011)</f>
        <v>1313.5659</v>
      </c>
      <c r="E1011" s="7" t="n">
        <f aca="false">B1011/MAX(B760:B1011)-1</f>
        <v>-0.31562850879538</v>
      </c>
      <c r="F1011" s="7" t="str">
        <f aca="false">IFERROR(INDEX(02_轉折點45個!B:B,MATCH(A1011,02_轉折點45個!A:A,0)),"")</f>
        <v/>
      </c>
      <c r="G1011" s="7" t="s">
        <v>1994</v>
      </c>
    </row>
    <row r="1012" customFormat="false" ht="15" hidden="false" customHeight="false" outlineLevel="0" collapsed="false">
      <c r="A1012" s="7" t="s">
        <v>476</v>
      </c>
      <c r="B1012" s="7" t="n">
        <v>1314.14</v>
      </c>
      <c r="C1012" s="7" t="n">
        <f aca="false">AVERAGE(B963:B1012)</f>
        <v>1274.1518</v>
      </c>
      <c r="D1012" s="7" t="n">
        <f aca="false">AVERAGE(B813:B1012)</f>
        <v>1311.80405</v>
      </c>
      <c r="E1012" s="7" t="n">
        <f aca="false">B1012/MAX(B761:B1012)-1</f>
        <v>-0.297364059241833</v>
      </c>
      <c r="F1012" s="7" t="str">
        <f aca="false">IFERROR(INDEX(02_轉折點45個!B:B,MATCH(A1012,02_轉折點45個!A:A,0)),"")</f>
        <v/>
      </c>
      <c r="G1012" s="7" t="s">
        <v>1994</v>
      </c>
    </row>
    <row r="1013" customFormat="false" ht="15" hidden="false" customHeight="false" outlineLevel="0" collapsed="false">
      <c r="A1013" s="7" t="s">
        <v>2890</v>
      </c>
      <c r="B1013" s="7" t="n">
        <v>1322.6</v>
      </c>
      <c r="C1013" s="7" t="n">
        <f aca="false">AVERAGE(B964:B1013)</f>
        <v>1276.841</v>
      </c>
      <c r="D1013" s="7" t="n">
        <f aca="false">AVERAGE(B814:B1013)</f>
        <v>1310.0727</v>
      </c>
      <c r="E1013" s="7" t="n">
        <f aca="false">B1013/MAX(B762:B1013)-1</f>
        <v>-0.284175660024031</v>
      </c>
      <c r="F1013" s="7" t="str">
        <f aca="false">IFERROR(INDEX(02_轉折點45個!B:B,MATCH(A1013,02_轉折點45個!A:A,0)),"")</f>
        <v/>
      </c>
      <c r="G1013" s="7" t="s">
        <v>1994</v>
      </c>
    </row>
    <row r="1014" customFormat="false" ht="15" hidden="false" customHeight="false" outlineLevel="0" collapsed="false">
      <c r="A1014" s="7" t="s">
        <v>2891</v>
      </c>
      <c r="B1014" s="7" t="n">
        <v>1321.06</v>
      </c>
      <c r="C1014" s="7" t="n">
        <f aca="false">AVERAGE(B965:B1014)</f>
        <v>1279.021</v>
      </c>
      <c r="D1014" s="7" t="n">
        <f aca="false">AVERAGE(B815:B1014)</f>
        <v>1308.2487</v>
      </c>
      <c r="E1014" s="7" t="n">
        <f aca="false">B1014/MAX(B763:B1014)-1</f>
        <v>-0.277311567960262</v>
      </c>
      <c r="F1014" s="7" t="str">
        <f aca="false">IFERROR(INDEX(02_轉折點45個!B:B,MATCH(A1014,02_轉折點45個!A:A,0)),"")</f>
        <v/>
      </c>
      <c r="G1014" s="7" t="s">
        <v>1994</v>
      </c>
    </row>
    <row r="1015" customFormat="false" ht="15" hidden="false" customHeight="false" outlineLevel="0" collapsed="false">
      <c r="A1015" s="7" t="s">
        <v>2892</v>
      </c>
      <c r="B1015" s="7" t="n">
        <v>1334.72</v>
      </c>
      <c r="C1015" s="7" t="n">
        <f aca="false">AVERAGE(B966:B1015)</f>
        <v>1281.419</v>
      </c>
      <c r="D1015" s="7" t="n">
        <f aca="false">AVERAGE(B816:B1015)</f>
        <v>1306.4141</v>
      </c>
      <c r="E1015" s="7" t="n">
        <f aca="false">B1015/MAX(B764:B1015)-1</f>
        <v>-0.269838838499327</v>
      </c>
      <c r="F1015" s="7" t="str">
        <f aca="false">IFERROR(INDEX(02_轉折點45個!B:B,MATCH(A1015,02_轉折點45個!A:A,0)),"")</f>
        <v/>
      </c>
      <c r="G1015" s="7" t="s">
        <v>1994</v>
      </c>
    </row>
    <row r="1016" customFormat="false" ht="15" hidden="false" customHeight="false" outlineLevel="0" collapsed="false">
      <c r="A1016" s="7" t="s">
        <v>2893</v>
      </c>
      <c r="B1016" s="7" t="n">
        <v>1314.45</v>
      </c>
      <c r="C1016" s="7" t="n">
        <f aca="false">AVERAGE(B967:B1016)</f>
        <v>1282.846</v>
      </c>
      <c r="D1016" s="7" t="n">
        <f aca="false">AVERAGE(B817:B1016)</f>
        <v>1304.7441</v>
      </c>
      <c r="E1016" s="7" t="n">
        <f aca="false">B1016/MAX(B765:B1016)-1</f>
        <v>-0.275461776329932</v>
      </c>
      <c r="F1016" s="7" t="str">
        <f aca="false">IFERROR(INDEX(02_轉折點45個!B:B,MATCH(A1016,02_轉折點45個!A:A,0)),"")</f>
        <v/>
      </c>
      <c r="G1016" s="7" t="s">
        <v>1994</v>
      </c>
    </row>
    <row r="1017" customFormat="false" ht="15" hidden="false" customHeight="false" outlineLevel="0" collapsed="false">
      <c r="A1017" s="7" t="s">
        <v>477</v>
      </c>
      <c r="B1017" s="7" t="n">
        <v>1300.7</v>
      </c>
      <c r="C1017" s="7" t="n">
        <f aca="false">AVERAGE(B968:B1017)</f>
        <v>1283.3432</v>
      </c>
      <c r="D1017" s="7" t="n">
        <f aca="false">AVERAGE(B818:B1017)</f>
        <v>1303.09695</v>
      </c>
      <c r="E1017" s="7" t="n">
        <f aca="false">B1017/MAX(B766:B1017)-1</f>
        <v>-0.283040916331807</v>
      </c>
      <c r="F1017" s="7" t="str">
        <f aca="false">IFERROR(INDEX(02_轉折點45個!B:B,MATCH(A1017,02_轉折點45個!A:A,0)),"")</f>
        <v/>
      </c>
      <c r="G1017" s="7" t="s">
        <v>1994</v>
      </c>
    </row>
    <row r="1018" customFormat="false" ht="15" hidden="false" customHeight="false" outlineLevel="0" collapsed="false">
      <c r="A1018" s="7" t="s">
        <v>2894</v>
      </c>
      <c r="B1018" s="7" t="n">
        <v>1257.25</v>
      </c>
      <c r="C1018" s="7" t="n">
        <f aca="false">AVERAGE(B969:B1018)</f>
        <v>1282.8868</v>
      </c>
      <c r="D1018" s="7" t="n">
        <f aca="false">AVERAGE(B819:B1018)</f>
        <v>1301.20785</v>
      </c>
      <c r="E1018" s="7" t="n">
        <f aca="false">B1018/MAX(B767:B1018)-1</f>
        <v>-0.292049101863844</v>
      </c>
      <c r="F1018" s="7" t="str">
        <f aca="false">IFERROR(INDEX(02_轉折點45個!B:B,MATCH(A1018,02_轉折點45個!A:A,0)),"")</f>
        <v/>
      </c>
      <c r="G1018" s="7" t="s">
        <v>1994</v>
      </c>
    </row>
    <row r="1019" customFormat="false" ht="15" hidden="false" customHeight="false" outlineLevel="0" collapsed="false">
      <c r="A1019" s="7" t="s">
        <v>2895</v>
      </c>
      <c r="B1019" s="7" t="n">
        <v>1246.34</v>
      </c>
      <c r="C1019" s="7" t="n">
        <f aca="false">AVERAGE(B970:B1019)</f>
        <v>1281.8866</v>
      </c>
      <c r="D1019" s="7" t="n">
        <f aca="false">AVERAGE(B820:B1019)</f>
        <v>1299.3543</v>
      </c>
      <c r="E1019" s="7" t="n">
        <f aca="false">B1019/MAX(B768:B1019)-1</f>
        <v>-0.298192465791993</v>
      </c>
      <c r="F1019" s="7" t="str">
        <f aca="false">IFERROR(INDEX(02_轉折點45個!B:B,MATCH(A1019,02_轉折點45個!A:A,0)),"")</f>
        <v/>
      </c>
      <c r="G1019" s="7" t="s">
        <v>1994</v>
      </c>
    </row>
    <row r="1020" customFormat="false" ht="15" hidden="false" customHeight="false" outlineLevel="0" collapsed="false">
      <c r="A1020" s="7" t="s">
        <v>2896</v>
      </c>
      <c r="B1020" s="7" t="n">
        <v>1241.98</v>
      </c>
      <c r="C1020" s="7" t="n">
        <f aca="false">AVERAGE(B971:B1020)</f>
        <v>1281.5718</v>
      </c>
      <c r="D1020" s="7" t="n">
        <f aca="false">AVERAGE(B821:B1020)</f>
        <v>1297.4066</v>
      </c>
      <c r="E1020" s="7" t="n">
        <f aca="false">B1020/MAX(B769:B1020)-1</f>
        <v>-0.300647558984177</v>
      </c>
      <c r="F1020" s="7" t="str">
        <f aca="false">IFERROR(INDEX(02_轉折點45個!B:B,MATCH(A1020,02_轉折點45個!A:A,0)),"")</f>
        <v/>
      </c>
      <c r="G1020" s="7" t="s">
        <v>1994</v>
      </c>
    </row>
    <row r="1021" customFormat="false" ht="15" hidden="false" customHeight="false" outlineLevel="0" collapsed="false">
      <c r="A1021" s="7" t="s">
        <v>2897</v>
      </c>
      <c r="B1021" s="7" t="n">
        <v>1268.29</v>
      </c>
      <c r="C1021" s="7" t="n">
        <f aca="false">AVERAGE(B972:B1021)</f>
        <v>1282.1016</v>
      </c>
      <c r="D1021" s="7" t="n">
        <f aca="false">AVERAGE(B822:B1021)</f>
        <v>1295.78825</v>
      </c>
      <c r="E1021" s="7" t="n">
        <f aca="false">B1021/MAX(B770:B1021)-1</f>
        <v>-0.285832535615744</v>
      </c>
      <c r="F1021" s="7" t="str">
        <f aca="false">IFERROR(INDEX(02_轉折點45個!B:B,MATCH(A1021,02_轉折點45個!A:A,0)),"")</f>
        <v/>
      </c>
      <c r="G1021" s="7" t="s">
        <v>1994</v>
      </c>
    </row>
    <row r="1022" customFormat="false" ht="15" hidden="false" customHeight="false" outlineLevel="0" collapsed="false">
      <c r="A1022" s="7" t="s">
        <v>478</v>
      </c>
      <c r="B1022" s="7" t="n">
        <v>1226.14</v>
      </c>
      <c r="C1022" s="7" t="n">
        <f aca="false">AVERAGE(B973:B1022)</f>
        <v>1282.5208</v>
      </c>
      <c r="D1022" s="7" t="n">
        <f aca="false">AVERAGE(B823:B1022)</f>
        <v>1293.8472</v>
      </c>
      <c r="E1022" s="7" t="n">
        <f aca="false">B1022/MAX(B771:B1022)-1</f>
        <v>-0.309566980122755</v>
      </c>
      <c r="F1022" s="7" t="str">
        <f aca="false">IFERROR(INDEX(02_轉折點45個!B:B,MATCH(A1022,02_轉折點45個!A:A,0)),"")</f>
        <v/>
      </c>
      <c r="G1022" s="7" t="s">
        <v>1994</v>
      </c>
    </row>
    <row r="1023" customFormat="false" ht="15" hidden="false" customHeight="false" outlineLevel="0" collapsed="false">
      <c r="A1023" s="7" t="s">
        <v>2898</v>
      </c>
      <c r="B1023" s="7" t="n">
        <v>1210.73</v>
      </c>
      <c r="C1023" s="7" t="n">
        <f aca="false">AVERAGE(B974:B1023)</f>
        <v>1282.077</v>
      </c>
      <c r="D1023" s="7" t="n">
        <f aca="false">AVERAGE(B824:B1023)</f>
        <v>1292.0202</v>
      </c>
      <c r="E1023" s="7" t="n">
        <f aca="false">B1023/MAX(B772:B1023)-1</f>
        <v>-0.318244270510727</v>
      </c>
      <c r="F1023" s="7" t="str">
        <f aca="false">IFERROR(INDEX(02_轉折點45個!B:B,MATCH(A1023,02_轉折點45個!A:A,0)),"")</f>
        <v/>
      </c>
      <c r="G1023" s="7" t="s">
        <v>1994</v>
      </c>
    </row>
    <row r="1024" customFormat="false" ht="15" hidden="false" customHeight="false" outlineLevel="0" collapsed="false">
      <c r="A1024" s="7" t="s">
        <v>2899</v>
      </c>
      <c r="B1024" s="7" t="n">
        <v>1226.18</v>
      </c>
      <c r="C1024" s="7" t="n">
        <f aca="false">AVERAGE(B975:B1024)</f>
        <v>1281.7272</v>
      </c>
      <c r="D1024" s="7" t="n">
        <f aca="false">AVERAGE(B825:B1024)</f>
        <v>1290.12905</v>
      </c>
      <c r="E1024" s="7" t="n">
        <f aca="false">B1024/MAX(B773:B1024)-1</f>
        <v>-0.306019650457303</v>
      </c>
      <c r="F1024" s="7" t="str">
        <f aca="false">IFERROR(INDEX(02_轉折點45個!B:B,MATCH(A1024,02_轉折點45個!A:A,0)),"")</f>
        <v/>
      </c>
      <c r="G1024" s="7" t="s">
        <v>1994</v>
      </c>
    </row>
    <row r="1025" customFormat="false" ht="15" hidden="false" customHeight="false" outlineLevel="0" collapsed="false">
      <c r="A1025" s="7" t="s">
        <v>2900</v>
      </c>
      <c r="B1025" s="7" t="n">
        <v>1240.69</v>
      </c>
      <c r="C1025" s="7" t="n">
        <f aca="false">AVERAGE(B976:B1025)</f>
        <v>1280.7504</v>
      </c>
      <c r="D1025" s="7" t="n">
        <f aca="false">AVERAGE(B826:B1025)</f>
        <v>1288.32145</v>
      </c>
      <c r="E1025" s="7" t="n">
        <f aca="false">B1025/MAX(B774:B1025)-1</f>
        <v>-0.297807434573938</v>
      </c>
      <c r="F1025" s="7" t="str">
        <f aca="false">IFERROR(INDEX(02_轉折點45個!B:B,MATCH(A1025,02_轉折點45個!A:A,0)),"")</f>
        <v/>
      </c>
      <c r="G1025" s="7" t="s">
        <v>1994</v>
      </c>
    </row>
    <row r="1026" customFormat="false" ht="15" hidden="false" customHeight="false" outlineLevel="0" collapsed="false">
      <c r="A1026" s="7" t="s">
        <v>2901</v>
      </c>
      <c r="B1026" s="7" t="n">
        <v>1208.06</v>
      </c>
      <c r="C1026" s="7" t="n">
        <f aca="false">AVERAGE(B977:B1026)</f>
        <v>1279.128</v>
      </c>
      <c r="D1026" s="7" t="n">
        <f aca="false">AVERAGE(B827:B1026)</f>
        <v>1286.0629</v>
      </c>
      <c r="E1026" s="7" t="n">
        <f aca="false">B1026/MAX(B775:B1026)-1</f>
        <v>-0.316275015847143</v>
      </c>
      <c r="F1026" s="7" t="str">
        <f aca="false">IFERROR(INDEX(02_轉折點45個!B:B,MATCH(A1026,02_轉折點45個!A:A,0)),"")</f>
        <v/>
      </c>
      <c r="G1026" s="7" t="s">
        <v>1994</v>
      </c>
    </row>
    <row r="1027" customFormat="false" ht="15" hidden="false" customHeight="false" outlineLevel="0" collapsed="false">
      <c r="A1027" s="7" t="s">
        <v>479</v>
      </c>
      <c r="B1027" s="7" t="n">
        <v>1206.75</v>
      </c>
      <c r="C1027" s="7" t="n">
        <f aca="false">AVERAGE(B978:B1027)</f>
        <v>1277.7982</v>
      </c>
      <c r="D1027" s="7" t="n">
        <f aca="false">AVERAGE(B828:B1027)</f>
        <v>1283.82575</v>
      </c>
      <c r="E1027" s="7" t="n">
        <f aca="false">B1027/MAX(B776:B1027)-1</f>
        <v>-0.315470619267226</v>
      </c>
      <c r="F1027" s="7" t="str">
        <f aca="false">IFERROR(INDEX(02_轉折點45個!B:B,MATCH(A1027,02_轉折點45個!A:A,0)),"")</f>
        <v/>
      </c>
      <c r="G1027" s="7" t="s">
        <v>1994</v>
      </c>
    </row>
    <row r="1028" customFormat="false" ht="15" hidden="false" customHeight="false" outlineLevel="0" collapsed="false">
      <c r="A1028" s="7" t="s">
        <v>2902</v>
      </c>
      <c r="B1028" s="7" t="n">
        <v>1209.38</v>
      </c>
      <c r="C1028" s="7" t="n">
        <f aca="false">AVERAGE(B979:B1028)</f>
        <v>1276.8716</v>
      </c>
      <c r="D1028" s="7" t="n">
        <f aca="false">AVERAGE(B829:B1028)</f>
        <v>1281.6394</v>
      </c>
      <c r="E1028" s="7" t="n">
        <f aca="false">B1028/MAX(B777:B1028)-1</f>
        <v>-0.313978750801241</v>
      </c>
      <c r="F1028" s="7" t="str">
        <f aca="false">IFERROR(INDEX(02_轉折點45個!B:B,MATCH(A1028,02_轉折點45個!A:A,0)),"")</f>
        <v/>
      </c>
      <c r="G1028" s="7" t="s">
        <v>1994</v>
      </c>
    </row>
    <row r="1029" customFormat="false" ht="15" hidden="false" customHeight="false" outlineLevel="0" collapsed="false">
      <c r="A1029" s="7" t="s">
        <v>2903</v>
      </c>
      <c r="B1029" s="7" t="n">
        <v>1193.26</v>
      </c>
      <c r="C1029" s="7" t="n">
        <f aca="false">AVERAGE(B980:B1029)</f>
        <v>1274.8032</v>
      </c>
      <c r="D1029" s="7" t="n">
        <f aca="false">AVERAGE(B830:B1029)</f>
        <v>1279.39805</v>
      </c>
      <c r="E1029" s="7" t="n">
        <f aca="false">B1029/MAX(B778:B1029)-1</f>
        <v>-0.32312282672203</v>
      </c>
      <c r="F1029" s="7" t="str">
        <f aca="false">IFERROR(INDEX(02_轉折點45個!B:B,MATCH(A1029,02_轉折點45個!A:A,0)),"")</f>
        <v/>
      </c>
      <c r="G1029" s="7" t="s">
        <v>1994</v>
      </c>
    </row>
    <row r="1030" customFormat="false" ht="15" hidden="false" customHeight="false" outlineLevel="0" collapsed="false">
      <c r="A1030" s="7" t="s">
        <v>2904</v>
      </c>
      <c r="B1030" s="7" t="n">
        <v>1189.01</v>
      </c>
      <c r="C1030" s="7" t="n">
        <f aca="false">AVERAGE(B981:B1030)</f>
        <v>1271.7692</v>
      </c>
      <c r="D1030" s="7" t="n">
        <f aca="false">AVERAGE(B831:B1030)</f>
        <v>1277.3097</v>
      </c>
      <c r="E1030" s="7" t="n">
        <f aca="false">B1030/MAX(B779:B1030)-1</f>
        <v>-0.325533640783033</v>
      </c>
      <c r="F1030" s="7" t="str">
        <f aca="false">IFERROR(INDEX(02_轉折點45個!B:B,MATCH(A1030,02_轉折點45個!A:A,0)),"")</f>
        <v/>
      </c>
      <c r="G1030" s="7" t="s">
        <v>1994</v>
      </c>
    </row>
    <row r="1031" customFormat="false" ht="15" hidden="false" customHeight="false" outlineLevel="0" collapsed="false">
      <c r="A1031" s="7" t="s">
        <v>2905</v>
      </c>
      <c r="B1031" s="7" t="n">
        <v>1189.22</v>
      </c>
      <c r="C1031" s="7" t="n">
        <f aca="false">AVERAGE(B982:B1031)</f>
        <v>1268.7176</v>
      </c>
      <c r="D1031" s="7" t="n">
        <f aca="false">AVERAGE(B832:B1031)</f>
        <v>1275.35205</v>
      </c>
      <c r="E1031" s="7" t="n">
        <f aca="false">B1031/MAX(B780:B1031)-1</f>
        <v>-0.325414518205901</v>
      </c>
      <c r="F1031" s="7" t="str">
        <f aca="false">IFERROR(INDEX(02_轉折點45個!B:B,MATCH(A1031,02_轉折點45個!A:A,0)),"")</f>
        <v/>
      </c>
      <c r="G1031" s="7" t="s">
        <v>1994</v>
      </c>
    </row>
    <row r="1032" customFormat="false" ht="15" hidden="false" customHeight="false" outlineLevel="0" collapsed="false">
      <c r="A1032" s="7" t="s">
        <v>2906</v>
      </c>
      <c r="B1032" s="7" t="n">
        <v>1171.63</v>
      </c>
      <c r="C1032" s="7" t="n">
        <f aca="false">AVERAGE(B983:B1032)</f>
        <v>1265.0738</v>
      </c>
      <c r="D1032" s="7" t="n">
        <f aca="false">AVERAGE(B833:B1032)</f>
        <v>1273.3839</v>
      </c>
      <c r="E1032" s="7" t="n">
        <f aca="false">B1032/MAX(B781:B1032)-1</f>
        <v>-0.335392452166613</v>
      </c>
      <c r="F1032" s="7" t="str">
        <f aca="false">IFERROR(INDEX(02_轉折點45個!B:B,MATCH(A1032,02_轉折點45個!A:A,0)),"")</f>
        <v/>
      </c>
      <c r="G1032" s="7" t="s">
        <v>1994</v>
      </c>
    </row>
    <row r="1033" customFormat="false" ht="15" hidden="false" customHeight="false" outlineLevel="0" collapsed="false">
      <c r="A1033" s="7" t="s">
        <v>2907</v>
      </c>
      <c r="B1033" s="7" t="n">
        <v>1184.61</v>
      </c>
      <c r="C1033" s="7" t="n">
        <f aca="false">AVERAGE(B984:B1033)</f>
        <v>1262.3742</v>
      </c>
      <c r="D1033" s="7" t="n">
        <f aca="false">AVERAGE(B834:B1033)</f>
        <v>1271.479</v>
      </c>
      <c r="E1033" s="7" t="n">
        <f aca="false">B1033/MAX(B782:B1033)-1</f>
        <v>-0.328029542399129</v>
      </c>
      <c r="F1033" s="7" t="str">
        <f aca="false">IFERROR(INDEX(02_轉折點45個!B:B,MATCH(A1033,02_轉折點45個!A:A,0)),"")</f>
        <v/>
      </c>
      <c r="G1033" s="7" t="s">
        <v>1994</v>
      </c>
    </row>
    <row r="1034" customFormat="false" ht="15" hidden="false" customHeight="false" outlineLevel="0" collapsed="false">
      <c r="A1034" s="7" t="s">
        <v>2908</v>
      </c>
      <c r="B1034" s="7" t="n">
        <v>1183.5</v>
      </c>
      <c r="C1034" s="7" t="n">
        <f aca="false">AVERAGE(B985:B1034)</f>
        <v>1258.8574</v>
      </c>
      <c r="D1034" s="7" t="n">
        <f aca="false">AVERAGE(B835:B1034)</f>
        <v>1269.7961</v>
      </c>
      <c r="E1034" s="7" t="n">
        <f aca="false">B1034/MAX(B783:B1034)-1</f>
        <v>-0.328659190306826</v>
      </c>
      <c r="F1034" s="7" t="str">
        <f aca="false">IFERROR(INDEX(02_轉折點45個!B:B,MATCH(A1034,02_轉折點45個!A:A,0)),"")</f>
        <v/>
      </c>
      <c r="G1034" s="7" t="s">
        <v>1994</v>
      </c>
    </row>
    <row r="1035" customFormat="false" ht="15" hidden="false" customHeight="false" outlineLevel="0" collapsed="false">
      <c r="A1035" s="7" t="s">
        <v>2909</v>
      </c>
      <c r="B1035" s="7" t="n">
        <v>1168.43</v>
      </c>
      <c r="C1035" s="7" t="n">
        <f aca="false">AVERAGE(B986:B1035)</f>
        <v>1255.2066</v>
      </c>
      <c r="D1035" s="7" t="n">
        <f aca="false">AVERAGE(B836:B1035)</f>
        <v>1268.0696</v>
      </c>
      <c r="E1035" s="7" t="n">
        <f aca="false">B1035/MAX(B784:B1035)-1</f>
        <v>-0.337207653341956</v>
      </c>
      <c r="F1035" s="7" t="str">
        <f aca="false">IFERROR(INDEX(02_轉折點45個!B:B,MATCH(A1035,02_轉折點45個!A:A,0)),"")</f>
        <v/>
      </c>
      <c r="G1035" s="7" t="s">
        <v>1994</v>
      </c>
    </row>
    <row r="1036" customFormat="false" ht="15" hidden="false" customHeight="false" outlineLevel="0" collapsed="false">
      <c r="A1036" s="7" t="s">
        <v>2910</v>
      </c>
      <c r="B1036" s="7" t="n">
        <v>1167.03</v>
      </c>
      <c r="C1036" s="7" t="n">
        <f aca="false">AVERAGE(B987:B1036)</f>
        <v>1251.4182</v>
      </c>
      <c r="D1036" s="7" t="n">
        <f aca="false">AVERAGE(B837:B1036)</f>
        <v>1266.19315</v>
      </c>
      <c r="E1036" s="7" t="n">
        <f aca="false">B1036/MAX(B785:B1036)-1</f>
        <v>-0.338001803856168</v>
      </c>
      <c r="F1036" s="7" t="str">
        <f aca="false">IFERROR(INDEX(02_轉折點45個!B:B,MATCH(A1036,02_轉折點45個!A:A,0)),"")</f>
        <v/>
      </c>
      <c r="G1036" s="7" t="s">
        <v>1994</v>
      </c>
    </row>
    <row r="1037" customFormat="false" ht="15" hidden="false" customHeight="false" outlineLevel="0" collapsed="false">
      <c r="A1037" s="7" t="s">
        <v>2911</v>
      </c>
      <c r="B1037" s="7" t="n">
        <v>1196.94</v>
      </c>
      <c r="C1037" s="7" t="n">
        <f aca="false">AVERAGE(B988:B1037)</f>
        <v>1248.8824</v>
      </c>
      <c r="D1037" s="7" t="n">
        <f aca="false">AVERAGE(B838:B1037)</f>
        <v>1264.5151</v>
      </c>
      <c r="E1037" s="7" t="n">
        <f aca="false">B1037/MAX(B786:B1037)-1</f>
        <v>-0.321035345370386</v>
      </c>
      <c r="F1037" s="7" t="str">
        <f aca="false">IFERROR(INDEX(02_轉折點45個!B:B,MATCH(A1037,02_轉折點45個!A:A,0)),"")</f>
        <v/>
      </c>
      <c r="G1037" s="7" t="s">
        <v>1994</v>
      </c>
    </row>
    <row r="1038" customFormat="false" ht="15" hidden="false" customHeight="false" outlineLevel="0" collapsed="false">
      <c r="A1038" s="7" t="s">
        <v>2912</v>
      </c>
      <c r="B1038" s="7" t="n">
        <v>1230.16</v>
      </c>
      <c r="C1038" s="7" t="n">
        <f aca="false">AVERAGE(B989:B1038)</f>
        <v>1247.351</v>
      </c>
      <c r="D1038" s="7" t="n">
        <f aca="false">AVERAGE(B839:B1038)</f>
        <v>1263.1526</v>
      </c>
      <c r="E1038" s="7" t="n">
        <f aca="false">B1038/MAX(B787:B1038)-1</f>
        <v>-0.302191288168859</v>
      </c>
      <c r="F1038" s="7" t="str">
        <f aca="false">IFERROR(INDEX(02_轉折點45個!B:B,MATCH(A1038,02_轉折點45個!A:A,0)),"")</f>
        <v/>
      </c>
      <c r="G1038" s="7" t="s">
        <v>1994</v>
      </c>
    </row>
    <row r="1039" customFormat="false" ht="15" hidden="false" customHeight="false" outlineLevel="0" collapsed="false">
      <c r="A1039" s="7" t="s">
        <v>2913</v>
      </c>
      <c r="B1039" s="7" t="n">
        <v>1219</v>
      </c>
      <c r="C1039" s="7" t="n">
        <f aca="false">AVERAGE(B990:B1039)</f>
        <v>1245.9546</v>
      </c>
      <c r="D1039" s="7" t="n">
        <f aca="false">AVERAGE(B840:B1039)</f>
        <v>1261.8795</v>
      </c>
      <c r="E1039" s="7" t="n">
        <f aca="false">B1039/MAX(B788:B1039)-1</f>
        <v>-0.308521802267867</v>
      </c>
      <c r="F1039" s="7" t="str">
        <f aca="false">IFERROR(INDEX(02_轉折點45個!B:B,MATCH(A1039,02_轉折點45個!A:A,0)),"")</f>
        <v/>
      </c>
      <c r="G1039" s="7" t="s">
        <v>1994</v>
      </c>
    </row>
    <row r="1040" customFormat="false" ht="15" hidden="false" customHeight="false" outlineLevel="0" collapsed="false">
      <c r="A1040" s="7" t="s">
        <v>2914</v>
      </c>
      <c r="B1040" s="7" t="n">
        <v>1216.18</v>
      </c>
      <c r="C1040" s="7" t="n">
        <f aca="false">AVERAGE(B991:B1040)</f>
        <v>1244.2882</v>
      </c>
      <c r="D1040" s="7" t="n">
        <f aca="false">AVERAGE(B841:B1040)</f>
        <v>1260.7501</v>
      </c>
      <c r="E1040" s="7" t="n">
        <f aca="false">B1040/MAX(B789:B1040)-1</f>
        <v>-0.310121448303638</v>
      </c>
      <c r="F1040" s="7" t="str">
        <f aca="false">IFERROR(INDEX(02_轉折點45個!B:B,MATCH(A1040,02_轉折點45個!A:A,0)),"")</f>
        <v/>
      </c>
      <c r="G1040" s="7" t="s">
        <v>1994</v>
      </c>
    </row>
    <row r="1041" customFormat="false" ht="15" hidden="false" customHeight="false" outlineLevel="0" collapsed="false">
      <c r="A1041" s="7" t="s">
        <v>2915</v>
      </c>
      <c r="B1041" s="7" t="n">
        <v>1232.43</v>
      </c>
      <c r="C1041" s="7" t="n">
        <f aca="false">AVERAGE(B992:B1041)</f>
        <v>1243.9572</v>
      </c>
      <c r="D1041" s="7" t="n">
        <f aca="false">AVERAGE(B842:B1041)</f>
        <v>1259.72325</v>
      </c>
      <c r="E1041" s="7" t="n">
        <f aca="false">B1041/MAX(B790:B1041)-1</f>
        <v>-0.3009036298351</v>
      </c>
      <c r="F1041" s="7" t="str">
        <f aca="false">IFERROR(INDEX(02_轉折點45個!B:B,MATCH(A1041,02_轉折點45個!A:A,0)),"")</f>
        <v/>
      </c>
      <c r="G1041" s="7" t="s">
        <v>1994</v>
      </c>
    </row>
    <row r="1042" customFormat="false" ht="15" hidden="false" customHeight="false" outlineLevel="0" collapsed="false">
      <c r="A1042" s="7" t="s">
        <v>2916</v>
      </c>
      <c r="B1042" s="7" t="n">
        <v>1208.09</v>
      </c>
      <c r="C1042" s="7" t="n">
        <f aca="false">AVERAGE(B993:B1042)</f>
        <v>1242.7078</v>
      </c>
      <c r="D1042" s="7" t="n">
        <f aca="false">AVERAGE(B843:B1042)</f>
        <v>1258.0153</v>
      </c>
      <c r="E1042" s="7" t="n">
        <f aca="false">B1042/MAX(B791:B1042)-1</f>
        <v>-0.314710503775051</v>
      </c>
      <c r="F1042" s="7" t="str">
        <f aca="false">IFERROR(INDEX(02_轉折點45個!B:B,MATCH(A1042,02_轉折點45個!A:A,0)),"")</f>
        <v/>
      </c>
      <c r="G1042" s="7" t="s">
        <v>1994</v>
      </c>
    </row>
    <row r="1043" customFormat="false" ht="15" hidden="false" customHeight="false" outlineLevel="0" collapsed="false">
      <c r="A1043" s="7" t="s">
        <v>2917</v>
      </c>
      <c r="B1043" s="7" t="n">
        <v>1214.12</v>
      </c>
      <c r="C1043" s="7" t="n">
        <f aca="false">AVERAGE(B994:B1043)</f>
        <v>1241.4724</v>
      </c>
      <c r="D1043" s="7" t="n">
        <f aca="false">AVERAGE(B844:B1043)</f>
        <v>1256.5467</v>
      </c>
      <c r="E1043" s="7" t="n">
        <f aca="false">B1043/MAX(B792:B1043)-1</f>
        <v>-0.311289984060265</v>
      </c>
      <c r="F1043" s="7" t="str">
        <f aca="false">IFERROR(INDEX(02_轉折點45個!B:B,MATCH(A1043,02_轉折點45個!A:A,0)),"")</f>
        <v/>
      </c>
      <c r="G1043" s="7" t="s">
        <v>1994</v>
      </c>
    </row>
    <row r="1044" customFormat="false" ht="15" hidden="false" customHeight="false" outlineLevel="0" collapsed="false">
      <c r="A1044" s="7" t="s">
        <v>2918</v>
      </c>
      <c r="B1044" s="7" t="n">
        <v>1191.01</v>
      </c>
      <c r="C1044" s="7" t="n">
        <f aca="false">AVERAGE(B995:B1044)</f>
        <v>1239.7208</v>
      </c>
      <c r="D1044" s="7" t="n">
        <f aca="false">AVERAGE(B845:B1044)</f>
        <v>1255.1893</v>
      </c>
      <c r="E1044" s="7" t="n">
        <f aca="false">B1044/MAX(B793:B1044)-1</f>
        <v>-0.324399140048443</v>
      </c>
      <c r="F1044" s="7" t="str">
        <f aca="false">IFERROR(INDEX(02_轉折點45個!B:B,MATCH(A1044,02_轉折點45個!A:A,0)),"")</f>
        <v/>
      </c>
      <c r="G1044" s="7" t="s">
        <v>1994</v>
      </c>
    </row>
    <row r="1045" customFormat="false" ht="15" hidden="false" customHeight="false" outlineLevel="0" collapsed="false">
      <c r="A1045" s="7" t="s">
        <v>2919</v>
      </c>
      <c r="B1045" s="7" t="n">
        <v>1209.52</v>
      </c>
      <c r="C1045" s="7" t="n">
        <f aca="false">AVERAGE(B996:B1045)</f>
        <v>1239.0178</v>
      </c>
      <c r="D1045" s="7" t="n">
        <f aca="false">AVERAGE(B846:B1045)</f>
        <v>1253.6883</v>
      </c>
      <c r="E1045" s="7" t="n">
        <f aca="false">B1045/MAX(B794:B1045)-1</f>
        <v>-0.31389933574982</v>
      </c>
      <c r="F1045" s="7" t="str">
        <f aca="false">IFERROR(INDEX(02_轉折點45個!B:B,MATCH(A1045,02_轉折點45個!A:A,0)),"")</f>
        <v/>
      </c>
      <c r="G1045" s="7" t="s">
        <v>1994</v>
      </c>
    </row>
    <row r="1046" customFormat="false" ht="15" hidden="false" customHeight="false" outlineLevel="0" collapsed="false">
      <c r="A1046" s="7" t="s">
        <v>2920</v>
      </c>
      <c r="B1046" s="7" t="n">
        <v>1221.92</v>
      </c>
      <c r="C1046" s="7" t="n">
        <f aca="false">AVERAGE(B997:B1046)</f>
        <v>1237.8702</v>
      </c>
      <c r="D1046" s="7" t="n">
        <f aca="false">AVERAGE(B847:B1046)</f>
        <v>1251.9455</v>
      </c>
      <c r="E1046" s="7" t="n">
        <f aca="false">B1046/MAX(B795:B1046)-1</f>
        <v>-0.306865431195367</v>
      </c>
      <c r="F1046" s="7" t="str">
        <f aca="false">IFERROR(INDEX(02_轉折點45個!B:B,MATCH(A1046,02_轉折點45個!A:A,0)),"")</f>
        <v/>
      </c>
      <c r="G1046" s="7" t="s">
        <v>1994</v>
      </c>
    </row>
    <row r="1047" customFormat="false" ht="15" hidden="false" customHeight="false" outlineLevel="0" collapsed="false">
      <c r="A1047" s="7" t="s">
        <v>2921</v>
      </c>
      <c r="B1047" s="7" t="n">
        <v>1206.18</v>
      </c>
      <c r="C1047" s="7" t="n">
        <f aca="false">AVERAGE(B998:B1047)</f>
        <v>1236.559</v>
      </c>
      <c r="D1047" s="7" t="n">
        <f aca="false">AVERAGE(B848:B1047)</f>
        <v>1250.0943</v>
      </c>
      <c r="E1047" s="7" t="n">
        <f aca="false">B1047/MAX(B796:B1047)-1</f>
        <v>-0.315793951976584</v>
      </c>
      <c r="F1047" s="7" t="str">
        <f aca="false">IFERROR(INDEX(02_轉折點45個!B:B,MATCH(A1047,02_轉折點45個!A:A,0)),"")</f>
        <v/>
      </c>
      <c r="G1047" s="7" t="s">
        <v>1994</v>
      </c>
    </row>
    <row r="1048" customFormat="false" ht="15" hidden="false" customHeight="false" outlineLevel="0" collapsed="false">
      <c r="A1048" s="7" t="s">
        <v>2922</v>
      </c>
      <c r="B1048" s="7" t="n">
        <v>1194.74</v>
      </c>
      <c r="C1048" s="7" t="n">
        <f aca="false">AVERAGE(B999:B1048)</f>
        <v>1235.577</v>
      </c>
      <c r="D1048" s="7" t="n">
        <f aca="false">AVERAGE(B849:B1048)</f>
        <v>1248.1636</v>
      </c>
      <c r="E1048" s="7" t="n">
        <f aca="false">B1048/MAX(B797:B1048)-1</f>
        <v>-0.322283296178434</v>
      </c>
      <c r="F1048" s="7" t="str">
        <f aca="false">IFERROR(INDEX(02_轉折點45個!B:B,MATCH(A1048,02_轉折點45個!A:A,0)),"")</f>
        <v/>
      </c>
      <c r="G1048" s="7" t="s">
        <v>1994</v>
      </c>
    </row>
    <row r="1049" customFormat="false" ht="15" hidden="false" customHeight="false" outlineLevel="0" collapsed="false">
      <c r="A1049" s="7" t="s">
        <v>2923</v>
      </c>
      <c r="B1049" s="7" t="n">
        <v>1200.8</v>
      </c>
      <c r="C1049" s="7" t="n">
        <f aca="false">AVERAGE(B1000:B1049)</f>
        <v>1234.8516</v>
      </c>
      <c r="D1049" s="7" t="n">
        <f aca="false">AVERAGE(B850:B1049)</f>
        <v>1246.21315</v>
      </c>
      <c r="E1049" s="7" t="n">
        <f aca="false">B1049/MAX(B798:B1049)-1</f>
        <v>-0.318845758952629</v>
      </c>
      <c r="F1049" s="7" t="str">
        <f aca="false">IFERROR(INDEX(02_轉折點45個!B:B,MATCH(A1049,02_轉折點45個!A:A,0)),"")</f>
        <v/>
      </c>
      <c r="G1049" s="7" t="s">
        <v>1994</v>
      </c>
    </row>
    <row r="1050" customFormat="false" ht="15" hidden="false" customHeight="false" outlineLevel="0" collapsed="false">
      <c r="A1050" s="7" t="s">
        <v>2924</v>
      </c>
      <c r="B1050" s="7" t="n">
        <v>1190.28</v>
      </c>
      <c r="C1050" s="7" t="n">
        <f aca="false">AVERAGE(B1001:B1050)</f>
        <v>1233.7522</v>
      </c>
      <c r="D1050" s="7" t="n">
        <f aca="false">AVERAGE(B851:B1050)</f>
        <v>1244.3919</v>
      </c>
      <c r="E1050" s="7" t="n">
        <f aca="false">B1050/MAX(B799:B1050)-1</f>
        <v>-0.324813232816568</v>
      </c>
      <c r="F1050" s="7" t="str">
        <f aca="false">IFERROR(INDEX(02_轉折點45個!B:B,MATCH(A1050,02_轉折點45個!A:A,0)),"")</f>
        <v/>
      </c>
      <c r="G1050" s="7" t="s">
        <v>1994</v>
      </c>
    </row>
    <row r="1051" customFormat="false" ht="15" hidden="false" customHeight="false" outlineLevel="0" collapsed="false">
      <c r="A1051" s="7" t="s">
        <v>2925</v>
      </c>
      <c r="B1051" s="7" t="n">
        <v>1192.48</v>
      </c>
      <c r="C1051" s="7" t="n">
        <f aca="false">AVERAGE(B1002:B1051)</f>
        <v>1232.3564</v>
      </c>
      <c r="D1051" s="7" t="n">
        <f aca="false">AVERAGE(B852:B1051)</f>
        <v>1242.75255</v>
      </c>
      <c r="E1051" s="7" t="n">
        <f aca="false">B1051/MAX(B800:B1051)-1</f>
        <v>-0.32356528200852</v>
      </c>
      <c r="F1051" s="7" t="str">
        <f aca="false">IFERROR(INDEX(02_轉折點45個!B:B,MATCH(A1051,02_轉折點45個!A:A,0)),"")</f>
        <v/>
      </c>
      <c r="G1051" s="7" t="s">
        <v>1994</v>
      </c>
    </row>
    <row r="1052" customFormat="false" ht="15" hidden="false" customHeight="false" outlineLevel="0" collapsed="false">
      <c r="A1052" s="7" t="s">
        <v>2926</v>
      </c>
      <c r="B1052" s="7" t="n">
        <v>1167.88</v>
      </c>
      <c r="C1052" s="7" t="n">
        <f aca="false">AVERAGE(B1003:B1052)</f>
        <v>1230.637</v>
      </c>
      <c r="D1052" s="7" t="n">
        <f aca="false">AVERAGE(B853:B1052)</f>
        <v>1240.94785</v>
      </c>
      <c r="E1052" s="7" t="n">
        <f aca="false">B1052/MAX(B801:B1052)-1</f>
        <v>-0.337459508830053</v>
      </c>
      <c r="F1052" s="7" t="str">
        <f aca="false">IFERROR(INDEX(02_轉折點45個!B:B,MATCH(A1052,02_轉折點45個!A:A,0)),"")</f>
        <v/>
      </c>
      <c r="G1052" s="7" t="s">
        <v>1994</v>
      </c>
    </row>
    <row r="1053" customFormat="false" ht="15" hidden="false" customHeight="false" outlineLevel="0" collapsed="false">
      <c r="A1053" s="7" t="s">
        <v>480</v>
      </c>
      <c r="B1053" s="7" t="n">
        <v>1161.58</v>
      </c>
      <c r="C1053" s="7" t="n">
        <f aca="false">AVERAGE(B1004:B1053)</f>
        <v>1228.8752</v>
      </c>
      <c r="D1053" s="7" t="n">
        <f aca="false">AVERAGE(B854:B1053)</f>
        <v>1239.0012</v>
      </c>
      <c r="E1053" s="7" t="n">
        <f aca="false">B1053/MAX(B802:B1053)-1</f>
        <v>-0.32979067137483</v>
      </c>
      <c r="F1053" s="7" t="str">
        <f aca="false">IFERROR(INDEX(02_轉折點45個!B:B,MATCH(A1053,02_轉折點45個!A:A,0)),"")</f>
        <v/>
      </c>
      <c r="G1053" s="7" t="s">
        <v>1994</v>
      </c>
    </row>
    <row r="1054" customFormat="false" ht="15" hidden="false" customHeight="false" outlineLevel="0" collapsed="false">
      <c r="A1054" s="7" t="s">
        <v>2927</v>
      </c>
      <c r="B1054" s="7" t="n">
        <v>1168.68</v>
      </c>
      <c r="C1054" s="7" t="n">
        <f aca="false">AVERAGE(B1005:B1054)</f>
        <v>1227.6132</v>
      </c>
      <c r="D1054" s="7" t="n">
        <f aca="false">AVERAGE(B855:B1054)</f>
        <v>1237.25515</v>
      </c>
      <c r="E1054" s="7" t="n">
        <f aca="false">B1054/MAX(B803:B1054)-1</f>
        <v>-0.319866613125687</v>
      </c>
      <c r="F1054" s="7" t="str">
        <f aca="false">IFERROR(INDEX(02_轉折點45個!B:B,MATCH(A1054,02_轉折點45個!A:A,0)),"")</f>
        <v/>
      </c>
      <c r="G1054" s="7" t="s">
        <v>1994</v>
      </c>
    </row>
    <row r="1055" customFormat="false" ht="15" hidden="false" customHeight="false" outlineLevel="0" collapsed="false">
      <c r="A1055" s="7" t="s">
        <v>2928</v>
      </c>
      <c r="B1055" s="7" t="n">
        <v>1224.89</v>
      </c>
      <c r="C1055" s="7" t="n">
        <f aca="false">AVERAGE(B1006:B1055)</f>
        <v>1227.6356</v>
      </c>
      <c r="D1055" s="7" t="n">
        <f aca="false">AVERAGE(B856:B1055)</f>
        <v>1235.8327</v>
      </c>
      <c r="E1055" s="7" t="n">
        <f aca="false">B1055/MAX(B804:B1055)-1</f>
        <v>-0.287154238757849</v>
      </c>
      <c r="F1055" s="7" t="str">
        <f aca="false">IFERROR(INDEX(02_轉折點45個!B:B,MATCH(A1055,02_轉折點45個!A:A,0)),"")</f>
        <v/>
      </c>
      <c r="G1055" s="7" t="s">
        <v>1994</v>
      </c>
    </row>
    <row r="1056" customFormat="false" ht="15" hidden="false" customHeight="false" outlineLevel="0" collapsed="false">
      <c r="A1056" s="7" t="s">
        <v>2929</v>
      </c>
      <c r="B1056" s="7" t="n">
        <v>1224.49</v>
      </c>
      <c r="C1056" s="7" t="n">
        <f aca="false">AVERAGE(B1007:B1056)</f>
        <v>1227.7236</v>
      </c>
      <c r="D1056" s="7" t="n">
        <f aca="false">AVERAGE(B857:B1056)</f>
        <v>1234.53515</v>
      </c>
      <c r="E1056" s="7" t="n">
        <f aca="false">B1056/MAX(B805:B1056)-1</f>
        <v>-0.287387025624014</v>
      </c>
      <c r="F1056" s="7" t="str">
        <f aca="false">IFERROR(INDEX(02_轉折點45個!B:B,MATCH(A1056,02_轉折點45個!A:A,0)),"")</f>
        <v/>
      </c>
      <c r="G1056" s="7" t="s">
        <v>1994</v>
      </c>
    </row>
    <row r="1057" customFormat="false" ht="15" hidden="false" customHeight="false" outlineLevel="0" collapsed="false">
      <c r="A1057" s="7" t="s">
        <v>481</v>
      </c>
      <c r="B1057" s="7" t="n">
        <v>1271.94</v>
      </c>
      <c r="C1057" s="7" t="n">
        <f aca="false">AVERAGE(B1008:B1057)</f>
        <v>1227.8592</v>
      </c>
      <c r="D1057" s="7" t="n">
        <f aca="false">AVERAGE(B858:B1057)</f>
        <v>1233.44045</v>
      </c>
      <c r="E1057" s="7" t="n">
        <f aca="false">B1057/MAX(B806:B1057)-1</f>
        <v>-0.25977268362519</v>
      </c>
      <c r="F1057" s="7" t="str">
        <f aca="false">IFERROR(INDEX(02_轉折點45個!B:B,MATCH(A1057,02_轉折點45個!A:A,0)),"")</f>
        <v/>
      </c>
      <c r="G1057" s="7" t="s">
        <v>1994</v>
      </c>
    </row>
    <row r="1058" customFormat="false" ht="15" hidden="false" customHeight="false" outlineLevel="0" collapsed="false">
      <c r="A1058" s="7" t="s">
        <v>2930</v>
      </c>
      <c r="B1058" s="7" t="n">
        <v>1279.5</v>
      </c>
      <c r="C1058" s="7" t="n">
        <f aca="false">AVERAGE(B1009:B1058)</f>
        <v>1228.1052</v>
      </c>
      <c r="D1058" s="7" t="n">
        <f aca="false">AVERAGE(B859:B1058)</f>
        <v>1232.4575</v>
      </c>
      <c r="E1058" s="7" t="n">
        <f aca="false">B1058/MAX(B807:B1058)-1</f>
        <v>-0.255373011854671</v>
      </c>
      <c r="F1058" s="7" t="str">
        <f aca="false">IFERROR(INDEX(02_轉折點45個!B:B,MATCH(A1058,02_轉折點45個!A:A,0)),"")</f>
        <v/>
      </c>
      <c r="G1058" s="7" t="s">
        <v>1994</v>
      </c>
    </row>
    <row r="1059" customFormat="false" ht="15" hidden="false" customHeight="false" outlineLevel="0" collapsed="false">
      <c r="A1059" s="7" t="s">
        <v>2931</v>
      </c>
      <c r="B1059" s="7" t="n">
        <v>1276.32</v>
      </c>
      <c r="C1059" s="7" t="n">
        <f aca="false">AVERAGE(B1010:B1059)</f>
        <v>1227.662</v>
      </c>
      <c r="D1059" s="7" t="n">
        <f aca="false">AVERAGE(B860:B1059)</f>
        <v>1231.70155</v>
      </c>
      <c r="E1059" s="7" t="n">
        <f aca="false">B1059/MAX(B808:B1059)-1</f>
        <v>-0.252438045814761</v>
      </c>
      <c r="F1059" s="7" t="str">
        <f aca="false">IFERROR(INDEX(02_轉折點45個!B:B,MATCH(A1059,02_轉折點45個!A:A,0)),"")</f>
        <v/>
      </c>
      <c r="G1059" s="7" t="s">
        <v>1994</v>
      </c>
    </row>
    <row r="1060" customFormat="false" ht="15" hidden="false" customHeight="false" outlineLevel="0" collapsed="false">
      <c r="A1060" s="7" t="s">
        <v>2932</v>
      </c>
      <c r="B1060" s="7" t="n">
        <v>1281.53</v>
      </c>
      <c r="C1060" s="7" t="n">
        <f aca="false">AVERAGE(B1011:B1060)</f>
        <v>1227.1358</v>
      </c>
      <c r="D1060" s="7" t="n">
        <f aca="false">AVERAGE(B861:B1060)</f>
        <v>1230.90055</v>
      </c>
      <c r="E1060" s="7" t="n">
        <f aca="false">B1060/MAX(B809:B1060)-1</f>
        <v>-0.249386461743913</v>
      </c>
      <c r="F1060" s="7" t="str">
        <f aca="false">IFERROR(INDEX(02_轉折點45個!B:B,MATCH(A1060,02_轉折點45個!A:A,0)),"")</f>
        <v/>
      </c>
      <c r="G1060" s="7" t="s">
        <v>1994</v>
      </c>
    </row>
    <row r="1061" customFormat="false" ht="15" hidden="false" customHeight="false" outlineLevel="0" collapsed="false">
      <c r="A1061" s="7" t="s">
        <v>2933</v>
      </c>
      <c r="B1061" s="7" t="n">
        <v>1298.95</v>
      </c>
      <c r="C1061" s="7" t="n">
        <f aca="false">AVERAGE(B1012:B1061)</f>
        <v>1227.5152</v>
      </c>
      <c r="D1061" s="7" t="n">
        <f aca="false">AVERAGE(B862:B1061)</f>
        <v>1230.10835</v>
      </c>
      <c r="E1061" s="7" t="n">
        <f aca="false">B1061/MAX(B810:B1061)-1</f>
        <v>-0.236648174702052</v>
      </c>
      <c r="F1061" s="7" t="str">
        <f aca="false">IFERROR(INDEX(02_轉折點45個!B:B,MATCH(A1061,02_轉折點45個!A:A,0)),"")</f>
        <v/>
      </c>
      <c r="G1061" s="7" t="s">
        <v>1994</v>
      </c>
    </row>
    <row r="1062" customFormat="false" ht="15" hidden="false" customHeight="false" outlineLevel="0" collapsed="false">
      <c r="A1062" s="7" t="s">
        <v>2934</v>
      </c>
      <c r="B1062" s="7" t="n">
        <v>1251.39</v>
      </c>
      <c r="C1062" s="7" t="n">
        <f aca="false">AVERAGE(B1013:B1062)</f>
        <v>1226.2602</v>
      </c>
      <c r="D1062" s="7" t="n">
        <f aca="false">AVERAGE(B863:B1062)</f>
        <v>1229.2628</v>
      </c>
      <c r="E1062" s="7" t="n">
        <f aca="false">B1062/MAX(B811:B1062)-1</f>
        <v>-0.264597682235961</v>
      </c>
      <c r="F1062" s="7" t="str">
        <f aca="false">IFERROR(INDEX(02_轉折點45個!B:B,MATCH(A1062,02_轉折點45個!A:A,0)),"")</f>
        <v/>
      </c>
      <c r="G1062" s="7" t="s">
        <v>1994</v>
      </c>
    </row>
    <row r="1063" customFormat="false" ht="15" hidden="false" customHeight="false" outlineLevel="0" collapsed="false">
      <c r="A1063" s="7" t="s">
        <v>2935</v>
      </c>
      <c r="B1063" s="7" t="n">
        <v>1270.79</v>
      </c>
      <c r="C1063" s="7" t="n">
        <f aca="false">AVERAGE(B1014:B1063)</f>
        <v>1225.224</v>
      </c>
      <c r="D1063" s="7" t="n">
        <f aca="false">AVERAGE(B864:B1063)</f>
        <v>1228.6029</v>
      </c>
      <c r="E1063" s="7" t="n">
        <f aca="false">B1063/MAX(B812:B1063)-1</f>
        <v>-0.25319691591641</v>
      </c>
      <c r="F1063" s="7" t="str">
        <f aca="false">IFERROR(INDEX(02_轉折點45個!B:B,MATCH(A1063,02_轉折點45個!A:A,0)),"")</f>
        <v/>
      </c>
      <c r="G1063" s="7" t="s">
        <v>1994</v>
      </c>
    </row>
    <row r="1064" customFormat="false" ht="15" hidden="false" customHeight="false" outlineLevel="0" collapsed="false">
      <c r="A1064" s="7" t="s">
        <v>2936</v>
      </c>
      <c r="B1064" s="7" t="n">
        <v>1267.54</v>
      </c>
      <c r="C1064" s="7" t="n">
        <f aca="false">AVERAGE(B1015:B1064)</f>
        <v>1224.1536</v>
      </c>
      <c r="D1064" s="7" t="n">
        <f aca="false">AVERAGE(B865:B1064)</f>
        <v>1227.9486</v>
      </c>
      <c r="E1064" s="7" t="n">
        <f aca="false">B1064/MAX(B813:B1064)-1</f>
        <v>-0.255106838109118</v>
      </c>
      <c r="F1064" s="7" t="str">
        <f aca="false">IFERROR(INDEX(02_轉折點45個!B:B,MATCH(A1064,02_轉折點45個!A:A,0)),"")</f>
        <v/>
      </c>
      <c r="G1064" s="7" t="s">
        <v>1994</v>
      </c>
    </row>
    <row r="1065" customFormat="false" ht="15" hidden="false" customHeight="false" outlineLevel="0" collapsed="false">
      <c r="A1065" s="7" t="s">
        <v>2937</v>
      </c>
      <c r="B1065" s="7" t="n">
        <v>1264.61</v>
      </c>
      <c r="C1065" s="7" t="n">
        <f aca="false">AVERAGE(B1016:B1065)</f>
        <v>1222.7514</v>
      </c>
      <c r="D1065" s="7" t="n">
        <f aca="false">AVERAGE(B866:B1065)</f>
        <v>1227.43275</v>
      </c>
      <c r="E1065" s="7" t="n">
        <f aca="false">B1065/MAX(B814:B1065)-1</f>
        <v>-0.256828706424391</v>
      </c>
      <c r="F1065" s="7" t="str">
        <f aca="false">IFERROR(INDEX(02_轉折點45個!B:B,MATCH(A1065,02_轉折點45個!A:A,0)),"")</f>
        <v/>
      </c>
      <c r="G1065" s="7" t="s">
        <v>1994</v>
      </c>
    </row>
    <row r="1066" customFormat="false" ht="15" hidden="false" customHeight="false" outlineLevel="0" collapsed="false">
      <c r="A1066" s="7" t="s">
        <v>2938</v>
      </c>
      <c r="B1066" s="7" t="n">
        <v>1251.23</v>
      </c>
      <c r="C1066" s="7" t="n">
        <f aca="false">AVERAGE(B1017:B1066)</f>
        <v>1221.487</v>
      </c>
      <c r="D1066" s="7" t="n">
        <f aca="false">AVERAGE(B867:B1066)</f>
        <v>1226.74975</v>
      </c>
      <c r="E1066" s="7" t="n">
        <f aca="false">B1066/MAX(B815:B1066)-1</f>
        <v>-0.264691709174679</v>
      </c>
      <c r="F1066" s="7" t="str">
        <f aca="false">IFERROR(INDEX(02_轉折點45個!B:B,MATCH(A1066,02_轉折點45個!A:A,0)),"")</f>
        <v/>
      </c>
      <c r="G1066" s="7" t="s">
        <v>1994</v>
      </c>
    </row>
    <row r="1067" customFormat="false" ht="15" hidden="false" customHeight="false" outlineLevel="0" collapsed="false">
      <c r="A1067" s="7" t="s">
        <v>482</v>
      </c>
      <c r="B1067" s="7" t="n">
        <v>1225.26</v>
      </c>
      <c r="C1067" s="7" t="n">
        <f aca="false">AVERAGE(B1018:B1067)</f>
        <v>1219.9782</v>
      </c>
      <c r="D1067" s="7" t="n">
        <f aca="false">AVERAGE(B868:B1067)</f>
        <v>1226.0385</v>
      </c>
      <c r="E1067" s="7" t="n">
        <f aca="false">B1067/MAX(B816:B1067)-1</f>
        <v>-0.26178928405743</v>
      </c>
      <c r="F1067" s="7" t="str">
        <f aca="false">IFERROR(INDEX(02_轉折點45個!B:B,MATCH(A1067,02_轉折點45個!A:A,0)),"")</f>
        <v/>
      </c>
      <c r="G1067" s="7" t="s">
        <v>1994</v>
      </c>
    </row>
    <row r="1068" customFormat="false" ht="15" hidden="false" customHeight="false" outlineLevel="0" collapsed="false">
      <c r="A1068" s="7" t="s">
        <v>483</v>
      </c>
      <c r="B1068" s="7" t="n">
        <v>1231.77</v>
      </c>
      <c r="C1068" s="7" t="n">
        <f aca="false">AVERAGE(B1019:B1068)</f>
        <v>1219.4686</v>
      </c>
      <c r="D1068" s="7" t="n">
        <f aca="false">AVERAGE(B869:B1068)</f>
        <v>1225.3239</v>
      </c>
      <c r="E1068" s="7" t="n">
        <f aca="false">B1068/MAX(B817:B1068)-1</f>
        <v>-0.25786705386891</v>
      </c>
      <c r="F1068" s="7" t="str">
        <f aca="false">IFERROR(INDEX(02_轉折點45個!B:B,MATCH(A1068,02_轉折點45個!A:A,0)),"")</f>
        <v/>
      </c>
      <c r="G1068" s="7" t="s">
        <v>1994</v>
      </c>
    </row>
    <row r="1069" customFormat="false" ht="15" hidden="false" customHeight="false" outlineLevel="0" collapsed="false">
      <c r="A1069" s="7" t="s">
        <v>2939</v>
      </c>
      <c r="B1069" s="7" t="n">
        <v>1276.01</v>
      </c>
      <c r="C1069" s="7" t="n">
        <f aca="false">AVERAGE(B1020:B1069)</f>
        <v>1220.062</v>
      </c>
      <c r="D1069" s="7" t="n">
        <f aca="false">AVERAGE(B870:B1069)</f>
        <v>1224.60875</v>
      </c>
      <c r="E1069" s="7" t="n">
        <f aca="false">B1069/MAX(B818:B1069)-1</f>
        <v>-0.231212758394235</v>
      </c>
      <c r="F1069" s="7" t="str">
        <f aca="false">IFERROR(INDEX(02_轉折點45個!B:B,MATCH(A1069,02_轉折點45個!A:A,0)),"")</f>
        <v/>
      </c>
      <c r="G1069" s="7" t="s">
        <v>1994</v>
      </c>
    </row>
    <row r="1070" customFormat="false" ht="15" hidden="false" customHeight="false" outlineLevel="0" collapsed="false">
      <c r="A1070" s="7" t="s">
        <v>2940</v>
      </c>
      <c r="B1070" s="7" t="n">
        <v>1275.88</v>
      </c>
      <c r="C1070" s="7" t="n">
        <f aca="false">AVERAGE(B1021:B1070)</f>
        <v>1220.74</v>
      </c>
      <c r="D1070" s="7" t="n">
        <f aca="false">AVERAGE(B871:B1070)</f>
        <v>1223.9401</v>
      </c>
      <c r="E1070" s="7" t="n">
        <f aca="false">B1070/MAX(B819:B1070)-1</f>
        <v>-0.231291082499382</v>
      </c>
      <c r="F1070" s="7" t="str">
        <f aca="false">IFERROR(INDEX(02_轉折點45個!B:B,MATCH(A1070,02_轉折點45個!A:A,0)),"")</f>
        <v/>
      </c>
      <c r="G1070" s="7" t="s">
        <v>1994</v>
      </c>
    </row>
    <row r="1071" customFormat="false" ht="15" hidden="false" customHeight="false" outlineLevel="0" collapsed="false">
      <c r="A1071" s="7" t="s">
        <v>484</v>
      </c>
      <c r="B1071" s="7" t="n">
        <v>1263.94</v>
      </c>
      <c r="C1071" s="7" t="n">
        <f aca="false">AVERAGE(B1022:B1071)</f>
        <v>1220.653</v>
      </c>
      <c r="D1071" s="7" t="n">
        <f aca="false">AVERAGE(B872:B1071)</f>
        <v>1223.4225</v>
      </c>
      <c r="E1071" s="7" t="n">
        <f aca="false">B1071/MAX(B820:B1071)-1</f>
        <v>-0.238484850310585</v>
      </c>
      <c r="F1071" s="7" t="str">
        <f aca="false">IFERROR(INDEX(02_轉折點45個!B:B,MATCH(A1071,02_轉折點45個!A:A,0)),"")</f>
        <v/>
      </c>
      <c r="G1071" s="7" t="s">
        <v>1994</v>
      </c>
    </row>
    <row r="1072" customFormat="false" ht="15" hidden="false" customHeight="false" outlineLevel="0" collapsed="false">
      <c r="A1072" s="7" t="s">
        <v>2941</v>
      </c>
      <c r="B1072" s="7" t="n">
        <v>1269.42</v>
      </c>
      <c r="C1072" s="7" t="n">
        <f aca="false">AVERAGE(B1023:B1072)</f>
        <v>1221.5186</v>
      </c>
      <c r="D1072" s="7" t="n">
        <f aca="false">AVERAGE(B873:B1072)</f>
        <v>1223.0788</v>
      </c>
      <c r="E1072" s="7" t="n">
        <f aca="false">B1072/MAX(B821:B1072)-1</f>
        <v>-0.235183188032077</v>
      </c>
      <c r="F1072" s="7" t="str">
        <f aca="false">IFERROR(INDEX(02_轉折點45個!B:B,MATCH(A1072,02_轉折點45個!A:A,0)),"")</f>
        <v/>
      </c>
      <c r="G1072" s="7" t="s">
        <v>1994</v>
      </c>
    </row>
    <row r="1073" customFormat="false" ht="15" hidden="false" customHeight="false" outlineLevel="0" collapsed="false">
      <c r="A1073" s="7" t="s">
        <v>2942</v>
      </c>
      <c r="B1073" s="7" t="n">
        <v>1263.42</v>
      </c>
      <c r="C1073" s="7" t="n">
        <f aca="false">AVERAGE(B1024:B1073)</f>
        <v>1222.5724</v>
      </c>
      <c r="D1073" s="7" t="n">
        <f aca="false">AVERAGE(B874:B1073)</f>
        <v>1222.8138</v>
      </c>
      <c r="E1073" s="7" t="n">
        <f aca="false">B1073/MAX(B822:B1073)-1</f>
        <v>-0.238798146731174</v>
      </c>
      <c r="F1073" s="7" t="str">
        <f aca="false">IFERROR(INDEX(02_轉折點45個!B:B,MATCH(A1073,02_轉折點45個!A:A,0)),"")</f>
        <v/>
      </c>
      <c r="G1073" s="7" t="s">
        <v>1994</v>
      </c>
    </row>
    <row r="1074" customFormat="false" ht="15" hidden="false" customHeight="false" outlineLevel="0" collapsed="false">
      <c r="A1074" s="7" t="s">
        <v>2943</v>
      </c>
      <c r="B1074" s="7" t="n">
        <v>1239.48</v>
      </c>
      <c r="C1074" s="7" t="n">
        <f aca="false">AVERAGE(B1025:B1074)</f>
        <v>1222.8384</v>
      </c>
      <c r="D1074" s="7" t="n">
        <f aca="false">AVERAGE(B875:B1074)</f>
        <v>1222.34055</v>
      </c>
      <c r="E1074" s="7" t="n">
        <f aca="false">B1074/MAX(B823:B1074)-1</f>
        <v>-0.25322183194057</v>
      </c>
      <c r="F1074" s="7" t="str">
        <f aca="false">IFERROR(INDEX(02_轉折點45個!B:B,MATCH(A1074,02_轉折點45個!A:A,0)),"")</f>
        <v/>
      </c>
      <c r="G1074" s="7" t="s">
        <v>1994</v>
      </c>
    </row>
    <row r="1075" customFormat="false" ht="15" hidden="false" customHeight="false" outlineLevel="0" collapsed="false">
      <c r="A1075" s="7" t="s">
        <v>2944</v>
      </c>
      <c r="B1075" s="7" t="n">
        <v>1247.58</v>
      </c>
      <c r="C1075" s="7" t="n">
        <f aca="false">AVERAGE(B1026:B1075)</f>
        <v>1222.9762</v>
      </c>
      <c r="D1075" s="7" t="n">
        <f aca="false">AVERAGE(B876:B1075)</f>
        <v>1222.07385</v>
      </c>
      <c r="E1075" s="7" t="n">
        <f aca="false">B1075/MAX(B824:B1075)-1</f>
        <v>-0.248341637696789</v>
      </c>
      <c r="F1075" s="7" t="str">
        <f aca="false">IFERROR(INDEX(02_轉折點45個!B:B,MATCH(A1075,02_轉折點45個!A:A,0)),"")</f>
        <v/>
      </c>
      <c r="G1075" s="7" t="s">
        <v>1994</v>
      </c>
    </row>
    <row r="1076" customFormat="false" ht="15" hidden="false" customHeight="false" outlineLevel="0" collapsed="false">
      <c r="A1076" s="7" t="s">
        <v>2945</v>
      </c>
      <c r="B1076" s="7" t="n">
        <v>1241.41</v>
      </c>
      <c r="C1076" s="7" t="n">
        <f aca="false">AVERAGE(B1027:B1076)</f>
        <v>1223.6432</v>
      </c>
      <c r="D1076" s="7" t="n">
        <f aca="false">AVERAGE(B877:B1076)</f>
        <v>1221.7519</v>
      </c>
      <c r="E1076" s="7" t="n">
        <f aca="false">B1076/MAX(B825:B1076)-1</f>
        <v>-0.252059020225694</v>
      </c>
      <c r="F1076" s="7" t="str">
        <f aca="false">IFERROR(INDEX(02_轉折點45個!B:B,MATCH(A1076,02_轉折點45個!A:A,0)),"")</f>
        <v/>
      </c>
      <c r="G1076" s="7" t="s">
        <v>1994</v>
      </c>
    </row>
    <row r="1077" customFormat="false" ht="15" hidden="false" customHeight="false" outlineLevel="0" collapsed="false">
      <c r="A1077" s="7" t="s">
        <v>2946</v>
      </c>
      <c r="B1077" s="7" t="n">
        <v>1265.25</v>
      </c>
      <c r="C1077" s="7" t="n">
        <f aca="false">AVERAGE(B1028:B1077)</f>
        <v>1224.8132</v>
      </c>
      <c r="D1077" s="7" t="n">
        <f aca="false">AVERAGE(B878:B1077)</f>
        <v>1221.4127</v>
      </c>
      <c r="E1077" s="7" t="n">
        <f aca="false">B1077/MAX(B826:B1077)-1</f>
        <v>-0.237695584327949</v>
      </c>
      <c r="F1077" s="7" t="str">
        <f aca="false">IFERROR(INDEX(02_轉折點45個!B:B,MATCH(A1077,02_轉折點45個!A:A,0)),"")</f>
        <v/>
      </c>
      <c r="G1077" s="7" t="s">
        <v>1994</v>
      </c>
    </row>
    <row r="1078" customFormat="false" ht="15" hidden="false" customHeight="false" outlineLevel="0" collapsed="false">
      <c r="A1078" s="7" t="s">
        <v>2947</v>
      </c>
      <c r="B1078" s="7" t="n">
        <v>1270.79</v>
      </c>
      <c r="C1078" s="7" t="n">
        <f aca="false">AVERAGE(B1029:B1078)</f>
        <v>1226.0414</v>
      </c>
      <c r="D1078" s="7" t="n">
        <f aca="false">AVERAGE(B879:B1078)</f>
        <v>1221.0829</v>
      </c>
      <c r="E1078" s="7" t="n">
        <f aca="false">B1078/MAX(B827:B1078)-1</f>
        <v>-0.231770424016733</v>
      </c>
      <c r="F1078" s="7" t="str">
        <f aca="false">IFERROR(INDEX(02_轉折點45個!B:B,MATCH(A1078,02_轉折點45個!A:A,0)),"")</f>
        <v/>
      </c>
      <c r="G1078" s="7" t="s">
        <v>1994</v>
      </c>
    </row>
    <row r="1079" customFormat="false" ht="15" hidden="false" customHeight="false" outlineLevel="0" collapsed="false">
      <c r="A1079" s="7" t="s">
        <v>2948</v>
      </c>
      <c r="B1079" s="7" t="n">
        <v>1274.18</v>
      </c>
      <c r="C1079" s="7" t="n">
        <f aca="false">AVERAGE(B1030:B1079)</f>
        <v>1227.6598</v>
      </c>
      <c r="D1079" s="7" t="n">
        <f aca="false">AVERAGE(B880:B1079)</f>
        <v>1221.04145</v>
      </c>
      <c r="E1079" s="7" t="n">
        <f aca="false">B1079/MAX(B828:B1079)-1</f>
        <v>-0.226198645735281</v>
      </c>
      <c r="F1079" s="7" t="str">
        <f aca="false">IFERROR(INDEX(02_轉折點45個!B:B,MATCH(A1079,02_轉折點45個!A:A,0)),"")</f>
        <v/>
      </c>
      <c r="G1079" s="7" t="s">
        <v>1994</v>
      </c>
    </row>
    <row r="1080" customFormat="false" ht="15" hidden="false" customHeight="false" outlineLevel="0" collapsed="false">
      <c r="A1080" s="7" t="s">
        <v>485</v>
      </c>
      <c r="B1080" s="7" t="n">
        <v>1302.3</v>
      </c>
      <c r="C1080" s="7" t="n">
        <f aca="false">AVERAGE(B1031:B1080)</f>
        <v>1229.9256</v>
      </c>
      <c r="D1080" s="7" t="n">
        <f aca="false">AVERAGE(B881:B1080)</f>
        <v>1221.3506</v>
      </c>
      <c r="E1080" s="7" t="n">
        <f aca="false">B1080/MAX(B829:B1080)-1</f>
        <v>-0.206654767198894</v>
      </c>
      <c r="F1080" s="7" t="str">
        <f aca="false">IFERROR(INDEX(02_轉折點45個!B:B,MATCH(A1080,02_轉折點45個!A:A,0)),"")</f>
        <v/>
      </c>
      <c r="G1080" s="7" t="s">
        <v>1994</v>
      </c>
    </row>
    <row r="1081" customFormat="false" ht="15" hidden="false" customHeight="false" outlineLevel="0" collapsed="false">
      <c r="A1081" s="7" t="s">
        <v>2949</v>
      </c>
      <c r="B1081" s="7" t="n">
        <v>1301.27</v>
      </c>
      <c r="C1081" s="7" t="n">
        <f aca="false">AVERAGE(B1032:B1081)</f>
        <v>1232.1666</v>
      </c>
      <c r="D1081" s="7" t="n">
        <f aca="false">AVERAGE(B882:B1081)</f>
        <v>1221.5525</v>
      </c>
      <c r="E1081" s="7" t="n">
        <f aca="false">B1081/MAX(B830:B1081)-1</f>
        <v>-0.190087634127518</v>
      </c>
      <c r="F1081" s="7" t="str">
        <f aca="false">IFERROR(INDEX(02_轉折點45個!B:B,MATCH(A1081,02_轉折點45個!A:A,0)),"")</f>
        <v/>
      </c>
      <c r="G1081" s="7" t="s">
        <v>1994</v>
      </c>
    </row>
    <row r="1082" customFormat="false" ht="15" hidden="false" customHeight="false" outlineLevel="0" collapsed="false">
      <c r="A1082" s="7" t="s">
        <v>2950</v>
      </c>
      <c r="B1082" s="7" t="n">
        <v>1325.92</v>
      </c>
      <c r="C1082" s="7" t="n">
        <f aca="false">AVERAGE(B1033:B1082)</f>
        <v>1235.2524</v>
      </c>
      <c r="D1082" s="7" t="n">
        <f aca="false">AVERAGE(B883:B1082)</f>
        <v>1221.5662</v>
      </c>
      <c r="E1082" s="7" t="n">
        <f aca="false">B1082/MAX(B831:B1082)-1</f>
        <v>-0.166554570083412</v>
      </c>
      <c r="F1082" s="7" t="str">
        <f aca="false">IFERROR(INDEX(02_轉折點45個!B:B,MATCH(A1082,02_轉折點45個!A:A,0)),"")</f>
        <v/>
      </c>
      <c r="G1082" s="7" t="s">
        <v>1994</v>
      </c>
    </row>
    <row r="1083" customFormat="false" ht="15" hidden="false" customHeight="false" outlineLevel="0" collapsed="false">
      <c r="A1083" s="7" t="s">
        <v>2951</v>
      </c>
      <c r="B1083" s="7" t="n">
        <v>1339.44</v>
      </c>
      <c r="C1083" s="7" t="n">
        <f aca="false">AVERAGE(B1034:B1083)</f>
        <v>1238.349</v>
      </c>
      <c r="D1083" s="7" t="n">
        <f aca="false">AVERAGE(B884:B1083)</f>
        <v>1221.84275</v>
      </c>
      <c r="E1083" s="7" t="n">
        <f aca="false">B1083/MAX(B832:B1083)-1</f>
        <v>-0.158056182388474</v>
      </c>
      <c r="F1083" s="7" t="str">
        <f aca="false">IFERROR(INDEX(02_轉折點45個!B:B,MATCH(A1083,02_轉折點45個!A:A,0)),"")</f>
        <v/>
      </c>
      <c r="G1083" s="7" t="s">
        <v>1994</v>
      </c>
    </row>
    <row r="1084" customFormat="false" ht="15" hidden="false" customHeight="false" outlineLevel="0" collapsed="false">
      <c r="A1084" s="7" t="s">
        <v>2952</v>
      </c>
      <c r="B1084" s="7" t="n">
        <v>1331.29</v>
      </c>
      <c r="C1084" s="7" t="n">
        <f aca="false">AVERAGE(B1035:B1084)</f>
        <v>1241.3048</v>
      </c>
      <c r="D1084" s="7" t="n">
        <f aca="false">AVERAGE(B885:B1084)</f>
        <v>1222.19045</v>
      </c>
      <c r="E1084" s="7" t="n">
        <f aca="false">B1084/MAX(B833:B1084)-1</f>
        <v>-0.163179101006355</v>
      </c>
      <c r="F1084" s="7" t="str">
        <f aca="false">IFERROR(INDEX(02_轉折點45個!B:B,MATCH(A1084,02_轉折點45個!A:A,0)),"")</f>
        <v/>
      </c>
      <c r="G1084" s="7" t="s">
        <v>1994</v>
      </c>
    </row>
    <row r="1085" customFormat="false" ht="15" hidden="false" customHeight="false" outlineLevel="0" collapsed="false">
      <c r="A1085" s="7" t="s">
        <v>2953</v>
      </c>
      <c r="B1085" s="7" t="n">
        <v>1310.56</v>
      </c>
      <c r="C1085" s="7" t="n">
        <f aca="false">AVERAGE(B1036:B1085)</f>
        <v>1244.1474</v>
      </c>
      <c r="D1085" s="7" t="n">
        <f aca="false">AVERAGE(B886:B1085)</f>
        <v>1222.59485</v>
      </c>
      <c r="E1085" s="7" t="n">
        <f aca="false">B1085/MAX(B834:B1085)-1</f>
        <v>-0.176209543085946</v>
      </c>
      <c r="F1085" s="7" t="str">
        <f aca="false">IFERROR(INDEX(02_轉折點45個!B:B,MATCH(A1085,02_轉折點45個!A:A,0)),"")</f>
        <v/>
      </c>
      <c r="G1085" s="7" t="s">
        <v>1994</v>
      </c>
    </row>
    <row r="1086" customFormat="false" ht="15" hidden="false" customHeight="false" outlineLevel="0" collapsed="false">
      <c r="A1086" s="7" t="s">
        <v>2954</v>
      </c>
      <c r="B1086" s="7" t="n">
        <v>1335.86</v>
      </c>
      <c r="C1086" s="7" t="n">
        <f aca="false">AVERAGE(B1037:B1086)</f>
        <v>1247.524</v>
      </c>
      <c r="D1086" s="7" t="n">
        <f aca="false">AVERAGE(B887:B1086)</f>
        <v>1222.99595</v>
      </c>
      <c r="E1086" s="7" t="n">
        <f aca="false">B1086/MAX(B835:B1086)-1</f>
        <v>-0.160306495106513</v>
      </c>
      <c r="F1086" s="7" t="str">
        <f aca="false">IFERROR(INDEX(02_轉折點45個!B:B,MATCH(A1086,02_轉折點45個!A:A,0)),"")</f>
        <v/>
      </c>
      <c r="G1086" s="7" t="s">
        <v>1994</v>
      </c>
    </row>
    <row r="1087" customFormat="false" ht="15" hidden="false" customHeight="false" outlineLevel="0" collapsed="false">
      <c r="A1087" s="7" t="s">
        <v>2955</v>
      </c>
      <c r="B1087" s="7" t="n">
        <v>1344.14</v>
      </c>
      <c r="C1087" s="7" t="n">
        <f aca="false">AVERAGE(B1038:B1087)</f>
        <v>1250.468</v>
      </c>
      <c r="D1087" s="7" t="n">
        <f aca="false">AVERAGE(B888:B1087)</f>
        <v>1223.4427</v>
      </c>
      <c r="E1087" s="7" t="n">
        <f aca="false">B1087/MAX(B836:B1087)-1</f>
        <v>-0.155101861222335</v>
      </c>
      <c r="F1087" s="7" t="str">
        <f aca="false">IFERROR(INDEX(02_轉折點45個!B:B,MATCH(A1087,02_轉折點45個!A:A,0)),"")</f>
        <v/>
      </c>
      <c r="G1087" s="7" t="s">
        <v>1994</v>
      </c>
    </row>
    <row r="1088" customFormat="false" ht="15" hidden="false" customHeight="false" outlineLevel="0" collapsed="false">
      <c r="A1088" s="7" t="s">
        <v>2956</v>
      </c>
      <c r="B1088" s="7" t="n">
        <v>1337.75</v>
      </c>
      <c r="C1088" s="7" t="n">
        <f aca="false">AVERAGE(B1039:B1088)</f>
        <v>1252.6198</v>
      </c>
      <c r="D1088" s="7" t="n">
        <f aca="false">AVERAGE(B889:B1088)</f>
        <v>1223.81585</v>
      </c>
      <c r="E1088" s="7" t="n">
        <f aca="false">B1088/MAX(B837:B1088)-1</f>
        <v>-0.159118480850342</v>
      </c>
      <c r="F1088" s="7" t="str">
        <f aca="false">IFERROR(INDEX(02_轉折點45個!B:B,MATCH(A1088,02_轉折點45個!A:A,0)),"")</f>
        <v/>
      </c>
      <c r="G1088" s="7" t="s">
        <v>1994</v>
      </c>
    </row>
    <row r="1089" customFormat="false" ht="15" hidden="false" customHeight="false" outlineLevel="0" collapsed="false">
      <c r="A1089" s="7" t="s">
        <v>2957</v>
      </c>
      <c r="B1089" s="7" t="n">
        <v>1345.29</v>
      </c>
      <c r="C1089" s="7" t="n">
        <f aca="false">AVERAGE(B1040:B1089)</f>
        <v>1255.1456</v>
      </c>
      <c r="D1089" s="7" t="n">
        <f aca="false">AVERAGE(B890:B1089)</f>
        <v>1224.2603</v>
      </c>
      <c r="E1089" s="7" t="n">
        <f aca="false">B1089/MAX(B838:B1089)-1</f>
        <v>-0.154378995405088</v>
      </c>
      <c r="F1089" s="7" t="str">
        <f aca="false">IFERROR(INDEX(02_轉折點45個!B:B,MATCH(A1089,02_轉折點45個!A:A,0)),"")</f>
        <v/>
      </c>
      <c r="G1089" s="7" t="s">
        <v>1994</v>
      </c>
    </row>
    <row r="1090" customFormat="false" ht="15" hidden="false" customHeight="false" outlineLevel="0" collapsed="false">
      <c r="A1090" s="7" t="s">
        <v>2958</v>
      </c>
      <c r="B1090" s="7" t="n">
        <v>1372.99</v>
      </c>
      <c r="C1090" s="7" t="n">
        <f aca="false">AVERAGE(B1041:B1090)</f>
        <v>1258.2818</v>
      </c>
      <c r="D1090" s="7" t="n">
        <f aca="false">AVERAGE(B891:B1090)</f>
        <v>1224.7428</v>
      </c>
      <c r="E1090" s="7" t="n">
        <f aca="false">B1090/MAX(B839:B1090)-1</f>
        <v>-0.136967357894009</v>
      </c>
      <c r="F1090" s="7" t="str">
        <f aca="false">IFERROR(INDEX(02_轉折點45個!B:B,MATCH(A1090,02_轉折點45個!A:A,0)),"")</f>
        <v/>
      </c>
      <c r="G1090" s="7" t="s">
        <v>1994</v>
      </c>
    </row>
    <row r="1091" customFormat="false" ht="15" hidden="false" customHeight="false" outlineLevel="0" collapsed="false">
      <c r="A1091" s="7" t="s">
        <v>2959</v>
      </c>
      <c r="B1091" s="7" t="n">
        <v>1374.05</v>
      </c>
      <c r="C1091" s="7" t="n">
        <f aca="false">AVERAGE(B1042:B1091)</f>
        <v>1261.1142</v>
      </c>
      <c r="D1091" s="7" t="n">
        <f aca="false">AVERAGE(B892:B1091)</f>
        <v>1225.4147</v>
      </c>
      <c r="E1091" s="7" t="n">
        <f aca="false">B1091/MAX(B840:B1091)-1</f>
        <v>-0.136301064184199</v>
      </c>
      <c r="F1091" s="7" t="str">
        <f aca="false">IFERROR(INDEX(02_轉折點45個!B:B,MATCH(A1091,02_轉折點45個!A:A,0)),"")</f>
        <v/>
      </c>
      <c r="G1091" s="7" t="s">
        <v>1994</v>
      </c>
    </row>
    <row r="1092" customFormat="false" ht="15" hidden="false" customHeight="false" outlineLevel="0" collapsed="false">
      <c r="A1092" s="7" t="s">
        <v>2960</v>
      </c>
      <c r="B1092" s="7" t="n">
        <v>1392.02</v>
      </c>
      <c r="C1092" s="7" t="n">
        <f aca="false">AVERAGE(B1043:B1092)</f>
        <v>1264.7928</v>
      </c>
      <c r="D1092" s="7" t="n">
        <f aca="false">AVERAGE(B893:B1092)</f>
        <v>1226.3491</v>
      </c>
      <c r="E1092" s="7" t="n">
        <f aca="false">B1092/MAX(B841:B1092)-1</f>
        <v>-0.125005500066001</v>
      </c>
      <c r="F1092" s="7" t="str">
        <f aca="false">IFERROR(INDEX(02_轉折點45個!B:B,MATCH(A1092,02_轉折點45個!A:A,0)),"")</f>
        <v/>
      </c>
      <c r="G1092" s="7" t="s">
        <v>1994</v>
      </c>
    </row>
    <row r="1093" customFormat="false" ht="15" hidden="false" customHeight="false" outlineLevel="0" collapsed="false">
      <c r="A1093" s="7" t="s">
        <v>2961</v>
      </c>
      <c r="B1093" s="7" t="n">
        <v>1376.53</v>
      </c>
      <c r="C1093" s="7" t="n">
        <f aca="false">AVERAGE(B1044:B1093)</f>
        <v>1268.041</v>
      </c>
      <c r="D1093" s="7" t="n">
        <f aca="false">AVERAGE(B894:B1093)</f>
        <v>1227.3728</v>
      </c>
      <c r="E1093" s="7" t="n">
        <f aca="false">B1093/MAX(B842:B1093)-1</f>
        <v>-0.134742188334832</v>
      </c>
      <c r="F1093" s="7" t="str">
        <f aca="false">IFERROR(INDEX(02_轉折點45個!B:B,MATCH(A1093,02_轉折點45個!A:A,0)),"")</f>
        <v/>
      </c>
      <c r="G1093" s="7" t="s">
        <v>1994</v>
      </c>
    </row>
    <row r="1094" customFormat="false" ht="15" hidden="false" customHeight="false" outlineLevel="0" collapsed="false">
      <c r="A1094" s="7" t="s">
        <v>2962</v>
      </c>
      <c r="B1094" s="7" t="n">
        <v>1360.94</v>
      </c>
      <c r="C1094" s="7" t="n">
        <f aca="false">AVERAGE(B1045:B1094)</f>
        <v>1271.4396</v>
      </c>
      <c r="D1094" s="7" t="n">
        <f aca="false">AVERAGE(B895:B1094)</f>
        <v>1228.56335</v>
      </c>
      <c r="E1094" s="7" t="n">
        <f aca="false">B1094/MAX(B843:B1094)-1</f>
        <v>-0.144541734500814</v>
      </c>
      <c r="F1094" s="7" t="str">
        <f aca="false">IFERROR(INDEX(02_轉折點45個!B:B,MATCH(A1094,02_轉折點45個!A:A,0)),"")</f>
        <v/>
      </c>
      <c r="G1094" s="7" t="s">
        <v>1994</v>
      </c>
    </row>
    <row r="1095" customFormat="false" ht="15" hidden="false" customHeight="false" outlineLevel="0" collapsed="false">
      <c r="A1095" s="7" t="s">
        <v>2963</v>
      </c>
      <c r="B1095" s="7" t="n">
        <v>1388.77</v>
      </c>
      <c r="C1095" s="7" t="n">
        <f aca="false">AVERAGE(B1046:B1095)</f>
        <v>1275.0246</v>
      </c>
      <c r="D1095" s="7" t="n">
        <f aca="false">AVERAGE(B896:B1095)</f>
        <v>1229.6136</v>
      </c>
      <c r="E1095" s="7" t="n">
        <f aca="false">B1095/MAX(B844:B1095)-1</f>
        <v>-0.127048381723438</v>
      </c>
      <c r="F1095" s="7" t="str">
        <f aca="false">IFERROR(INDEX(02_轉折點45個!B:B,MATCH(A1095,02_轉折點45個!A:A,0)),"")</f>
        <v/>
      </c>
      <c r="G1095" s="7" t="s">
        <v>1994</v>
      </c>
    </row>
    <row r="1096" customFormat="false" ht="15" hidden="false" customHeight="false" outlineLevel="0" collapsed="false">
      <c r="A1096" s="7" t="s">
        <v>2964</v>
      </c>
      <c r="B1096" s="7" t="n">
        <v>1408.18</v>
      </c>
      <c r="C1096" s="7" t="n">
        <f aca="false">AVERAGE(B1047:B1096)</f>
        <v>1278.7498</v>
      </c>
      <c r="D1096" s="7" t="n">
        <f aca="false">AVERAGE(B897:B1096)</f>
        <v>1230.99</v>
      </c>
      <c r="E1096" s="7" t="n">
        <f aca="false">B1096/MAX(B845:B1096)-1</f>
        <v>-0.114847663886252</v>
      </c>
      <c r="F1096" s="7" t="str">
        <f aca="false">IFERROR(INDEX(02_轉折點45個!B:B,MATCH(A1096,02_轉折點45個!A:A,0)),"")</f>
        <v/>
      </c>
      <c r="G1096" s="7" t="s">
        <v>1994</v>
      </c>
    </row>
    <row r="1097" customFormat="false" ht="15" hidden="false" customHeight="false" outlineLevel="0" collapsed="false">
      <c r="A1097" s="7" t="s">
        <v>2965</v>
      </c>
      <c r="B1097" s="7" t="n">
        <v>1406.61</v>
      </c>
      <c r="C1097" s="7" t="n">
        <f aca="false">AVERAGE(B1048:B1097)</f>
        <v>1282.7584</v>
      </c>
      <c r="D1097" s="7" t="n">
        <f aca="false">AVERAGE(B898:B1097)</f>
        <v>1232.25785</v>
      </c>
      <c r="E1097" s="7" t="n">
        <f aca="false">B1097/MAX(B846:B1097)-1</f>
        <v>-0.115834532871537</v>
      </c>
      <c r="F1097" s="7" t="str">
        <f aca="false">IFERROR(INDEX(02_轉折點45個!B:B,MATCH(A1097,02_轉折點45個!A:A,0)),"")</f>
        <v/>
      </c>
      <c r="G1097" s="7" t="s">
        <v>1994</v>
      </c>
    </row>
    <row r="1098" customFormat="false" ht="15" hidden="false" customHeight="false" outlineLevel="0" collapsed="false">
      <c r="A1098" s="7" t="s">
        <v>2966</v>
      </c>
      <c r="B1098" s="7" t="n">
        <v>1402.24</v>
      </c>
      <c r="C1098" s="7" t="n">
        <f aca="false">AVERAGE(B1049:B1098)</f>
        <v>1286.9084</v>
      </c>
      <c r="D1098" s="7" t="n">
        <f aca="false">AVERAGE(B899:B1098)</f>
        <v>1233.1698</v>
      </c>
      <c r="E1098" s="7" t="n">
        <f aca="false">B1098/MAX(B847:B1098)-1</f>
        <v>-0.118581422977076</v>
      </c>
      <c r="F1098" s="7" t="str">
        <f aca="false">IFERROR(INDEX(02_轉折點45個!B:B,MATCH(A1098,02_轉折點45個!A:A,0)),"")</f>
        <v/>
      </c>
      <c r="G1098" s="7" t="s">
        <v>1994</v>
      </c>
    </row>
    <row r="1099" customFormat="false" ht="15" hidden="false" customHeight="false" outlineLevel="0" collapsed="false">
      <c r="A1099" s="7" t="s">
        <v>2967</v>
      </c>
      <c r="B1099" s="7" t="n">
        <v>1417.3</v>
      </c>
      <c r="C1099" s="7" t="n">
        <f aca="false">AVERAGE(B1050:B1099)</f>
        <v>1291.2384</v>
      </c>
      <c r="D1099" s="7" t="n">
        <f aca="false">AVERAGE(B900:B1099)</f>
        <v>1234.1162</v>
      </c>
      <c r="E1099" s="7" t="n">
        <f aca="false">B1099/MAX(B848:B1099)-1</f>
        <v>-0.109115023665998</v>
      </c>
      <c r="F1099" s="7" t="str">
        <f aca="false">IFERROR(INDEX(02_轉折點45個!B:B,MATCH(A1099,02_轉折點45個!A:A,0)),"")</f>
        <v/>
      </c>
      <c r="G1099" s="7" t="s">
        <v>1994</v>
      </c>
    </row>
    <row r="1100" customFormat="false" ht="15" hidden="false" customHeight="false" outlineLevel="0" collapsed="false">
      <c r="A1100" s="7" t="s">
        <v>2968</v>
      </c>
      <c r="B1100" s="7" t="n">
        <v>1405.56</v>
      </c>
      <c r="C1100" s="7" t="n">
        <f aca="false">AVERAGE(B1051:B1100)</f>
        <v>1295.544</v>
      </c>
      <c r="D1100" s="7" t="n">
        <f aca="false">AVERAGE(B901:B1100)</f>
        <v>1235.0767</v>
      </c>
      <c r="E1100" s="7" t="n">
        <f aca="false">B1100/MAX(B849:B1100)-1</f>
        <v>-0.116494540791632</v>
      </c>
      <c r="F1100" s="7" t="str">
        <f aca="false">IFERROR(INDEX(02_轉折點45個!B:B,MATCH(A1100,02_轉折點45個!A:A,0)),"")</f>
        <v/>
      </c>
      <c r="G1100" s="7" t="s">
        <v>1994</v>
      </c>
    </row>
    <row r="1101" customFormat="false" ht="15" hidden="false" customHeight="false" outlineLevel="0" collapsed="false">
      <c r="A1101" s="7" t="s">
        <v>2969</v>
      </c>
      <c r="B1101" s="7" t="n">
        <v>1363.75</v>
      </c>
      <c r="C1101" s="7" t="n">
        <f aca="false">AVERAGE(B1052:B1101)</f>
        <v>1298.9694</v>
      </c>
      <c r="D1101" s="7" t="n">
        <f aca="false">AVERAGE(B902:B1101)</f>
        <v>1236.0486</v>
      </c>
      <c r="E1101" s="7" t="n">
        <f aca="false">B1101/MAX(B850:B1101)-1</f>
        <v>-0.122725196683242</v>
      </c>
      <c r="F1101" s="7" t="str">
        <f aca="false">IFERROR(INDEX(02_轉折點45個!B:B,MATCH(A1101,02_轉折點45個!A:A,0)),"")</f>
        <v/>
      </c>
      <c r="G1101" s="7" t="s">
        <v>1994</v>
      </c>
    </row>
    <row r="1102" customFormat="false" ht="15" hidden="false" customHeight="false" outlineLevel="0" collapsed="false">
      <c r="A1102" s="7" t="s">
        <v>2970</v>
      </c>
      <c r="B1102" s="7" t="n">
        <v>1362.22</v>
      </c>
      <c r="C1102" s="7" t="n">
        <f aca="false">AVERAGE(B1053:B1102)</f>
        <v>1302.8562</v>
      </c>
      <c r="D1102" s="7" t="n">
        <f aca="false">AVERAGE(B903:B1102)</f>
        <v>1237.15935</v>
      </c>
      <c r="E1102" s="7" t="n">
        <f aca="false">B1102/MAX(B851:B1102)-1</f>
        <v>-0.121664055296568</v>
      </c>
      <c r="F1102" s="7" t="str">
        <f aca="false">IFERROR(INDEX(02_轉折點45個!B:B,MATCH(A1102,02_轉折點45個!A:A,0)),"")</f>
        <v/>
      </c>
      <c r="G1102" s="7" t="s">
        <v>1994</v>
      </c>
    </row>
    <row r="1103" customFormat="false" ht="15" hidden="false" customHeight="false" outlineLevel="0" collapsed="false">
      <c r="A1103" s="7" t="s">
        <v>2971</v>
      </c>
      <c r="B1103" s="7" t="n">
        <v>1361.1</v>
      </c>
      <c r="C1103" s="7" t="n">
        <f aca="false">AVERAGE(B1054:B1103)</f>
        <v>1306.8466</v>
      </c>
      <c r="D1103" s="7" t="n">
        <f aca="false">AVERAGE(B904:B1103)</f>
        <v>1238.45595</v>
      </c>
      <c r="E1103" s="7" t="n">
        <f aca="false">B1103/MAX(B852:B1103)-1</f>
        <v>-0.122386211965878</v>
      </c>
      <c r="F1103" s="7" t="str">
        <f aca="false">IFERROR(INDEX(02_轉折點45個!B:B,MATCH(A1103,02_轉折點45個!A:A,0)),"")</f>
        <v/>
      </c>
      <c r="G1103" s="7" t="s">
        <v>1994</v>
      </c>
    </row>
    <row r="1104" customFormat="false" ht="15" hidden="false" customHeight="false" outlineLevel="0" collapsed="false">
      <c r="A1104" s="7" t="s">
        <v>2972</v>
      </c>
      <c r="B1104" s="7" t="n">
        <v>1377.26</v>
      </c>
      <c r="C1104" s="7" t="n">
        <f aca="false">AVERAGE(B1055:B1104)</f>
        <v>1311.0182</v>
      </c>
      <c r="D1104" s="7" t="n">
        <f aca="false">AVERAGE(B905:B1104)</f>
        <v>1239.5888</v>
      </c>
      <c r="E1104" s="7" t="n">
        <f aca="false">B1104/MAX(B853:B1104)-1</f>
        <v>-0.111966522880116</v>
      </c>
      <c r="F1104" s="7" t="str">
        <f aca="false">IFERROR(INDEX(02_轉折點45個!B:B,MATCH(A1104,02_轉折點45個!A:A,0)),"")</f>
        <v/>
      </c>
      <c r="G1104" s="7" t="s">
        <v>1994</v>
      </c>
    </row>
    <row r="1105" customFormat="false" ht="15" hidden="false" customHeight="false" outlineLevel="0" collapsed="false">
      <c r="A1105" s="7" t="s">
        <v>2973</v>
      </c>
      <c r="B1105" s="7" t="n">
        <v>1379.58</v>
      </c>
      <c r="C1105" s="7" t="n">
        <f aca="false">AVERAGE(B1056:B1105)</f>
        <v>1314.112</v>
      </c>
      <c r="D1105" s="7" t="n">
        <f aca="false">AVERAGE(B906:B1105)</f>
        <v>1240.6357</v>
      </c>
      <c r="E1105" s="7" t="n">
        <f aca="false">B1105/MAX(B854:B1105)-1</f>
        <v>-0.0911199098748923</v>
      </c>
      <c r="F1105" s="7" t="str">
        <f aca="false">IFERROR(INDEX(02_轉折點45個!B:B,MATCH(A1105,02_轉折點45個!A:A,0)),"")</f>
        <v/>
      </c>
      <c r="G1105" s="7" t="s">
        <v>1994</v>
      </c>
    </row>
    <row r="1106" customFormat="false" ht="15" hidden="false" customHeight="false" outlineLevel="0" collapsed="false">
      <c r="A1106" s="7" t="s">
        <v>486</v>
      </c>
      <c r="B1106" s="7" t="n">
        <v>1422.15</v>
      </c>
      <c r="C1106" s="7" t="n">
        <f aca="false">AVERAGE(B1057:B1106)</f>
        <v>1318.0652</v>
      </c>
      <c r="D1106" s="7" t="n">
        <f aca="false">AVERAGE(B907:B1106)</f>
        <v>1241.73275</v>
      </c>
      <c r="E1106" s="7" t="n">
        <f aca="false">B1106/MAX(B855:B1106)-1</f>
        <v>-0.057791941061893</v>
      </c>
      <c r="F1106" s="7" t="str">
        <f aca="false">IFERROR(INDEX(02_轉折點45個!B:B,MATCH(A1106,02_轉折點45個!A:A,0)),"")</f>
        <v/>
      </c>
      <c r="G1106" s="7" t="s">
        <v>1994</v>
      </c>
    </row>
    <row r="1107" customFormat="false" ht="15" hidden="false" customHeight="false" outlineLevel="0" collapsed="false">
      <c r="A1107" s="7" t="s">
        <v>487</v>
      </c>
      <c r="B1107" s="7" t="n">
        <v>1428.13</v>
      </c>
      <c r="C1107" s="7" t="n">
        <f aca="false">AVERAGE(B1058:B1107)</f>
        <v>1321.189</v>
      </c>
      <c r="D1107" s="7" t="n">
        <f aca="false">AVERAGE(B908:B1107)</f>
        <v>1242.9072</v>
      </c>
      <c r="E1107" s="7" t="n">
        <f aca="false">B1107/MAX(B856:B1107)-1</f>
        <v>-0.0420892358875296</v>
      </c>
      <c r="F1107" s="7" t="str">
        <f aca="false">IFERROR(INDEX(02_轉折點45個!B:B,MATCH(A1107,02_轉折點45個!A:A,0)),"")</f>
        <v/>
      </c>
      <c r="G1107" s="7" t="s">
        <v>1994</v>
      </c>
    </row>
    <row r="1108" customFormat="false" ht="15" hidden="false" customHeight="false" outlineLevel="0" collapsed="false">
      <c r="A1108" s="7" t="s">
        <v>2974</v>
      </c>
      <c r="B1108" s="7" t="n">
        <v>1438.83</v>
      </c>
      <c r="C1108" s="7" t="n">
        <f aca="false">AVERAGE(B1059:B1108)</f>
        <v>1324.3756</v>
      </c>
      <c r="D1108" s="7" t="n">
        <f aca="false">AVERAGE(B909:B1108)</f>
        <v>1244.1319</v>
      </c>
      <c r="E1108" s="7" t="n">
        <f aca="false">B1108/MAX(B857:B1108)-1</f>
        <v>-0.0349122665808115</v>
      </c>
      <c r="F1108" s="7" t="str">
        <f aca="false">IFERROR(INDEX(02_轉折點45個!B:B,MATCH(A1108,02_轉折點45個!A:A,0)),"")</f>
        <v/>
      </c>
      <c r="G1108" s="7" t="s">
        <v>1994</v>
      </c>
    </row>
    <row r="1109" customFormat="false" ht="15" hidden="false" customHeight="false" outlineLevel="0" collapsed="false">
      <c r="A1109" s="7" t="s">
        <v>2975</v>
      </c>
      <c r="B1109" s="7" t="n">
        <v>1457.98</v>
      </c>
      <c r="C1109" s="7" t="n">
        <f aca="false">AVERAGE(B1060:B1109)</f>
        <v>1328.0088</v>
      </c>
      <c r="D1109" s="7" t="n">
        <f aca="false">AVERAGE(B910:B1109)</f>
        <v>1245.6239</v>
      </c>
      <c r="E1109" s="7" t="n">
        <f aca="false">B1109/MAX(B858:B1109)-1</f>
        <v>-0.0122688995928432</v>
      </c>
      <c r="F1109" s="7" t="str">
        <f aca="false">IFERROR(INDEX(02_轉折點45個!B:B,MATCH(A1109,02_轉折點45個!A:A,0)),"")</f>
        <v/>
      </c>
      <c r="G1109" s="7" t="s">
        <v>1994</v>
      </c>
    </row>
    <row r="1110" customFormat="false" ht="15" hidden="false" customHeight="false" outlineLevel="0" collapsed="false">
      <c r="A1110" s="7" t="s">
        <v>2976</v>
      </c>
      <c r="B1110" s="7" t="n">
        <v>1453.27</v>
      </c>
      <c r="C1110" s="7" t="n">
        <f aca="false">AVERAGE(B1061:B1110)</f>
        <v>1331.4436</v>
      </c>
      <c r="D1110" s="7" t="n">
        <f aca="false">AVERAGE(B911:B1110)</f>
        <v>1246.79535</v>
      </c>
      <c r="E1110" s="7" t="n">
        <f aca="false">B1110/MAX(B859:B1110)-1</f>
        <v>-0.00323049698898481</v>
      </c>
      <c r="F1110" s="7" t="str">
        <f aca="false">IFERROR(INDEX(02_轉折點45個!B:B,MATCH(A1110,02_轉折點45個!A:A,0)),"")</f>
        <v/>
      </c>
      <c r="G1110" s="7" t="s">
        <v>1994</v>
      </c>
    </row>
    <row r="1111" customFormat="false" ht="15" hidden="false" customHeight="false" outlineLevel="0" collapsed="false">
      <c r="A1111" s="7" t="s">
        <v>2977</v>
      </c>
      <c r="B1111" s="7" t="n">
        <v>1464.97</v>
      </c>
      <c r="C1111" s="7" t="n">
        <f aca="false">AVERAGE(B1062:B1111)</f>
        <v>1334.764</v>
      </c>
      <c r="D1111" s="7" t="n">
        <f aca="false">AVERAGE(B912:B1111)</f>
        <v>1247.9764</v>
      </c>
      <c r="E1111" s="7" t="n">
        <f aca="false">B1111/MAX(B860:B1111)-1</f>
        <v>0</v>
      </c>
      <c r="F1111" s="7" t="str">
        <f aca="false">IFERROR(INDEX(02_轉折點45個!B:B,MATCH(A1111,02_轉折點45個!A:A,0)),"")</f>
        <v/>
      </c>
      <c r="G1111" s="7" t="s">
        <v>1994</v>
      </c>
    </row>
    <row r="1112" customFormat="false" ht="15" hidden="false" customHeight="false" outlineLevel="0" collapsed="false">
      <c r="A1112" s="7" t="s">
        <v>2978</v>
      </c>
      <c r="B1112" s="7" t="n">
        <v>1493.37</v>
      </c>
      <c r="C1112" s="7" t="n">
        <f aca="false">AVERAGE(B1063:B1112)</f>
        <v>1339.6036</v>
      </c>
      <c r="D1112" s="7" t="n">
        <f aca="false">AVERAGE(B913:B1112)</f>
        <v>1249.22635</v>
      </c>
      <c r="E1112" s="7" t="n">
        <f aca="false">B1112/MAX(B861:B1112)-1</f>
        <v>0</v>
      </c>
      <c r="F1112" s="7" t="str">
        <f aca="false">IFERROR(INDEX(02_轉折點45個!B:B,MATCH(A1112,02_轉折點45個!A:A,0)),"")</f>
        <v/>
      </c>
      <c r="G1112" s="7" t="s">
        <v>1994</v>
      </c>
    </row>
    <row r="1113" customFormat="false" ht="15" hidden="false" customHeight="false" outlineLevel="0" collapsed="false">
      <c r="A1113" s="7" t="s">
        <v>2979</v>
      </c>
      <c r="B1113" s="7" t="n">
        <v>1503.75</v>
      </c>
      <c r="C1113" s="7" t="n">
        <f aca="false">AVERAGE(B1064:B1113)</f>
        <v>1344.2628</v>
      </c>
      <c r="D1113" s="7" t="n">
        <f aca="false">AVERAGE(B914:B1113)</f>
        <v>1250.37505</v>
      </c>
      <c r="E1113" s="7" t="n">
        <f aca="false">B1113/MAX(B862:B1113)-1</f>
        <v>0</v>
      </c>
      <c r="F1113" s="7" t="str">
        <f aca="false">IFERROR(INDEX(02_轉折點45個!B:B,MATCH(A1113,02_轉折點45個!A:A,0)),"")</f>
        <v/>
      </c>
      <c r="G1113" s="7" t="s">
        <v>1994</v>
      </c>
    </row>
    <row r="1114" customFormat="false" ht="15" hidden="false" customHeight="false" outlineLevel="0" collapsed="false">
      <c r="A1114" s="7" t="s">
        <v>2980</v>
      </c>
      <c r="B1114" s="7" t="n">
        <v>1486.77</v>
      </c>
      <c r="C1114" s="7" t="n">
        <f aca="false">AVERAGE(B1065:B1114)</f>
        <v>1348.6474</v>
      </c>
      <c r="D1114" s="7" t="n">
        <f aca="false">AVERAGE(B915:B1114)</f>
        <v>1251.52085</v>
      </c>
      <c r="E1114" s="7" t="n">
        <f aca="false">B1114/MAX(B863:B1114)-1</f>
        <v>-0.0112917705735661</v>
      </c>
      <c r="F1114" s="7" t="str">
        <f aca="false">IFERROR(INDEX(02_轉折點45個!B:B,MATCH(A1114,02_轉折點45個!A:A,0)),"")</f>
        <v/>
      </c>
      <c r="G1114" s="7" t="s">
        <v>1994</v>
      </c>
    </row>
    <row r="1115" customFormat="false" ht="15" hidden="false" customHeight="false" outlineLevel="0" collapsed="false">
      <c r="A1115" s="7" t="s">
        <v>2981</v>
      </c>
      <c r="B1115" s="7" t="n">
        <v>1465.34</v>
      </c>
      <c r="C1115" s="7" t="n">
        <f aca="false">AVERAGE(B1066:B1115)</f>
        <v>1352.662</v>
      </c>
      <c r="D1115" s="7" t="n">
        <f aca="false">AVERAGE(B916:B1115)</f>
        <v>1252.4103</v>
      </c>
      <c r="E1115" s="7" t="n">
        <f aca="false">B1115/MAX(B864:B1115)-1</f>
        <v>-0.0255428096425603</v>
      </c>
      <c r="F1115" s="7" t="str">
        <f aca="false">IFERROR(INDEX(02_轉折點45個!B:B,MATCH(A1115,02_轉折點45個!A:A,0)),"")</f>
        <v/>
      </c>
      <c r="G1115" s="7" t="s">
        <v>1994</v>
      </c>
    </row>
    <row r="1116" customFormat="false" ht="15" hidden="false" customHeight="false" outlineLevel="0" collapsed="false">
      <c r="A1116" s="7" t="s">
        <v>2982</v>
      </c>
      <c r="B1116" s="7" t="n">
        <v>1486.99</v>
      </c>
      <c r="C1116" s="7" t="n">
        <f aca="false">AVERAGE(B1067:B1116)</f>
        <v>1357.3772</v>
      </c>
      <c r="D1116" s="7" t="n">
        <f aca="false">AVERAGE(B917:B1116)</f>
        <v>1253.3454</v>
      </c>
      <c r="E1116" s="7" t="n">
        <f aca="false">B1116/MAX(B865:B1116)-1</f>
        <v>-0.0111454696591854</v>
      </c>
      <c r="F1116" s="7" t="str">
        <f aca="false">IFERROR(INDEX(02_轉折點45個!B:B,MATCH(A1116,02_轉折點45個!A:A,0)),"")</f>
        <v/>
      </c>
      <c r="G1116" s="7" t="s">
        <v>1994</v>
      </c>
    </row>
    <row r="1117" customFormat="false" ht="15" hidden="false" customHeight="false" outlineLevel="0" collapsed="false">
      <c r="A1117" s="7" t="s">
        <v>2983</v>
      </c>
      <c r="B1117" s="7" t="n">
        <v>1503.76</v>
      </c>
      <c r="C1117" s="7" t="n">
        <f aca="false">AVERAGE(B1068:B1117)</f>
        <v>1362.9472</v>
      </c>
      <c r="D1117" s="7" t="n">
        <f aca="false">AVERAGE(B918:B1117)</f>
        <v>1254.5577</v>
      </c>
      <c r="E1117" s="7" t="n">
        <f aca="false">B1117/MAX(B866:B1117)-1</f>
        <v>0</v>
      </c>
      <c r="F1117" s="7" t="str">
        <f aca="false">IFERROR(INDEX(02_轉折點45個!B:B,MATCH(A1117,02_轉折點45個!A:A,0)),"")</f>
        <v/>
      </c>
      <c r="G1117" s="7" t="s">
        <v>1994</v>
      </c>
    </row>
    <row r="1118" customFormat="false" ht="15" hidden="false" customHeight="false" outlineLevel="0" collapsed="false">
      <c r="A1118" s="7" t="s">
        <v>2984</v>
      </c>
      <c r="B1118" s="7" t="n">
        <v>1510.7</v>
      </c>
      <c r="C1118" s="7" t="n">
        <f aca="false">AVERAGE(B1069:B1118)</f>
        <v>1368.5258</v>
      </c>
      <c r="D1118" s="7" t="n">
        <f aca="false">AVERAGE(B919:B1118)</f>
        <v>1255.7539</v>
      </c>
      <c r="E1118" s="7" t="n">
        <f aca="false">B1118/MAX(B867:B1118)-1</f>
        <v>0</v>
      </c>
      <c r="F1118" s="7" t="str">
        <f aca="false">IFERROR(INDEX(02_轉折點45個!B:B,MATCH(A1118,02_轉折點45個!A:A,0)),"")</f>
        <v/>
      </c>
      <c r="G1118" s="7" t="s">
        <v>1994</v>
      </c>
    </row>
    <row r="1119" customFormat="false" ht="15" hidden="false" customHeight="false" outlineLevel="0" collapsed="false">
      <c r="A1119" s="7" t="s">
        <v>2985</v>
      </c>
      <c r="B1119" s="7" t="n">
        <v>1485.92</v>
      </c>
      <c r="C1119" s="7" t="n">
        <f aca="false">AVERAGE(B1070:B1119)</f>
        <v>1372.724</v>
      </c>
      <c r="D1119" s="7" t="n">
        <f aca="false">AVERAGE(B920:B1119)</f>
        <v>1257.02705</v>
      </c>
      <c r="E1119" s="7" t="n">
        <f aca="false">B1119/MAX(B868:B1119)-1</f>
        <v>-0.016402991990468</v>
      </c>
      <c r="F1119" s="7" t="str">
        <f aca="false">IFERROR(INDEX(02_轉折點45個!B:B,MATCH(A1119,02_轉折點45個!A:A,0)),"")</f>
        <v/>
      </c>
      <c r="G1119" s="7" t="s">
        <v>1994</v>
      </c>
    </row>
    <row r="1120" customFormat="false" ht="15" hidden="false" customHeight="false" outlineLevel="0" collapsed="false">
      <c r="A1120" s="7" t="s">
        <v>488</v>
      </c>
      <c r="B1120" s="7" t="n">
        <v>1522.54</v>
      </c>
      <c r="C1120" s="7" t="n">
        <f aca="false">AVERAGE(B1071:B1120)</f>
        <v>1377.6572</v>
      </c>
      <c r="D1120" s="7" t="n">
        <f aca="false">AVERAGE(B921:B1120)</f>
        <v>1258.63585</v>
      </c>
      <c r="E1120" s="7" t="n">
        <f aca="false">B1120/MAX(B869:B1120)-1</f>
        <v>0</v>
      </c>
      <c r="F1120" s="7" t="str">
        <f aca="false">IFERROR(INDEX(02_轉折點45個!B:B,MATCH(A1120,02_轉折點45個!A:A,0)),"")</f>
        <v/>
      </c>
      <c r="G1120" s="7" t="s">
        <v>1994</v>
      </c>
    </row>
    <row r="1121" customFormat="false" ht="15" hidden="false" customHeight="false" outlineLevel="0" collapsed="false">
      <c r="A1121" s="7" t="s">
        <v>489</v>
      </c>
      <c r="B1121" s="7" t="n">
        <v>1524.24</v>
      </c>
      <c r="C1121" s="7" t="n">
        <f aca="false">AVERAGE(B1072:B1121)</f>
        <v>1382.8632</v>
      </c>
      <c r="D1121" s="7" t="n">
        <f aca="false">AVERAGE(B922:B1121)</f>
        <v>1260.15545</v>
      </c>
      <c r="E1121" s="7" t="n">
        <f aca="false">B1121/MAX(B870:B1121)-1</f>
        <v>0</v>
      </c>
      <c r="F1121" s="7" t="str">
        <f aca="false">IFERROR(INDEX(02_轉折點45個!B:B,MATCH(A1121,02_轉折點45個!A:A,0)),"")</f>
        <v/>
      </c>
      <c r="G1121" s="7" t="s">
        <v>1994</v>
      </c>
    </row>
    <row r="1122" customFormat="false" ht="15" hidden="false" customHeight="false" outlineLevel="0" collapsed="false">
      <c r="A1122" s="7" t="s">
        <v>490</v>
      </c>
      <c r="B1122" s="7" t="n">
        <v>1532.19</v>
      </c>
      <c r="C1122" s="7" t="n">
        <f aca="false">AVERAGE(B1073:B1122)</f>
        <v>1388.1186</v>
      </c>
      <c r="D1122" s="7" t="n">
        <f aca="false">AVERAGE(B923:B1122)</f>
        <v>1261.81035</v>
      </c>
      <c r="E1122" s="7" t="n">
        <f aca="false">B1122/MAX(B871:B1122)-1</f>
        <v>0</v>
      </c>
      <c r="F1122" s="7" t="str">
        <f aca="false">IFERROR(INDEX(02_轉折點45個!B:B,MATCH(A1122,02_轉折點45個!A:A,0)),"")</f>
        <v/>
      </c>
      <c r="G1122" s="7" t="s">
        <v>1994</v>
      </c>
    </row>
    <row r="1123" customFormat="false" ht="15" hidden="false" customHeight="false" outlineLevel="0" collapsed="false">
      <c r="A1123" s="7" t="s">
        <v>2986</v>
      </c>
      <c r="B1123" s="7" t="n">
        <v>1506.15</v>
      </c>
      <c r="C1123" s="7" t="n">
        <f aca="false">AVERAGE(B1074:B1123)</f>
        <v>1392.9732</v>
      </c>
      <c r="D1123" s="7" t="n">
        <f aca="false">AVERAGE(B924:B1123)</f>
        <v>1263.56805</v>
      </c>
      <c r="E1123" s="7" t="n">
        <f aca="false">B1123/MAX(B872:B1123)-1</f>
        <v>-0.016995281264073</v>
      </c>
      <c r="F1123" s="7" t="str">
        <f aca="false">IFERROR(INDEX(02_轉折點45個!B:B,MATCH(A1123,02_轉折點45個!A:A,0)),"")</f>
        <v/>
      </c>
      <c r="G1123" s="7" t="s">
        <v>1994</v>
      </c>
    </row>
    <row r="1124" customFormat="false" ht="15" hidden="false" customHeight="false" outlineLevel="0" collapsed="false">
      <c r="A1124" s="7" t="s">
        <v>2987</v>
      </c>
      <c r="B1124" s="7" t="n">
        <v>1502.57</v>
      </c>
      <c r="C1124" s="7" t="n">
        <f aca="false">AVERAGE(B1075:B1124)</f>
        <v>1398.235</v>
      </c>
      <c r="D1124" s="7" t="n">
        <f aca="false">AVERAGE(B925:B1124)</f>
        <v>1265.1778</v>
      </c>
      <c r="E1124" s="7" t="n">
        <f aca="false">B1124/MAX(B873:B1124)-1</f>
        <v>-0.0193318061075977</v>
      </c>
      <c r="F1124" s="7" t="str">
        <f aca="false">IFERROR(INDEX(02_轉折點45個!B:B,MATCH(A1124,02_轉折點45個!A:A,0)),"")</f>
        <v/>
      </c>
      <c r="G1124" s="7" t="s">
        <v>1994</v>
      </c>
    </row>
    <row r="1125" customFormat="false" ht="15" hidden="false" customHeight="false" outlineLevel="0" collapsed="false">
      <c r="A1125" s="7" t="s">
        <v>2988</v>
      </c>
      <c r="B1125" s="7" t="n">
        <v>1471.54</v>
      </c>
      <c r="C1125" s="7" t="n">
        <f aca="false">AVERAGE(B1076:B1125)</f>
        <v>1402.7142</v>
      </c>
      <c r="D1125" s="7" t="n">
        <f aca="false">AVERAGE(B926:B1125)</f>
        <v>1266.8211</v>
      </c>
      <c r="E1125" s="7" t="n">
        <f aca="false">B1125/MAX(B874:B1125)-1</f>
        <v>-0.0395838636200472</v>
      </c>
      <c r="F1125" s="7" t="str">
        <f aca="false">IFERROR(INDEX(02_轉折點45個!B:B,MATCH(A1125,02_轉折點45個!A:A,0)),"")</f>
        <v/>
      </c>
      <c r="G1125" s="7" t="s">
        <v>1994</v>
      </c>
    </row>
    <row r="1126" customFormat="false" ht="15" hidden="false" customHeight="false" outlineLevel="0" collapsed="false">
      <c r="A1126" s="7" t="s">
        <v>491</v>
      </c>
      <c r="B1126" s="7" t="n">
        <v>1466.84</v>
      </c>
      <c r="C1126" s="7" t="n">
        <f aca="false">AVERAGE(B1077:B1126)</f>
        <v>1407.2228</v>
      </c>
      <c r="D1126" s="7" t="n">
        <f aca="false">AVERAGE(B927:B1126)</f>
        <v>1268.23855</v>
      </c>
      <c r="E1126" s="7" t="n">
        <f aca="false">B1126/MAX(B875:B1126)-1</f>
        <v>-0.0426513683028869</v>
      </c>
      <c r="F1126" s="7" t="str">
        <f aca="false">IFERROR(INDEX(02_轉折點45個!B:B,MATCH(A1126,02_轉折點45個!A:A,0)),"")</f>
        <v/>
      </c>
      <c r="G1126" s="7" t="s">
        <v>1994</v>
      </c>
    </row>
    <row r="1127" customFormat="false" ht="15" hidden="false" customHeight="false" outlineLevel="0" collapsed="false">
      <c r="A1127" s="7" t="s">
        <v>2989</v>
      </c>
      <c r="B1127" s="7" t="n">
        <v>1464.15</v>
      </c>
      <c r="C1127" s="7" t="n">
        <f aca="false">AVERAGE(B1078:B1127)</f>
        <v>1411.2008</v>
      </c>
      <c r="D1127" s="7" t="n">
        <f aca="false">AVERAGE(B928:B1127)</f>
        <v>1269.60005</v>
      </c>
      <c r="E1127" s="7" t="n">
        <f aca="false">B1127/MAX(B876:B1127)-1</f>
        <v>-0.0444070252383842</v>
      </c>
      <c r="F1127" s="7" t="str">
        <f aca="false">IFERROR(INDEX(02_轉折點45個!B:B,MATCH(A1127,02_轉折點45個!A:A,0)),"")</f>
        <v/>
      </c>
      <c r="G1127" s="7" t="s">
        <v>1994</v>
      </c>
    </row>
    <row r="1128" customFormat="false" ht="15" hidden="false" customHeight="false" outlineLevel="0" collapsed="false">
      <c r="A1128" s="7" t="s">
        <v>2990</v>
      </c>
      <c r="B1128" s="7" t="n">
        <v>1492.79</v>
      </c>
      <c r="C1128" s="7" t="n">
        <f aca="false">AVERAGE(B1079:B1128)</f>
        <v>1415.6408</v>
      </c>
      <c r="D1128" s="7" t="n">
        <f aca="false">AVERAGE(B929:B1128)</f>
        <v>1271.034</v>
      </c>
      <c r="E1128" s="7" t="n">
        <f aca="false">B1128/MAX(B877:B1128)-1</f>
        <v>-0.0257148264901873</v>
      </c>
      <c r="F1128" s="7" t="str">
        <f aca="false">IFERROR(INDEX(02_轉折點45個!B:B,MATCH(A1128,02_轉折點45個!A:A,0)),"")</f>
        <v/>
      </c>
      <c r="G1128" s="7" t="s">
        <v>1994</v>
      </c>
    </row>
    <row r="1129" customFormat="false" ht="15" hidden="false" customHeight="false" outlineLevel="0" collapsed="false">
      <c r="A1129" s="7" t="s">
        <v>2991</v>
      </c>
      <c r="B1129" s="7" t="n">
        <v>1484.79</v>
      </c>
      <c r="C1129" s="7" t="n">
        <f aca="false">AVERAGE(B1080:B1129)</f>
        <v>1419.853</v>
      </c>
      <c r="D1129" s="7" t="n">
        <f aca="false">AVERAGE(B930:B1129)</f>
        <v>1272.44915</v>
      </c>
      <c r="E1129" s="7" t="n">
        <f aca="false">B1129/MAX(B878:B1129)-1</f>
        <v>-0.0309361110567228</v>
      </c>
      <c r="F1129" s="7" t="str">
        <f aca="false">IFERROR(INDEX(02_轉折點45個!B:B,MATCH(A1129,02_轉折點45個!A:A,0)),"")</f>
        <v/>
      </c>
      <c r="G1129" s="7" t="s">
        <v>1994</v>
      </c>
    </row>
    <row r="1130" customFormat="false" ht="15" hidden="false" customHeight="false" outlineLevel="0" collapsed="false">
      <c r="A1130" s="7" t="s">
        <v>2992</v>
      </c>
      <c r="B1130" s="7" t="n">
        <v>1482.55</v>
      </c>
      <c r="C1130" s="7" t="n">
        <f aca="false">AVERAGE(B1081:B1130)</f>
        <v>1423.458</v>
      </c>
      <c r="D1130" s="7" t="n">
        <f aca="false">AVERAGE(B931:B1130)</f>
        <v>1274.0165</v>
      </c>
      <c r="E1130" s="7" t="n">
        <f aca="false">B1130/MAX(B879:B1130)-1</f>
        <v>-0.0323980707353527</v>
      </c>
      <c r="F1130" s="7" t="str">
        <f aca="false">IFERROR(INDEX(02_轉折點45個!B:B,MATCH(A1130,02_轉折點45個!A:A,0)),"")</f>
        <v/>
      </c>
      <c r="G1130" s="7" t="s">
        <v>1994</v>
      </c>
    </row>
    <row r="1131" customFormat="false" ht="15" hidden="false" customHeight="false" outlineLevel="0" collapsed="false">
      <c r="A1131" s="7" t="s">
        <v>2993</v>
      </c>
      <c r="B1131" s="7" t="n">
        <v>1498.38</v>
      </c>
      <c r="C1131" s="7" t="n">
        <f aca="false">AVERAGE(B1082:B1131)</f>
        <v>1427.4002</v>
      </c>
      <c r="D1131" s="7" t="n">
        <f aca="false">AVERAGE(B932:B1131)</f>
        <v>1275.60945</v>
      </c>
      <c r="E1131" s="7" t="n">
        <f aca="false">B1131/MAX(B880:B1131)-1</f>
        <v>-0.0220664538993205</v>
      </c>
      <c r="F1131" s="7" t="str">
        <f aca="false">IFERROR(INDEX(02_轉折點45個!B:B,MATCH(A1131,02_轉折點45個!A:A,0)),"")</f>
        <v/>
      </c>
      <c r="G1131" s="7" t="s">
        <v>1994</v>
      </c>
    </row>
    <row r="1132" customFormat="false" ht="15" hidden="false" customHeight="false" outlineLevel="0" collapsed="false">
      <c r="A1132" s="7" t="s">
        <v>492</v>
      </c>
      <c r="B1132" s="7" t="n">
        <v>1533.64</v>
      </c>
      <c r="C1132" s="7" t="n">
        <f aca="false">AVERAGE(B1083:B1132)</f>
        <v>1431.5546</v>
      </c>
      <c r="D1132" s="7" t="n">
        <f aca="false">AVERAGE(B933:B1132)</f>
        <v>1277.4496</v>
      </c>
      <c r="E1132" s="7" t="n">
        <f aca="false">B1132/MAX(B881:B1132)-1</f>
        <v>0</v>
      </c>
      <c r="F1132" s="7" t="str">
        <f aca="false">IFERROR(INDEX(02_轉折點45個!B:B,MATCH(A1132,02_轉折點45個!A:A,0)),"")</f>
        <v/>
      </c>
      <c r="G1132" s="7" t="s">
        <v>1994</v>
      </c>
    </row>
    <row r="1133" customFormat="false" ht="15" hidden="false" customHeight="false" outlineLevel="0" collapsed="false">
      <c r="A1133" s="7" t="s">
        <v>2994</v>
      </c>
      <c r="B1133" s="7" t="n">
        <v>1519.69</v>
      </c>
      <c r="C1133" s="7" t="n">
        <f aca="false">AVERAGE(B1084:B1133)</f>
        <v>1435.1596</v>
      </c>
      <c r="D1133" s="7" t="n">
        <f aca="false">AVERAGE(B934:B1133)</f>
        <v>1279.2928</v>
      </c>
      <c r="E1133" s="7" t="n">
        <f aca="false">B1133/MAX(B882:B1133)-1</f>
        <v>-0.00909600688557943</v>
      </c>
      <c r="F1133" s="7" t="str">
        <f aca="false">IFERROR(INDEX(02_轉折點45個!B:B,MATCH(A1133,02_轉折點45個!A:A,0)),"")</f>
        <v/>
      </c>
      <c r="G1133" s="7" t="s">
        <v>1994</v>
      </c>
    </row>
    <row r="1134" customFormat="false" ht="15" hidden="false" customHeight="false" outlineLevel="0" collapsed="false">
      <c r="A1134" s="7" t="s">
        <v>493</v>
      </c>
      <c r="B1134" s="7" t="n">
        <v>1571.99</v>
      </c>
      <c r="C1134" s="7" t="n">
        <f aca="false">AVERAGE(B1085:B1134)</f>
        <v>1439.9736</v>
      </c>
      <c r="D1134" s="7" t="n">
        <f aca="false">AVERAGE(B935:B1134)</f>
        <v>1281.4332</v>
      </c>
      <c r="E1134" s="7" t="n">
        <f aca="false">B1134/MAX(B883:B1134)-1</f>
        <v>0</v>
      </c>
      <c r="F1134" s="7" t="str">
        <f aca="false">IFERROR(INDEX(02_轉折點45個!B:B,MATCH(A1134,02_轉折點45個!A:A,0)),"")</f>
        <v/>
      </c>
      <c r="G1134" s="7" t="s">
        <v>1994</v>
      </c>
    </row>
    <row r="1135" customFormat="false" ht="15" hidden="false" customHeight="false" outlineLevel="0" collapsed="false">
      <c r="A1135" s="7" t="s">
        <v>2995</v>
      </c>
      <c r="B1135" s="7" t="n">
        <v>1595.52</v>
      </c>
      <c r="C1135" s="7" t="n">
        <f aca="false">AVERAGE(B1086:B1135)</f>
        <v>1445.6728</v>
      </c>
      <c r="D1135" s="7" t="n">
        <f aca="false">AVERAGE(B936:B1135)</f>
        <v>1283.8542</v>
      </c>
      <c r="E1135" s="7" t="n">
        <f aca="false">B1135/MAX(B884:B1135)-1</f>
        <v>0</v>
      </c>
      <c r="F1135" s="7" t="str">
        <f aca="false">IFERROR(INDEX(02_轉折點45個!B:B,MATCH(A1135,02_轉折點45個!A:A,0)),"")</f>
        <v/>
      </c>
      <c r="G1135" s="7" t="s">
        <v>1994</v>
      </c>
    </row>
    <row r="1136" customFormat="false" ht="15" hidden="false" customHeight="false" outlineLevel="0" collapsed="false">
      <c r="A1136" s="7" t="s">
        <v>2996</v>
      </c>
      <c r="B1136" s="7" t="n">
        <v>1596.43</v>
      </c>
      <c r="C1136" s="7" t="n">
        <f aca="false">AVERAGE(B1087:B1136)</f>
        <v>1450.8842</v>
      </c>
      <c r="D1136" s="7" t="n">
        <f aca="false">AVERAGE(B937:B1136)</f>
        <v>1286.2586</v>
      </c>
      <c r="E1136" s="7" t="n">
        <f aca="false">B1136/MAX(B885:B1136)-1</f>
        <v>0</v>
      </c>
      <c r="F1136" s="7" t="str">
        <f aca="false">IFERROR(INDEX(02_轉折點45個!B:B,MATCH(A1136,02_轉折點45個!A:A,0)),"")</f>
        <v/>
      </c>
      <c r="G1136" s="7" t="s">
        <v>1994</v>
      </c>
    </row>
    <row r="1137" customFormat="false" ht="15" hidden="false" customHeight="false" outlineLevel="0" collapsed="false">
      <c r="A1137" s="7" t="s">
        <v>2997</v>
      </c>
      <c r="B1137" s="7" t="n">
        <v>1567.56</v>
      </c>
      <c r="C1137" s="7" t="n">
        <f aca="false">AVERAGE(B1088:B1137)</f>
        <v>1455.3526</v>
      </c>
      <c r="D1137" s="7" t="n">
        <f aca="false">AVERAGE(B938:B1137)</f>
        <v>1288.6838</v>
      </c>
      <c r="E1137" s="7" t="n">
        <f aca="false">B1137/MAX(B886:B1137)-1</f>
        <v>-0.0180841001484563</v>
      </c>
      <c r="F1137" s="7" t="str">
        <f aca="false">IFERROR(INDEX(02_轉折點45個!B:B,MATCH(A1137,02_轉折點45個!A:A,0)),"")</f>
        <v/>
      </c>
      <c r="G1137" s="7" t="s">
        <v>1994</v>
      </c>
    </row>
    <row r="1138" customFormat="false" ht="15" hidden="false" customHeight="false" outlineLevel="0" collapsed="false">
      <c r="A1138" s="7" t="s">
        <v>2998</v>
      </c>
      <c r="B1138" s="7" t="n">
        <v>1584.07</v>
      </c>
      <c r="C1138" s="7" t="n">
        <f aca="false">AVERAGE(B1089:B1138)</f>
        <v>1460.279</v>
      </c>
      <c r="D1138" s="7" t="n">
        <f aca="false">AVERAGE(B939:B1138)</f>
        <v>1291.20415</v>
      </c>
      <c r="E1138" s="7" t="n">
        <f aca="false">B1138/MAX(B887:B1138)-1</f>
        <v>-0.00774227495098445</v>
      </c>
      <c r="F1138" s="7" t="str">
        <f aca="false">IFERROR(INDEX(02_轉折點45個!B:B,MATCH(A1138,02_轉折點45個!A:A,0)),"")</f>
        <v/>
      </c>
      <c r="G1138" s="7" t="s">
        <v>1994</v>
      </c>
    </row>
    <row r="1139" customFormat="false" ht="15" hidden="false" customHeight="false" outlineLevel="0" collapsed="false">
      <c r="A1139" s="7" t="s">
        <v>2999</v>
      </c>
      <c r="B1139" s="7" t="n">
        <v>1603.16</v>
      </c>
      <c r="C1139" s="7" t="n">
        <f aca="false">AVERAGE(B1090:B1139)</f>
        <v>1465.4364</v>
      </c>
      <c r="D1139" s="7" t="n">
        <f aca="false">AVERAGE(B940:B1139)</f>
        <v>1293.6367</v>
      </c>
      <c r="E1139" s="7" t="n">
        <f aca="false">B1139/MAX(B888:B1139)-1</f>
        <v>0</v>
      </c>
      <c r="F1139" s="7" t="str">
        <f aca="false">IFERROR(INDEX(02_轉折點45個!B:B,MATCH(A1139,02_轉折點45個!A:A,0)),"")</f>
        <v/>
      </c>
      <c r="G1139" s="7" t="s">
        <v>1994</v>
      </c>
    </row>
    <row r="1140" customFormat="false" ht="15" hidden="false" customHeight="false" outlineLevel="0" collapsed="false">
      <c r="A1140" s="7" t="s">
        <v>3000</v>
      </c>
      <c r="B1140" s="7" t="n">
        <v>1601.68</v>
      </c>
      <c r="C1140" s="7" t="n">
        <f aca="false">AVERAGE(B1091:B1140)</f>
        <v>1470.0102</v>
      </c>
      <c r="D1140" s="7" t="n">
        <f aca="false">AVERAGE(B941:B1140)</f>
        <v>1296.06495</v>
      </c>
      <c r="E1140" s="7" t="n">
        <f aca="false">B1140/MAX(B889:B1140)-1</f>
        <v>-0.000923176725966202</v>
      </c>
      <c r="F1140" s="7" t="str">
        <f aca="false">IFERROR(INDEX(02_轉折點45個!B:B,MATCH(A1140,02_轉折點45個!A:A,0)),"")</f>
        <v/>
      </c>
      <c r="G1140" s="7" t="s">
        <v>1994</v>
      </c>
    </row>
    <row r="1141" customFormat="false" ht="15" hidden="false" customHeight="false" outlineLevel="0" collapsed="false">
      <c r="A1141" s="7" t="s">
        <v>3001</v>
      </c>
      <c r="B1141" s="7" t="n">
        <v>1596.9</v>
      </c>
      <c r="C1141" s="7" t="n">
        <f aca="false">AVERAGE(B1092:B1141)</f>
        <v>1474.4672</v>
      </c>
      <c r="D1141" s="7" t="n">
        <f aca="false">AVERAGE(B942:B1141)</f>
        <v>1298.57185</v>
      </c>
      <c r="E1141" s="7" t="n">
        <f aca="false">B1141/MAX(B890:B1141)-1</f>
        <v>-0.00390478804361383</v>
      </c>
      <c r="F1141" s="7" t="str">
        <f aca="false">IFERROR(INDEX(02_轉折點45個!B:B,MATCH(A1141,02_轉折點45個!A:A,0)),"")</f>
        <v/>
      </c>
      <c r="G1141" s="7" t="s">
        <v>1994</v>
      </c>
    </row>
    <row r="1142" customFormat="false" ht="15" hidden="false" customHeight="false" outlineLevel="0" collapsed="false">
      <c r="A1142" s="7" t="s">
        <v>494</v>
      </c>
      <c r="B1142" s="7" t="n">
        <v>1551.26</v>
      </c>
      <c r="C1142" s="7" t="n">
        <f aca="false">AVERAGE(B1093:B1142)</f>
        <v>1477.652</v>
      </c>
      <c r="D1142" s="7" t="n">
        <f aca="false">AVERAGE(B943:B1142)</f>
        <v>1300.97435</v>
      </c>
      <c r="E1142" s="7" t="n">
        <f aca="false">B1142/MAX(B891:B1142)-1</f>
        <v>-0.0323735622146262</v>
      </c>
      <c r="F1142" s="7" t="str">
        <f aca="false">IFERROR(INDEX(02_轉折點45個!B:B,MATCH(A1142,02_轉折點45個!A:A,0)),"")</f>
        <v/>
      </c>
      <c r="G1142" s="7" t="s">
        <v>1994</v>
      </c>
    </row>
    <row r="1143" customFormat="false" ht="15" hidden="false" customHeight="false" outlineLevel="0" collapsed="false">
      <c r="A1143" s="7" t="s">
        <v>495</v>
      </c>
      <c r="B1143" s="7" t="n">
        <v>1560.84</v>
      </c>
      <c r="C1143" s="7" t="n">
        <f aca="false">AVERAGE(B1094:B1143)</f>
        <v>1481.3382</v>
      </c>
      <c r="D1143" s="7" t="n">
        <f aca="false">AVERAGE(B944:B1143)</f>
        <v>1303.23445</v>
      </c>
      <c r="E1143" s="7" t="n">
        <f aca="false">B1143/MAX(B892:B1143)-1</f>
        <v>-0.0263978642181693</v>
      </c>
      <c r="F1143" s="7" t="str">
        <f aca="false">IFERROR(INDEX(02_轉折點45個!B:B,MATCH(A1143,02_轉折點45個!A:A,0)),"")</f>
        <v/>
      </c>
      <c r="G1143" s="7" t="s">
        <v>1994</v>
      </c>
    </row>
    <row r="1144" customFormat="false" ht="15" hidden="false" customHeight="false" outlineLevel="0" collapsed="false">
      <c r="A1144" s="7" t="s">
        <v>3002</v>
      </c>
      <c r="B1144" s="7" t="n">
        <v>1536.09</v>
      </c>
      <c r="C1144" s="7" t="n">
        <f aca="false">AVERAGE(B1095:B1144)</f>
        <v>1484.8412</v>
      </c>
      <c r="D1144" s="7" t="n">
        <f aca="false">AVERAGE(B945:B1144)</f>
        <v>1305.4915</v>
      </c>
      <c r="E1144" s="7" t="n">
        <f aca="false">B1144/MAX(B893:B1144)-1</f>
        <v>-0.0418361236557799</v>
      </c>
      <c r="F1144" s="7" t="str">
        <f aca="false">IFERROR(INDEX(02_轉折點45個!B:B,MATCH(A1144,02_轉折點45個!A:A,0)),"")</f>
        <v/>
      </c>
      <c r="G1144" s="7" t="s">
        <v>1994</v>
      </c>
    </row>
    <row r="1145" customFormat="false" ht="15" hidden="false" customHeight="false" outlineLevel="0" collapsed="false">
      <c r="A1145" s="7" t="s">
        <v>3003</v>
      </c>
      <c r="B1145" s="7" t="n">
        <v>1558.65</v>
      </c>
      <c r="C1145" s="7" t="n">
        <f aca="false">AVERAGE(B1096:B1145)</f>
        <v>1488.2388</v>
      </c>
      <c r="D1145" s="7" t="n">
        <f aca="false">AVERAGE(B946:B1145)</f>
        <v>1307.96065</v>
      </c>
      <c r="E1145" s="7" t="n">
        <f aca="false">B1145/MAX(B894:B1145)-1</f>
        <v>-0.0277639162653759</v>
      </c>
      <c r="F1145" s="7" t="str">
        <f aca="false">IFERROR(INDEX(02_轉折點45個!B:B,MATCH(A1145,02_轉折點45個!A:A,0)),"")</f>
        <v/>
      </c>
      <c r="G1145" s="7" t="s">
        <v>1994</v>
      </c>
    </row>
    <row r="1146" customFormat="false" ht="15" hidden="false" customHeight="false" outlineLevel="0" collapsed="false">
      <c r="A1146" s="7" t="s">
        <v>3004</v>
      </c>
      <c r="B1146" s="7" t="n">
        <v>1570.6</v>
      </c>
      <c r="C1146" s="7" t="n">
        <f aca="false">AVERAGE(B1097:B1146)</f>
        <v>1491.4872</v>
      </c>
      <c r="D1146" s="7" t="n">
        <f aca="false">AVERAGE(B947:B1146)</f>
        <v>1310.60675</v>
      </c>
      <c r="E1146" s="7" t="n">
        <f aca="false">B1146/MAX(B895:B1146)-1</f>
        <v>-0.0203098879712569</v>
      </c>
      <c r="F1146" s="7" t="str">
        <f aca="false">IFERROR(INDEX(02_轉折點45個!B:B,MATCH(A1146,02_轉折點45個!A:A,0)),"")</f>
        <v/>
      </c>
      <c r="G1146" s="7" t="s">
        <v>1994</v>
      </c>
    </row>
    <row r="1147" customFormat="false" ht="15" hidden="false" customHeight="false" outlineLevel="0" collapsed="false">
      <c r="A1147" s="7" t="s">
        <v>3005</v>
      </c>
      <c r="B1147" s="7" t="n">
        <v>1554.37</v>
      </c>
      <c r="C1147" s="7" t="n">
        <f aca="false">AVERAGE(B1098:B1147)</f>
        <v>1494.4424</v>
      </c>
      <c r="D1147" s="7" t="n">
        <f aca="false">AVERAGE(B948:B1147)</f>
        <v>1313.26535</v>
      </c>
      <c r="E1147" s="7" t="n">
        <f aca="false">B1147/MAX(B896:B1147)-1</f>
        <v>-0.030433643553981</v>
      </c>
      <c r="F1147" s="7" t="str">
        <f aca="false">IFERROR(INDEX(02_轉折點45個!B:B,MATCH(A1147,02_轉折點45個!A:A,0)),"")</f>
        <v/>
      </c>
      <c r="G1147" s="7" t="s">
        <v>1994</v>
      </c>
    </row>
    <row r="1148" customFormat="false" ht="15" hidden="false" customHeight="false" outlineLevel="0" collapsed="false">
      <c r="A1148" s="7" t="s">
        <v>3006</v>
      </c>
      <c r="B1148" s="7" t="n">
        <v>1581.12</v>
      </c>
      <c r="C1148" s="7" t="n">
        <f aca="false">AVERAGE(B1099:B1148)</f>
        <v>1498.02</v>
      </c>
      <c r="D1148" s="7" t="n">
        <f aca="false">AVERAGE(B949:B1148)</f>
        <v>1316.01285</v>
      </c>
      <c r="E1148" s="7" t="n">
        <f aca="false">B1148/MAX(B897:B1148)-1</f>
        <v>-0.0137478480001997</v>
      </c>
      <c r="F1148" s="7" t="str">
        <f aca="false">IFERROR(INDEX(02_轉折點45個!B:B,MATCH(A1148,02_轉折點45個!A:A,0)),"")</f>
        <v/>
      </c>
      <c r="G1148" s="7" t="s">
        <v>1994</v>
      </c>
    </row>
    <row r="1149" customFormat="false" ht="15" hidden="false" customHeight="false" outlineLevel="0" collapsed="false">
      <c r="A1149" s="7" t="s">
        <v>3007</v>
      </c>
      <c r="B1149" s="7" t="n">
        <v>1585.38</v>
      </c>
      <c r="C1149" s="7" t="n">
        <f aca="false">AVERAGE(B1100:B1149)</f>
        <v>1501.3816</v>
      </c>
      <c r="D1149" s="7" t="n">
        <f aca="false">AVERAGE(B950:B1149)</f>
        <v>1318.85065</v>
      </c>
      <c r="E1149" s="7" t="n">
        <f aca="false">B1149/MAX(B898:B1149)-1</f>
        <v>-0.0110905960727563</v>
      </c>
      <c r="F1149" s="7" t="str">
        <f aca="false">IFERROR(INDEX(02_轉折點45個!B:B,MATCH(A1149,02_轉折點45個!A:A,0)),"")</f>
        <v/>
      </c>
      <c r="G1149" s="7" t="s">
        <v>1994</v>
      </c>
    </row>
    <row r="1150" customFormat="false" ht="15" hidden="false" customHeight="false" outlineLevel="0" collapsed="false">
      <c r="A1150" s="7" t="s">
        <v>3008</v>
      </c>
      <c r="B1150" s="7" t="n">
        <v>1581.73</v>
      </c>
      <c r="C1150" s="7" t="n">
        <f aca="false">AVERAGE(B1101:B1150)</f>
        <v>1504.905</v>
      </c>
      <c r="D1150" s="7" t="n">
        <f aca="false">AVERAGE(B951:B1150)</f>
        <v>1321.4452</v>
      </c>
      <c r="E1150" s="7" t="n">
        <f aca="false">B1150/MAX(B899:B1150)-1</f>
        <v>-0.0133673494847676</v>
      </c>
      <c r="F1150" s="7" t="str">
        <f aca="false">IFERROR(INDEX(02_轉折點45個!B:B,MATCH(A1150,02_轉折點45個!A:A,0)),"")</f>
        <v/>
      </c>
      <c r="G1150" s="7" t="s">
        <v>1994</v>
      </c>
    </row>
    <row r="1151" customFormat="false" ht="15" hidden="false" customHeight="false" outlineLevel="0" collapsed="false">
      <c r="A1151" s="7" t="s">
        <v>3009</v>
      </c>
      <c r="B1151" s="7" t="n">
        <v>1572.18</v>
      </c>
      <c r="C1151" s="7" t="n">
        <f aca="false">AVERAGE(B1102:B1151)</f>
        <v>1509.0736</v>
      </c>
      <c r="D1151" s="7" t="n">
        <f aca="false">AVERAGE(B952:B1151)</f>
        <v>1323.77685</v>
      </c>
      <c r="E1151" s="7" t="n">
        <f aca="false">B1151/MAX(B900:B1151)-1</f>
        <v>-0.019324334439482</v>
      </c>
      <c r="F1151" s="7" t="str">
        <f aca="false">IFERROR(INDEX(02_轉折點45個!B:B,MATCH(A1151,02_轉折點45個!A:A,0)),"")</f>
        <v/>
      </c>
      <c r="G1151" s="7" t="s">
        <v>1994</v>
      </c>
    </row>
    <row r="1152" customFormat="false" ht="15" hidden="false" customHeight="false" outlineLevel="0" collapsed="false">
      <c r="A1152" s="7" t="s">
        <v>3010</v>
      </c>
      <c r="B1152" s="7" t="n">
        <v>1585.07</v>
      </c>
      <c r="C1152" s="7" t="n">
        <f aca="false">AVERAGE(B1103:B1152)</f>
        <v>1513.5306</v>
      </c>
      <c r="D1152" s="7" t="n">
        <f aca="false">AVERAGE(B953:B1152)</f>
        <v>1326.127</v>
      </c>
      <c r="E1152" s="7" t="n">
        <f aca="false">B1152/MAX(B901:B1152)-1</f>
        <v>-0.0112839641707628</v>
      </c>
      <c r="F1152" s="7" t="str">
        <f aca="false">IFERROR(INDEX(02_轉折點45個!B:B,MATCH(A1152,02_轉折點45個!A:A,0)),"")</f>
        <v/>
      </c>
      <c r="G1152" s="7" t="s">
        <v>1994</v>
      </c>
    </row>
    <row r="1153" customFormat="false" ht="15" hidden="false" customHeight="false" outlineLevel="0" collapsed="false">
      <c r="A1153" s="7" t="s">
        <v>496</v>
      </c>
      <c r="B1153" s="7" t="n">
        <v>1567.34</v>
      </c>
      <c r="C1153" s="7" t="n">
        <f aca="false">AVERAGE(B1104:B1153)</f>
        <v>1517.6554</v>
      </c>
      <c r="D1153" s="7" t="n">
        <f aca="false">AVERAGE(B954:B1153)</f>
        <v>1328.1057</v>
      </c>
      <c r="E1153" s="7" t="n">
        <f aca="false">B1153/MAX(B902:B1153)-1</f>
        <v>-0.0223433718406149</v>
      </c>
      <c r="F1153" s="7" t="str">
        <f aca="false">IFERROR(INDEX(02_轉折點45個!B:B,MATCH(A1153,02_轉折點45個!A:A,0)),"")</f>
        <v/>
      </c>
      <c r="G1153" s="7" t="s">
        <v>1994</v>
      </c>
    </row>
    <row r="1154" customFormat="false" ht="15" hidden="false" customHeight="false" outlineLevel="0" collapsed="false">
      <c r="A1154" s="7" t="s">
        <v>3011</v>
      </c>
      <c r="B1154" s="7" t="n">
        <v>1565.92</v>
      </c>
      <c r="C1154" s="7" t="n">
        <f aca="false">AVERAGE(B1105:B1154)</f>
        <v>1521.4286</v>
      </c>
      <c r="D1154" s="7" t="n">
        <f aca="false">AVERAGE(B955:B1154)</f>
        <v>1330.30575</v>
      </c>
      <c r="E1154" s="7" t="n">
        <f aca="false">B1154/MAX(B903:B1154)-1</f>
        <v>-0.0232291224830959</v>
      </c>
      <c r="F1154" s="7" t="str">
        <f aca="false">IFERROR(INDEX(02_轉折點45個!B:B,MATCH(A1154,02_轉折點45個!A:A,0)),"")</f>
        <v/>
      </c>
      <c r="G1154" s="7" t="s">
        <v>1994</v>
      </c>
    </row>
    <row r="1155" customFormat="false" ht="15" hidden="false" customHeight="false" outlineLevel="0" collapsed="false">
      <c r="A1155" s="7" t="s">
        <v>497</v>
      </c>
      <c r="B1155" s="7" t="n">
        <v>1528.86</v>
      </c>
      <c r="C1155" s="7" t="n">
        <f aca="false">AVERAGE(B1106:B1155)</f>
        <v>1524.4142</v>
      </c>
      <c r="D1155" s="7" t="n">
        <f aca="false">AVERAGE(B956:B1155)</f>
        <v>1332.1384</v>
      </c>
      <c r="E1155" s="7" t="n">
        <f aca="false">B1155/MAX(B904:B1155)-1</f>
        <v>-0.0463459667157365</v>
      </c>
      <c r="F1155" s="7" t="str">
        <f aca="false">IFERROR(INDEX(02_轉折點45個!B:B,MATCH(A1155,02_轉折點45個!A:A,0)),"")</f>
        <v/>
      </c>
      <c r="G1155" s="7" t="s">
        <v>1994</v>
      </c>
    </row>
    <row r="1156" customFormat="false" ht="15" hidden="false" customHeight="false" outlineLevel="0" collapsed="false">
      <c r="A1156" s="7" t="s">
        <v>3012</v>
      </c>
      <c r="B1156" s="7" t="n">
        <v>1509.84</v>
      </c>
      <c r="C1156" s="7" t="n">
        <f aca="false">AVERAGE(B1107:B1156)</f>
        <v>1526.168</v>
      </c>
      <c r="D1156" s="7" t="n">
        <f aca="false">AVERAGE(B957:B1156)</f>
        <v>1333.80485</v>
      </c>
      <c r="E1156" s="7" t="n">
        <f aca="false">B1156/MAX(B905:B1156)-1</f>
        <v>-0.0582100351805186</v>
      </c>
      <c r="F1156" s="7" t="str">
        <f aca="false">IFERROR(INDEX(02_轉折點45個!B:B,MATCH(A1156,02_轉折點45個!A:A,0)),"")</f>
        <v/>
      </c>
      <c r="G1156" s="7" t="s">
        <v>1994</v>
      </c>
    </row>
    <row r="1157" customFormat="false" ht="15" hidden="false" customHeight="false" outlineLevel="0" collapsed="false">
      <c r="A1157" s="7" t="s">
        <v>3013</v>
      </c>
      <c r="B1157" s="7" t="n">
        <v>1509.39</v>
      </c>
      <c r="C1157" s="7" t="n">
        <f aca="false">AVERAGE(B1108:B1157)</f>
        <v>1527.7932</v>
      </c>
      <c r="D1157" s="7" t="n">
        <f aca="false">AVERAGE(B958:B1157)</f>
        <v>1335.3694</v>
      </c>
      <c r="E1157" s="7" t="n">
        <f aca="false">B1157/MAX(B906:B1157)-1</f>
        <v>-0.0584907308066568</v>
      </c>
      <c r="F1157" s="7" t="str">
        <f aca="false">IFERROR(INDEX(02_轉折點45個!B:B,MATCH(A1157,02_轉折點45個!A:A,0)),"")</f>
        <v/>
      </c>
      <c r="G1157" s="7" t="s">
        <v>1994</v>
      </c>
    </row>
    <row r="1158" customFormat="false" ht="15" hidden="false" customHeight="false" outlineLevel="0" collapsed="false">
      <c r="A1158" s="7" t="s">
        <v>498</v>
      </c>
      <c r="B1158" s="7" t="n">
        <v>1501.94</v>
      </c>
      <c r="C1158" s="7" t="n">
        <f aca="false">AVERAGE(B1109:B1158)</f>
        <v>1529.0554</v>
      </c>
      <c r="D1158" s="7" t="n">
        <f aca="false">AVERAGE(B959:B1158)</f>
        <v>1336.97375</v>
      </c>
      <c r="E1158" s="7" t="n">
        <f aca="false">B1158/MAX(B907:B1158)-1</f>
        <v>-0.0631378028393922</v>
      </c>
      <c r="F1158" s="7" t="str">
        <f aca="false">IFERROR(INDEX(02_轉折點45個!B:B,MATCH(A1158,02_轉折點45個!A:A,0)),"")</f>
        <v/>
      </c>
      <c r="G1158" s="7" t="s">
        <v>1994</v>
      </c>
    </row>
    <row r="1159" customFormat="false" ht="15" hidden="false" customHeight="false" outlineLevel="0" collapsed="false">
      <c r="A1159" s="7" t="s">
        <v>3014</v>
      </c>
      <c r="B1159" s="7" t="n">
        <v>1517.91</v>
      </c>
      <c r="C1159" s="7" t="n">
        <f aca="false">AVERAGE(B1110:B1159)</f>
        <v>1530.254</v>
      </c>
      <c r="D1159" s="7" t="n">
        <f aca="false">AVERAGE(B960:B1159)</f>
        <v>1338.53265</v>
      </c>
      <c r="E1159" s="7" t="n">
        <f aca="false">B1159/MAX(B908:B1159)-1</f>
        <v>-0.0531762269517703</v>
      </c>
      <c r="F1159" s="7" t="str">
        <f aca="false">IFERROR(INDEX(02_轉折點45個!B:B,MATCH(A1159,02_轉折點45個!A:A,0)),"")</f>
        <v/>
      </c>
      <c r="G1159" s="7" t="s">
        <v>1994</v>
      </c>
    </row>
    <row r="1160" customFormat="false" ht="15" hidden="false" customHeight="false" outlineLevel="0" collapsed="false">
      <c r="A1160" s="7" t="s">
        <v>3015</v>
      </c>
      <c r="B1160" s="7" t="n">
        <v>1541.21</v>
      </c>
      <c r="C1160" s="7" t="n">
        <f aca="false">AVERAGE(B1111:B1160)</f>
        <v>1532.0128</v>
      </c>
      <c r="D1160" s="7" t="n">
        <f aca="false">AVERAGE(B961:B1160)</f>
        <v>1340.30635</v>
      </c>
      <c r="E1160" s="7" t="n">
        <f aca="false">B1160/MAX(B909:B1160)-1</f>
        <v>-0.0386424311983832</v>
      </c>
      <c r="F1160" s="7" t="str">
        <f aca="false">IFERROR(INDEX(02_轉折點45個!B:B,MATCH(A1160,02_轉折點45個!A:A,0)),"")</f>
        <v/>
      </c>
      <c r="G1160" s="7" t="s">
        <v>1994</v>
      </c>
    </row>
    <row r="1161" customFormat="false" ht="15" hidden="false" customHeight="false" outlineLevel="0" collapsed="false">
      <c r="A1161" s="7" t="s">
        <v>3016</v>
      </c>
      <c r="B1161" s="7" t="n">
        <v>1540.84</v>
      </c>
      <c r="C1161" s="7" t="n">
        <f aca="false">AVERAGE(B1112:B1161)</f>
        <v>1533.5302</v>
      </c>
      <c r="D1161" s="7" t="n">
        <f aca="false">AVERAGE(B962:B1161)</f>
        <v>1341.93015</v>
      </c>
      <c r="E1161" s="7" t="n">
        <f aca="false">B1161/MAX(B910:B1161)-1</f>
        <v>-0.0388732253798748</v>
      </c>
      <c r="F1161" s="7" t="str">
        <f aca="false">IFERROR(INDEX(02_轉折點45個!B:B,MATCH(A1161,02_轉折點45個!A:A,0)),"")</f>
        <v/>
      </c>
      <c r="G1161" s="7" t="s">
        <v>1994</v>
      </c>
    </row>
    <row r="1162" customFormat="false" ht="15" hidden="false" customHeight="false" outlineLevel="0" collapsed="false">
      <c r="A1162" s="7" t="s">
        <v>3017</v>
      </c>
      <c r="B1162" s="7" t="n">
        <v>1553.38</v>
      </c>
      <c r="C1162" s="7" t="n">
        <f aca="false">AVERAGE(B1113:B1162)</f>
        <v>1534.7304</v>
      </c>
      <c r="D1162" s="7" t="n">
        <f aca="false">AVERAGE(B963:B1162)</f>
        <v>1343.6865</v>
      </c>
      <c r="E1162" s="7" t="n">
        <f aca="false">B1162/MAX(B911:B1162)-1</f>
        <v>-0.0310511739314853</v>
      </c>
      <c r="F1162" s="7" t="str">
        <f aca="false">IFERROR(INDEX(02_轉折點45個!B:B,MATCH(A1162,02_轉折點45個!A:A,0)),"")</f>
        <v/>
      </c>
      <c r="G1162" s="7" t="s">
        <v>1994</v>
      </c>
    </row>
    <row r="1163" customFormat="false" ht="15" hidden="false" customHeight="false" outlineLevel="0" collapsed="false">
      <c r="A1163" s="7" t="s">
        <v>3018</v>
      </c>
      <c r="B1163" s="7" t="n">
        <v>1554.91</v>
      </c>
      <c r="C1163" s="7" t="n">
        <f aca="false">AVERAGE(B1114:B1163)</f>
        <v>1535.7536</v>
      </c>
      <c r="D1163" s="7" t="n">
        <f aca="false">AVERAGE(B964:B1163)</f>
        <v>1345.52035</v>
      </c>
      <c r="E1163" s="7" t="n">
        <f aca="false">B1163/MAX(B912:B1163)-1</f>
        <v>-0.0300968088026148</v>
      </c>
      <c r="F1163" s="7" t="str">
        <f aca="false">IFERROR(INDEX(02_轉折點45個!B:B,MATCH(A1163,02_轉折點45個!A:A,0)),"")</f>
        <v/>
      </c>
      <c r="G1163" s="7" t="s">
        <v>1994</v>
      </c>
    </row>
    <row r="1164" customFormat="false" ht="15" hidden="false" customHeight="false" outlineLevel="0" collapsed="false">
      <c r="A1164" s="7" t="s">
        <v>3019</v>
      </c>
      <c r="B1164" s="7" t="n">
        <v>1589.15</v>
      </c>
      <c r="C1164" s="7" t="n">
        <f aca="false">AVERAGE(B1115:B1164)</f>
        <v>1537.8012</v>
      </c>
      <c r="D1164" s="7" t="n">
        <f aca="false">AVERAGE(B965:B1164)</f>
        <v>1347.4058</v>
      </c>
      <c r="E1164" s="7" t="n">
        <f aca="false">B1164/MAX(B913:B1164)-1</f>
        <v>-0.0087389904937748</v>
      </c>
      <c r="F1164" s="7" t="str">
        <f aca="false">IFERROR(INDEX(02_轉折點45個!B:B,MATCH(A1164,02_轉折點45個!A:A,0)),"")</f>
        <v/>
      </c>
      <c r="G1164" s="7" t="s">
        <v>1994</v>
      </c>
    </row>
    <row r="1165" customFormat="false" ht="15" hidden="false" customHeight="false" outlineLevel="0" collapsed="false">
      <c r="A1165" s="7" t="s">
        <v>499</v>
      </c>
      <c r="B1165" s="7" t="n">
        <v>1608.9</v>
      </c>
      <c r="C1165" s="7" t="n">
        <f aca="false">AVERAGE(B1116:B1165)</f>
        <v>1540.6724</v>
      </c>
      <c r="D1165" s="7" t="n">
        <f aca="false">AVERAGE(B966:B1165)</f>
        <v>1349.3762</v>
      </c>
      <c r="E1165" s="7" t="n">
        <f aca="false">B1165/MAX(B914:B1165)-1</f>
        <v>0</v>
      </c>
      <c r="F1165" s="7" t="str">
        <f aca="false">IFERROR(INDEX(02_轉折點45個!B:B,MATCH(A1165,02_轉折點45個!A:A,0)),"")</f>
        <v/>
      </c>
      <c r="G1165" s="7" t="s">
        <v>1994</v>
      </c>
    </row>
    <row r="1166" customFormat="false" ht="15" hidden="false" customHeight="false" outlineLevel="0" collapsed="false">
      <c r="A1166" s="7" t="s">
        <v>3020</v>
      </c>
      <c r="B1166" s="7" t="n">
        <v>1608.38</v>
      </c>
      <c r="C1166" s="7" t="n">
        <f aca="false">AVERAGE(B1117:B1166)</f>
        <v>1543.1002</v>
      </c>
      <c r="D1166" s="7" t="n">
        <f aca="false">AVERAGE(B967:B1166)</f>
        <v>1351.2026</v>
      </c>
      <c r="E1166" s="7" t="n">
        <f aca="false">B1166/MAX(B915:B1166)-1</f>
        <v>-0.000323202187830218</v>
      </c>
      <c r="F1166" s="7" t="str">
        <f aca="false">IFERROR(INDEX(02_轉折點45個!B:B,MATCH(A1166,02_轉折點45個!A:A,0)),"")</f>
        <v/>
      </c>
      <c r="G1166" s="7" t="s">
        <v>1994</v>
      </c>
    </row>
    <row r="1167" customFormat="false" ht="15" hidden="false" customHeight="false" outlineLevel="0" collapsed="false">
      <c r="A1167" s="7" t="s">
        <v>3021</v>
      </c>
      <c r="B1167" s="7" t="n">
        <v>1623.92</v>
      </c>
      <c r="C1167" s="7" t="n">
        <f aca="false">AVERAGE(B1118:B1167)</f>
        <v>1545.5034</v>
      </c>
      <c r="D1167" s="7" t="n">
        <f aca="false">AVERAGE(B968:B1167)</f>
        <v>1352.943</v>
      </c>
      <c r="E1167" s="7" t="n">
        <f aca="false">B1167/MAX(B916:B1167)-1</f>
        <v>0</v>
      </c>
      <c r="F1167" s="7" t="str">
        <f aca="false">IFERROR(INDEX(02_轉折點45個!B:B,MATCH(A1167,02_轉折點45個!A:A,0)),"")</f>
        <v/>
      </c>
      <c r="G1167" s="7" t="s">
        <v>1994</v>
      </c>
    </row>
    <row r="1168" customFormat="false" ht="15" hidden="false" customHeight="false" outlineLevel="0" collapsed="false">
      <c r="A1168" s="7" t="s">
        <v>3022</v>
      </c>
      <c r="B1168" s="7" t="n">
        <v>1612.75</v>
      </c>
      <c r="C1168" s="7" t="n">
        <f aca="false">AVERAGE(B1119:B1168)</f>
        <v>1547.5444</v>
      </c>
      <c r="D1168" s="7" t="n">
        <f aca="false">AVERAGE(B969:B1168)</f>
        <v>1354.6064</v>
      </c>
      <c r="E1168" s="7" t="n">
        <f aca="false">B1168/MAX(B917:B1168)-1</f>
        <v>-0.00687841765604225</v>
      </c>
      <c r="F1168" s="7" t="str">
        <f aca="false">IFERROR(INDEX(02_轉折點45個!B:B,MATCH(A1168,02_轉折點45個!A:A,0)),"")</f>
        <v/>
      </c>
      <c r="G1168" s="7" t="s">
        <v>1994</v>
      </c>
    </row>
    <row r="1169" customFormat="false" ht="15" hidden="false" customHeight="false" outlineLevel="0" collapsed="false">
      <c r="A1169" s="7" t="s">
        <v>3023</v>
      </c>
      <c r="B1169" s="7" t="n">
        <v>1611.83</v>
      </c>
      <c r="C1169" s="7" t="n">
        <f aca="false">AVERAGE(B1120:B1169)</f>
        <v>1550.0626</v>
      </c>
      <c r="D1169" s="7" t="n">
        <f aca="false">AVERAGE(B970:B1169)</f>
        <v>1356.1838</v>
      </c>
      <c r="E1169" s="7" t="n">
        <f aca="false">B1169/MAX(B918:B1169)-1</f>
        <v>-0.00744494802699647</v>
      </c>
      <c r="F1169" s="7" t="str">
        <f aca="false">IFERROR(INDEX(02_轉折點45個!B:B,MATCH(A1169,02_轉折點45個!A:A,0)),"")</f>
        <v/>
      </c>
      <c r="G1169" s="7" t="s">
        <v>1994</v>
      </c>
    </row>
    <row r="1170" customFormat="false" ht="15" hidden="false" customHeight="false" outlineLevel="0" collapsed="false">
      <c r="A1170" s="7" t="s">
        <v>3024</v>
      </c>
      <c r="B1170" s="7" t="n">
        <v>1617.62</v>
      </c>
      <c r="C1170" s="7" t="n">
        <f aca="false">AVERAGE(B1121:B1170)</f>
        <v>1551.9642</v>
      </c>
      <c r="D1170" s="7" t="n">
        <f aca="false">AVERAGE(B971:B1170)</f>
        <v>1357.9833</v>
      </c>
      <c r="E1170" s="7" t="n">
        <f aca="false">B1170/MAX(B919:B1170)-1</f>
        <v>-0.00387950145327365</v>
      </c>
      <c r="F1170" s="7" t="str">
        <f aca="false">IFERROR(INDEX(02_轉折點45個!B:B,MATCH(A1170,02_轉折點45個!A:A,0)),"")</f>
        <v/>
      </c>
      <c r="G1170" s="7" t="s">
        <v>1994</v>
      </c>
    </row>
    <row r="1171" customFormat="false" ht="15" hidden="false" customHeight="false" outlineLevel="0" collapsed="false">
      <c r="A1171" s="7" t="s">
        <v>500</v>
      </c>
      <c r="B1171" s="7" t="n">
        <v>1628.11</v>
      </c>
      <c r="C1171" s="7" t="n">
        <f aca="false">AVERAGE(B1122:B1171)</f>
        <v>1554.0416</v>
      </c>
      <c r="D1171" s="7" t="n">
        <f aca="false">AVERAGE(B972:B1171)</f>
        <v>1359.91485</v>
      </c>
      <c r="E1171" s="7" t="n">
        <f aca="false">B1171/MAX(B920:B1171)-1</f>
        <v>0</v>
      </c>
      <c r="F1171" s="7" t="str">
        <f aca="false">IFERROR(INDEX(02_轉折點45個!B:B,MATCH(A1171,02_轉折點45個!A:A,0)),"")</f>
        <v/>
      </c>
      <c r="G1171" s="7" t="s">
        <v>1994</v>
      </c>
    </row>
    <row r="1172" customFormat="false" ht="15" hidden="false" customHeight="false" outlineLevel="0" collapsed="false">
      <c r="A1172" s="7" t="s">
        <v>3025</v>
      </c>
      <c r="B1172" s="7" t="n">
        <v>1644.6</v>
      </c>
      <c r="C1172" s="7" t="n">
        <f aca="false">AVERAGE(B1123:B1172)</f>
        <v>1556.2898</v>
      </c>
      <c r="D1172" s="7" t="n">
        <f aca="false">AVERAGE(B973:B1172)</f>
        <v>1362.11195</v>
      </c>
      <c r="E1172" s="7" t="n">
        <f aca="false">B1172/MAX(B921:B1172)-1</f>
        <v>0</v>
      </c>
      <c r="F1172" s="7" t="str">
        <f aca="false">IFERROR(INDEX(02_轉折點45個!B:B,MATCH(A1172,02_轉折點45個!A:A,0)),"")</f>
        <v/>
      </c>
      <c r="G1172" s="7" t="s">
        <v>1994</v>
      </c>
    </row>
    <row r="1173" customFormat="false" ht="15" hidden="false" customHeight="false" outlineLevel="0" collapsed="false">
      <c r="A1173" s="7" t="s">
        <v>3026</v>
      </c>
      <c r="B1173" s="7" t="n">
        <v>1653.98</v>
      </c>
      <c r="C1173" s="7" t="n">
        <f aca="false">AVERAGE(B1124:B1173)</f>
        <v>1559.2464</v>
      </c>
      <c r="D1173" s="7" t="n">
        <f aca="false">AVERAGE(B974:B1173)</f>
        <v>1364.21725</v>
      </c>
      <c r="E1173" s="7" t="n">
        <f aca="false">B1173/MAX(B922:B1173)-1</f>
        <v>0</v>
      </c>
      <c r="F1173" s="7" t="str">
        <f aca="false">IFERROR(INDEX(02_轉折點45個!B:B,MATCH(A1173,02_轉折點45個!A:A,0)),"")</f>
        <v/>
      </c>
      <c r="G1173" s="7" t="s">
        <v>1994</v>
      </c>
    </row>
    <row r="1174" customFormat="false" ht="15" hidden="false" customHeight="false" outlineLevel="0" collapsed="false">
      <c r="A1174" s="7" t="s">
        <v>3027</v>
      </c>
      <c r="B1174" s="7" t="n">
        <v>1682.33</v>
      </c>
      <c r="C1174" s="7" t="n">
        <f aca="false">AVERAGE(B1125:B1174)</f>
        <v>1562.8416</v>
      </c>
      <c r="D1174" s="7" t="n">
        <f aca="false">AVERAGE(B975:B1174)</f>
        <v>1366.41055</v>
      </c>
      <c r="E1174" s="7" t="n">
        <f aca="false">B1174/MAX(B923:B1174)-1</f>
        <v>0</v>
      </c>
      <c r="F1174" s="7" t="str">
        <f aca="false">IFERROR(INDEX(02_轉折點45個!B:B,MATCH(A1174,02_轉折點45個!A:A,0)),"")</f>
        <v/>
      </c>
      <c r="G1174" s="7" t="s">
        <v>1994</v>
      </c>
    </row>
    <row r="1175" customFormat="false" ht="15" hidden="false" customHeight="false" outlineLevel="0" collapsed="false">
      <c r="A1175" s="7" t="s">
        <v>3028</v>
      </c>
      <c r="B1175" s="7" t="n">
        <v>1692.76</v>
      </c>
      <c r="C1175" s="7" t="n">
        <f aca="false">AVERAGE(B1126:B1175)</f>
        <v>1567.266</v>
      </c>
      <c r="D1175" s="7" t="n">
        <f aca="false">AVERAGE(B976:B1175)</f>
        <v>1368.4267</v>
      </c>
      <c r="E1175" s="7" t="n">
        <f aca="false">B1175/MAX(B924:B1175)-1</f>
        <v>0</v>
      </c>
      <c r="F1175" s="7" t="str">
        <f aca="false">IFERROR(INDEX(02_轉折點45個!B:B,MATCH(A1175,02_轉折點45個!A:A,0)),"")</f>
        <v/>
      </c>
      <c r="G1175" s="7" t="s">
        <v>1994</v>
      </c>
    </row>
    <row r="1176" customFormat="false" ht="15" hidden="false" customHeight="false" outlineLevel="0" collapsed="false">
      <c r="A1176" s="7" t="s">
        <v>3029</v>
      </c>
      <c r="B1176" s="7" t="n">
        <v>1707.44</v>
      </c>
      <c r="C1176" s="7" t="n">
        <f aca="false">AVERAGE(B1127:B1176)</f>
        <v>1572.078</v>
      </c>
      <c r="D1176" s="7" t="n">
        <f aca="false">AVERAGE(B977:B1176)</f>
        <v>1370.518</v>
      </c>
      <c r="E1176" s="7" t="n">
        <f aca="false">B1176/MAX(B925:B1176)-1</f>
        <v>0</v>
      </c>
      <c r="F1176" s="7" t="str">
        <f aca="false">IFERROR(INDEX(02_轉折點45個!B:B,MATCH(A1176,02_轉折點45個!A:A,0)),"")</f>
        <v/>
      </c>
      <c r="G1176" s="7" t="s">
        <v>1994</v>
      </c>
    </row>
    <row r="1177" customFormat="false" ht="15" hidden="false" customHeight="false" outlineLevel="0" collapsed="false">
      <c r="A1177" s="7" t="s">
        <v>3030</v>
      </c>
      <c r="B1177" s="7" t="n">
        <v>1697.64</v>
      </c>
      <c r="C1177" s="7" t="n">
        <f aca="false">AVERAGE(B1128:B1177)</f>
        <v>1576.7478</v>
      </c>
      <c r="D1177" s="7" t="n">
        <f aca="false">AVERAGE(B978:B1177)</f>
        <v>1372.64</v>
      </c>
      <c r="E1177" s="7" t="n">
        <f aca="false">B1177/MAX(B926:B1177)-1</f>
        <v>-0.00573958674975394</v>
      </c>
      <c r="F1177" s="7" t="str">
        <f aca="false">IFERROR(INDEX(02_轉折點45個!B:B,MATCH(A1177,02_轉折點45個!A:A,0)),"")</f>
        <v/>
      </c>
      <c r="G1177" s="7" t="s">
        <v>1994</v>
      </c>
    </row>
    <row r="1178" customFormat="false" ht="15" hidden="false" customHeight="false" outlineLevel="0" collapsed="false">
      <c r="A1178" s="7" t="s">
        <v>3031</v>
      </c>
      <c r="B1178" s="7" t="n">
        <v>1725.39</v>
      </c>
      <c r="C1178" s="7" t="n">
        <f aca="false">AVERAGE(B1129:B1178)</f>
        <v>1581.3998</v>
      </c>
      <c r="D1178" s="7" t="n">
        <f aca="false">AVERAGE(B979:B1178)</f>
        <v>1374.9884</v>
      </c>
      <c r="E1178" s="7" t="n">
        <f aca="false">B1178/MAX(B927:B1178)-1</f>
        <v>0</v>
      </c>
      <c r="F1178" s="7" t="str">
        <f aca="false">IFERROR(INDEX(02_轉折點45個!B:B,MATCH(A1178,02_轉折點45個!A:A,0)),"")</f>
        <v/>
      </c>
      <c r="G1178" s="7" t="s">
        <v>1994</v>
      </c>
    </row>
    <row r="1179" customFormat="false" ht="15" hidden="false" customHeight="false" outlineLevel="0" collapsed="false">
      <c r="A1179" s="7" t="s">
        <v>3032</v>
      </c>
      <c r="B1179" s="7" t="n">
        <v>1711.51</v>
      </c>
      <c r="C1179" s="7" t="n">
        <f aca="false">AVERAGE(B1130:B1179)</f>
        <v>1585.9342</v>
      </c>
      <c r="D1179" s="7" t="n">
        <f aca="false">AVERAGE(B980:B1179)</f>
        <v>1377.06255</v>
      </c>
      <c r="E1179" s="7" t="n">
        <f aca="false">B1179/MAX(B928:B1179)-1</f>
        <v>-0.00804455804195003</v>
      </c>
      <c r="F1179" s="7" t="str">
        <f aca="false">IFERROR(INDEX(02_轉折點45個!B:B,MATCH(A1179,02_轉折點45個!A:A,0)),"")</f>
        <v/>
      </c>
      <c r="G1179" s="7" t="s">
        <v>1994</v>
      </c>
    </row>
    <row r="1180" customFormat="false" ht="15" hidden="false" customHeight="false" outlineLevel="0" collapsed="false">
      <c r="A1180" s="7" t="s">
        <v>501</v>
      </c>
      <c r="B1180" s="7" t="n">
        <v>1666.18</v>
      </c>
      <c r="C1180" s="7" t="n">
        <f aca="false">AVERAGE(B1131:B1180)</f>
        <v>1589.6068</v>
      </c>
      <c r="D1180" s="7" t="n">
        <f aca="false">AVERAGE(B981:B1180)</f>
        <v>1378.6899</v>
      </c>
      <c r="E1180" s="7" t="n">
        <f aca="false">B1180/MAX(B929:B1180)-1</f>
        <v>-0.0343168790824103</v>
      </c>
      <c r="F1180" s="7" t="str">
        <f aca="false">IFERROR(INDEX(02_轉折點45個!B:B,MATCH(A1180,02_轉折點45個!A:A,0)),"")</f>
        <v/>
      </c>
      <c r="G1180" s="7" t="s">
        <v>1994</v>
      </c>
    </row>
    <row r="1181" customFormat="false" ht="15" hidden="false" customHeight="false" outlineLevel="0" collapsed="false">
      <c r="A1181" s="7" t="s">
        <v>3033</v>
      </c>
      <c r="B1181" s="7" t="n">
        <v>1686.54</v>
      </c>
      <c r="C1181" s="7" t="n">
        <f aca="false">AVERAGE(B1132:B1181)</f>
        <v>1593.37</v>
      </c>
      <c r="D1181" s="7" t="n">
        <f aca="false">AVERAGE(B982:B1181)</f>
        <v>1380.4136</v>
      </c>
      <c r="E1181" s="7" t="n">
        <f aca="false">B1181/MAX(B930:B1181)-1</f>
        <v>-0.0225166484099248</v>
      </c>
      <c r="F1181" s="7" t="str">
        <f aca="false">IFERROR(INDEX(02_轉折點45個!B:B,MATCH(A1181,02_轉折點45個!A:A,0)),"")</f>
        <v/>
      </c>
      <c r="G1181" s="7" t="s">
        <v>1994</v>
      </c>
    </row>
    <row r="1182" customFormat="false" ht="15" hidden="false" customHeight="false" outlineLevel="0" collapsed="false">
      <c r="A1182" s="7" t="s">
        <v>3034</v>
      </c>
      <c r="B1182" s="7" t="n">
        <v>1694.7</v>
      </c>
      <c r="C1182" s="7" t="n">
        <f aca="false">AVERAGE(B1133:B1182)</f>
        <v>1596.5912</v>
      </c>
      <c r="D1182" s="7" t="n">
        <f aca="false">AVERAGE(B983:B1182)</f>
        <v>1382.118</v>
      </c>
      <c r="E1182" s="7" t="n">
        <f aca="false">B1182/MAX(B931:B1182)-1</f>
        <v>-0.0177872828751761</v>
      </c>
      <c r="F1182" s="7" t="str">
        <f aca="false">IFERROR(INDEX(02_轉折點45個!B:B,MATCH(A1182,02_轉折點45個!A:A,0)),"")</f>
        <v/>
      </c>
      <c r="G1182" s="7" t="s">
        <v>1994</v>
      </c>
    </row>
    <row r="1183" customFormat="false" ht="15" hidden="false" customHeight="false" outlineLevel="0" collapsed="false">
      <c r="A1183" s="7" t="s">
        <v>502</v>
      </c>
      <c r="B1183" s="7" t="n">
        <v>1686.18</v>
      </c>
      <c r="C1183" s="7" t="n">
        <f aca="false">AVERAGE(B1134:B1183)</f>
        <v>1599.921</v>
      </c>
      <c r="D1183" s="7" t="n">
        <f aca="false">AVERAGE(B984:B1183)</f>
        <v>1383.95095</v>
      </c>
      <c r="E1183" s="7" t="n">
        <f aca="false">B1183/MAX(B932:B1183)-1</f>
        <v>-0.022725296889399</v>
      </c>
      <c r="F1183" s="7" t="str">
        <f aca="false">IFERROR(INDEX(02_轉折點45個!B:B,MATCH(A1183,02_轉折點45個!A:A,0)),"")</f>
        <v/>
      </c>
      <c r="G1183" s="7" t="s">
        <v>1994</v>
      </c>
    </row>
    <row r="1184" customFormat="false" ht="15" hidden="false" customHeight="false" outlineLevel="0" collapsed="false">
      <c r="A1184" s="7" t="s">
        <v>3035</v>
      </c>
      <c r="B1184" s="7" t="n">
        <v>1724.14</v>
      </c>
      <c r="C1184" s="7" t="n">
        <f aca="false">AVERAGE(B1135:B1184)</f>
        <v>1602.964</v>
      </c>
      <c r="D1184" s="7" t="n">
        <f aca="false">AVERAGE(B985:B1184)</f>
        <v>1385.77495</v>
      </c>
      <c r="E1184" s="7" t="n">
        <f aca="false">B1184/MAX(B933:B1184)-1</f>
        <v>-0.000724473887063204</v>
      </c>
      <c r="F1184" s="7" t="str">
        <f aca="false">IFERROR(INDEX(02_轉折點45個!B:B,MATCH(A1184,02_轉折點45個!A:A,0)),"")</f>
        <v/>
      </c>
      <c r="G1184" s="7" t="s">
        <v>1994</v>
      </c>
    </row>
    <row r="1185" customFormat="false" ht="15" hidden="false" customHeight="false" outlineLevel="0" collapsed="false">
      <c r="A1185" s="7" t="s">
        <v>3036</v>
      </c>
      <c r="B1185" s="7" t="n">
        <v>1720.35</v>
      </c>
      <c r="C1185" s="7" t="n">
        <f aca="false">AVERAGE(B1136:B1185)</f>
        <v>1605.4606</v>
      </c>
      <c r="D1185" s="7" t="n">
        <f aca="false">AVERAGE(B986:B1185)</f>
        <v>1387.62185</v>
      </c>
      <c r="E1185" s="7" t="n">
        <f aca="false">B1185/MAX(B934:B1185)-1</f>
        <v>-0.00292107871263902</v>
      </c>
      <c r="F1185" s="7" t="str">
        <f aca="false">IFERROR(INDEX(02_轉折點45個!B:B,MATCH(A1185,02_轉折點45個!A:A,0)),"")</f>
        <v/>
      </c>
      <c r="G1185" s="7" t="s">
        <v>1994</v>
      </c>
    </row>
    <row r="1186" customFormat="false" ht="15" hidden="false" customHeight="false" outlineLevel="0" collapsed="false">
      <c r="A1186" s="7" t="s">
        <v>503</v>
      </c>
      <c r="B1186" s="7" t="n">
        <v>1744.51</v>
      </c>
      <c r="C1186" s="7" t="n">
        <f aca="false">AVERAGE(B1137:B1186)</f>
        <v>1608.4222</v>
      </c>
      <c r="D1186" s="7" t="n">
        <f aca="false">AVERAGE(B987:B1186)</f>
        <v>1389.56215</v>
      </c>
      <c r="E1186" s="7" t="n">
        <f aca="false">B1186/MAX(B935:B1186)-1</f>
        <v>0</v>
      </c>
      <c r="F1186" s="7" t="str">
        <f aca="false">IFERROR(INDEX(02_轉折點45個!B:B,MATCH(A1186,02_轉折點45個!A:A,0)),"")</f>
        <v/>
      </c>
      <c r="G1186" s="7" t="s">
        <v>1994</v>
      </c>
    </row>
    <row r="1187" customFormat="false" ht="15" hidden="false" customHeight="false" outlineLevel="0" collapsed="false">
      <c r="A1187" s="7" t="s">
        <v>3037</v>
      </c>
      <c r="B1187" s="7" t="n">
        <v>1741</v>
      </c>
      <c r="C1187" s="7" t="n">
        <f aca="false">AVERAGE(B1138:B1187)</f>
        <v>1611.891</v>
      </c>
      <c r="D1187" s="7" t="n">
        <f aca="false">AVERAGE(B988:B1187)</f>
        <v>1391.6485</v>
      </c>
      <c r="E1187" s="7" t="n">
        <f aca="false">B1187/MAX(B936:B1187)-1</f>
        <v>-0.00201202629964858</v>
      </c>
      <c r="F1187" s="7" t="str">
        <f aca="false">IFERROR(INDEX(02_轉折點45個!B:B,MATCH(A1187,02_轉折點45個!A:A,0)),"")</f>
        <v/>
      </c>
      <c r="G1187" s="7" t="s">
        <v>1994</v>
      </c>
    </row>
    <row r="1188" customFormat="false" ht="15" hidden="false" customHeight="false" outlineLevel="0" collapsed="false">
      <c r="A1188" s="7" t="s">
        <v>3038</v>
      </c>
      <c r="B1188" s="7" t="n">
        <v>1712.6</v>
      </c>
      <c r="C1188" s="7" t="n">
        <f aca="false">AVERAGE(B1139:B1188)</f>
        <v>1614.4616</v>
      </c>
      <c r="D1188" s="7" t="n">
        <f aca="false">AVERAGE(B989:B1188)</f>
        <v>1393.67785</v>
      </c>
      <c r="E1188" s="7" t="n">
        <f aca="false">B1188/MAX(B937:B1188)-1</f>
        <v>-0.0182916692939565</v>
      </c>
      <c r="F1188" s="7" t="str">
        <f aca="false">IFERROR(INDEX(02_轉折點45個!B:B,MATCH(A1188,02_轉折點45個!A:A,0)),"")</f>
        <v/>
      </c>
      <c r="G1188" s="7" t="s">
        <v>1994</v>
      </c>
    </row>
    <row r="1189" customFormat="false" ht="15" hidden="false" customHeight="false" outlineLevel="0" collapsed="false">
      <c r="A1189" s="7" t="s">
        <v>3039</v>
      </c>
      <c r="B1189" s="7" t="n">
        <v>1737.36</v>
      </c>
      <c r="C1189" s="7" t="n">
        <f aca="false">AVERAGE(B1140:B1189)</f>
        <v>1617.1456</v>
      </c>
      <c r="D1189" s="7" t="n">
        <f aca="false">AVERAGE(B990:B1189)</f>
        <v>1395.92055</v>
      </c>
      <c r="E1189" s="7" t="n">
        <f aca="false">B1189/MAX(B938:B1189)-1</f>
        <v>-0.00409857209187681</v>
      </c>
      <c r="F1189" s="7" t="str">
        <f aca="false">IFERROR(INDEX(02_轉折點45個!B:B,MATCH(A1189,02_轉折點45個!A:A,0)),"")</f>
        <v/>
      </c>
      <c r="G1189" s="7" t="s">
        <v>1994</v>
      </c>
    </row>
    <row r="1190" customFormat="false" ht="15" hidden="false" customHeight="false" outlineLevel="0" collapsed="false">
      <c r="A1190" s="7" t="s">
        <v>3040</v>
      </c>
      <c r="B1190" s="7" t="n">
        <v>1684.35</v>
      </c>
      <c r="C1190" s="7" t="n">
        <f aca="false">AVERAGE(B1141:B1190)</f>
        <v>1618.799</v>
      </c>
      <c r="D1190" s="7" t="n">
        <f aca="false">AVERAGE(B991:B1190)</f>
        <v>1397.8448</v>
      </c>
      <c r="E1190" s="7" t="n">
        <f aca="false">B1190/MAX(B939:B1190)-1</f>
        <v>-0.0344853282583648</v>
      </c>
      <c r="F1190" s="7" t="str">
        <f aca="false">IFERROR(INDEX(02_轉折點45個!B:B,MATCH(A1190,02_轉折點45個!A:A,0)),"")</f>
        <v/>
      </c>
      <c r="G1190" s="7" t="s">
        <v>1994</v>
      </c>
    </row>
    <row r="1191" customFormat="false" ht="15" hidden="false" customHeight="false" outlineLevel="0" collapsed="false">
      <c r="A1191" s="7" t="s">
        <v>504</v>
      </c>
      <c r="B1191" s="7" t="n">
        <v>1660.18</v>
      </c>
      <c r="C1191" s="7" t="n">
        <f aca="false">AVERAGE(B1142:B1191)</f>
        <v>1620.0646</v>
      </c>
      <c r="D1191" s="7" t="n">
        <f aca="false">AVERAGE(B992:B1191)</f>
        <v>1399.9008</v>
      </c>
      <c r="E1191" s="7" t="n">
        <f aca="false">B1191/MAX(B940:B1191)-1</f>
        <v>-0.0483402216095064</v>
      </c>
      <c r="F1191" s="7" t="str">
        <f aca="false">IFERROR(INDEX(02_轉折點45個!B:B,MATCH(A1191,02_轉折點45個!A:A,0)),"")</f>
        <v/>
      </c>
      <c r="G1191" s="7" t="s">
        <v>1994</v>
      </c>
    </row>
    <row r="1192" customFormat="false" ht="15" hidden="false" customHeight="false" outlineLevel="0" collapsed="false">
      <c r="A1192" s="7" t="s">
        <v>505</v>
      </c>
      <c r="B1192" s="7" t="n">
        <v>1637.19</v>
      </c>
      <c r="C1192" s="7" t="n">
        <f aca="false">AVERAGE(B1143:B1192)</f>
        <v>1621.7832</v>
      </c>
      <c r="D1192" s="7" t="n">
        <f aca="false">AVERAGE(B993:B1192)</f>
        <v>1401.73395</v>
      </c>
      <c r="E1192" s="7" t="n">
        <f aca="false">B1192/MAX(B941:B1192)-1</f>
        <v>-0.0615187072587717</v>
      </c>
      <c r="F1192" s="7" t="str">
        <f aca="false">IFERROR(INDEX(02_轉折點45個!B:B,MATCH(A1192,02_轉折點45個!A:A,0)),"")</f>
        <v/>
      </c>
      <c r="G1192" s="7" t="s">
        <v>1994</v>
      </c>
    </row>
    <row r="1193" customFormat="false" ht="15" hidden="false" customHeight="false" outlineLevel="0" collapsed="false">
      <c r="A1193" s="7" t="s">
        <v>506</v>
      </c>
      <c r="B1193" s="7" t="n">
        <v>1666.87</v>
      </c>
      <c r="C1193" s="7" t="n">
        <f aca="false">AVERAGE(B1144:B1193)</f>
        <v>1623.9038</v>
      </c>
      <c r="D1193" s="7" t="n">
        <f aca="false">AVERAGE(B994:B1193)</f>
        <v>1403.68885</v>
      </c>
      <c r="E1193" s="7" t="n">
        <f aca="false">B1193/MAX(B942:B1193)-1</f>
        <v>-0.0445053338759882</v>
      </c>
      <c r="F1193" s="7" t="str">
        <f aca="false">IFERROR(INDEX(02_轉折點45個!B:B,MATCH(A1193,02_轉折點45個!A:A,0)),"")</f>
        <v/>
      </c>
      <c r="G1193" s="7" t="s">
        <v>1994</v>
      </c>
    </row>
    <row r="1194" customFormat="false" ht="15" hidden="false" customHeight="false" outlineLevel="0" collapsed="false">
      <c r="A1194" s="7" t="s">
        <v>507</v>
      </c>
      <c r="B1194" s="7" t="n">
        <v>1632.5</v>
      </c>
      <c r="C1194" s="7" t="n">
        <f aca="false">AVERAGE(B1145:B1194)</f>
        <v>1625.832</v>
      </c>
      <c r="D1194" s="7" t="n">
        <f aca="false">AVERAGE(B995:B1194)</f>
        <v>1405.4584</v>
      </c>
      <c r="E1194" s="7" t="n">
        <f aca="false">B1194/MAX(B943:B1194)-1</f>
        <v>-0.0642071412602966</v>
      </c>
      <c r="F1194" s="7" t="str">
        <f aca="false">IFERROR(INDEX(02_轉折點45個!B:B,MATCH(A1194,02_轉折點45個!A:A,0)),"")</f>
        <v/>
      </c>
      <c r="G1194" s="7" t="s">
        <v>1994</v>
      </c>
    </row>
    <row r="1195" customFormat="false" ht="15" hidden="false" customHeight="false" outlineLevel="0" collapsed="false">
      <c r="A1195" s="7" t="s">
        <v>508</v>
      </c>
      <c r="B1195" s="7" t="n">
        <v>1673.89</v>
      </c>
      <c r="C1195" s="7" t="n">
        <f aca="false">AVERAGE(B1146:B1195)</f>
        <v>1628.1368</v>
      </c>
      <c r="D1195" s="7" t="n">
        <f aca="false">AVERAGE(B996:B1195)</f>
        <v>1407.6045</v>
      </c>
      <c r="E1195" s="7" t="n">
        <f aca="false">B1195/MAX(B944:B1195)-1</f>
        <v>-0.0404812812766908</v>
      </c>
      <c r="F1195" s="7" t="str">
        <f aca="false">IFERROR(INDEX(02_轉折點45個!B:B,MATCH(A1195,02_轉折點45個!A:A,0)),"")</f>
        <v/>
      </c>
      <c r="G1195" s="7" t="s">
        <v>1994</v>
      </c>
    </row>
    <row r="1196" customFormat="false" ht="15" hidden="false" customHeight="false" outlineLevel="0" collapsed="false">
      <c r="A1196" s="7" t="s">
        <v>3041</v>
      </c>
      <c r="B1196" s="7" t="n">
        <v>1677.52</v>
      </c>
      <c r="C1196" s="7" t="n">
        <f aca="false">AVERAGE(B1147:B1196)</f>
        <v>1630.2752</v>
      </c>
      <c r="D1196" s="7" t="n">
        <f aca="false">AVERAGE(B997:B1196)</f>
        <v>1409.5956</v>
      </c>
      <c r="E1196" s="7" t="n">
        <f aca="false">B1196/MAX(B945:B1196)-1</f>
        <v>-0.0384004677531227</v>
      </c>
      <c r="F1196" s="7" t="str">
        <f aca="false">IFERROR(INDEX(02_轉折點45個!B:B,MATCH(A1196,02_轉折點45個!A:A,0)),"")</f>
        <v/>
      </c>
      <c r="G1196" s="7" t="s">
        <v>1994</v>
      </c>
    </row>
    <row r="1197" customFormat="false" ht="15" hidden="false" customHeight="false" outlineLevel="0" collapsed="false">
      <c r="A1197" s="7" t="s">
        <v>3042</v>
      </c>
      <c r="B1197" s="7" t="n">
        <v>1718.04</v>
      </c>
      <c r="C1197" s="7" t="n">
        <f aca="false">AVERAGE(B1148:B1197)</f>
        <v>1633.5486</v>
      </c>
      <c r="D1197" s="7" t="n">
        <f aca="false">AVERAGE(B998:B1197)</f>
        <v>1411.8271</v>
      </c>
      <c r="E1197" s="7" t="n">
        <f aca="false">B1197/MAX(B946:B1197)-1</f>
        <v>-0.0151733151429342</v>
      </c>
      <c r="F1197" s="7" t="str">
        <f aca="false">IFERROR(INDEX(02_轉折點45個!B:B,MATCH(A1197,02_轉折點45個!A:A,0)),"")</f>
        <v/>
      </c>
      <c r="G1197" s="7" t="s">
        <v>1994</v>
      </c>
    </row>
    <row r="1198" customFormat="false" ht="15" hidden="false" customHeight="false" outlineLevel="0" collapsed="false">
      <c r="A1198" s="7" t="s">
        <v>3043</v>
      </c>
      <c r="B1198" s="7" t="n">
        <v>1729.81</v>
      </c>
      <c r="C1198" s="7" t="n">
        <f aca="false">AVERAGE(B1149:B1198)</f>
        <v>1636.5224</v>
      </c>
      <c r="D1198" s="7" t="n">
        <f aca="false">AVERAGE(B999:B1198)</f>
        <v>1414.25695</v>
      </c>
      <c r="E1198" s="7" t="n">
        <f aca="false">B1198/MAX(B947:B1198)-1</f>
        <v>-0.00842643493015238</v>
      </c>
      <c r="F1198" s="7" t="str">
        <f aca="false">IFERROR(INDEX(02_轉折點45個!B:B,MATCH(A1198,02_轉折點45個!A:A,0)),"")</f>
        <v/>
      </c>
      <c r="G1198" s="7" t="s">
        <v>1994</v>
      </c>
    </row>
    <row r="1199" customFormat="false" ht="15" hidden="false" customHeight="false" outlineLevel="0" collapsed="false">
      <c r="A1199" s="7" t="s">
        <v>3044</v>
      </c>
      <c r="B1199" s="7" t="n">
        <v>1742.96</v>
      </c>
      <c r="C1199" s="7" t="n">
        <f aca="false">AVERAGE(B1150:B1199)</f>
        <v>1639.674</v>
      </c>
      <c r="D1199" s="7" t="n">
        <f aca="false">AVERAGE(B1000:B1199)</f>
        <v>1416.7864</v>
      </c>
      <c r="E1199" s="7" t="n">
        <f aca="false">B1199/MAX(B948:B1199)-1</f>
        <v>-0.000888501642294926</v>
      </c>
      <c r="F1199" s="7" t="str">
        <f aca="false">IFERROR(INDEX(02_轉折點45個!B:B,MATCH(A1199,02_轉折點45個!A:A,0)),"")</f>
        <v/>
      </c>
      <c r="G1199" s="7" t="s">
        <v>1994</v>
      </c>
    </row>
    <row r="1200" customFormat="false" ht="15" hidden="false" customHeight="false" outlineLevel="0" collapsed="false">
      <c r="A1200" s="7" t="s">
        <v>3045</v>
      </c>
      <c r="B1200" s="7" t="n">
        <v>1730.11</v>
      </c>
      <c r="C1200" s="7" t="n">
        <f aca="false">AVERAGE(B1151:B1200)</f>
        <v>1642.6416</v>
      </c>
      <c r="D1200" s="7" t="n">
        <f aca="false">AVERAGE(B1001:B1200)</f>
        <v>1419.2107</v>
      </c>
      <c r="E1200" s="7" t="n">
        <f aca="false">B1200/MAX(B949:B1200)-1</f>
        <v>-0.00825446687035336</v>
      </c>
      <c r="F1200" s="7" t="str">
        <f aca="false">IFERROR(INDEX(02_轉折點45個!B:B,MATCH(A1200,02_轉折點45個!A:A,0)),"")</f>
        <v/>
      </c>
      <c r="G1200" s="7" t="s">
        <v>1994</v>
      </c>
    </row>
    <row r="1201" customFormat="false" ht="15" hidden="false" customHeight="false" outlineLevel="0" collapsed="false">
      <c r="A1201" s="7" t="s">
        <v>509</v>
      </c>
      <c r="B1201" s="7" t="n">
        <v>1746.66</v>
      </c>
      <c r="C1201" s="7" t="n">
        <f aca="false">AVERAGE(B1152:B1201)</f>
        <v>1646.1312</v>
      </c>
      <c r="D1201" s="7" t="n">
        <f aca="false">AVERAGE(B1002:B1201)</f>
        <v>1421.63265</v>
      </c>
      <c r="E1201" s="7" t="n">
        <f aca="false">B1201/MAX(B950:B1201)-1</f>
        <v>0</v>
      </c>
      <c r="F1201" s="7" t="str">
        <f aca="false">IFERROR(INDEX(02_轉折點45個!B:B,MATCH(A1201,02_轉折點45個!A:A,0)),"")</f>
        <v/>
      </c>
      <c r="G1201" s="7" t="s">
        <v>1994</v>
      </c>
    </row>
    <row r="1202" customFormat="false" ht="15" hidden="false" customHeight="false" outlineLevel="0" collapsed="false">
      <c r="A1202" s="7" t="s">
        <v>510</v>
      </c>
      <c r="B1202" s="7" t="n">
        <v>1749.77</v>
      </c>
      <c r="C1202" s="7" t="n">
        <f aca="false">AVERAGE(B1153:B1202)</f>
        <v>1649.4252</v>
      </c>
      <c r="D1202" s="7" t="n">
        <f aca="false">AVERAGE(B1003:B1202)</f>
        <v>1424.11225</v>
      </c>
      <c r="E1202" s="7" t="n">
        <f aca="false">B1202/MAX(B951:B1202)-1</f>
        <v>0</v>
      </c>
      <c r="F1202" s="7" t="str">
        <f aca="false">IFERROR(INDEX(02_轉折點45個!B:B,MATCH(A1202,02_轉折點45個!A:A,0)),"")</f>
        <v/>
      </c>
      <c r="G1202" s="7" t="s">
        <v>1994</v>
      </c>
    </row>
    <row r="1203" customFormat="false" ht="15" hidden="false" customHeight="false" outlineLevel="0" collapsed="false">
      <c r="A1203" s="7" t="s">
        <v>511</v>
      </c>
      <c r="B1203" s="7" t="n">
        <v>1766.42</v>
      </c>
      <c r="C1203" s="7" t="n">
        <f aca="false">AVERAGE(B1154:B1203)</f>
        <v>1653.4068</v>
      </c>
      <c r="D1203" s="7" t="n">
        <f aca="false">AVERAGE(B1004:B1203)</f>
        <v>1426.696</v>
      </c>
      <c r="E1203" s="7" t="n">
        <f aca="false">B1203/MAX(B952:B1203)-1</f>
        <v>0</v>
      </c>
      <c r="F1203" s="7" t="str">
        <f aca="false">IFERROR(INDEX(02_轉折點45個!B:B,MATCH(A1203,02_轉折點45個!A:A,0)),"")</f>
        <v/>
      </c>
      <c r="G1203" s="7" t="s">
        <v>1994</v>
      </c>
    </row>
    <row r="1204" customFormat="false" ht="15" hidden="false" customHeight="false" outlineLevel="0" collapsed="false">
      <c r="A1204" s="7" t="s">
        <v>512</v>
      </c>
      <c r="B1204" s="7" t="n">
        <v>1775.25</v>
      </c>
      <c r="C1204" s="7" t="n">
        <f aca="false">AVERAGE(B1155:B1204)</f>
        <v>1657.5934</v>
      </c>
      <c r="D1204" s="7" t="n">
        <f aca="false">AVERAGE(B1005:B1204)</f>
        <v>1429.41335</v>
      </c>
      <c r="E1204" s="7" t="n">
        <f aca="false">B1204/MAX(B953:B1204)-1</f>
        <v>0</v>
      </c>
      <c r="F1204" s="7" t="str">
        <f aca="false">IFERROR(INDEX(02_轉折點45個!B:B,MATCH(A1204,02_轉折點45個!A:A,0)),"")</f>
        <v/>
      </c>
      <c r="G1204" s="7" t="s">
        <v>1994</v>
      </c>
    </row>
    <row r="1205" customFormat="false" ht="15" hidden="false" customHeight="false" outlineLevel="0" collapsed="false">
      <c r="A1205" s="7" t="s">
        <v>3046</v>
      </c>
      <c r="B1205" s="7" t="n">
        <v>1771.51</v>
      </c>
      <c r="C1205" s="7" t="n">
        <f aca="false">AVERAGE(B1156:B1205)</f>
        <v>1662.4464</v>
      </c>
      <c r="D1205" s="7" t="n">
        <f aca="false">AVERAGE(B1006:B1205)</f>
        <v>1432.15205</v>
      </c>
      <c r="E1205" s="7" t="n">
        <f aca="false">B1205/MAX(B954:B1205)-1</f>
        <v>-0.00210674552879875</v>
      </c>
      <c r="F1205" s="7" t="str">
        <f aca="false">IFERROR(INDEX(02_轉折點45個!B:B,MATCH(A1205,02_轉折點45個!A:A,0)),"")</f>
        <v/>
      </c>
      <c r="G1205" s="7" t="s">
        <v>1994</v>
      </c>
    </row>
    <row r="1206" customFormat="false" ht="15" hidden="false" customHeight="false" outlineLevel="0" collapsed="false">
      <c r="A1206" s="7" t="s">
        <v>513</v>
      </c>
      <c r="B1206" s="7" t="n">
        <v>1781.59</v>
      </c>
      <c r="C1206" s="7" t="n">
        <f aca="false">AVERAGE(B1157:B1206)</f>
        <v>1667.8814</v>
      </c>
      <c r="D1206" s="7" t="n">
        <f aca="false">AVERAGE(B1007:B1206)</f>
        <v>1434.95955</v>
      </c>
      <c r="E1206" s="7" t="n">
        <f aca="false">B1206/MAX(B955:B1206)-1</f>
        <v>0</v>
      </c>
      <c r="F1206" s="7" t="str">
        <f aca="false">IFERROR(INDEX(02_轉折點45個!B:B,MATCH(A1206,02_轉折點45個!A:A,0)),"")</f>
        <v/>
      </c>
      <c r="G1206" s="7" t="s">
        <v>1994</v>
      </c>
    </row>
    <row r="1207" customFormat="false" ht="15" hidden="false" customHeight="false" outlineLevel="0" collapsed="false">
      <c r="A1207" s="7" t="s">
        <v>3047</v>
      </c>
      <c r="B1207" s="7" t="n">
        <v>1747.08</v>
      </c>
      <c r="C1207" s="7" t="n">
        <f aca="false">AVERAGE(B1158:B1207)</f>
        <v>1672.6352</v>
      </c>
      <c r="D1207" s="7" t="n">
        <f aca="false">AVERAGE(B1008:B1207)</f>
        <v>1437.36915</v>
      </c>
      <c r="E1207" s="7" t="n">
        <f aca="false">B1207/MAX(B956:B1207)-1</f>
        <v>-0.0193703377320259</v>
      </c>
      <c r="F1207" s="7" t="str">
        <f aca="false">IFERROR(INDEX(02_轉折點45個!B:B,MATCH(A1207,02_轉折點45個!A:A,0)),"")</f>
        <v/>
      </c>
      <c r="G1207" s="7" t="s">
        <v>1994</v>
      </c>
    </row>
    <row r="1208" customFormat="false" ht="15" hidden="false" customHeight="false" outlineLevel="0" collapsed="false">
      <c r="A1208" s="7" t="s">
        <v>3048</v>
      </c>
      <c r="B1208" s="7" t="n">
        <v>1758.76</v>
      </c>
      <c r="C1208" s="7" t="n">
        <f aca="false">AVERAGE(B1159:B1208)</f>
        <v>1677.7716</v>
      </c>
      <c r="D1208" s="7" t="n">
        <f aca="false">AVERAGE(B1009:B1208)</f>
        <v>1439.82695</v>
      </c>
      <c r="E1208" s="7" t="n">
        <f aca="false">B1208/MAX(B957:B1208)-1</f>
        <v>-0.0128143961293002</v>
      </c>
      <c r="F1208" s="7" t="str">
        <f aca="false">IFERROR(INDEX(02_轉折點45個!B:B,MATCH(A1208,02_轉折點45個!A:A,0)),"")</f>
        <v/>
      </c>
      <c r="G1208" s="7" t="s">
        <v>1994</v>
      </c>
    </row>
    <row r="1209" customFormat="false" ht="15" hidden="false" customHeight="false" outlineLevel="0" collapsed="false">
      <c r="A1209" s="7" t="s">
        <v>3049</v>
      </c>
      <c r="B1209" s="7" t="n">
        <v>1773.15</v>
      </c>
      <c r="C1209" s="7" t="n">
        <f aca="false">AVERAGE(B1160:B1209)</f>
        <v>1682.8764</v>
      </c>
      <c r="D1209" s="7" t="n">
        <f aca="false">AVERAGE(B1010:B1209)</f>
        <v>1442.2003</v>
      </c>
      <c r="E1209" s="7" t="n">
        <f aca="false">B1209/MAX(B958:B1209)-1</f>
        <v>-0.00473734136361326</v>
      </c>
      <c r="F1209" s="7" t="str">
        <f aca="false">IFERROR(INDEX(02_轉折點45個!B:B,MATCH(A1209,02_轉折點45個!A:A,0)),"")</f>
        <v/>
      </c>
      <c r="G1209" s="7" t="s">
        <v>1994</v>
      </c>
    </row>
    <row r="1210" customFormat="false" ht="15" hidden="false" customHeight="false" outlineLevel="0" collapsed="false">
      <c r="A1210" s="7" t="s">
        <v>514</v>
      </c>
      <c r="B1210" s="7" t="n">
        <v>1734.02</v>
      </c>
      <c r="C1210" s="7" t="n">
        <f aca="false">AVERAGE(B1161:B1210)</f>
        <v>1686.7326</v>
      </c>
      <c r="D1210" s="7" t="n">
        <f aca="false">AVERAGE(B1011:B1210)</f>
        <v>1444.3312</v>
      </c>
      <c r="E1210" s="7" t="n">
        <f aca="false">B1210/MAX(B959:B1210)-1</f>
        <v>-0.0267008683254845</v>
      </c>
      <c r="F1210" s="7" t="str">
        <f aca="false">IFERROR(INDEX(02_轉折點45個!B:B,MATCH(A1210,02_轉折點45個!A:A,0)),"")</f>
        <v/>
      </c>
      <c r="G1210" s="7" t="s">
        <v>1994</v>
      </c>
    </row>
    <row r="1211" customFormat="false" ht="15" hidden="false" customHeight="false" outlineLevel="0" collapsed="false">
      <c r="A1211" s="7" t="s">
        <v>3050</v>
      </c>
      <c r="B1211" s="7" t="n">
        <v>1722.55</v>
      </c>
      <c r="C1211" s="7" t="n">
        <f aca="false">AVERAGE(B1162:B1211)</f>
        <v>1690.3668</v>
      </c>
      <c r="D1211" s="7" t="n">
        <f aca="false">AVERAGE(B1012:B1211)</f>
        <v>1446.54405</v>
      </c>
      <c r="E1211" s="7" t="n">
        <f aca="false">B1211/MAX(B960:B1211)-1</f>
        <v>-0.0331389376904899</v>
      </c>
      <c r="F1211" s="7" t="str">
        <f aca="false">IFERROR(INDEX(02_轉折點45個!B:B,MATCH(A1211,02_轉折點45個!A:A,0)),"")</f>
        <v/>
      </c>
      <c r="G1211" s="7" t="s">
        <v>1994</v>
      </c>
    </row>
    <row r="1212" customFormat="false" ht="15" hidden="false" customHeight="false" outlineLevel="0" collapsed="false">
      <c r="A1212" s="7" t="s">
        <v>3051</v>
      </c>
      <c r="B1212" s="7" t="n">
        <v>1704.35</v>
      </c>
      <c r="C1212" s="7" t="n">
        <f aca="false">AVERAGE(B1163:B1212)</f>
        <v>1693.3862</v>
      </c>
      <c r="D1212" s="7" t="n">
        <f aca="false">AVERAGE(B1013:B1212)</f>
        <v>1448.4951</v>
      </c>
      <c r="E1212" s="7" t="n">
        <f aca="false">B1212/MAX(B961:B1212)-1</f>
        <v>-0.043354531626244</v>
      </c>
      <c r="F1212" s="7" t="str">
        <f aca="false">IFERROR(INDEX(02_轉折點45個!B:B,MATCH(A1212,02_轉折點45個!A:A,0)),"")</f>
        <v/>
      </c>
      <c r="G1212" s="7" t="s">
        <v>1994</v>
      </c>
    </row>
    <row r="1213" customFormat="false" ht="15" hidden="false" customHeight="false" outlineLevel="0" collapsed="false">
      <c r="A1213" s="7" t="s">
        <v>3052</v>
      </c>
      <c r="B1213" s="7" t="n">
        <v>1720.18</v>
      </c>
      <c r="C1213" s="7" t="n">
        <f aca="false">AVERAGE(B1164:B1213)</f>
        <v>1696.6916</v>
      </c>
      <c r="D1213" s="7" t="n">
        <f aca="false">AVERAGE(B1014:B1213)</f>
        <v>1450.483</v>
      </c>
      <c r="E1213" s="7" t="n">
        <f aca="false">B1213/MAX(B962:B1213)-1</f>
        <v>-0.0344692100876183</v>
      </c>
      <c r="F1213" s="7" t="str">
        <f aca="false">IFERROR(INDEX(02_轉折點45個!B:B,MATCH(A1213,02_轉折點45個!A:A,0)),"")</f>
        <v/>
      </c>
      <c r="G1213" s="7" t="s">
        <v>1994</v>
      </c>
    </row>
    <row r="1214" customFormat="false" ht="15" hidden="false" customHeight="false" outlineLevel="0" collapsed="false">
      <c r="A1214" s="7" t="s">
        <v>3053</v>
      </c>
      <c r="B1214" s="7" t="n">
        <v>1765.26</v>
      </c>
      <c r="C1214" s="7" t="n">
        <f aca="false">AVERAGE(B1165:B1214)</f>
        <v>1700.2138</v>
      </c>
      <c r="D1214" s="7" t="n">
        <f aca="false">AVERAGE(B1015:B1214)</f>
        <v>1452.704</v>
      </c>
      <c r="E1214" s="7" t="n">
        <f aca="false">B1214/MAX(B963:B1214)-1</f>
        <v>-0.00916596972367378</v>
      </c>
      <c r="F1214" s="7" t="str">
        <f aca="false">IFERROR(INDEX(02_轉折點45個!B:B,MATCH(A1214,02_轉折點45個!A:A,0)),"")</f>
        <v/>
      </c>
      <c r="G1214" s="7" t="s">
        <v>1994</v>
      </c>
    </row>
    <row r="1215" customFormat="false" ht="15" hidden="false" customHeight="false" outlineLevel="0" collapsed="false">
      <c r="A1215" s="7" t="s">
        <v>3054</v>
      </c>
      <c r="B1215" s="7" t="n">
        <v>1769.19</v>
      </c>
      <c r="C1215" s="7" t="n">
        <f aca="false">AVERAGE(B1166:B1215)</f>
        <v>1703.4196</v>
      </c>
      <c r="D1215" s="7" t="n">
        <f aca="false">AVERAGE(B1016:B1215)</f>
        <v>1454.87635</v>
      </c>
      <c r="E1215" s="7" t="n">
        <f aca="false">B1215/MAX(B964:B1215)-1</f>
        <v>-0.00696007498919493</v>
      </c>
      <c r="F1215" s="7" t="str">
        <f aca="false">IFERROR(INDEX(02_轉折點45個!B:B,MATCH(A1215,02_轉折點45個!A:A,0)),"")</f>
        <v/>
      </c>
      <c r="G1215" s="7" t="s">
        <v>1994</v>
      </c>
    </row>
    <row r="1216" customFormat="false" ht="15" hidden="false" customHeight="false" outlineLevel="0" collapsed="false">
      <c r="A1216" s="7" t="s">
        <v>3055</v>
      </c>
      <c r="B1216" s="7" t="n">
        <v>1765.65</v>
      </c>
      <c r="C1216" s="7" t="n">
        <f aca="false">AVERAGE(B1167:B1216)</f>
        <v>1706.565</v>
      </c>
      <c r="D1216" s="7" t="n">
        <f aca="false">AVERAGE(B1017:B1216)</f>
        <v>1457.13235</v>
      </c>
      <c r="E1216" s="7" t="n">
        <f aca="false">B1216/MAX(B965:B1216)-1</f>
        <v>-0.0089470641393361</v>
      </c>
      <c r="F1216" s="7" t="str">
        <f aca="false">IFERROR(INDEX(02_轉折點45個!B:B,MATCH(A1216,02_轉折點45個!A:A,0)),"")</f>
        <v/>
      </c>
      <c r="G1216" s="7" t="s">
        <v>1994</v>
      </c>
    </row>
    <row r="1217" customFormat="false" ht="15" hidden="false" customHeight="false" outlineLevel="0" collapsed="false">
      <c r="A1217" s="7" t="s">
        <v>3056</v>
      </c>
      <c r="B1217" s="7" t="n">
        <v>1765.21</v>
      </c>
      <c r="C1217" s="7" t="n">
        <f aca="false">AVERAGE(B1168:B1217)</f>
        <v>1709.3908</v>
      </c>
      <c r="D1217" s="7" t="n">
        <f aca="false">AVERAGE(B1018:B1217)</f>
        <v>1459.4549</v>
      </c>
      <c r="E1217" s="7" t="n">
        <f aca="false">B1217/MAX(B966:B1217)-1</f>
        <v>-0.0091940345421786</v>
      </c>
      <c r="F1217" s="7" t="str">
        <f aca="false">IFERROR(INDEX(02_轉折點45個!B:B,MATCH(A1217,02_轉折點45個!A:A,0)),"")</f>
        <v/>
      </c>
      <c r="G1217" s="7" t="s">
        <v>1994</v>
      </c>
    </row>
    <row r="1218" customFormat="false" ht="15" hidden="false" customHeight="false" outlineLevel="0" collapsed="false">
      <c r="A1218" s="7" t="s">
        <v>515</v>
      </c>
      <c r="B1218" s="7" t="n">
        <v>1797.64</v>
      </c>
      <c r="C1218" s="7" t="n">
        <f aca="false">AVERAGE(B1169:B1218)</f>
        <v>1713.0886</v>
      </c>
      <c r="D1218" s="7" t="n">
        <f aca="false">AVERAGE(B1019:B1218)</f>
        <v>1462.15685</v>
      </c>
      <c r="E1218" s="7" t="n">
        <f aca="false">B1218/MAX(B967:B1218)-1</f>
        <v>0</v>
      </c>
      <c r="F1218" s="7" t="str">
        <f aca="false">IFERROR(INDEX(02_轉折點45個!B:B,MATCH(A1218,02_轉折點45個!A:A,0)),"")</f>
        <v/>
      </c>
      <c r="G1218" s="7" t="s">
        <v>1994</v>
      </c>
    </row>
    <row r="1219" customFormat="false" ht="15" hidden="false" customHeight="false" outlineLevel="0" collapsed="false">
      <c r="A1219" s="7" t="s">
        <v>3057</v>
      </c>
      <c r="B1219" s="7" t="n">
        <v>1788.75</v>
      </c>
      <c r="C1219" s="7" t="n">
        <f aca="false">AVERAGE(B1170:B1219)</f>
        <v>1716.627</v>
      </c>
      <c r="D1219" s="7" t="n">
        <f aca="false">AVERAGE(B1020:B1219)</f>
        <v>1464.8689</v>
      </c>
      <c r="E1219" s="7" t="n">
        <f aca="false">B1219/MAX(B968:B1219)-1</f>
        <v>-0.00494537282214469</v>
      </c>
      <c r="F1219" s="7" t="str">
        <f aca="false">IFERROR(INDEX(02_轉折點45個!B:B,MATCH(A1219,02_轉折點45個!A:A,0)),"")</f>
        <v/>
      </c>
      <c r="G1219" s="7" t="s">
        <v>1994</v>
      </c>
    </row>
    <row r="1220" customFormat="false" ht="15" hidden="false" customHeight="false" outlineLevel="0" collapsed="false">
      <c r="A1220" s="7" t="s">
        <v>3058</v>
      </c>
      <c r="B1220" s="7" t="n">
        <v>1790.03</v>
      </c>
      <c r="C1220" s="7" t="n">
        <f aca="false">AVERAGE(B1171:B1220)</f>
        <v>1720.0752</v>
      </c>
      <c r="D1220" s="7" t="n">
        <f aca="false">AVERAGE(B1021:B1220)</f>
        <v>1467.60915</v>
      </c>
      <c r="E1220" s="7" t="n">
        <f aca="false">B1220/MAX(B969:B1220)-1</f>
        <v>-0.00423332814134092</v>
      </c>
      <c r="F1220" s="7" t="str">
        <f aca="false">IFERROR(INDEX(02_轉折點45個!B:B,MATCH(A1220,02_轉折點45個!A:A,0)),"")</f>
        <v/>
      </c>
      <c r="G1220" s="7" t="s">
        <v>1994</v>
      </c>
    </row>
    <row r="1221" customFormat="false" ht="15" hidden="false" customHeight="false" outlineLevel="0" collapsed="false">
      <c r="A1221" s="7" t="s">
        <v>3059</v>
      </c>
      <c r="B1221" s="7" t="n">
        <v>1805.56</v>
      </c>
      <c r="C1221" s="7" t="n">
        <f aca="false">AVERAGE(B1172:B1221)</f>
        <v>1723.6242</v>
      </c>
      <c r="D1221" s="7" t="n">
        <f aca="false">AVERAGE(B1022:B1221)</f>
        <v>1470.2955</v>
      </c>
      <c r="E1221" s="7" t="n">
        <f aca="false">B1221/MAX(B970:B1221)-1</f>
        <v>0</v>
      </c>
      <c r="F1221" s="7" t="str">
        <f aca="false">IFERROR(INDEX(02_轉折點45個!B:B,MATCH(A1221,02_轉折點45個!A:A,0)),"")</f>
        <v/>
      </c>
      <c r="G1221" s="7" t="s">
        <v>1994</v>
      </c>
    </row>
    <row r="1222" customFormat="false" ht="15" hidden="false" customHeight="false" outlineLevel="0" collapsed="false">
      <c r="A1222" s="7" t="s">
        <v>3060</v>
      </c>
      <c r="B1222" s="7" t="n">
        <v>1800.41</v>
      </c>
      <c r="C1222" s="7" t="n">
        <f aca="false">AVERAGE(B1173:B1222)</f>
        <v>1726.7404</v>
      </c>
      <c r="D1222" s="7" t="n">
        <f aca="false">AVERAGE(B1023:B1222)</f>
        <v>1473.16685</v>
      </c>
      <c r="E1222" s="7" t="n">
        <f aca="false">B1222/MAX(B971:B1222)-1</f>
        <v>-0.00285230067125986</v>
      </c>
      <c r="F1222" s="7" t="str">
        <f aca="false">IFERROR(INDEX(02_轉折點45個!B:B,MATCH(A1222,02_轉折點45個!A:A,0)),"")</f>
        <v/>
      </c>
      <c r="G1222" s="7" t="s">
        <v>1994</v>
      </c>
    </row>
    <row r="1223" customFormat="false" ht="15" hidden="false" customHeight="false" outlineLevel="0" collapsed="false">
      <c r="A1223" s="7" t="s">
        <v>3061</v>
      </c>
      <c r="B1223" s="7" t="n">
        <v>1773.83</v>
      </c>
      <c r="C1223" s="7" t="n">
        <f aca="false">AVERAGE(B1174:B1223)</f>
        <v>1729.1374</v>
      </c>
      <c r="D1223" s="7" t="n">
        <f aca="false">AVERAGE(B1024:B1223)</f>
        <v>1475.98235</v>
      </c>
      <c r="E1223" s="7" t="n">
        <f aca="false">B1223/MAX(B972:B1223)-1</f>
        <v>-0.0175734952037041</v>
      </c>
      <c r="F1223" s="7" t="str">
        <f aca="false">IFERROR(INDEX(02_轉折點45個!B:B,MATCH(A1223,02_轉折點45個!A:A,0)),"")</f>
        <v/>
      </c>
      <c r="G1223" s="7" t="s">
        <v>1994</v>
      </c>
    </row>
    <row r="1224" customFormat="false" ht="15" hidden="false" customHeight="false" outlineLevel="0" collapsed="false">
      <c r="A1224" s="7" t="s">
        <v>3062</v>
      </c>
      <c r="B1224" s="7" t="n">
        <v>1763.88</v>
      </c>
      <c r="C1224" s="7" t="n">
        <f aca="false">AVERAGE(B1175:B1224)</f>
        <v>1730.7684</v>
      </c>
      <c r="D1224" s="7" t="n">
        <f aca="false">AVERAGE(B1025:B1224)</f>
        <v>1478.67085</v>
      </c>
      <c r="E1224" s="7" t="n">
        <f aca="false">B1224/MAX(B973:B1224)-1</f>
        <v>-0.0230842508695363</v>
      </c>
      <c r="F1224" s="7" t="str">
        <f aca="false">IFERROR(INDEX(02_轉折點45個!B:B,MATCH(A1224,02_轉折點45個!A:A,0)),"")</f>
        <v/>
      </c>
      <c r="G1224" s="7" t="s">
        <v>1994</v>
      </c>
    </row>
    <row r="1225" customFormat="false" ht="15" hidden="false" customHeight="false" outlineLevel="0" collapsed="false">
      <c r="A1225" s="7" t="s">
        <v>3063</v>
      </c>
      <c r="B1225" s="7" t="n">
        <v>1802.58</v>
      </c>
      <c r="C1225" s="7" t="n">
        <f aca="false">AVERAGE(B1176:B1225)</f>
        <v>1732.9648</v>
      </c>
      <c r="D1225" s="7" t="n">
        <f aca="false">AVERAGE(B1026:B1225)</f>
        <v>1481.4803</v>
      </c>
      <c r="E1225" s="7" t="n">
        <f aca="false">B1225/MAX(B974:B1225)-1</f>
        <v>-0.00165045747579695</v>
      </c>
      <c r="F1225" s="7" t="str">
        <f aca="false">IFERROR(INDEX(02_轉折點45個!B:B,MATCH(A1225,02_轉折點45個!A:A,0)),"")</f>
        <v/>
      </c>
      <c r="G1225" s="7" t="s">
        <v>1994</v>
      </c>
    </row>
    <row r="1226" customFormat="false" ht="15" hidden="false" customHeight="false" outlineLevel="0" collapsed="false">
      <c r="A1226" s="7" t="s">
        <v>516</v>
      </c>
      <c r="B1226" s="7" t="n">
        <v>1797.32</v>
      </c>
      <c r="C1226" s="7" t="n">
        <f aca="false">AVERAGE(B1177:B1226)</f>
        <v>1734.7624</v>
      </c>
      <c r="D1226" s="7" t="n">
        <f aca="false">AVERAGE(B1027:B1226)</f>
        <v>1484.4266</v>
      </c>
      <c r="E1226" s="7" t="n">
        <f aca="false">B1226/MAX(B975:B1226)-1</f>
        <v>-0.00456368107401584</v>
      </c>
      <c r="F1226" s="7" t="str">
        <f aca="false">IFERROR(INDEX(02_轉折點45個!B:B,MATCH(A1226,02_轉折點45個!A:A,0)),"")</f>
        <v/>
      </c>
      <c r="G1226" s="7" t="s">
        <v>1994</v>
      </c>
    </row>
    <row r="1227" customFormat="false" ht="15" hidden="false" customHeight="false" outlineLevel="0" collapsed="false">
      <c r="A1227" s="7" t="s">
        <v>3064</v>
      </c>
      <c r="B1227" s="7" t="n">
        <v>1763.43</v>
      </c>
      <c r="C1227" s="7" t="n">
        <f aca="false">AVERAGE(B1178:B1227)</f>
        <v>1736.0782</v>
      </c>
      <c r="D1227" s="7" t="n">
        <f aca="false">AVERAGE(B1028:B1227)</f>
        <v>1487.21</v>
      </c>
      <c r="E1227" s="7" t="n">
        <f aca="false">B1227/MAX(B976:B1227)-1</f>
        <v>-0.0233334810252774</v>
      </c>
      <c r="F1227" s="7" t="str">
        <f aca="false">IFERROR(INDEX(02_轉折點45個!B:B,MATCH(A1227,02_轉折點45個!A:A,0)),"")</f>
        <v/>
      </c>
      <c r="G1227" s="7" t="s">
        <v>1994</v>
      </c>
    </row>
    <row r="1228" customFormat="false" ht="15" hidden="false" customHeight="false" outlineLevel="0" collapsed="false">
      <c r="A1228" s="7" t="s">
        <v>3065</v>
      </c>
      <c r="B1228" s="7" t="n">
        <v>1744.57</v>
      </c>
      <c r="C1228" s="7" t="n">
        <f aca="false">AVERAGE(B1179:B1228)</f>
        <v>1736.4618</v>
      </c>
      <c r="D1228" s="7" t="n">
        <f aca="false">AVERAGE(B1029:B1228)</f>
        <v>1489.88595</v>
      </c>
      <c r="E1228" s="7" t="n">
        <f aca="false">B1228/MAX(B977:B1228)-1</f>
        <v>-0.0337789937747846</v>
      </c>
      <c r="F1228" s="7" t="str">
        <f aca="false">IFERROR(INDEX(02_轉折點45個!B:B,MATCH(A1228,02_轉折點45個!A:A,0)),"")</f>
        <v/>
      </c>
      <c r="G1228" s="7" t="s">
        <v>1994</v>
      </c>
    </row>
    <row r="1229" customFormat="false" ht="15" hidden="false" customHeight="false" outlineLevel="0" collapsed="false">
      <c r="A1229" s="7" t="s">
        <v>517</v>
      </c>
      <c r="B1229" s="7" t="n">
        <v>1719.12</v>
      </c>
      <c r="C1229" s="7" t="n">
        <f aca="false">AVERAGE(B1180:B1229)</f>
        <v>1736.614</v>
      </c>
      <c r="D1229" s="7" t="n">
        <f aca="false">AVERAGE(B1030:B1229)</f>
        <v>1492.51525</v>
      </c>
      <c r="E1229" s="7" t="n">
        <f aca="false">B1229/MAX(B978:B1229)-1</f>
        <v>-0.0478743436939233</v>
      </c>
      <c r="F1229" s="7" t="str">
        <f aca="false">IFERROR(INDEX(02_轉折點45個!B:B,MATCH(A1229,02_轉折點45個!A:A,0)),"")</f>
        <v/>
      </c>
      <c r="G1229" s="7" t="s">
        <v>1994</v>
      </c>
    </row>
    <row r="1230" customFormat="false" ht="15" hidden="false" customHeight="false" outlineLevel="0" collapsed="false">
      <c r="A1230" s="7" t="s">
        <v>3066</v>
      </c>
      <c r="B1230" s="7" t="n">
        <v>1735.47</v>
      </c>
      <c r="C1230" s="7" t="n">
        <f aca="false">AVERAGE(B1181:B1230)</f>
        <v>1737.9998</v>
      </c>
      <c r="D1230" s="7" t="n">
        <f aca="false">AVERAGE(B1031:B1230)</f>
        <v>1495.24755</v>
      </c>
      <c r="E1230" s="7" t="n">
        <f aca="false">B1230/MAX(B979:B1230)-1</f>
        <v>-0.0388189813686612</v>
      </c>
      <c r="F1230" s="7" t="str">
        <f aca="false">IFERROR(INDEX(02_轉折點45個!B:B,MATCH(A1230,02_轉折點45個!A:A,0)),"")</f>
        <v/>
      </c>
      <c r="G1230" s="7" t="s">
        <v>1994</v>
      </c>
    </row>
    <row r="1231" customFormat="false" ht="15" hidden="false" customHeight="false" outlineLevel="0" collapsed="false">
      <c r="A1231" s="7" t="s">
        <v>518</v>
      </c>
      <c r="B1231" s="7" t="n">
        <v>1719.27</v>
      </c>
      <c r="C1231" s="7" t="n">
        <f aca="false">AVERAGE(B1182:B1231)</f>
        <v>1738.6544</v>
      </c>
      <c r="D1231" s="7" t="n">
        <f aca="false">AVERAGE(B1032:B1231)</f>
        <v>1497.8978</v>
      </c>
      <c r="E1231" s="7" t="n">
        <f aca="false">B1231/MAX(B980:B1231)-1</f>
        <v>-0.0477912669753429</v>
      </c>
      <c r="F1231" s="7" t="str">
        <f aca="false">IFERROR(INDEX(02_轉折點45個!B:B,MATCH(A1231,02_轉折點45個!A:A,0)),"")</f>
        <v/>
      </c>
      <c r="G1231" s="7" t="s">
        <v>1994</v>
      </c>
    </row>
    <row r="1232" customFormat="false" ht="15" hidden="false" customHeight="false" outlineLevel="0" collapsed="false">
      <c r="A1232" s="7" t="s">
        <v>519</v>
      </c>
      <c r="B1232" s="7" t="n">
        <v>1730.2</v>
      </c>
      <c r="C1232" s="7" t="n">
        <f aca="false">AVERAGE(B1183:B1232)</f>
        <v>1739.3644</v>
      </c>
      <c r="D1232" s="7" t="n">
        <f aca="false">AVERAGE(B1033:B1232)</f>
        <v>1500.69065</v>
      </c>
      <c r="E1232" s="7" t="n">
        <f aca="false">B1232/MAX(B981:B1232)-1</f>
        <v>-0.0417377434147854</v>
      </c>
      <c r="F1232" s="7" t="str">
        <f aca="false">IFERROR(INDEX(02_轉折點45個!B:B,MATCH(A1232,02_轉折點45個!A:A,0)),"")</f>
        <v/>
      </c>
      <c r="G1232" s="7" t="s">
        <v>1994</v>
      </c>
    </row>
    <row r="1233" customFormat="false" ht="15" hidden="false" customHeight="false" outlineLevel="0" collapsed="false">
      <c r="A1233" s="7" t="s">
        <v>3067</v>
      </c>
      <c r="B1233" s="7" t="n">
        <v>1778.85</v>
      </c>
      <c r="C1233" s="7" t="n">
        <f aca="false">AVERAGE(B1184:B1233)</f>
        <v>1741.2178</v>
      </c>
      <c r="D1233" s="7" t="n">
        <f aca="false">AVERAGE(B1034:B1233)</f>
        <v>1503.66185</v>
      </c>
      <c r="E1233" s="7" t="n">
        <f aca="false">B1233/MAX(B982:B1233)-1</f>
        <v>-0.0147931943552139</v>
      </c>
      <c r="F1233" s="7" t="str">
        <f aca="false">IFERROR(INDEX(02_轉折點45個!B:B,MATCH(A1233,02_轉折點45個!A:A,0)),"")</f>
        <v/>
      </c>
      <c r="G1233" s="7" t="s">
        <v>1994</v>
      </c>
    </row>
    <row r="1234" customFormat="false" ht="15" hidden="false" customHeight="false" outlineLevel="0" collapsed="false">
      <c r="A1234" s="7" t="s">
        <v>3068</v>
      </c>
      <c r="B1234" s="7" t="n">
        <v>1775.11</v>
      </c>
      <c r="C1234" s="7" t="n">
        <f aca="false">AVERAGE(B1185:B1234)</f>
        <v>1742.2372</v>
      </c>
      <c r="D1234" s="7" t="n">
        <f aca="false">AVERAGE(B1035:B1234)</f>
        <v>1506.6199</v>
      </c>
      <c r="E1234" s="7" t="n">
        <f aca="false">B1234/MAX(B983:B1234)-1</f>
        <v>-0.0168645738718182</v>
      </c>
      <c r="F1234" s="7" t="str">
        <f aca="false">IFERROR(INDEX(02_轉折點45個!B:B,MATCH(A1234,02_轉折點45個!A:A,0)),"")</f>
        <v/>
      </c>
      <c r="G1234" s="7" t="s">
        <v>1994</v>
      </c>
    </row>
    <row r="1235" customFormat="false" ht="15" hidden="false" customHeight="false" outlineLevel="0" collapsed="false">
      <c r="A1235" s="7" t="s">
        <v>3069</v>
      </c>
      <c r="B1235" s="7" t="n">
        <v>1784.49</v>
      </c>
      <c r="C1235" s="7" t="n">
        <f aca="false">AVERAGE(B1186:B1235)</f>
        <v>1743.52</v>
      </c>
      <c r="D1235" s="7" t="n">
        <f aca="false">AVERAGE(B1036:B1235)</f>
        <v>1509.7002</v>
      </c>
      <c r="E1235" s="7" t="n">
        <f aca="false">B1235/MAX(B984:B1235)-1</f>
        <v>-0.0116695097365914</v>
      </c>
      <c r="F1235" s="7" t="str">
        <f aca="false">IFERROR(INDEX(02_轉折點45個!B:B,MATCH(A1235,02_轉折點45個!A:A,0)),"")</f>
        <v/>
      </c>
      <c r="G1235" s="7" t="s">
        <v>1994</v>
      </c>
    </row>
    <row r="1236" customFormat="false" ht="15" hidden="false" customHeight="false" outlineLevel="0" collapsed="false">
      <c r="A1236" s="7" t="s">
        <v>3070</v>
      </c>
      <c r="B1236" s="7" t="n">
        <v>1790.84</v>
      </c>
      <c r="C1236" s="7" t="n">
        <f aca="false">AVERAGE(B1187:B1236)</f>
        <v>1744.4466</v>
      </c>
      <c r="D1236" s="7" t="n">
        <f aca="false">AVERAGE(B1037:B1236)</f>
        <v>1512.81925</v>
      </c>
      <c r="E1236" s="7" t="n">
        <f aca="false">B1236/MAX(B985:B1236)-1</f>
        <v>-0.00815259531668844</v>
      </c>
      <c r="F1236" s="7" t="str">
        <f aca="false">IFERROR(INDEX(02_轉折點45個!B:B,MATCH(A1236,02_轉折點45個!A:A,0)),"")</f>
        <v/>
      </c>
      <c r="G1236" s="7" t="s">
        <v>1994</v>
      </c>
    </row>
    <row r="1237" customFormat="false" ht="15" hidden="false" customHeight="false" outlineLevel="0" collapsed="false">
      <c r="A1237" s="7" t="s">
        <v>520</v>
      </c>
      <c r="B1237" s="7" t="n">
        <v>1817.85</v>
      </c>
      <c r="C1237" s="7" t="n">
        <f aca="false">AVERAGE(B1188:B1237)</f>
        <v>1745.9836</v>
      </c>
      <c r="D1237" s="7" t="n">
        <f aca="false">AVERAGE(B1038:B1237)</f>
        <v>1515.9238</v>
      </c>
      <c r="E1237" s="7" t="n">
        <f aca="false">B1237/MAX(B986:B1237)-1</f>
        <v>0</v>
      </c>
      <c r="F1237" s="7" t="str">
        <f aca="false">IFERROR(INDEX(02_轉折點45個!B:B,MATCH(A1237,02_轉折點45個!A:A,0)),"")</f>
        <v/>
      </c>
      <c r="G1237" s="7" t="s">
        <v>1994</v>
      </c>
    </row>
    <row r="1238" customFormat="false" ht="15" hidden="false" customHeight="false" outlineLevel="0" collapsed="false">
      <c r="A1238" s="7" t="s">
        <v>3071</v>
      </c>
      <c r="B1238" s="7" t="n">
        <v>1808.94</v>
      </c>
      <c r="C1238" s="7" t="n">
        <f aca="false">AVERAGE(B1189:B1238)</f>
        <v>1747.9104</v>
      </c>
      <c r="D1238" s="7" t="n">
        <f aca="false">AVERAGE(B1039:B1238)</f>
        <v>1518.8177</v>
      </c>
      <c r="E1238" s="7" t="n">
        <f aca="false">B1238/MAX(B987:B1238)-1</f>
        <v>-0.004901394504497</v>
      </c>
      <c r="F1238" s="7" t="str">
        <f aca="false">IFERROR(INDEX(02_轉折點45個!B:B,MATCH(A1238,02_轉折點45個!A:A,0)),"")</f>
        <v/>
      </c>
      <c r="G1238" s="7" t="s">
        <v>1994</v>
      </c>
    </row>
    <row r="1239" customFormat="false" ht="15" hidden="false" customHeight="false" outlineLevel="0" collapsed="false">
      <c r="A1239" s="7" t="s">
        <v>521</v>
      </c>
      <c r="B1239" s="7" t="n">
        <v>1790.83</v>
      </c>
      <c r="C1239" s="7" t="n">
        <f aca="false">AVERAGE(B1190:B1239)</f>
        <v>1748.9798</v>
      </c>
      <c r="D1239" s="7" t="n">
        <f aca="false">AVERAGE(B1040:B1239)</f>
        <v>1521.67685</v>
      </c>
      <c r="E1239" s="7" t="n">
        <f aca="false">B1239/MAX(B988:B1239)-1</f>
        <v>-0.0148637126275545</v>
      </c>
      <c r="F1239" s="7" t="str">
        <f aca="false">IFERROR(INDEX(02_轉折點45個!B:B,MATCH(A1239,02_轉折點45個!A:A,0)),"")</f>
        <v/>
      </c>
      <c r="G1239" s="7" t="s">
        <v>1994</v>
      </c>
    </row>
    <row r="1240" customFormat="false" ht="15" hidden="false" customHeight="false" outlineLevel="0" collapsed="false">
      <c r="A1240" s="7" t="s">
        <v>3072</v>
      </c>
      <c r="B1240" s="7" t="n">
        <v>1798.64</v>
      </c>
      <c r="C1240" s="7" t="n">
        <f aca="false">AVERAGE(B1191:B1240)</f>
        <v>1751.2656</v>
      </c>
      <c r="D1240" s="7" t="n">
        <f aca="false">AVERAGE(B1041:B1240)</f>
        <v>1524.58915</v>
      </c>
      <c r="E1240" s="7" t="n">
        <f aca="false">B1240/MAX(B989:B1240)-1</f>
        <v>-0.0105674285557114</v>
      </c>
      <c r="F1240" s="7" t="str">
        <f aca="false">IFERROR(INDEX(02_轉折點45個!B:B,MATCH(A1240,02_轉折點45個!A:A,0)),"")</f>
        <v/>
      </c>
      <c r="G1240" s="7" t="s">
        <v>1994</v>
      </c>
    </row>
    <row r="1241" customFormat="false" ht="15" hidden="false" customHeight="false" outlineLevel="0" collapsed="false">
      <c r="A1241" s="7" t="s">
        <v>3073</v>
      </c>
      <c r="B1241" s="7" t="n">
        <v>1770.34</v>
      </c>
      <c r="C1241" s="7" t="n">
        <f aca="false">AVERAGE(B1192:B1241)</f>
        <v>1753.4688</v>
      </c>
      <c r="D1241" s="7" t="n">
        <f aca="false">AVERAGE(B1042:B1241)</f>
        <v>1527.2787</v>
      </c>
      <c r="E1241" s="7" t="n">
        <f aca="false">B1241/MAX(B990:B1241)-1</f>
        <v>-0.0261352696867179</v>
      </c>
      <c r="F1241" s="7" t="str">
        <f aca="false">IFERROR(INDEX(02_轉折點45個!B:B,MATCH(A1241,02_轉折點45個!A:A,0)),"")</f>
        <v/>
      </c>
      <c r="G1241" s="7" t="s">
        <v>1994</v>
      </c>
    </row>
    <row r="1242" customFormat="false" ht="15" hidden="false" customHeight="false" outlineLevel="0" collapsed="false">
      <c r="A1242" s="7" t="s">
        <v>3074</v>
      </c>
      <c r="B1242" s="7" t="n">
        <v>1780.42</v>
      </c>
      <c r="C1242" s="7" t="n">
        <f aca="false">AVERAGE(B1193:B1242)</f>
        <v>1756.3334</v>
      </c>
      <c r="D1242" s="7" t="n">
        <f aca="false">AVERAGE(B1043:B1242)</f>
        <v>1530.14035</v>
      </c>
      <c r="E1242" s="7" t="n">
        <f aca="false">B1242/MAX(B991:B1242)-1</f>
        <v>-0.0205902577220342</v>
      </c>
      <c r="F1242" s="7" t="str">
        <f aca="false">IFERROR(INDEX(02_轉折點45個!B:B,MATCH(A1242,02_轉折點45個!A:A,0)),"")</f>
        <v/>
      </c>
      <c r="G1242" s="7" t="s">
        <v>1994</v>
      </c>
    </row>
    <row r="1243" customFormat="false" ht="15" hidden="false" customHeight="false" outlineLevel="0" collapsed="false">
      <c r="A1243" s="7" t="s">
        <v>522</v>
      </c>
      <c r="B1243" s="7" t="n">
        <v>1743.39</v>
      </c>
      <c r="C1243" s="7" t="n">
        <f aca="false">AVERAGE(B1194:B1243)</f>
        <v>1757.8638</v>
      </c>
      <c r="D1243" s="7" t="n">
        <f aca="false">AVERAGE(B1044:B1243)</f>
        <v>1532.7867</v>
      </c>
      <c r="E1243" s="7" t="n">
        <f aca="false">B1243/MAX(B992:B1243)-1</f>
        <v>-0.0409604752867397</v>
      </c>
      <c r="F1243" s="7" t="str">
        <f aca="false">IFERROR(INDEX(02_轉折點45個!B:B,MATCH(A1243,02_轉折點45個!A:A,0)),"")</f>
        <v/>
      </c>
      <c r="G1243" s="7" t="s">
        <v>1994</v>
      </c>
    </row>
    <row r="1244" customFormat="false" ht="15" hidden="false" customHeight="false" outlineLevel="0" collapsed="false">
      <c r="A1244" s="7" t="s">
        <v>3075</v>
      </c>
      <c r="B1244" s="7" t="n">
        <v>1740.04</v>
      </c>
      <c r="C1244" s="7" t="n">
        <f aca="false">AVERAGE(B1195:B1244)</f>
        <v>1760.0146</v>
      </c>
      <c r="D1244" s="7" t="n">
        <f aca="false">AVERAGE(B1045:B1244)</f>
        <v>1535.53185</v>
      </c>
      <c r="E1244" s="7" t="n">
        <f aca="false">B1244/MAX(B993:B1244)-1</f>
        <v>-0.0428033116043678</v>
      </c>
      <c r="F1244" s="7" t="str">
        <f aca="false">IFERROR(INDEX(02_轉折點45個!B:B,MATCH(A1244,02_轉折點45個!A:A,0)),"")</f>
        <v/>
      </c>
      <c r="G1244" s="7" t="s">
        <v>1994</v>
      </c>
    </row>
    <row r="1245" customFormat="false" ht="15" hidden="false" customHeight="false" outlineLevel="0" collapsed="false">
      <c r="A1245" s="7" t="s">
        <v>3076</v>
      </c>
      <c r="B1245" s="7" t="n">
        <v>1774.45</v>
      </c>
      <c r="C1245" s="7" t="n">
        <f aca="false">AVERAGE(B1196:B1245)</f>
        <v>1762.0258</v>
      </c>
      <c r="D1245" s="7" t="n">
        <f aca="false">AVERAGE(B1046:B1245)</f>
        <v>1538.3565</v>
      </c>
      <c r="E1245" s="7" t="n">
        <f aca="false">B1245/MAX(B994:B1245)-1</f>
        <v>-0.0238743570701653</v>
      </c>
      <c r="F1245" s="7" t="str">
        <f aca="false">IFERROR(INDEX(02_轉折點45個!B:B,MATCH(A1245,02_轉折點45個!A:A,0)),"")</f>
        <v/>
      </c>
      <c r="G1245" s="7" t="s">
        <v>1994</v>
      </c>
    </row>
    <row r="1246" customFormat="false" ht="15" hidden="false" customHeight="false" outlineLevel="0" collapsed="false">
      <c r="A1246" s="7" t="s">
        <v>3077</v>
      </c>
      <c r="B1246" s="7" t="n">
        <v>1780.55</v>
      </c>
      <c r="C1246" s="7" t="n">
        <f aca="false">AVERAGE(B1197:B1246)</f>
        <v>1764.0864</v>
      </c>
      <c r="D1246" s="7" t="n">
        <f aca="false">AVERAGE(B1047:B1246)</f>
        <v>1541.14965</v>
      </c>
      <c r="E1246" s="7" t="n">
        <f aca="false">B1246/MAX(B995:B1246)-1</f>
        <v>-0.0205187446709024</v>
      </c>
      <c r="F1246" s="7" t="str">
        <f aca="false">IFERROR(INDEX(02_轉折點45個!B:B,MATCH(A1246,02_轉折點45個!A:A,0)),"")</f>
        <v/>
      </c>
      <c r="G1246" s="7" t="s">
        <v>1994</v>
      </c>
    </row>
    <row r="1247" customFormat="false" ht="15" hidden="false" customHeight="false" outlineLevel="0" collapsed="false">
      <c r="A1247" s="7" t="s">
        <v>3078</v>
      </c>
      <c r="B1247" s="7" t="n">
        <v>1752.47</v>
      </c>
      <c r="C1247" s="7" t="n">
        <f aca="false">AVERAGE(B1198:B1247)</f>
        <v>1764.775</v>
      </c>
      <c r="D1247" s="7" t="n">
        <f aca="false">AVERAGE(B1048:B1247)</f>
        <v>1543.8811</v>
      </c>
      <c r="E1247" s="7" t="n">
        <f aca="false">B1247/MAX(B996:B1247)-1</f>
        <v>-0.035965563715378</v>
      </c>
      <c r="F1247" s="7" t="str">
        <f aca="false">IFERROR(INDEX(02_轉折點45個!B:B,MATCH(A1247,02_轉折點45個!A:A,0)),"")</f>
        <v/>
      </c>
      <c r="G1247" s="7" t="s">
        <v>1994</v>
      </c>
    </row>
    <row r="1248" customFormat="false" ht="15" hidden="false" customHeight="false" outlineLevel="0" collapsed="false">
      <c r="A1248" s="7" t="s">
        <v>3079</v>
      </c>
      <c r="B1248" s="7" t="n">
        <v>1757.98</v>
      </c>
      <c r="C1248" s="7" t="n">
        <f aca="false">AVERAGE(B1199:B1248)</f>
        <v>1765.3384</v>
      </c>
      <c r="D1248" s="7" t="n">
        <f aca="false">AVERAGE(B1049:B1248)</f>
        <v>1546.6973</v>
      </c>
      <c r="E1248" s="7" t="n">
        <f aca="false">B1248/MAX(B997:B1248)-1</f>
        <v>-0.032934510548175</v>
      </c>
      <c r="F1248" s="7" t="str">
        <f aca="false">IFERROR(INDEX(02_轉折點45個!B:B,MATCH(A1248,02_轉折點45個!A:A,0)),"")</f>
        <v/>
      </c>
      <c r="G1248" s="7" t="s">
        <v>1994</v>
      </c>
    </row>
    <row r="1249" customFormat="false" ht="15" hidden="false" customHeight="false" outlineLevel="0" collapsed="false">
      <c r="A1249" s="7" t="s">
        <v>3080</v>
      </c>
      <c r="B1249" s="7" t="n">
        <v>1755.27</v>
      </c>
      <c r="C1249" s="7" t="n">
        <f aca="false">AVERAGE(B1200:B1249)</f>
        <v>1765.5846</v>
      </c>
      <c r="D1249" s="7" t="n">
        <f aca="false">AVERAGE(B1050:B1249)</f>
        <v>1549.46965</v>
      </c>
      <c r="E1249" s="7" t="n">
        <f aca="false">B1249/MAX(B998:B1249)-1</f>
        <v>-0.0344252826140771</v>
      </c>
      <c r="F1249" s="7" t="str">
        <f aca="false">IFERROR(INDEX(02_轉折點45個!B:B,MATCH(A1249,02_轉折點45個!A:A,0)),"")</f>
        <v/>
      </c>
      <c r="G1249" s="7" t="s">
        <v>1994</v>
      </c>
    </row>
    <row r="1250" customFormat="false" ht="15" hidden="false" customHeight="false" outlineLevel="0" collapsed="false">
      <c r="A1250" s="7" t="s">
        <v>3081</v>
      </c>
      <c r="B1250" s="7" t="n">
        <v>1787.11</v>
      </c>
      <c r="C1250" s="7" t="n">
        <f aca="false">AVERAGE(B1201:B1250)</f>
        <v>1766.7246</v>
      </c>
      <c r="D1250" s="7" t="n">
        <f aca="false">AVERAGE(B1051:B1250)</f>
        <v>1552.4538</v>
      </c>
      <c r="E1250" s="7" t="n">
        <f aca="false">B1250/MAX(B999:B1250)-1</f>
        <v>-0.0169100860907115</v>
      </c>
      <c r="F1250" s="7" t="str">
        <f aca="false">IFERROR(INDEX(02_轉折點45個!B:B,MATCH(A1250,02_轉折點45個!A:A,0)),"")</f>
        <v/>
      </c>
      <c r="G1250" s="7" t="s">
        <v>1994</v>
      </c>
    </row>
    <row r="1251" customFormat="false" ht="15" hidden="false" customHeight="false" outlineLevel="0" collapsed="false">
      <c r="A1251" s="7" t="s">
        <v>3082</v>
      </c>
      <c r="B1251" s="7" t="n">
        <v>1782.4</v>
      </c>
      <c r="C1251" s="7" t="n">
        <f aca="false">AVERAGE(B1202:B1251)</f>
        <v>1767.4394</v>
      </c>
      <c r="D1251" s="7" t="n">
        <f aca="false">AVERAGE(B1052:B1251)</f>
        <v>1555.4034</v>
      </c>
      <c r="E1251" s="7" t="n">
        <f aca="false">B1251/MAX(B1000:B1251)-1</f>
        <v>-0.019501058943257</v>
      </c>
      <c r="F1251" s="7" t="str">
        <f aca="false">IFERROR(INDEX(02_轉折點45個!B:B,MATCH(A1251,02_轉折點45個!A:A,0)),"")</f>
        <v/>
      </c>
      <c r="G1251" s="7" t="s">
        <v>1994</v>
      </c>
    </row>
    <row r="1252" customFormat="false" ht="15" hidden="false" customHeight="false" outlineLevel="0" collapsed="false">
      <c r="A1252" s="7" t="s">
        <v>3083</v>
      </c>
      <c r="B1252" s="7" t="n">
        <v>1786.77</v>
      </c>
      <c r="C1252" s="7" t="n">
        <f aca="false">AVERAGE(B1203:B1252)</f>
        <v>1768.1794</v>
      </c>
      <c r="D1252" s="7" t="n">
        <f aca="false">AVERAGE(B1053:B1252)</f>
        <v>1558.49785</v>
      </c>
      <c r="E1252" s="7" t="n">
        <f aca="false">B1252/MAX(B1001:B1252)-1</f>
        <v>-0.0170971202244409</v>
      </c>
      <c r="F1252" s="7" t="str">
        <f aca="false">IFERROR(INDEX(02_轉折點45個!B:B,MATCH(A1252,02_轉折點45個!A:A,0)),"")</f>
        <v/>
      </c>
      <c r="G1252" s="7" t="s">
        <v>1994</v>
      </c>
    </row>
    <row r="1253" customFormat="false" ht="15" hidden="false" customHeight="false" outlineLevel="0" collapsed="false">
      <c r="A1253" s="7" t="s">
        <v>3084</v>
      </c>
      <c r="B1253" s="7" t="n">
        <v>1804.1</v>
      </c>
      <c r="C1253" s="7" t="n">
        <f aca="false">AVERAGE(B1204:B1253)</f>
        <v>1768.933</v>
      </c>
      <c r="D1253" s="7" t="n">
        <f aca="false">AVERAGE(B1054:B1253)</f>
        <v>1561.71045</v>
      </c>
      <c r="E1253" s="7" t="n">
        <f aca="false">B1253/MAX(B1002:B1253)-1</f>
        <v>-0.00756388040817446</v>
      </c>
      <c r="F1253" s="7" t="str">
        <f aca="false">IFERROR(INDEX(02_轉折點45個!B:B,MATCH(A1253,02_轉折點45個!A:A,0)),"")</f>
        <v/>
      </c>
      <c r="G1253" s="7" t="s">
        <v>1994</v>
      </c>
    </row>
    <row r="1254" customFormat="false" ht="15" hidden="false" customHeight="false" outlineLevel="0" collapsed="false">
      <c r="A1254" s="7" t="s">
        <v>3085</v>
      </c>
      <c r="B1254" s="7" t="n">
        <v>1799.03</v>
      </c>
      <c r="C1254" s="7" t="n">
        <f aca="false">AVERAGE(B1205:B1254)</f>
        <v>1769.4086</v>
      </c>
      <c r="D1254" s="7" t="n">
        <f aca="false">AVERAGE(B1055:B1254)</f>
        <v>1564.8622</v>
      </c>
      <c r="E1254" s="7" t="n">
        <f aca="false">B1254/MAX(B1003:B1254)-1</f>
        <v>-0.0103528894023159</v>
      </c>
      <c r="F1254" s="7" t="str">
        <f aca="false">IFERROR(INDEX(02_轉折點45個!B:B,MATCH(A1254,02_轉折點45個!A:A,0)),"")</f>
        <v/>
      </c>
      <c r="G1254" s="7" t="s">
        <v>1994</v>
      </c>
    </row>
    <row r="1255" customFormat="false" ht="15" hidden="false" customHeight="false" outlineLevel="0" collapsed="false">
      <c r="A1255" s="7" t="s">
        <v>3086</v>
      </c>
      <c r="B1255" s="7" t="n">
        <v>1802.61</v>
      </c>
      <c r="C1255" s="7" t="n">
        <f aca="false">AVERAGE(B1206:B1255)</f>
        <v>1770.0306</v>
      </c>
      <c r="D1255" s="7" t="n">
        <f aca="false">AVERAGE(B1056:B1255)</f>
        <v>1567.7508</v>
      </c>
      <c r="E1255" s="7" t="n">
        <f aca="false">B1255/MAX(B1004:B1255)-1</f>
        <v>-0.00838352999422398</v>
      </c>
      <c r="F1255" s="7" t="str">
        <f aca="false">IFERROR(INDEX(02_轉折點45個!B:B,MATCH(A1255,02_轉折點45個!A:A,0)),"")</f>
        <v/>
      </c>
      <c r="G1255" s="7" t="s">
        <v>1994</v>
      </c>
    </row>
    <row r="1256" customFormat="false" ht="15" hidden="false" customHeight="false" outlineLevel="0" collapsed="false">
      <c r="A1256" s="7" t="s">
        <v>523</v>
      </c>
      <c r="B1256" s="7" t="n">
        <v>1833.07</v>
      </c>
      <c r="C1256" s="7" t="n">
        <f aca="false">AVERAGE(B1207:B1256)</f>
        <v>1771.0602</v>
      </c>
      <c r="D1256" s="7" t="n">
        <f aca="false">AVERAGE(B1057:B1256)</f>
        <v>1570.7937</v>
      </c>
      <c r="E1256" s="7" t="n">
        <f aca="false">B1256/MAX(B1005:B1256)-1</f>
        <v>0</v>
      </c>
      <c r="F1256" s="7" t="str">
        <f aca="false">IFERROR(INDEX(02_轉折點45個!B:B,MATCH(A1256,02_轉折點45個!A:A,0)),"")</f>
        <v/>
      </c>
      <c r="G1256" s="7" t="s">
        <v>1994</v>
      </c>
    </row>
    <row r="1257" customFormat="false" ht="15" hidden="false" customHeight="false" outlineLevel="0" collapsed="false">
      <c r="A1257" s="7" t="s">
        <v>3087</v>
      </c>
      <c r="B1257" s="7" t="n">
        <v>1836.17</v>
      </c>
      <c r="C1257" s="7" t="n">
        <f aca="false">AVERAGE(B1208:B1257)</f>
        <v>1772.842</v>
      </c>
      <c r="D1257" s="7" t="n">
        <f aca="false">AVERAGE(B1058:B1257)</f>
        <v>1573.61485</v>
      </c>
      <c r="E1257" s="7" t="n">
        <f aca="false">B1257/MAX(B1006:B1257)-1</f>
        <v>0</v>
      </c>
      <c r="F1257" s="7" t="str">
        <f aca="false">IFERROR(INDEX(02_轉折點45個!B:B,MATCH(A1257,02_轉折點45個!A:A,0)),"")</f>
        <v/>
      </c>
      <c r="G1257" s="7" t="s">
        <v>1994</v>
      </c>
    </row>
    <row r="1258" customFormat="false" ht="15" hidden="false" customHeight="false" outlineLevel="0" collapsed="false">
      <c r="A1258" s="7" t="s">
        <v>524</v>
      </c>
      <c r="B1258" s="7" t="n">
        <v>1830.22</v>
      </c>
      <c r="C1258" s="7" t="n">
        <f aca="false">AVERAGE(B1209:B1258)</f>
        <v>1774.2712</v>
      </c>
      <c r="D1258" s="7" t="n">
        <f aca="false">AVERAGE(B1059:B1258)</f>
        <v>1576.36845</v>
      </c>
      <c r="E1258" s="7" t="n">
        <f aca="false">B1258/MAX(B1007:B1258)-1</f>
        <v>-0.00324044069993523</v>
      </c>
      <c r="F1258" s="7" t="str">
        <f aca="false">IFERROR(INDEX(02_轉折點45個!B:B,MATCH(A1258,02_轉折點45個!A:A,0)),"")</f>
        <v/>
      </c>
      <c r="G1258" s="7" t="s">
        <v>1994</v>
      </c>
    </row>
    <row r="1259" customFormat="false" ht="15" hidden="false" customHeight="false" outlineLevel="0" collapsed="false">
      <c r="A1259" s="7" t="s">
        <v>3088</v>
      </c>
      <c r="B1259" s="7" t="n">
        <v>1833.25</v>
      </c>
      <c r="C1259" s="7" t="n">
        <f aca="false">AVERAGE(B1210:B1259)</f>
        <v>1775.4732</v>
      </c>
      <c r="D1259" s="7" t="n">
        <f aca="false">AVERAGE(B1060:B1259)</f>
        <v>1579.1531</v>
      </c>
      <c r="E1259" s="7" t="n">
        <f aca="false">B1259/MAX(B1008:B1259)-1</f>
        <v>-0.0015902666964388</v>
      </c>
      <c r="F1259" s="7" t="str">
        <f aca="false">IFERROR(INDEX(02_轉折點45個!B:B,MATCH(A1259,02_轉折點45個!A:A,0)),"")</f>
        <v/>
      </c>
      <c r="G1259" s="7" t="s">
        <v>1994</v>
      </c>
    </row>
    <row r="1260" customFormat="false" ht="15" hidden="false" customHeight="false" outlineLevel="0" collapsed="false">
      <c r="A1260" s="7" t="s">
        <v>3089</v>
      </c>
      <c r="B1260" s="7" t="n">
        <v>1870.41</v>
      </c>
      <c r="C1260" s="7" t="n">
        <f aca="false">AVERAGE(B1211:B1260)</f>
        <v>1778.201</v>
      </c>
      <c r="D1260" s="7" t="n">
        <f aca="false">AVERAGE(B1061:B1260)</f>
        <v>1582.0975</v>
      </c>
      <c r="E1260" s="7" t="n">
        <f aca="false">B1260/MAX(B1009:B1260)-1</f>
        <v>0</v>
      </c>
      <c r="F1260" s="7" t="str">
        <f aca="false">IFERROR(INDEX(02_轉折點45個!B:B,MATCH(A1260,02_轉折點45個!A:A,0)),"")</f>
        <v/>
      </c>
      <c r="G1260" s="7" t="s">
        <v>1994</v>
      </c>
    </row>
    <row r="1261" customFormat="false" ht="15" hidden="false" customHeight="false" outlineLevel="0" collapsed="false">
      <c r="A1261" s="7" t="s">
        <v>3090</v>
      </c>
      <c r="B1261" s="7" t="n">
        <v>1879.56</v>
      </c>
      <c r="C1261" s="7" t="n">
        <f aca="false">AVERAGE(B1212:B1261)</f>
        <v>1781.3412</v>
      </c>
      <c r="D1261" s="7" t="n">
        <f aca="false">AVERAGE(B1062:B1261)</f>
        <v>1585.00055</v>
      </c>
      <c r="E1261" s="7" t="n">
        <f aca="false">B1261/MAX(B1010:B1261)-1</f>
        <v>0</v>
      </c>
      <c r="F1261" s="7" t="str">
        <f aca="false">IFERROR(INDEX(02_轉折點45個!B:B,MATCH(A1261,02_轉折點45個!A:A,0)),"")</f>
        <v/>
      </c>
      <c r="G1261" s="7" t="s">
        <v>1994</v>
      </c>
    </row>
    <row r="1262" customFormat="false" ht="15" hidden="false" customHeight="false" outlineLevel="0" collapsed="false">
      <c r="A1262" s="7" t="s">
        <v>3091</v>
      </c>
      <c r="B1262" s="7" t="n">
        <v>1898.11</v>
      </c>
      <c r="C1262" s="7" t="n">
        <f aca="false">AVERAGE(B1213:B1262)</f>
        <v>1785.2164</v>
      </c>
      <c r="D1262" s="7" t="n">
        <f aca="false">AVERAGE(B1063:B1262)</f>
        <v>1588.23415</v>
      </c>
      <c r="E1262" s="7" t="n">
        <f aca="false">B1262/MAX(B1011:B1262)-1</f>
        <v>0</v>
      </c>
      <c r="F1262" s="7" t="str">
        <f aca="false">IFERROR(INDEX(02_轉折點45個!B:B,MATCH(A1262,02_轉折點45個!A:A,0)),"")</f>
        <v/>
      </c>
      <c r="G1262" s="7" t="s">
        <v>1994</v>
      </c>
    </row>
    <row r="1263" customFormat="false" ht="15" hidden="false" customHeight="false" outlineLevel="0" collapsed="false">
      <c r="A1263" s="7" t="s">
        <v>3092</v>
      </c>
      <c r="B1263" s="7" t="n">
        <v>1918.73</v>
      </c>
      <c r="C1263" s="7" t="n">
        <f aca="false">AVERAGE(B1214:B1263)</f>
        <v>1789.1874</v>
      </c>
      <c r="D1263" s="7" t="n">
        <f aca="false">AVERAGE(B1064:B1263)</f>
        <v>1591.47385</v>
      </c>
      <c r="E1263" s="7" t="n">
        <f aca="false">B1263/MAX(B1012:B1263)-1</f>
        <v>0</v>
      </c>
      <c r="F1263" s="7" t="str">
        <f aca="false">IFERROR(INDEX(02_轉折點45個!B:B,MATCH(A1263,02_轉折點45個!A:A,0)),"")</f>
        <v/>
      </c>
      <c r="G1263" s="7" t="s">
        <v>1994</v>
      </c>
    </row>
    <row r="1264" customFormat="false" ht="15" hidden="false" customHeight="false" outlineLevel="0" collapsed="false">
      <c r="A1264" s="7" t="s">
        <v>3093</v>
      </c>
      <c r="B1264" s="7" t="n">
        <v>1906.55</v>
      </c>
      <c r="C1264" s="7" t="n">
        <f aca="false">AVERAGE(B1215:B1264)</f>
        <v>1792.0132</v>
      </c>
      <c r="D1264" s="7" t="n">
        <f aca="false">AVERAGE(B1065:B1264)</f>
        <v>1594.6689</v>
      </c>
      <c r="E1264" s="7" t="n">
        <f aca="false">B1264/MAX(B1013:B1264)-1</f>
        <v>-0.00634794890370194</v>
      </c>
      <c r="F1264" s="7" t="str">
        <f aca="false">IFERROR(INDEX(02_轉折點45個!B:B,MATCH(A1264,02_轉折點45個!A:A,0)),"")</f>
        <v/>
      </c>
      <c r="G1264" s="7" t="s">
        <v>1994</v>
      </c>
    </row>
    <row r="1265" customFormat="false" ht="15" hidden="false" customHeight="false" outlineLevel="0" collapsed="false">
      <c r="A1265" s="7" t="s">
        <v>3094</v>
      </c>
      <c r="B1265" s="7" t="n">
        <v>1929.26</v>
      </c>
      <c r="C1265" s="7" t="n">
        <f aca="false">AVERAGE(B1216:B1265)</f>
        <v>1795.2146</v>
      </c>
      <c r="D1265" s="7" t="n">
        <f aca="false">AVERAGE(B1066:B1265)</f>
        <v>1597.99215</v>
      </c>
      <c r="E1265" s="7" t="n">
        <f aca="false">B1265/MAX(B1014:B1265)-1</f>
        <v>0</v>
      </c>
      <c r="F1265" s="7" t="str">
        <f aca="false">IFERROR(INDEX(02_轉折點45個!B:B,MATCH(A1265,02_轉折點45個!A:A,0)),"")</f>
        <v/>
      </c>
      <c r="G1265" s="7" t="s">
        <v>1994</v>
      </c>
    </row>
    <row r="1266" customFormat="false" ht="15" hidden="false" customHeight="false" outlineLevel="0" collapsed="false">
      <c r="A1266" s="7" t="s">
        <v>3095</v>
      </c>
      <c r="B1266" s="7" t="n">
        <v>1915.25</v>
      </c>
      <c r="C1266" s="7" t="n">
        <f aca="false">AVERAGE(B1217:B1266)</f>
        <v>1798.2066</v>
      </c>
      <c r="D1266" s="7" t="n">
        <f aca="false">AVERAGE(B1067:B1266)</f>
        <v>1601.31225</v>
      </c>
      <c r="E1266" s="7" t="n">
        <f aca="false">B1266/MAX(B1015:B1266)-1</f>
        <v>-0.00726185169443205</v>
      </c>
      <c r="F1266" s="7" t="str">
        <f aca="false">IFERROR(INDEX(02_轉折點45個!B:B,MATCH(A1266,02_轉折點45個!A:A,0)),"")</f>
        <v/>
      </c>
      <c r="G1266" s="7" t="s">
        <v>1994</v>
      </c>
    </row>
    <row r="1267" customFormat="false" ht="15" hidden="false" customHeight="false" outlineLevel="0" collapsed="false">
      <c r="A1267" s="7" t="s">
        <v>3096</v>
      </c>
      <c r="B1267" s="7" t="n">
        <v>1928.67</v>
      </c>
      <c r="C1267" s="7" t="n">
        <f aca="false">AVERAGE(B1218:B1267)</f>
        <v>1801.4758</v>
      </c>
      <c r="D1267" s="7" t="n">
        <f aca="false">AVERAGE(B1068:B1267)</f>
        <v>1604.8293</v>
      </c>
      <c r="E1267" s="7" t="n">
        <f aca="false">B1267/MAX(B1016:B1267)-1</f>
        <v>-0.000305816738023879</v>
      </c>
      <c r="F1267" s="7" t="str">
        <f aca="false">IFERROR(INDEX(02_轉折點45個!B:B,MATCH(A1267,02_轉折點45個!A:A,0)),"")</f>
        <v/>
      </c>
      <c r="G1267" s="7" t="s">
        <v>1994</v>
      </c>
    </row>
    <row r="1268" customFormat="false" ht="15" hidden="false" customHeight="false" outlineLevel="0" collapsed="false">
      <c r="A1268" s="7" t="s">
        <v>3097</v>
      </c>
      <c r="B1268" s="7" t="n">
        <v>1926.8</v>
      </c>
      <c r="C1268" s="7" t="n">
        <f aca="false">AVERAGE(B1219:B1268)</f>
        <v>1804.059</v>
      </c>
      <c r="D1268" s="7" t="n">
        <f aca="false">AVERAGE(B1069:B1268)</f>
        <v>1608.30445</v>
      </c>
      <c r="E1268" s="7" t="n">
        <f aca="false">B1268/MAX(B1017:B1268)-1</f>
        <v>-0.00127510029752342</v>
      </c>
      <c r="F1268" s="7" t="str">
        <f aca="false">IFERROR(INDEX(02_轉折點45個!B:B,MATCH(A1268,02_轉折點45個!A:A,0)),"")</f>
        <v/>
      </c>
      <c r="G1268" s="7" t="s">
        <v>1994</v>
      </c>
    </row>
    <row r="1269" customFormat="false" ht="15" hidden="false" customHeight="false" outlineLevel="0" collapsed="false">
      <c r="A1269" s="7" t="s">
        <v>3098</v>
      </c>
      <c r="B1269" s="7" t="n">
        <v>1955.47</v>
      </c>
      <c r="C1269" s="7" t="n">
        <f aca="false">AVERAGE(B1220:B1269)</f>
        <v>1807.3934</v>
      </c>
      <c r="D1269" s="7" t="n">
        <f aca="false">AVERAGE(B1070:B1269)</f>
        <v>1611.70175</v>
      </c>
      <c r="E1269" s="7" t="n">
        <f aca="false">B1269/MAX(B1018:B1269)-1</f>
        <v>0</v>
      </c>
      <c r="F1269" s="7" t="str">
        <f aca="false">IFERROR(INDEX(02_轉折點45個!B:B,MATCH(A1269,02_轉折點45個!A:A,0)),"")</f>
        <v/>
      </c>
      <c r="G1269" s="7" t="s">
        <v>1994</v>
      </c>
    </row>
    <row r="1270" customFormat="false" ht="15" hidden="false" customHeight="false" outlineLevel="0" collapsed="false">
      <c r="A1270" s="7" t="s">
        <v>3099</v>
      </c>
      <c r="B1270" s="7" t="n">
        <v>1962.34</v>
      </c>
      <c r="C1270" s="7" t="n">
        <f aca="false">AVERAGE(B1221:B1270)</f>
        <v>1810.8396</v>
      </c>
      <c r="D1270" s="7" t="n">
        <f aca="false">AVERAGE(B1071:B1270)</f>
        <v>1615.13405</v>
      </c>
      <c r="E1270" s="7" t="n">
        <f aca="false">B1270/MAX(B1019:B1270)-1</f>
        <v>0</v>
      </c>
      <c r="F1270" s="7" t="str">
        <f aca="false">IFERROR(INDEX(02_轉折點45個!B:B,MATCH(A1270,02_轉折點45個!A:A,0)),"")</f>
        <v/>
      </c>
      <c r="G1270" s="7" t="s">
        <v>1994</v>
      </c>
    </row>
    <row r="1271" customFormat="false" ht="15" hidden="false" customHeight="false" outlineLevel="0" collapsed="false">
      <c r="A1271" s="7" t="s">
        <v>3100</v>
      </c>
      <c r="B1271" s="7" t="n">
        <v>1957.28</v>
      </c>
      <c r="C1271" s="7" t="n">
        <f aca="false">AVERAGE(B1222:B1271)</f>
        <v>1813.874</v>
      </c>
      <c r="D1271" s="7" t="n">
        <f aca="false">AVERAGE(B1072:B1271)</f>
        <v>1618.60075</v>
      </c>
      <c r="E1271" s="7" t="n">
        <f aca="false">B1271/MAX(B1020:B1271)-1</f>
        <v>-0.00257855417511743</v>
      </c>
      <c r="F1271" s="7" t="str">
        <f aca="false">IFERROR(INDEX(02_轉折點45個!B:B,MATCH(A1271,02_轉折點45個!A:A,0)),"")</f>
        <v/>
      </c>
      <c r="G1271" s="7" t="s">
        <v>1994</v>
      </c>
    </row>
    <row r="1272" customFormat="false" ht="15" hidden="false" customHeight="false" outlineLevel="0" collapsed="false">
      <c r="A1272" s="7" t="s">
        <v>3101</v>
      </c>
      <c r="B1272" s="7" t="n">
        <v>1935.87</v>
      </c>
      <c r="C1272" s="7" t="n">
        <f aca="false">AVERAGE(B1223:B1272)</f>
        <v>1816.5832</v>
      </c>
      <c r="D1272" s="7" t="n">
        <f aca="false">AVERAGE(B1073:B1272)</f>
        <v>1621.933</v>
      </c>
      <c r="E1272" s="7" t="n">
        <f aca="false">B1272/MAX(B1021:B1272)-1</f>
        <v>-0.0134889978291224</v>
      </c>
      <c r="F1272" s="7" t="str">
        <f aca="false">IFERROR(INDEX(02_轉折點45個!B:B,MATCH(A1272,02_轉折點45個!A:A,0)),"")</f>
        <v/>
      </c>
      <c r="G1272" s="7" t="s">
        <v>1994</v>
      </c>
    </row>
    <row r="1273" customFormat="false" ht="15" hidden="false" customHeight="false" outlineLevel="0" collapsed="false">
      <c r="A1273" s="7" t="s">
        <v>3102</v>
      </c>
      <c r="B1273" s="7" t="n">
        <v>1940.31</v>
      </c>
      <c r="C1273" s="7" t="n">
        <f aca="false">AVERAGE(B1224:B1273)</f>
        <v>1819.9128</v>
      </c>
      <c r="D1273" s="7" t="n">
        <f aca="false">AVERAGE(B1074:B1273)</f>
        <v>1625.31745</v>
      </c>
      <c r="E1273" s="7" t="n">
        <f aca="false">B1273/MAX(B1022:B1273)-1</f>
        <v>-0.0112263929798098</v>
      </c>
      <c r="F1273" s="7" t="str">
        <f aca="false">IFERROR(INDEX(02_轉折點45個!B:B,MATCH(A1273,02_轉折點45個!A:A,0)),"")</f>
        <v/>
      </c>
      <c r="G1273" s="7" t="s">
        <v>1994</v>
      </c>
    </row>
    <row r="1274" customFormat="false" ht="15" hidden="false" customHeight="false" outlineLevel="0" collapsed="false">
      <c r="A1274" s="7" t="s">
        <v>130</v>
      </c>
      <c r="B1274" s="7" t="n">
        <v>1967.68</v>
      </c>
      <c r="C1274" s="7" t="n">
        <f aca="false">AVERAGE(B1225:B1274)</f>
        <v>1823.9888</v>
      </c>
      <c r="D1274" s="7" t="n">
        <f aca="false">AVERAGE(B1075:B1274)</f>
        <v>1628.95845</v>
      </c>
      <c r="E1274" s="7" t="n">
        <f aca="false">B1274/MAX(B1023:B1274)-1</f>
        <v>0</v>
      </c>
      <c r="F1274" s="7" t="str">
        <f aca="false">IFERROR(INDEX(02_轉折點45個!B:B,MATCH(A1274,02_轉折點45個!A:A,0)),"")</f>
        <v>TOP</v>
      </c>
      <c r="G1274" s="7" t="s">
        <v>1994</v>
      </c>
    </row>
    <row r="1275" customFormat="false" ht="15" hidden="false" customHeight="false" outlineLevel="0" collapsed="false">
      <c r="A1275" s="7" t="s">
        <v>525</v>
      </c>
      <c r="B1275" s="7" t="n">
        <v>1933.16</v>
      </c>
      <c r="C1275" s="7" t="n">
        <f aca="false">AVERAGE(B1226:B1275)</f>
        <v>1826.6004</v>
      </c>
      <c r="D1275" s="7" t="n">
        <f aca="false">AVERAGE(B1076:B1275)</f>
        <v>1632.38635</v>
      </c>
      <c r="E1275" s="7" t="n">
        <f aca="false">B1275/MAX(B1024:B1275)-1</f>
        <v>-0.0175435030086193</v>
      </c>
      <c r="F1275" s="7" t="str">
        <f aca="false">IFERROR(INDEX(02_轉折點45個!B:B,MATCH(A1275,02_轉折點45個!A:A,0)),"")</f>
        <v/>
      </c>
      <c r="G1275" s="7" t="s">
        <v>1994</v>
      </c>
    </row>
    <row r="1276" customFormat="false" ht="15" hidden="false" customHeight="false" outlineLevel="0" collapsed="false">
      <c r="A1276" s="7" t="s">
        <v>526</v>
      </c>
      <c r="B1276" s="7" t="n">
        <v>1897.83</v>
      </c>
      <c r="C1276" s="7" t="n">
        <f aca="false">AVERAGE(B1227:B1276)</f>
        <v>1828.6106</v>
      </c>
      <c r="D1276" s="7" t="n">
        <f aca="false">AVERAGE(B1077:B1276)</f>
        <v>1635.66845</v>
      </c>
      <c r="E1276" s="7" t="n">
        <f aca="false">B1276/MAX(B1025:B1276)-1</f>
        <v>-0.0354986583184258</v>
      </c>
      <c r="F1276" s="7" t="str">
        <f aca="false">IFERROR(INDEX(02_轉折點45個!B:B,MATCH(A1276,02_轉折點45個!A:A,0)),"")</f>
        <v/>
      </c>
      <c r="G1276" s="7" t="s">
        <v>1994</v>
      </c>
    </row>
    <row r="1277" customFormat="false" ht="15" hidden="false" customHeight="false" outlineLevel="0" collapsed="false">
      <c r="A1277" s="7" t="s">
        <v>3103</v>
      </c>
      <c r="B1277" s="7" t="n">
        <v>1889.48</v>
      </c>
      <c r="C1277" s="7" t="n">
        <f aca="false">AVERAGE(B1228:B1277)</f>
        <v>1831.1316</v>
      </c>
      <c r="D1277" s="7" t="n">
        <f aca="false">AVERAGE(B1078:B1277)</f>
        <v>1638.7896</v>
      </c>
      <c r="E1277" s="7" t="n">
        <f aca="false">B1277/MAX(B1026:B1277)-1</f>
        <v>-0.0397422345096764</v>
      </c>
      <c r="F1277" s="7" t="str">
        <f aca="false">IFERROR(INDEX(02_轉折點45個!B:B,MATCH(A1277,02_轉折點45個!A:A,0)),"")</f>
        <v/>
      </c>
      <c r="G1277" s="7" t="s">
        <v>1994</v>
      </c>
    </row>
    <row r="1278" customFormat="false" ht="15" hidden="false" customHeight="false" outlineLevel="0" collapsed="false">
      <c r="A1278" s="7" t="s">
        <v>3104</v>
      </c>
      <c r="B1278" s="7" t="n">
        <v>1887.58</v>
      </c>
      <c r="C1278" s="7" t="n">
        <f aca="false">AVERAGE(B1229:B1278)</f>
        <v>1833.9918</v>
      </c>
      <c r="D1278" s="7" t="n">
        <f aca="false">AVERAGE(B1079:B1278)</f>
        <v>1641.87355</v>
      </c>
      <c r="E1278" s="7" t="n">
        <f aca="false">B1278/MAX(B1027:B1278)-1</f>
        <v>-0.040707838672955</v>
      </c>
      <c r="F1278" s="7" t="str">
        <f aca="false">IFERROR(INDEX(02_轉折點45個!B:B,MATCH(A1278,02_轉折點45個!A:A,0)),"")</f>
        <v/>
      </c>
      <c r="G1278" s="7" t="s">
        <v>1994</v>
      </c>
    </row>
    <row r="1279" customFormat="false" ht="15" hidden="false" customHeight="false" outlineLevel="0" collapsed="false">
      <c r="A1279" s="7" t="s">
        <v>3105</v>
      </c>
      <c r="B1279" s="7" t="n">
        <v>1884.84</v>
      </c>
      <c r="C1279" s="7" t="n">
        <f aca="false">AVERAGE(B1230:B1279)</f>
        <v>1837.3062</v>
      </c>
      <c r="D1279" s="7" t="n">
        <f aca="false">AVERAGE(B1080:B1279)</f>
        <v>1644.92685</v>
      </c>
      <c r="E1279" s="7" t="n">
        <f aca="false">B1279/MAX(B1028:B1279)-1</f>
        <v>-0.0421003415189463</v>
      </c>
      <c r="F1279" s="7" t="str">
        <f aca="false">IFERROR(INDEX(02_轉折點45個!B:B,MATCH(A1279,02_轉折點45個!A:A,0)),"")</f>
        <v/>
      </c>
      <c r="G1279" s="7" t="s">
        <v>1994</v>
      </c>
    </row>
    <row r="1280" customFormat="false" ht="15" hidden="false" customHeight="false" outlineLevel="0" collapsed="false">
      <c r="A1280" s="7" t="s">
        <v>3106</v>
      </c>
      <c r="B1280" s="7" t="n">
        <v>1887.63</v>
      </c>
      <c r="C1280" s="7" t="n">
        <f aca="false">AVERAGE(B1231:B1280)</f>
        <v>1840.3494</v>
      </c>
      <c r="D1280" s="7" t="n">
        <f aca="false">AVERAGE(B1081:B1280)</f>
        <v>1647.8535</v>
      </c>
      <c r="E1280" s="7" t="n">
        <f aca="false">B1280/MAX(B1029:B1280)-1</f>
        <v>-0.0406824280370792</v>
      </c>
      <c r="F1280" s="7" t="str">
        <f aca="false">IFERROR(INDEX(02_轉折點45個!B:B,MATCH(A1280,02_轉折點45個!A:A,0)),"")</f>
        <v/>
      </c>
      <c r="G1280" s="7" t="s">
        <v>1994</v>
      </c>
    </row>
    <row r="1281" customFormat="false" ht="15" hidden="false" customHeight="false" outlineLevel="0" collapsed="false">
      <c r="A1281" s="7" t="s">
        <v>527</v>
      </c>
      <c r="B1281" s="7" t="n">
        <v>1840.06</v>
      </c>
      <c r="C1281" s="7" t="n">
        <f aca="false">AVERAGE(B1232:B1281)</f>
        <v>1842.7652</v>
      </c>
      <c r="D1281" s="7" t="n">
        <f aca="false">AVERAGE(B1082:B1281)</f>
        <v>1650.54745</v>
      </c>
      <c r="E1281" s="7" t="n">
        <f aca="false">B1281/MAX(B1030:B1281)-1</f>
        <v>-0.0648581070092699</v>
      </c>
      <c r="F1281" s="7" t="str">
        <f aca="false">IFERROR(INDEX(02_轉折點45個!B:B,MATCH(A1281,02_轉折點45個!A:A,0)),"")</f>
        <v/>
      </c>
      <c r="G1281" s="7" t="s">
        <v>1994</v>
      </c>
    </row>
    <row r="1282" customFormat="false" ht="15" hidden="false" customHeight="false" outlineLevel="0" collapsed="false">
      <c r="A1282" s="7" t="s">
        <v>3107</v>
      </c>
      <c r="B1282" s="7" t="n">
        <v>1845.01</v>
      </c>
      <c r="C1282" s="7" t="n">
        <f aca="false">AVERAGE(B1233:B1282)</f>
        <v>1845.0614</v>
      </c>
      <c r="D1282" s="7" t="n">
        <f aca="false">AVERAGE(B1083:B1282)</f>
        <v>1653.1429</v>
      </c>
      <c r="E1282" s="7" t="n">
        <f aca="false">B1282/MAX(B1031:B1282)-1</f>
        <v>-0.0623424540575703</v>
      </c>
      <c r="F1282" s="7" t="str">
        <f aca="false">IFERROR(INDEX(02_轉折點45個!B:B,MATCH(A1282,02_轉折點45個!A:A,0)),"")</f>
        <v/>
      </c>
      <c r="G1282" s="7" t="s">
        <v>1994</v>
      </c>
    </row>
    <row r="1283" customFormat="false" ht="15" hidden="false" customHeight="false" outlineLevel="0" collapsed="false">
      <c r="A1283" s="7" t="s">
        <v>528</v>
      </c>
      <c r="B1283" s="7" t="n">
        <v>1885.62</v>
      </c>
      <c r="C1283" s="7" t="n">
        <f aca="false">AVERAGE(B1234:B1283)</f>
        <v>1847.1968</v>
      </c>
      <c r="D1283" s="7" t="n">
        <f aca="false">AVERAGE(B1084:B1283)</f>
        <v>1655.8738</v>
      </c>
      <c r="E1283" s="7" t="n">
        <f aca="false">B1283/MAX(B1032:B1283)-1</f>
        <v>-0.0417039355992845</v>
      </c>
      <c r="F1283" s="7" t="str">
        <f aca="false">IFERROR(INDEX(02_轉折點45個!B:B,MATCH(A1283,02_轉折點45個!A:A,0)),"")</f>
        <v/>
      </c>
      <c r="G1283" s="7" t="s">
        <v>1994</v>
      </c>
    </row>
    <row r="1284" customFormat="false" ht="15" hidden="false" customHeight="false" outlineLevel="0" collapsed="false">
      <c r="A1284" s="7" t="s">
        <v>3108</v>
      </c>
      <c r="B1284" s="7" t="n">
        <v>1882.48</v>
      </c>
      <c r="C1284" s="7" t="n">
        <f aca="false">AVERAGE(B1235:B1284)</f>
        <v>1849.3442</v>
      </c>
      <c r="D1284" s="7" t="n">
        <f aca="false">AVERAGE(B1085:B1284)</f>
        <v>1658.62975</v>
      </c>
      <c r="E1284" s="7" t="n">
        <f aca="false">B1284/MAX(B1033:B1284)-1</f>
        <v>-0.0432997235322817</v>
      </c>
      <c r="F1284" s="7" t="str">
        <f aca="false">IFERROR(INDEX(02_轉折點45個!B:B,MATCH(A1284,02_轉折點45個!A:A,0)),"")</f>
        <v/>
      </c>
      <c r="G1284" s="7" t="s">
        <v>1994</v>
      </c>
    </row>
    <row r="1285" customFormat="false" ht="15" hidden="false" customHeight="false" outlineLevel="0" collapsed="false">
      <c r="A1285" s="7" t="s">
        <v>3109</v>
      </c>
      <c r="B1285" s="7" t="n">
        <v>1895.96</v>
      </c>
      <c r="C1285" s="7" t="n">
        <f aca="false">AVERAGE(B1236:B1285)</f>
        <v>1851.5736</v>
      </c>
      <c r="D1285" s="7" t="n">
        <f aca="false">AVERAGE(B1086:B1285)</f>
        <v>1661.55675</v>
      </c>
      <c r="E1285" s="7" t="n">
        <f aca="false">B1285/MAX(B1034:B1285)-1</f>
        <v>-0.0364490161001789</v>
      </c>
      <c r="F1285" s="7" t="str">
        <f aca="false">IFERROR(INDEX(02_轉折點45個!B:B,MATCH(A1285,02_轉折點45個!A:A,0)),"")</f>
        <v/>
      </c>
      <c r="G1285" s="7" t="s">
        <v>1994</v>
      </c>
    </row>
    <row r="1286" customFormat="false" ht="15" hidden="false" customHeight="false" outlineLevel="0" collapsed="false">
      <c r="A1286" s="7" t="s">
        <v>3110</v>
      </c>
      <c r="B1286" s="7" t="n">
        <v>1909.06</v>
      </c>
      <c r="C1286" s="7" t="n">
        <f aca="false">AVERAGE(B1237:B1286)</f>
        <v>1853.938</v>
      </c>
      <c r="D1286" s="7" t="n">
        <f aca="false">AVERAGE(B1087:B1286)</f>
        <v>1664.42275</v>
      </c>
      <c r="E1286" s="7" t="n">
        <f aca="false">B1286/MAX(B1035:B1286)-1</f>
        <v>-0.0297914295007319</v>
      </c>
      <c r="F1286" s="7" t="str">
        <f aca="false">IFERROR(INDEX(02_轉折點45個!B:B,MATCH(A1286,02_轉折點45個!A:A,0)),"")</f>
        <v/>
      </c>
      <c r="G1286" s="7" t="s">
        <v>1994</v>
      </c>
    </row>
    <row r="1287" customFormat="false" ht="15" hidden="false" customHeight="false" outlineLevel="0" collapsed="false">
      <c r="A1287" s="7" t="s">
        <v>3111</v>
      </c>
      <c r="B1287" s="7" t="n">
        <v>1894.39</v>
      </c>
      <c r="C1287" s="7" t="n">
        <f aca="false">AVERAGE(B1238:B1287)</f>
        <v>1855.4688</v>
      </c>
      <c r="D1287" s="7" t="n">
        <f aca="false">AVERAGE(B1088:B1287)</f>
        <v>1667.174</v>
      </c>
      <c r="E1287" s="7" t="n">
        <f aca="false">B1287/MAX(B1036:B1287)-1</f>
        <v>-0.0372469100666775</v>
      </c>
      <c r="F1287" s="7" t="str">
        <f aca="false">IFERROR(INDEX(02_轉折點45個!B:B,MATCH(A1287,02_轉折點45個!A:A,0)),"")</f>
        <v/>
      </c>
      <c r="G1287" s="7" t="s">
        <v>1994</v>
      </c>
    </row>
    <row r="1288" customFormat="false" ht="15" hidden="false" customHeight="false" outlineLevel="0" collapsed="false">
      <c r="A1288" s="7" t="s">
        <v>529</v>
      </c>
      <c r="B1288" s="7" t="n">
        <v>1876.08</v>
      </c>
      <c r="C1288" s="7" t="n">
        <f aca="false">AVERAGE(B1239:B1288)</f>
        <v>1856.8116</v>
      </c>
      <c r="D1288" s="7" t="n">
        <f aca="false">AVERAGE(B1089:B1288)</f>
        <v>1669.86565</v>
      </c>
      <c r="E1288" s="7" t="n">
        <f aca="false">B1288/MAX(B1037:B1288)-1</f>
        <v>-0.046552284924378</v>
      </c>
      <c r="F1288" s="7" t="str">
        <f aca="false">IFERROR(INDEX(02_轉折點45個!B:B,MATCH(A1288,02_轉折點45個!A:A,0)),"")</f>
        <v/>
      </c>
      <c r="G1288" s="7" t="s">
        <v>1994</v>
      </c>
    </row>
    <row r="1289" customFormat="false" ht="15" hidden="false" customHeight="false" outlineLevel="0" collapsed="false">
      <c r="A1289" s="7" t="s">
        <v>3112</v>
      </c>
      <c r="B1289" s="7" t="n">
        <v>1900.55</v>
      </c>
      <c r="C1289" s="7" t="n">
        <f aca="false">AVERAGE(B1240:B1289)</f>
        <v>1859.006</v>
      </c>
      <c r="D1289" s="7" t="n">
        <f aca="false">AVERAGE(B1090:B1289)</f>
        <v>1672.64195</v>
      </c>
      <c r="E1289" s="7" t="n">
        <f aca="false">B1289/MAX(B1038:B1289)-1</f>
        <v>-0.0341163197267849</v>
      </c>
      <c r="F1289" s="7" t="str">
        <f aca="false">IFERROR(INDEX(02_轉折點45個!B:B,MATCH(A1289,02_轉折點45個!A:A,0)),"")</f>
        <v/>
      </c>
      <c r="G1289" s="7" t="s">
        <v>1994</v>
      </c>
    </row>
    <row r="1290" customFormat="false" ht="15" hidden="false" customHeight="false" outlineLevel="0" collapsed="false">
      <c r="A1290" s="7" t="s">
        <v>3113</v>
      </c>
      <c r="B1290" s="7" t="n">
        <v>1897.01</v>
      </c>
      <c r="C1290" s="7" t="n">
        <f aca="false">AVERAGE(B1241:B1290)</f>
        <v>1860.9734</v>
      </c>
      <c r="D1290" s="7" t="n">
        <f aca="false">AVERAGE(B1091:B1290)</f>
        <v>1675.26205</v>
      </c>
      <c r="E1290" s="7" t="n">
        <f aca="false">B1290/MAX(B1039:B1290)-1</f>
        <v>-0.0359153927467881</v>
      </c>
      <c r="F1290" s="7" t="str">
        <f aca="false">IFERROR(INDEX(02_轉折點45個!B:B,MATCH(A1290,02_轉折點45個!A:A,0)),"")</f>
        <v/>
      </c>
      <c r="G1290" s="7" t="s">
        <v>1994</v>
      </c>
    </row>
    <row r="1291" customFormat="false" ht="15" hidden="false" customHeight="false" outlineLevel="0" collapsed="false">
      <c r="A1291" s="7" t="s">
        <v>3114</v>
      </c>
      <c r="B1291" s="7" t="n">
        <v>1869.13</v>
      </c>
      <c r="C1291" s="7" t="n">
        <f aca="false">AVERAGE(B1242:B1291)</f>
        <v>1862.9492</v>
      </c>
      <c r="D1291" s="7" t="n">
        <f aca="false">AVERAGE(B1092:B1291)</f>
        <v>1677.73745</v>
      </c>
      <c r="E1291" s="7" t="n">
        <f aca="false">B1291/MAX(B1040:B1291)-1</f>
        <v>-0.0500843633111074</v>
      </c>
      <c r="F1291" s="7" t="str">
        <f aca="false">IFERROR(INDEX(02_轉折點45個!B:B,MATCH(A1291,02_轉折點45個!A:A,0)),"")</f>
        <v/>
      </c>
      <c r="G1291" s="7" t="s">
        <v>1994</v>
      </c>
    </row>
    <row r="1292" customFormat="false" ht="15" hidden="false" customHeight="false" outlineLevel="0" collapsed="false">
      <c r="A1292" s="7" t="s">
        <v>3115</v>
      </c>
      <c r="B1292" s="7" t="n">
        <v>1861.8</v>
      </c>
      <c r="C1292" s="7" t="n">
        <f aca="false">AVERAGE(B1243:B1292)</f>
        <v>1864.5768</v>
      </c>
      <c r="D1292" s="7" t="n">
        <f aca="false">AVERAGE(B1093:B1292)</f>
        <v>1680.08635</v>
      </c>
      <c r="E1292" s="7" t="n">
        <f aca="false">B1292/MAX(B1041:B1292)-1</f>
        <v>-0.0538095625304929</v>
      </c>
      <c r="F1292" s="7" t="str">
        <f aca="false">IFERROR(INDEX(02_轉折點45個!B:B,MATCH(A1292,02_轉折點45個!A:A,0)),"")</f>
        <v/>
      </c>
      <c r="G1292" s="7" t="s">
        <v>1994</v>
      </c>
    </row>
    <row r="1293" customFormat="false" ht="15" hidden="false" customHeight="false" outlineLevel="0" collapsed="false">
      <c r="A1293" s="7" t="s">
        <v>530</v>
      </c>
      <c r="B1293" s="7" t="n">
        <v>1834.02</v>
      </c>
      <c r="C1293" s="7" t="n">
        <f aca="false">AVERAGE(B1244:B1293)</f>
        <v>1866.3894</v>
      </c>
      <c r="D1293" s="7" t="n">
        <f aca="false">AVERAGE(B1094:B1293)</f>
        <v>1682.3738</v>
      </c>
      <c r="E1293" s="7" t="n">
        <f aca="false">B1293/MAX(B1042:B1293)-1</f>
        <v>-0.0679277118230607</v>
      </c>
      <c r="F1293" s="7" t="str">
        <f aca="false">IFERROR(INDEX(02_轉折點45個!B:B,MATCH(A1293,02_轉折點45個!A:A,0)),"")</f>
        <v/>
      </c>
      <c r="G1293" s="7" t="s">
        <v>1994</v>
      </c>
    </row>
    <row r="1294" customFormat="false" ht="15" hidden="false" customHeight="false" outlineLevel="0" collapsed="false">
      <c r="A1294" s="7" t="s">
        <v>3116</v>
      </c>
      <c r="B1294" s="7" t="n">
        <v>1832.12</v>
      </c>
      <c r="C1294" s="7" t="n">
        <f aca="false">AVERAGE(B1245:B1294)</f>
        <v>1868.231</v>
      </c>
      <c r="D1294" s="7" t="n">
        <f aca="false">AVERAGE(B1095:B1294)</f>
        <v>1684.7297</v>
      </c>
      <c r="E1294" s="7" t="n">
        <f aca="false">B1294/MAX(B1043:B1294)-1</f>
        <v>-0.0688933159863393</v>
      </c>
      <c r="F1294" s="7" t="str">
        <f aca="false">IFERROR(INDEX(02_轉折點45個!B:B,MATCH(A1294,02_轉折點45個!A:A,0)),"")</f>
        <v/>
      </c>
      <c r="G1294" s="7" t="s">
        <v>1994</v>
      </c>
    </row>
    <row r="1295" customFormat="false" ht="15" hidden="false" customHeight="false" outlineLevel="0" collapsed="false">
      <c r="A1295" s="7" t="s">
        <v>3117</v>
      </c>
      <c r="B1295" s="7" t="n">
        <v>1848.14</v>
      </c>
      <c r="C1295" s="7" t="n">
        <f aca="false">AVERAGE(B1246:B1295)</f>
        <v>1869.7048</v>
      </c>
      <c r="D1295" s="7" t="n">
        <f aca="false">AVERAGE(B1096:B1295)</f>
        <v>1687.02655</v>
      </c>
      <c r="E1295" s="7" t="n">
        <f aca="false">B1295/MAX(B1044:B1295)-1</f>
        <v>-0.0607517482517482</v>
      </c>
      <c r="F1295" s="7" t="str">
        <f aca="false">IFERROR(INDEX(02_轉折點45個!B:B,MATCH(A1295,02_轉折點45個!A:A,0)),"")</f>
        <v/>
      </c>
      <c r="G1295" s="7" t="s">
        <v>1994</v>
      </c>
    </row>
    <row r="1296" customFormat="false" ht="15" hidden="false" customHeight="false" outlineLevel="0" collapsed="false">
      <c r="A1296" s="7" t="s">
        <v>3118</v>
      </c>
      <c r="B1296" s="7" t="n">
        <v>1856.9</v>
      </c>
      <c r="C1296" s="7" t="n">
        <f aca="false">AVERAGE(B1247:B1296)</f>
        <v>1871.2318</v>
      </c>
      <c r="D1296" s="7" t="n">
        <f aca="false">AVERAGE(B1097:B1296)</f>
        <v>1689.27015</v>
      </c>
      <c r="E1296" s="7" t="n">
        <f aca="false">B1296/MAX(B1045:B1296)-1</f>
        <v>-0.0562998048463165</v>
      </c>
      <c r="F1296" s="7" t="str">
        <f aca="false">IFERROR(INDEX(02_轉折點45個!B:B,MATCH(A1296,02_轉折點45個!A:A,0)),"")</f>
        <v/>
      </c>
      <c r="G1296" s="7" t="s">
        <v>1994</v>
      </c>
    </row>
    <row r="1297" customFormat="false" ht="15" hidden="false" customHeight="false" outlineLevel="0" collapsed="false">
      <c r="A1297" s="7" t="s">
        <v>3119</v>
      </c>
      <c r="B1297" s="7" t="n">
        <v>1854.39</v>
      </c>
      <c r="C1297" s="7" t="n">
        <f aca="false">AVERAGE(B1248:B1297)</f>
        <v>1873.2702</v>
      </c>
      <c r="D1297" s="7" t="n">
        <f aca="false">AVERAGE(B1098:B1297)</f>
        <v>1691.50905</v>
      </c>
      <c r="E1297" s="7" t="n">
        <f aca="false">B1297/MAX(B1046:B1297)-1</f>
        <v>-0.0575754187672792</v>
      </c>
      <c r="F1297" s="7" t="str">
        <f aca="false">IFERROR(INDEX(02_轉折點45個!B:B,MATCH(A1297,02_轉折點45個!A:A,0)),"")</f>
        <v/>
      </c>
      <c r="G1297" s="7" t="s">
        <v>1994</v>
      </c>
    </row>
    <row r="1298" customFormat="false" ht="15" hidden="false" customHeight="false" outlineLevel="0" collapsed="false">
      <c r="A1298" s="7" t="s">
        <v>531</v>
      </c>
      <c r="B1298" s="7" t="n">
        <v>1879.95</v>
      </c>
      <c r="C1298" s="7" t="n">
        <f aca="false">AVERAGE(B1249:B1298)</f>
        <v>1875.7096</v>
      </c>
      <c r="D1298" s="7" t="n">
        <f aca="false">AVERAGE(B1099:B1298)</f>
        <v>1693.8976</v>
      </c>
      <c r="E1298" s="7" t="n">
        <f aca="false">B1298/MAX(B1047:B1298)-1</f>
        <v>-0.0445855017075948</v>
      </c>
      <c r="F1298" s="7" t="str">
        <f aca="false">IFERROR(INDEX(02_轉折點45個!B:B,MATCH(A1298,02_轉折點45個!A:A,0)),"")</f>
        <v/>
      </c>
      <c r="G1298" s="7" t="s">
        <v>1994</v>
      </c>
    </row>
    <row r="1299" customFormat="false" ht="15" hidden="false" customHeight="false" outlineLevel="0" collapsed="false">
      <c r="A1299" s="7" t="s">
        <v>3120</v>
      </c>
      <c r="B1299" s="7" t="n">
        <v>1863.37</v>
      </c>
      <c r="C1299" s="7" t="n">
        <f aca="false">AVERAGE(B1250:B1299)</f>
        <v>1877.8716</v>
      </c>
      <c r="D1299" s="7" t="n">
        <f aca="false">AVERAGE(B1100:B1299)</f>
        <v>1696.12795</v>
      </c>
      <c r="E1299" s="7" t="n">
        <f aca="false">B1299/MAX(B1048:B1299)-1</f>
        <v>-0.0530116685639942</v>
      </c>
      <c r="F1299" s="7" t="str">
        <f aca="false">IFERROR(INDEX(02_轉折點45個!B:B,MATCH(A1299,02_轉折點45個!A:A,0)),"")</f>
        <v/>
      </c>
      <c r="G1299" s="7" t="s">
        <v>1994</v>
      </c>
    </row>
    <row r="1300" customFormat="false" ht="15" hidden="false" customHeight="false" outlineLevel="0" collapsed="false">
      <c r="A1300" s="7" t="s">
        <v>3121</v>
      </c>
      <c r="B1300" s="7" t="n">
        <v>1857.62</v>
      </c>
      <c r="C1300" s="7" t="n">
        <f aca="false">AVERAGE(B1251:B1300)</f>
        <v>1879.2818</v>
      </c>
      <c r="D1300" s="7" t="n">
        <f aca="false">AVERAGE(B1101:B1300)</f>
        <v>1698.38825</v>
      </c>
      <c r="E1300" s="7" t="n">
        <f aca="false">B1300/MAX(B1049:B1300)-1</f>
        <v>-0.0559338916897058</v>
      </c>
      <c r="F1300" s="7" t="str">
        <f aca="false">IFERROR(INDEX(02_轉折點45個!B:B,MATCH(A1300,02_轉折點45個!A:A,0)),"")</f>
        <v/>
      </c>
      <c r="G1300" s="7" t="s">
        <v>1994</v>
      </c>
    </row>
    <row r="1301" customFormat="false" ht="15" hidden="false" customHeight="false" outlineLevel="0" collapsed="false">
      <c r="A1301" s="7" t="s">
        <v>532</v>
      </c>
      <c r="B1301" s="7" t="n">
        <v>1877.49</v>
      </c>
      <c r="C1301" s="7" t="n">
        <f aca="false">AVERAGE(B1252:B1301)</f>
        <v>1881.1836</v>
      </c>
      <c r="D1301" s="7" t="n">
        <f aca="false">AVERAGE(B1102:B1301)</f>
        <v>1700.95695</v>
      </c>
      <c r="E1301" s="7" t="n">
        <f aca="false">B1301/MAX(B1050:B1301)-1</f>
        <v>-0.0458357049926818</v>
      </c>
      <c r="F1301" s="7" t="str">
        <f aca="false">IFERROR(INDEX(02_轉折點45個!B:B,MATCH(A1301,02_轉折點45個!A:A,0)),"")</f>
        <v/>
      </c>
      <c r="G1301" s="7" t="s">
        <v>1994</v>
      </c>
    </row>
    <row r="1302" customFormat="false" ht="15" hidden="false" customHeight="false" outlineLevel="0" collapsed="false">
      <c r="A1302" s="7" t="s">
        <v>3122</v>
      </c>
      <c r="B1302" s="7" t="n">
        <v>1870.66</v>
      </c>
      <c r="C1302" s="7" t="n">
        <f aca="false">AVERAGE(B1253:B1302)</f>
        <v>1882.8614</v>
      </c>
      <c r="D1302" s="7" t="n">
        <f aca="false">AVERAGE(B1103:B1302)</f>
        <v>1703.49915</v>
      </c>
      <c r="E1302" s="7" t="n">
        <f aca="false">B1302/MAX(B1051:B1302)-1</f>
        <v>-0.0493067978533095</v>
      </c>
      <c r="F1302" s="7" t="str">
        <f aca="false">IFERROR(INDEX(02_轉折點45個!B:B,MATCH(A1302,02_轉折點45個!A:A,0)),"")</f>
        <v/>
      </c>
      <c r="G1302" s="7" t="s">
        <v>1994</v>
      </c>
    </row>
    <row r="1303" customFormat="false" ht="15" hidden="false" customHeight="false" outlineLevel="0" collapsed="false">
      <c r="A1303" s="7" t="s">
        <v>533</v>
      </c>
      <c r="B1303" s="7" t="n">
        <v>1835.17</v>
      </c>
      <c r="C1303" s="7" t="n">
        <f aca="false">AVERAGE(B1254:B1303)</f>
        <v>1883.4828</v>
      </c>
      <c r="D1303" s="7" t="n">
        <f aca="false">AVERAGE(B1104:B1303)</f>
        <v>1705.8695</v>
      </c>
      <c r="E1303" s="7" t="n">
        <f aca="false">B1303/MAX(B1052:B1303)-1</f>
        <v>-0.0673432671979184</v>
      </c>
      <c r="F1303" s="7" t="str">
        <f aca="false">IFERROR(INDEX(02_轉折點45個!B:B,MATCH(A1303,02_轉折點45個!A:A,0)),"")</f>
        <v/>
      </c>
      <c r="G1303" s="7" t="s">
        <v>1994</v>
      </c>
    </row>
    <row r="1304" customFormat="false" ht="15" hidden="false" customHeight="false" outlineLevel="0" collapsed="false">
      <c r="A1304" s="7" t="s">
        <v>534</v>
      </c>
      <c r="B1304" s="7" t="n">
        <v>1822.72</v>
      </c>
      <c r="C1304" s="7" t="n">
        <f aca="false">AVERAGE(B1255:B1304)</f>
        <v>1883.9566</v>
      </c>
      <c r="D1304" s="7" t="n">
        <f aca="false">AVERAGE(B1105:B1304)</f>
        <v>1708.0968</v>
      </c>
      <c r="E1304" s="7" t="n">
        <f aca="false">B1304/MAX(B1053:B1304)-1</f>
        <v>-0.0736705155309807</v>
      </c>
      <c r="F1304" s="7" t="str">
        <f aca="false">IFERROR(INDEX(02_轉折點45個!B:B,MATCH(A1304,02_轉折點45個!A:A,0)),"")</f>
        <v/>
      </c>
      <c r="G1304" s="7" t="s">
        <v>1994</v>
      </c>
    </row>
    <row r="1305" customFormat="false" ht="15" hidden="false" customHeight="false" outlineLevel="0" collapsed="false">
      <c r="A1305" s="7" t="s">
        <v>3123</v>
      </c>
      <c r="B1305" s="7" t="n">
        <v>1794.39</v>
      </c>
      <c r="C1305" s="7" t="n">
        <f aca="false">AVERAGE(B1256:B1305)</f>
        <v>1883.7922</v>
      </c>
      <c r="D1305" s="7" t="n">
        <f aca="false">AVERAGE(B1106:B1305)</f>
        <v>1710.17085</v>
      </c>
      <c r="E1305" s="7" t="n">
        <f aca="false">B1305/MAX(B1054:B1305)-1</f>
        <v>-0.0880681818181818</v>
      </c>
      <c r="F1305" s="7" t="str">
        <f aca="false">IFERROR(INDEX(02_轉折點45個!B:B,MATCH(A1305,02_轉折點45個!A:A,0)),"")</f>
        <v/>
      </c>
      <c r="G1305" s="7" t="s">
        <v>1994</v>
      </c>
    </row>
    <row r="1306" customFormat="false" ht="15" hidden="false" customHeight="false" outlineLevel="0" collapsed="false">
      <c r="A1306" s="7" t="s">
        <v>3124</v>
      </c>
      <c r="B1306" s="7" t="n">
        <v>1775.88</v>
      </c>
      <c r="C1306" s="7" t="n">
        <f aca="false">AVERAGE(B1257:B1306)</f>
        <v>1882.6484</v>
      </c>
      <c r="D1306" s="7" t="n">
        <f aca="false">AVERAGE(B1107:B1306)</f>
        <v>1711.9395</v>
      </c>
      <c r="E1306" s="7" t="n">
        <f aca="false">B1306/MAX(B1055:B1306)-1</f>
        <v>-0.0974751992193852</v>
      </c>
      <c r="F1306" s="7" t="str">
        <f aca="false">IFERROR(INDEX(02_轉折點45個!B:B,MATCH(A1306,02_轉折點45個!A:A,0)),"")</f>
        <v/>
      </c>
      <c r="G1306" s="7" t="s">
        <v>1994</v>
      </c>
    </row>
    <row r="1307" customFormat="false" ht="15" hidden="false" customHeight="false" outlineLevel="0" collapsed="false">
      <c r="A1307" s="7" t="s">
        <v>535</v>
      </c>
      <c r="B1307" s="7" t="n">
        <v>1813.19</v>
      </c>
      <c r="C1307" s="7" t="n">
        <f aca="false">AVERAGE(B1258:B1307)</f>
        <v>1882.1888</v>
      </c>
      <c r="D1307" s="7" t="n">
        <f aca="false">AVERAGE(B1108:B1307)</f>
        <v>1713.8648</v>
      </c>
      <c r="E1307" s="7" t="n">
        <f aca="false">B1307/MAX(B1056:B1307)-1</f>
        <v>-0.078513782728899</v>
      </c>
      <c r="F1307" s="7" t="str">
        <f aca="false">IFERROR(INDEX(02_轉折點45個!B:B,MATCH(A1307,02_轉折點45個!A:A,0)),"")</f>
        <v/>
      </c>
      <c r="G1307" s="7" t="s">
        <v>1994</v>
      </c>
    </row>
    <row r="1308" customFormat="false" ht="15" hidden="false" customHeight="false" outlineLevel="0" collapsed="false">
      <c r="A1308" s="7" t="s">
        <v>3125</v>
      </c>
      <c r="B1308" s="7" t="n">
        <v>1771.6</v>
      </c>
      <c r="C1308" s="7" t="n">
        <f aca="false">AVERAGE(B1259:B1308)</f>
        <v>1881.0164</v>
      </c>
      <c r="D1308" s="7" t="n">
        <f aca="false">AVERAGE(B1109:B1308)</f>
        <v>1715.52865</v>
      </c>
      <c r="E1308" s="7" t="n">
        <f aca="false">B1308/MAX(B1057:B1308)-1</f>
        <v>-0.0996503496503497</v>
      </c>
      <c r="F1308" s="7" t="str">
        <f aca="false">IFERROR(INDEX(02_轉折點45個!B:B,MATCH(A1308,02_轉折點45個!A:A,0)),"")</f>
        <v/>
      </c>
      <c r="G1308" s="7" t="s">
        <v>1994</v>
      </c>
    </row>
    <row r="1309" customFormat="false" ht="15" hidden="false" customHeight="false" outlineLevel="0" collapsed="false">
      <c r="A1309" s="7" t="s">
        <v>3126</v>
      </c>
      <c r="B1309" s="7" t="n">
        <v>1775.15</v>
      </c>
      <c r="C1309" s="7" t="n">
        <f aca="false">AVERAGE(B1260:B1309)</f>
        <v>1879.8544</v>
      </c>
      <c r="D1309" s="7" t="n">
        <f aca="false">AVERAGE(B1110:B1309)</f>
        <v>1717.1145</v>
      </c>
      <c r="E1309" s="7" t="n">
        <f aca="false">B1309/MAX(B1058:B1309)-1</f>
        <v>-0.0978461945031712</v>
      </c>
      <c r="F1309" s="7" t="str">
        <f aca="false">IFERROR(INDEX(02_轉折點45個!B:B,MATCH(A1309,02_轉折點45個!A:A,0)),"")</f>
        <v/>
      </c>
      <c r="G1309" s="7" t="s">
        <v>1994</v>
      </c>
    </row>
    <row r="1310" customFormat="false" ht="15" hidden="false" customHeight="false" outlineLevel="0" collapsed="false">
      <c r="A1310" s="7" t="s">
        <v>3127</v>
      </c>
      <c r="B1310" s="7" t="n">
        <v>1805.91</v>
      </c>
      <c r="C1310" s="7" t="n">
        <f aca="false">AVERAGE(B1261:B1310)</f>
        <v>1878.5644</v>
      </c>
      <c r="D1310" s="7" t="n">
        <f aca="false">AVERAGE(B1111:B1310)</f>
        <v>1718.8777</v>
      </c>
      <c r="E1310" s="7" t="n">
        <f aca="false">B1310/MAX(B1059:B1310)-1</f>
        <v>-0.0822135713124085</v>
      </c>
      <c r="F1310" s="7" t="str">
        <f aca="false">IFERROR(INDEX(02_轉折點45個!B:B,MATCH(A1310,02_轉折點45個!A:A,0)),"")</f>
        <v/>
      </c>
      <c r="G1310" s="7" t="s">
        <v>1994</v>
      </c>
    </row>
    <row r="1311" customFormat="false" ht="15" hidden="false" customHeight="false" outlineLevel="0" collapsed="false">
      <c r="A1311" s="7" t="s">
        <v>3128</v>
      </c>
      <c r="B1311" s="7" t="n">
        <v>1792.83</v>
      </c>
      <c r="C1311" s="7" t="n">
        <f aca="false">AVERAGE(B1262:B1311)</f>
        <v>1876.8298</v>
      </c>
      <c r="D1311" s="7" t="n">
        <f aca="false">AVERAGE(B1112:B1311)</f>
        <v>1720.517</v>
      </c>
      <c r="E1311" s="7" t="n">
        <f aca="false">B1311/MAX(B1060:B1311)-1</f>
        <v>-0.0888609936575053</v>
      </c>
      <c r="F1311" s="7" t="str">
        <f aca="false">IFERROR(INDEX(02_轉折點45個!B:B,MATCH(A1311,02_轉折點45個!A:A,0)),"")</f>
        <v/>
      </c>
      <c r="G1311" s="7" t="s">
        <v>1994</v>
      </c>
    </row>
    <row r="1312" customFormat="false" ht="15" hidden="false" customHeight="false" outlineLevel="0" collapsed="false">
      <c r="A1312" s="7" t="s">
        <v>3129</v>
      </c>
      <c r="B1312" s="7" t="n">
        <v>1772.76</v>
      </c>
      <c r="C1312" s="7" t="n">
        <f aca="false">AVERAGE(B1263:B1312)</f>
        <v>1874.3228</v>
      </c>
      <c r="D1312" s="7" t="n">
        <f aca="false">AVERAGE(B1113:B1312)</f>
        <v>1721.91395</v>
      </c>
      <c r="E1312" s="7" t="n">
        <f aca="false">B1312/MAX(B1061:B1312)-1</f>
        <v>-0.0990608228980322</v>
      </c>
      <c r="F1312" s="7" t="str">
        <f aca="false">IFERROR(INDEX(02_轉折點45個!B:B,MATCH(A1312,02_轉折點45個!A:A,0)),"")</f>
        <v/>
      </c>
      <c r="G1312" s="7" t="s">
        <v>1994</v>
      </c>
    </row>
    <row r="1313" customFormat="false" ht="15" hidden="false" customHeight="false" outlineLevel="0" collapsed="false">
      <c r="A1313" s="7" t="s">
        <v>3130</v>
      </c>
      <c r="B1313" s="7" t="n">
        <v>1744.83</v>
      </c>
      <c r="C1313" s="7" t="n">
        <f aca="false">AVERAGE(B1264:B1313)</f>
        <v>1870.8448</v>
      </c>
      <c r="D1313" s="7" t="n">
        <f aca="false">AVERAGE(B1114:B1313)</f>
        <v>1723.11935</v>
      </c>
      <c r="E1313" s="7" t="n">
        <f aca="false">B1313/MAX(B1062:B1313)-1</f>
        <v>-0.113255204098227</v>
      </c>
      <c r="F1313" s="7" t="str">
        <f aca="false">IFERROR(INDEX(02_轉折點45個!B:B,MATCH(A1313,02_轉折點45個!A:A,0)),"")</f>
        <v/>
      </c>
      <c r="G1313" s="7" t="s">
        <v>1994</v>
      </c>
    </row>
    <row r="1314" customFormat="false" ht="15" hidden="false" customHeight="false" outlineLevel="0" collapsed="false">
      <c r="A1314" s="7" t="s">
        <v>3131</v>
      </c>
      <c r="B1314" s="7" t="n">
        <v>1737.43</v>
      </c>
      <c r="C1314" s="7" t="n">
        <f aca="false">AVERAGE(B1265:B1314)</f>
        <v>1867.4624</v>
      </c>
      <c r="D1314" s="7" t="n">
        <f aca="false">AVERAGE(B1115:B1314)</f>
        <v>1724.37265</v>
      </c>
      <c r="E1314" s="7" t="n">
        <f aca="false">B1314/MAX(B1063:B1314)-1</f>
        <v>-0.117015978207839</v>
      </c>
      <c r="F1314" s="7" t="str">
        <f aca="false">IFERROR(INDEX(02_轉折點45個!B:B,MATCH(A1314,02_轉折點45個!A:A,0)),"")</f>
        <v/>
      </c>
      <c r="G1314" s="7" t="s">
        <v>1994</v>
      </c>
    </row>
    <row r="1315" customFormat="false" ht="15" hidden="false" customHeight="false" outlineLevel="0" collapsed="false">
      <c r="A1315" s="7" t="s">
        <v>3132</v>
      </c>
      <c r="B1315" s="7" t="n">
        <v>1744.45</v>
      </c>
      <c r="C1315" s="7" t="n">
        <f aca="false">AVERAGE(B1266:B1315)</f>
        <v>1863.7662</v>
      </c>
      <c r="D1315" s="7" t="n">
        <f aca="false">AVERAGE(B1116:B1315)</f>
        <v>1725.7682</v>
      </c>
      <c r="E1315" s="7" t="n">
        <f aca="false">B1315/MAX(B1064:B1315)-1</f>
        <v>-0.113448324930883</v>
      </c>
      <c r="F1315" s="7" t="str">
        <f aca="false">IFERROR(INDEX(02_轉折點45個!B:B,MATCH(A1315,02_轉折點45個!A:A,0)),"")</f>
        <v/>
      </c>
      <c r="G1315" s="7" t="s">
        <v>1994</v>
      </c>
    </row>
    <row r="1316" customFormat="false" ht="15" hidden="false" customHeight="false" outlineLevel="0" collapsed="false">
      <c r="A1316" s="7" t="s">
        <v>3133</v>
      </c>
      <c r="B1316" s="7" t="n">
        <v>1797.15</v>
      </c>
      <c r="C1316" s="7" t="n">
        <f aca="false">AVERAGE(B1267:B1316)</f>
        <v>1861.4042</v>
      </c>
      <c r="D1316" s="7" t="n">
        <f aca="false">AVERAGE(B1117:B1316)</f>
        <v>1727.319</v>
      </c>
      <c r="E1316" s="7" t="n">
        <f aca="false">B1316/MAX(B1065:B1316)-1</f>
        <v>-0.0866655147178402</v>
      </c>
      <c r="F1316" s="7" t="str">
        <f aca="false">IFERROR(INDEX(02_轉折點45個!B:B,MATCH(A1316,02_轉折點45個!A:A,0)),"")</f>
        <v/>
      </c>
      <c r="G1316" s="7" t="s">
        <v>1994</v>
      </c>
    </row>
    <row r="1317" customFormat="false" ht="15" hidden="false" customHeight="false" outlineLevel="0" collapsed="false">
      <c r="A1317" s="7" t="s">
        <v>3134</v>
      </c>
      <c r="B1317" s="7" t="n">
        <v>1790.62</v>
      </c>
      <c r="C1317" s="7" t="n">
        <f aca="false">AVERAGE(B1268:B1317)</f>
        <v>1858.6432</v>
      </c>
      <c r="D1317" s="7" t="n">
        <f aca="false">AVERAGE(B1118:B1317)</f>
        <v>1728.7533</v>
      </c>
      <c r="E1317" s="7" t="n">
        <f aca="false">B1317/MAX(B1066:B1317)-1</f>
        <v>-0.0899841437632136</v>
      </c>
      <c r="F1317" s="7" t="str">
        <f aca="false">IFERROR(INDEX(02_轉折點45個!B:B,MATCH(A1317,02_轉折點45個!A:A,0)),"")</f>
        <v/>
      </c>
      <c r="G1317" s="7" t="s">
        <v>1994</v>
      </c>
    </row>
    <row r="1318" customFormat="false" ht="15" hidden="false" customHeight="false" outlineLevel="0" collapsed="false">
      <c r="A1318" s="7" t="s">
        <v>536</v>
      </c>
      <c r="B1318" s="7" t="n">
        <v>1820.36</v>
      </c>
      <c r="C1318" s="7" t="n">
        <f aca="false">AVERAGE(B1269:B1318)</f>
        <v>1856.5144</v>
      </c>
      <c r="D1318" s="7" t="n">
        <f aca="false">AVERAGE(B1119:B1318)</f>
        <v>1730.3016</v>
      </c>
      <c r="E1318" s="7" t="n">
        <f aca="false">B1318/MAX(B1067:B1318)-1</f>
        <v>-0.0748698975443163</v>
      </c>
      <c r="F1318" s="7" t="str">
        <f aca="false">IFERROR(INDEX(02_轉折點45個!B:B,MATCH(A1318,02_轉折點45個!A:A,0)),"")</f>
        <v/>
      </c>
      <c r="G1318" s="7" t="s">
        <v>1994</v>
      </c>
    </row>
    <row r="1319" customFormat="false" ht="15" hidden="false" customHeight="false" outlineLevel="0" collapsed="false">
      <c r="A1319" s="7" t="s">
        <v>3135</v>
      </c>
      <c r="B1319" s="7" t="n">
        <v>1827.72</v>
      </c>
      <c r="C1319" s="7" t="n">
        <f aca="false">AVERAGE(B1270:B1319)</f>
        <v>1853.9594</v>
      </c>
      <c r="D1319" s="7" t="n">
        <f aca="false">AVERAGE(B1120:B1319)</f>
        <v>1732.0106</v>
      </c>
      <c r="E1319" s="7" t="n">
        <f aca="false">B1319/MAX(B1068:B1319)-1</f>
        <v>-0.0711294519434055</v>
      </c>
      <c r="F1319" s="7" t="str">
        <f aca="false">IFERROR(INDEX(02_轉折點45個!B:B,MATCH(A1319,02_轉折點45個!A:A,0)),"")</f>
        <v/>
      </c>
      <c r="G1319" s="7" t="s">
        <v>1994</v>
      </c>
    </row>
    <row r="1320" customFormat="false" ht="15" hidden="false" customHeight="false" outlineLevel="0" collapsed="false">
      <c r="A1320" s="7" t="s">
        <v>3136</v>
      </c>
      <c r="B1320" s="7" t="n">
        <v>1821.86</v>
      </c>
      <c r="C1320" s="7" t="n">
        <f aca="false">AVERAGE(B1271:B1320)</f>
        <v>1851.1498</v>
      </c>
      <c r="D1320" s="7" t="n">
        <f aca="false">AVERAGE(B1121:B1320)</f>
        <v>1733.5072</v>
      </c>
      <c r="E1320" s="7" t="n">
        <f aca="false">B1320/MAX(B1069:B1320)-1</f>
        <v>-0.0741075784680436</v>
      </c>
      <c r="F1320" s="7" t="str">
        <f aca="false">IFERROR(INDEX(02_轉折點45個!B:B,MATCH(A1320,02_轉折點45個!A:A,0)),"")</f>
        <v/>
      </c>
      <c r="G1320" s="7" t="s">
        <v>1994</v>
      </c>
    </row>
    <row r="1321" customFormat="false" ht="15" hidden="false" customHeight="false" outlineLevel="0" collapsed="false">
      <c r="A1321" s="7" t="s">
        <v>3137</v>
      </c>
      <c r="B1321" s="7" t="n">
        <v>1840.86</v>
      </c>
      <c r="C1321" s="7" t="n">
        <f aca="false">AVERAGE(B1272:B1321)</f>
        <v>1848.8214</v>
      </c>
      <c r="D1321" s="7" t="n">
        <f aca="false">AVERAGE(B1122:B1321)</f>
        <v>1735.0903</v>
      </c>
      <c r="E1321" s="7" t="n">
        <f aca="false">B1321/MAX(B1070:B1321)-1</f>
        <v>-0.0644515368352578</v>
      </c>
      <c r="F1321" s="7" t="str">
        <f aca="false">IFERROR(INDEX(02_轉折點45個!B:B,MATCH(A1321,02_轉折點45個!A:A,0)),"")</f>
        <v/>
      </c>
      <c r="G1321" s="7" t="s">
        <v>1994</v>
      </c>
    </row>
    <row r="1322" customFormat="false" ht="15" hidden="false" customHeight="false" outlineLevel="0" collapsed="false">
      <c r="A1322" s="7" t="s">
        <v>537</v>
      </c>
      <c r="B1322" s="7" t="n">
        <v>1879.37</v>
      </c>
      <c r="C1322" s="7" t="n">
        <f aca="false">AVERAGE(B1273:B1322)</f>
        <v>1847.6914</v>
      </c>
      <c r="D1322" s="7" t="n">
        <f aca="false">AVERAGE(B1123:B1322)</f>
        <v>1736.8262</v>
      </c>
      <c r="E1322" s="7" t="n">
        <f aca="false">B1322/MAX(B1071:B1322)-1</f>
        <v>-0.0448802650837535</v>
      </c>
      <c r="F1322" s="7" t="str">
        <f aca="false">IFERROR(INDEX(02_轉折點45個!B:B,MATCH(A1322,02_轉折點45個!A:A,0)),"")</f>
        <v/>
      </c>
      <c r="G1322" s="7" t="s">
        <v>1994</v>
      </c>
    </row>
    <row r="1323" customFormat="false" ht="15" hidden="false" customHeight="false" outlineLevel="0" collapsed="false">
      <c r="A1323" s="7" t="s">
        <v>3138</v>
      </c>
      <c r="B1323" s="7" t="n">
        <v>1899.43</v>
      </c>
      <c r="C1323" s="7" t="n">
        <f aca="false">AVERAGE(B1274:B1323)</f>
        <v>1846.8738</v>
      </c>
      <c r="D1323" s="7" t="n">
        <f aca="false">AVERAGE(B1124:B1323)</f>
        <v>1738.7926</v>
      </c>
      <c r="E1323" s="7" t="n">
        <f aca="false">B1323/MAX(B1072:B1323)-1</f>
        <v>-0.0346855179704017</v>
      </c>
      <c r="F1323" s="7" t="str">
        <f aca="false">IFERROR(INDEX(02_轉折點45個!B:B,MATCH(A1323,02_轉折點45個!A:A,0)),"")</f>
        <v/>
      </c>
      <c r="G1323" s="7" t="s">
        <v>1994</v>
      </c>
    </row>
    <row r="1324" customFormat="false" ht="15" hidden="false" customHeight="false" outlineLevel="0" collapsed="false">
      <c r="A1324" s="7" t="s">
        <v>3139</v>
      </c>
      <c r="B1324" s="7" t="n">
        <v>1881.87</v>
      </c>
      <c r="C1324" s="7" t="n">
        <f aca="false">AVERAGE(B1275:B1324)</f>
        <v>1845.1576</v>
      </c>
      <c r="D1324" s="7" t="n">
        <f aca="false">AVERAGE(B1125:B1324)</f>
        <v>1740.6891</v>
      </c>
      <c r="E1324" s="7" t="n">
        <f aca="false">B1324/MAX(B1073:B1324)-1</f>
        <v>-0.043609733289966</v>
      </c>
      <c r="F1324" s="7" t="str">
        <f aca="false">IFERROR(INDEX(02_轉折點45個!B:B,MATCH(A1324,02_轉折點45個!A:A,0)),"")</f>
        <v/>
      </c>
      <c r="G1324" s="7" t="s">
        <v>1994</v>
      </c>
    </row>
    <row r="1325" customFormat="false" ht="15" hidden="false" customHeight="false" outlineLevel="0" collapsed="false">
      <c r="A1325" s="7" t="s">
        <v>3140</v>
      </c>
      <c r="B1325" s="7" t="n">
        <v>1873.04</v>
      </c>
      <c r="C1325" s="7" t="n">
        <f aca="false">AVERAGE(B1276:B1325)</f>
        <v>1843.9552</v>
      </c>
      <c r="D1325" s="7" t="n">
        <f aca="false">AVERAGE(B1126:B1325)</f>
        <v>1742.6966</v>
      </c>
      <c r="E1325" s="7" t="n">
        <f aca="false">B1325/MAX(B1074:B1325)-1</f>
        <v>-0.0480972515856237</v>
      </c>
      <c r="F1325" s="7" t="str">
        <f aca="false">IFERROR(INDEX(02_轉折點45個!B:B,MATCH(A1325,02_轉折點45個!A:A,0)),"")</f>
        <v/>
      </c>
      <c r="G1325" s="7" t="s">
        <v>1994</v>
      </c>
    </row>
    <row r="1326" customFormat="false" ht="15" hidden="false" customHeight="false" outlineLevel="0" collapsed="false">
      <c r="A1326" s="7" t="s">
        <v>3141</v>
      </c>
      <c r="B1326" s="7" t="n">
        <v>1875.45</v>
      </c>
      <c r="C1326" s="7" t="n">
        <f aca="false">AVERAGE(B1277:B1326)</f>
        <v>1843.5076</v>
      </c>
      <c r="D1326" s="7" t="n">
        <f aca="false">AVERAGE(B1127:B1326)</f>
        <v>1744.73965</v>
      </c>
      <c r="E1326" s="7" t="n">
        <f aca="false">B1326/MAX(B1075:B1326)-1</f>
        <v>-0.0468724589364125</v>
      </c>
      <c r="F1326" s="7" t="str">
        <f aca="false">IFERROR(INDEX(02_轉折點45個!B:B,MATCH(A1326,02_轉折點45個!A:A,0)),"")</f>
        <v/>
      </c>
      <c r="G1326" s="7" t="s">
        <v>1994</v>
      </c>
    </row>
    <row r="1327" customFormat="false" ht="15" hidden="false" customHeight="false" outlineLevel="0" collapsed="false">
      <c r="A1327" s="7" t="s">
        <v>3142</v>
      </c>
      <c r="B1327" s="7" t="n">
        <v>1886.97</v>
      </c>
      <c r="C1327" s="7" t="n">
        <f aca="false">AVERAGE(B1278:B1327)</f>
        <v>1843.4574</v>
      </c>
      <c r="D1327" s="7" t="n">
        <f aca="false">AVERAGE(B1128:B1327)</f>
        <v>1746.85375</v>
      </c>
      <c r="E1327" s="7" t="n">
        <f aca="false">B1327/MAX(B1076:B1327)-1</f>
        <v>-0.0410178484306392</v>
      </c>
      <c r="F1327" s="7" t="str">
        <f aca="false">IFERROR(INDEX(02_轉折點45個!B:B,MATCH(A1327,02_轉折點45個!A:A,0)),"")</f>
        <v/>
      </c>
      <c r="G1327" s="7" t="s">
        <v>1994</v>
      </c>
    </row>
    <row r="1328" customFormat="false" ht="15" hidden="false" customHeight="false" outlineLevel="0" collapsed="false">
      <c r="A1328" s="7" t="s">
        <v>3143</v>
      </c>
      <c r="B1328" s="7" t="n">
        <v>1854.63</v>
      </c>
      <c r="C1328" s="7" t="n">
        <f aca="false">AVERAGE(B1279:B1328)</f>
        <v>1842.7984</v>
      </c>
      <c r="D1328" s="7" t="n">
        <f aca="false">AVERAGE(B1129:B1328)</f>
        <v>1748.66295</v>
      </c>
      <c r="E1328" s="7" t="n">
        <f aca="false">B1328/MAX(B1077:B1328)-1</f>
        <v>-0.0574534477150755</v>
      </c>
      <c r="F1328" s="7" t="str">
        <f aca="false">IFERROR(INDEX(02_轉折點45個!B:B,MATCH(A1328,02_轉折點45個!A:A,0)),"")</f>
        <v/>
      </c>
      <c r="G1328" s="7" t="s">
        <v>1994</v>
      </c>
    </row>
    <row r="1329" customFormat="false" ht="15" hidden="false" customHeight="false" outlineLevel="0" collapsed="false">
      <c r="A1329" s="7" t="s">
        <v>3144</v>
      </c>
      <c r="B1329" s="7" t="n">
        <v>1849.85</v>
      </c>
      <c r="C1329" s="7" t="n">
        <f aca="false">AVERAGE(B1280:B1329)</f>
        <v>1842.0986</v>
      </c>
      <c r="D1329" s="7" t="n">
        <f aca="false">AVERAGE(B1130:B1329)</f>
        <v>1750.48825</v>
      </c>
      <c r="E1329" s="7" t="n">
        <f aca="false">B1329/MAX(B1078:B1329)-1</f>
        <v>-0.0598827045047976</v>
      </c>
      <c r="F1329" s="7" t="str">
        <f aca="false">IFERROR(INDEX(02_轉折點45個!B:B,MATCH(A1329,02_轉折點45個!A:A,0)),"")</f>
        <v/>
      </c>
      <c r="G1329" s="7" t="s">
        <v>1994</v>
      </c>
    </row>
    <row r="1330" customFormat="false" ht="15" hidden="false" customHeight="false" outlineLevel="0" collapsed="false">
      <c r="A1330" s="7" t="s">
        <v>538</v>
      </c>
      <c r="B1330" s="7" t="n">
        <v>1829.13</v>
      </c>
      <c r="C1330" s="7" t="n">
        <f aca="false">AVERAGE(B1281:B1330)</f>
        <v>1840.9286</v>
      </c>
      <c r="D1330" s="7" t="n">
        <f aca="false">AVERAGE(B1131:B1330)</f>
        <v>1752.22115</v>
      </c>
      <c r="E1330" s="7" t="n">
        <f aca="false">B1330/MAX(B1079:B1330)-1</f>
        <v>-0.0704128720117092</v>
      </c>
      <c r="F1330" s="7" t="str">
        <f aca="false">IFERROR(INDEX(02_轉折點45個!B:B,MATCH(A1330,02_轉折點45個!A:A,0)),"")</f>
        <v/>
      </c>
      <c r="G1330" s="7" t="s">
        <v>1994</v>
      </c>
    </row>
    <row r="1331" customFormat="false" ht="15" hidden="false" customHeight="false" outlineLevel="0" collapsed="false">
      <c r="A1331" s="7" t="s">
        <v>3145</v>
      </c>
      <c r="B1331" s="7" t="n">
        <v>1823.25</v>
      </c>
      <c r="C1331" s="7" t="n">
        <f aca="false">AVERAGE(B1282:B1331)</f>
        <v>1840.5924</v>
      </c>
      <c r="D1331" s="7" t="n">
        <f aca="false">AVERAGE(B1132:B1331)</f>
        <v>1753.8455</v>
      </c>
      <c r="E1331" s="7" t="n">
        <f aca="false">B1331/MAX(B1080:B1331)-1</f>
        <v>-0.0734011627906978</v>
      </c>
      <c r="F1331" s="7" t="str">
        <f aca="false">IFERROR(INDEX(02_轉折點45個!B:B,MATCH(A1331,02_轉折點45個!A:A,0)),"")</f>
        <v/>
      </c>
      <c r="G1331" s="7" t="s">
        <v>1994</v>
      </c>
    </row>
    <row r="1332" customFormat="false" ht="15" hidden="false" customHeight="false" outlineLevel="0" collapsed="false">
      <c r="A1332" s="7" t="s">
        <v>3146</v>
      </c>
      <c r="B1332" s="7" t="n">
        <v>1845.81</v>
      </c>
      <c r="C1332" s="7" t="n">
        <f aca="false">AVERAGE(B1283:B1332)</f>
        <v>1840.6084</v>
      </c>
      <c r="D1332" s="7" t="n">
        <f aca="false">AVERAGE(B1133:B1332)</f>
        <v>1755.40635</v>
      </c>
      <c r="E1332" s="7" t="n">
        <f aca="false">B1332/MAX(B1081:B1332)-1</f>
        <v>-0.0619358838835583</v>
      </c>
      <c r="F1332" s="7" t="str">
        <f aca="false">IFERROR(INDEX(02_轉折點45個!B:B,MATCH(A1332,02_轉折點45個!A:A,0)),"")</f>
        <v/>
      </c>
      <c r="G1332" s="7" t="s">
        <v>1994</v>
      </c>
    </row>
    <row r="1333" customFormat="false" ht="15" hidden="false" customHeight="false" outlineLevel="0" collapsed="false">
      <c r="A1333" s="7" t="s">
        <v>3147</v>
      </c>
      <c r="B1333" s="7" t="n">
        <v>1807.62</v>
      </c>
      <c r="C1333" s="7" t="n">
        <f aca="false">AVERAGE(B1284:B1333)</f>
        <v>1839.0484</v>
      </c>
      <c r="D1333" s="7" t="n">
        <f aca="false">AVERAGE(B1134:B1333)</f>
        <v>1756.846</v>
      </c>
      <c r="E1333" s="7" t="n">
        <f aca="false">B1333/MAX(B1082:B1333)-1</f>
        <v>-0.0813445275654579</v>
      </c>
      <c r="F1333" s="7" t="str">
        <f aca="false">IFERROR(INDEX(02_轉折點45個!B:B,MATCH(A1333,02_轉折點45個!A:A,0)),"")</f>
        <v/>
      </c>
      <c r="G1333" s="7" t="s">
        <v>1994</v>
      </c>
    </row>
    <row r="1334" customFormat="false" ht="15" hidden="false" customHeight="false" outlineLevel="0" collapsed="false">
      <c r="A1334" s="7" t="s">
        <v>539</v>
      </c>
      <c r="B1334" s="7" t="n">
        <v>1823.15</v>
      </c>
      <c r="C1334" s="7" t="n">
        <f aca="false">AVERAGE(B1285:B1334)</f>
        <v>1837.8618</v>
      </c>
      <c r="D1334" s="7" t="n">
        <f aca="false">AVERAGE(B1135:B1334)</f>
        <v>1758.1018</v>
      </c>
      <c r="E1334" s="7" t="n">
        <f aca="false">B1334/MAX(B1083:B1334)-1</f>
        <v>-0.0734519840624491</v>
      </c>
      <c r="F1334" s="7" t="str">
        <f aca="false">IFERROR(INDEX(02_轉折點45個!B:B,MATCH(A1334,02_轉折點45個!A:A,0)),"")</f>
        <v/>
      </c>
      <c r="G1334" s="7" t="s">
        <v>1994</v>
      </c>
    </row>
    <row r="1335" customFormat="false" ht="15" hidden="false" customHeight="false" outlineLevel="0" collapsed="false">
      <c r="A1335" s="7" t="s">
        <v>3148</v>
      </c>
      <c r="B1335" s="7" t="n">
        <v>1857.21</v>
      </c>
      <c r="C1335" s="7" t="n">
        <f aca="false">AVERAGE(B1286:B1335)</f>
        <v>1837.0868</v>
      </c>
      <c r="D1335" s="7" t="n">
        <f aca="false">AVERAGE(B1136:B1335)</f>
        <v>1759.41025</v>
      </c>
      <c r="E1335" s="7" t="n">
        <f aca="false">B1335/MAX(B1084:B1335)-1</f>
        <v>-0.0561422589038868</v>
      </c>
      <c r="F1335" s="7" t="str">
        <f aca="false">IFERROR(INDEX(02_轉折點45個!B:B,MATCH(A1335,02_轉折點45個!A:A,0)),"")</f>
        <v/>
      </c>
      <c r="G1335" s="7" t="s">
        <v>1994</v>
      </c>
    </row>
    <row r="1336" customFormat="false" ht="15" hidden="false" customHeight="false" outlineLevel="0" collapsed="false">
      <c r="A1336" s="7" t="s">
        <v>3149</v>
      </c>
      <c r="B1336" s="7" t="n">
        <v>1872.61</v>
      </c>
      <c r="C1336" s="7" t="n">
        <f aca="false">AVERAGE(B1287:B1336)</f>
        <v>1836.3578</v>
      </c>
      <c r="D1336" s="7" t="n">
        <f aca="false">AVERAGE(B1137:B1336)</f>
        <v>1760.79115</v>
      </c>
      <c r="E1336" s="7" t="n">
        <f aca="false">B1336/MAX(B1085:B1336)-1</f>
        <v>-0.0483157830541552</v>
      </c>
      <c r="F1336" s="7" t="str">
        <f aca="false">IFERROR(INDEX(02_轉折點45個!B:B,MATCH(A1336,02_轉折點45個!A:A,0)),"")</f>
        <v/>
      </c>
      <c r="G1336" s="7" t="s">
        <v>1994</v>
      </c>
    </row>
    <row r="1337" customFormat="false" ht="15" hidden="false" customHeight="false" outlineLevel="0" collapsed="false">
      <c r="A1337" s="7" t="s">
        <v>3150</v>
      </c>
      <c r="B1337" s="7" t="n">
        <v>1860.74</v>
      </c>
      <c r="C1337" s="7" t="n">
        <f aca="false">AVERAGE(B1288:B1337)</f>
        <v>1835.6848</v>
      </c>
      <c r="D1337" s="7" t="n">
        <f aca="false">AVERAGE(B1138:B1337)</f>
        <v>1762.25705</v>
      </c>
      <c r="E1337" s="7" t="n">
        <f aca="false">B1337/MAX(B1086:B1337)-1</f>
        <v>-0.0543482680110587</v>
      </c>
      <c r="F1337" s="7" t="str">
        <f aca="false">IFERROR(INDEX(02_轉折點45個!B:B,MATCH(A1337,02_轉折點45個!A:A,0)),"")</f>
        <v/>
      </c>
      <c r="G1337" s="7" t="s">
        <v>1994</v>
      </c>
    </row>
    <row r="1338" customFormat="false" ht="15" hidden="false" customHeight="false" outlineLevel="0" collapsed="false">
      <c r="A1338" s="7" t="s">
        <v>3151</v>
      </c>
      <c r="B1338" s="7" t="n">
        <v>1856.86</v>
      </c>
      <c r="C1338" s="7" t="n">
        <f aca="false">AVERAGE(B1289:B1338)</f>
        <v>1835.3004</v>
      </c>
      <c r="D1338" s="7" t="n">
        <f aca="false">AVERAGE(B1139:B1338)</f>
        <v>1763.621</v>
      </c>
      <c r="E1338" s="7" t="n">
        <f aca="false">B1338/MAX(B1087:B1338)-1</f>
        <v>-0.0563201333550172</v>
      </c>
      <c r="F1338" s="7" t="str">
        <f aca="false">IFERROR(INDEX(02_轉折點45個!B:B,MATCH(A1338,02_轉折點45個!A:A,0)),"")</f>
        <v/>
      </c>
      <c r="G1338" s="7" t="s">
        <v>1994</v>
      </c>
    </row>
    <row r="1339" customFormat="false" ht="15" hidden="false" customHeight="false" outlineLevel="0" collapsed="false">
      <c r="A1339" s="7" t="s">
        <v>540</v>
      </c>
      <c r="B1339" s="7" t="n">
        <v>1817.59</v>
      </c>
      <c r="C1339" s="7" t="n">
        <f aca="false">AVERAGE(B1290:B1339)</f>
        <v>1833.6412</v>
      </c>
      <c r="D1339" s="7" t="n">
        <f aca="false">AVERAGE(B1140:B1339)</f>
        <v>1764.69315</v>
      </c>
      <c r="E1339" s="7" t="n">
        <f aca="false">B1339/MAX(B1088:B1339)-1</f>
        <v>-0.0762776467718329</v>
      </c>
      <c r="F1339" s="7" t="str">
        <f aca="false">IFERROR(INDEX(02_轉折點45個!B:B,MATCH(A1339,02_轉折點45個!A:A,0)),"")</f>
        <v/>
      </c>
      <c r="G1339" s="7" t="s">
        <v>1994</v>
      </c>
    </row>
    <row r="1340" customFormat="false" ht="15" hidden="false" customHeight="false" outlineLevel="0" collapsed="false">
      <c r="A1340" s="7" t="s">
        <v>3152</v>
      </c>
      <c r="B1340" s="7" t="n">
        <v>1789.49</v>
      </c>
      <c r="C1340" s="7" t="n">
        <f aca="false">AVERAGE(B1291:B1340)</f>
        <v>1831.4908</v>
      </c>
      <c r="D1340" s="7" t="n">
        <f aca="false">AVERAGE(B1141:B1340)</f>
        <v>1765.6322</v>
      </c>
      <c r="E1340" s="7" t="n">
        <f aca="false">B1340/MAX(B1089:B1340)-1</f>
        <v>-0.0905584241340055</v>
      </c>
      <c r="F1340" s="7" t="str">
        <f aca="false">IFERROR(INDEX(02_轉折點45個!B:B,MATCH(A1340,02_轉折點45個!A:A,0)),"")</f>
        <v/>
      </c>
      <c r="G1340" s="7" t="s">
        <v>1994</v>
      </c>
    </row>
    <row r="1341" customFormat="false" ht="15" hidden="false" customHeight="false" outlineLevel="0" collapsed="false">
      <c r="A1341" s="7" t="s">
        <v>541</v>
      </c>
      <c r="B1341" s="7" t="n">
        <v>1754.2</v>
      </c>
      <c r="C1341" s="7" t="n">
        <f aca="false">AVERAGE(B1292:B1341)</f>
        <v>1829.1922</v>
      </c>
      <c r="D1341" s="7" t="n">
        <f aca="false">AVERAGE(B1142:B1341)</f>
        <v>1766.4187</v>
      </c>
      <c r="E1341" s="7" t="n">
        <f aca="false">B1341/MAX(B1090:B1341)-1</f>
        <v>-0.108493250935111</v>
      </c>
      <c r="F1341" s="7" t="str">
        <f aca="false">IFERROR(INDEX(02_轉折點45個!B:B,MATCH(A1341,02_轉折點45個!A:A,0)),"")</f>
        <v/>
      </c>
      <c r="G1341" s="7" t="s">
        <v>1994</v>
      </c>
    </row>
    <row r="1342" customFormat="false" ht="15" hidden="false" customHeight="false" outlineLevel="0" collapsed="false">
      <c r="A1342" s="7" t="s">
        <v>542</v>
      </c>
      <c r="B1342" s="7" t="n">
        <v>1771.16</v>
      </c>
      <c r="C1342" s="7" t="n">
        <f aca="false">AVERAGE(B1293:B1342)</f>
        <v>1827.3794</v>
      </c>
      <c r="D1342" s="7" t="n">
        <f aca="false">AVERAGE(B1143:B1342)</f>
        <v>1767.5182</v>
      </c>
      <c r="E1342" s="7" t="n">
        <f aca="false">B1342/MAX(B1091:B1342)-1</f>
        <v>-0.0998739632460562</v>
      </c>
      <c r="F1342" s="7" t="str">
        <f aca="false">IFERROR(INDEX(02_轉折點45個!B:B,MATCH(A1342,02_轉折點45個!A:A,0)),"")</f>
        <v/>
      </c>
      <c r="G1342" s="7" t="s">
        <v>1994</v>
      </c>
    </row>
    <row r="1343" customFormat="false" ht="15" hidden="false" customHeight="false" outlineLevel="0" collapsed="false">
      <c r="A1343" s="7" t="s">
        <v>3153</v>
      </c>
      <c r="B1343" s="7" t="n">
        <v>1781.91</v>
      </c>
      <c r="C1343" s="7" t="n">
        <f aca="false">AVERAGE(B1294:B1343)</f>
        <v>1826.3372</v>
      </c>
      <c r="D1343" s="7" t="n">
        <f aca="false">AVERAGE(B1144:B1343)</f>
        <v>1768.62355</v>
      </c>
      <c r="E1343" s="7" t="n">
        <f aca="false">B1343/MAX(B1092:B1343)-1</f>
        <v>-0.0944106765327696</v>
      </c>
      <c r="F1343" s="7" t="str">
        <f aca="false">IFERROR(INDEX(02_轉折點45個!B:B,MATCH(A1343,02_轉折點45個!A:A,0)),"")</f>
        <v/>
      </c>
      <c r="G1343" s="7" t="s">
        <v>1994</v>
      </c>
    </row>
    <row r="1344" customFormat="false" ht="15" hidden="false" customHeight="false" outlineLevel="0" collapsed="false">
      <c r="A1344" s="7" t="s">
        <v>3154</v>
      </c>
      <c r="B1344" s="7" t="n">
        <v>1788.1</v>
      </c>
      <c r="C1344" s="7" t="n">
        <f aca="false">AVERAGE(B1295:B1344)</f>
        <v>1825.4568</v>
      </c>
      <c r="D1344" s="7" t="n">
        <f aca="false">AVERAGE(B1145:B1344)</f>
        <v>1769.8836</v>
      </c>
      <c r="E1344" s="7" t="n">
        <f aca="false">B1344/MAX(B1093:B1344)-1</f>
        <v>-0.0912648398113515</v>
      </c>
      <c r="F1344" s="7" t="str">
        <f aca="false">IFERROR(INDEX(02_轉折點45個!B:B,MATCH(A1344,02_轉折點45個!A:A,0)),"")</f>
        <v/>
      </c>
      <c r="G1344" s="7" t="s">
        <v>1994</v>
      </c>
    </row>
    <row r="1345" customFormat="false" ht="15" hidden="false" customHeight="false" outlineLevel="0" collapsed="false">
      <c r="A1345" s="7" t="s">
        <v>543</v>
      </c>
      <c r="B1345" s="7" t="n">
        <v>1770.27</v>
      </c>
      <c r="C1345" s="7" t="n">
        <f aca="false">AVERAGE(B1296:B1345)</f>
        <v>1823.8994</v>
      </c>
      <c r="D1345" s="7" t="n">
        <f aca="false">AVERAGE(B1146:B1345)</f>
        <v>1770.9417</v>
      </c>
      <c r="E1345" s="7" t="n">
        <f aca="false">B1345/MAX(B1094:B1345)-1</f>
        <v>-0.100326272564645</v>
      </c>
      <c r="F1345" s="7" t="str">
        <f aca="false">IFERROR(INDEX(02_轉折點45個!B:B,MATCH(A1345,02_轉折點45個!A:A,0)),"")</f>
        <v/>
      </c>
      <c r="G1345" s="7" t="s">
        <v>1994</v>
      </c>
    </row>
    <row r="1346" customFormat="false" ht="15" hidden="false" customHeight="false" outlineLevel="0" collapsed="false">
      <c r="A1346" s="7" t="s">
        <v>3155</v>
      </c>
      <c r="B1346" s="7" t="n">
        <v>1752.2</v>
      </c>
      <c r="C1346" s="7" t="n">
        <f aca="false">AVERAGE(B1297:B1346)</f>
        <v>1821.8054</v>
      </c>
      <c r="D1346" s="7" t="n">
        <f aca="false">AVERAGE(B1147:B1346)</f>
        <v>1771.8497</v>
      </c>
      <c r="E1346" s="7" t="n">
        <f aca="false">B1346/MAX(B1095:B1346)-1</f>
        <v>-0.109509676370142</v>
      </c>
      <c r="F1346" s="7" t="str">
        <f aca="false">IFERROR(INDEX(02_轉折點45個!B:B,MATCH(A1346,02_轉折點45個!A:A,0)),"")</f>
        <v/>
      </c>
      <c r="G1346" s="7" t="s">
        <v>1994</v>
      </c>
    </row>
    <row r="1347" customFormat="false" ht="15" hidden="false" customHeight="false" outlineLevel="0" collapsed="false">
      <c r="A1347" s="7" t="s">
        <v>3156</v>
      </c>
      <c r="B1347" s="7" t="n">
        <v>1732.2</v>
      </c>
      <c r="C1347" s="7" t="n">
        <f aca="false">AVERAGE(B1298:B1347)</f>
        <v>1819.3616</v>
      </c>
      <c r="D1347" s="7" t="n">
        <f aca="false">AVERAGE(B1148:B1347)</f>
        <v>1772.73885</v>
      </c>
      <c r="E1347" s="7" t="n">
        <f aca="false">B1347/MAX(B1096:B1347)-1</f>
        <v>-0.119673930720442</v>
      </c>
      <c r="F1347" s="7" t="str">
        <f aca="false">IFERROR(INDEX(02_轉折點45個!B:B,MATCH(A1347,02_轉折點45個!A:A,0)),"")</f>
        <v/>
      </c>
      <c r="G1347" s="7" t="s">
        <v>1994</v>
      </c>
    </row>
    <row r="1348" customFormat="false" ht="15" hidden="false" customHeight="false" outlineLevel="0" collapsed="false">
      <c r="A1348" s="7" t="s">
        <v>3157</v>
      </c>
      <c r="B1348" s="7" t="n">
        <v>1764.43</v>
      </c>
      <c r="C1348" s="7" t="n">
        <f aca="false">AVERAGE(B1299:B1348)</f>
        <v>1817.0512</v>
      </c>
      <c r="D1348" s="7" t="n">
        <f aca="false">AVERAGE(B1149:B1348)</f>
        <v>1773.6554</v>
      </c>
      <c r="E1348" s="7" t="n">
        <f aca="false">B1348/MAX(B1097:B1348)-1</f>
        <v>-0.103294234834933</v>
      </c>
      <c r="F1348" s="7" t="str">
        <f aca="false">IFERROR(INDEX(02_轉折點45個!B:B,MATCH(A1348,02_轉折點45個!A:A,0)),"")</f>
        <v/>
      </c>
      <c r="G1348" s="7" t="s">
        <v>1994</v>
      </c>
    </row>
    <row r="1349" customFormat="false" ht="15" hidden="false" customHeight="false" outlineLevel="0" collapsed="false">
      <c r="A1349" s="7" t="s">
        <v>3158</v>
      </c>
      <c r="B1349" s="7" t="n">
        <v>1759.17</v>
      </c>
      <c r="C1349" s="7" t="n">
        <f aca="false">AVERAGE(B1300:B1349)</f>
        <v>1814.9672</v>
      </c>
      <c r="D1349" s="7" t="n">
        <f aca="false">AVERAGE(B1150:B1349)</f>
        <v>1774.52435</v>
      </c>
      <c r="E1349" s="7" t="n">
        <f aca="false">B1349/MAX(B1098:B1349)-1</f>
        <v>-0.105967433729062</v>
      </c>
      <c r="F1349" s="7" t="str">
        <f aca="false">IFERROR(INDEX(02_轉折點45個!B:B,MATCH(A1349,02_轉折點45個!A:A,0)),"")</f>
        <v/>
      </c>
      <c r="G1349" s="7" t="s">
        <v>1994</v>
      </c>
    </row>
    <row r="1350" customFormat="false" ht="15" hidden="false" customHeight="false" outlineLevel="0" collapsed="false">
      <c r="A1350" s="7" t="s">
        <v>3159</v>
      </c>
      <c r="B1350" s="7" t="n">
        <v>1759.57</v>
      </c>
      <c r="C1350" s="7" t="n">
        <f aca="false">AVERAGE(B1301:B1350)</f>
        <v>1813.0062</v>
      </c>
      <c r="D1350" s="7" t="n">
        <f aca="false">AVERAGE(B1151:B1350)</f>
        <v>1775.41355</v>
      </c>
      <c r="E1350" s="7" t="n">
        <f aca="false">B1350/MAX(B1099:B1350)-1</f>
        <v>-0.105764148642056</v>
      </c>
      <c r="F1350" s="7" t="str">
        <f aca="false">IFERROR(INDEX(02_轉折點45個!B:B,MATCH(A1350,02_轉折點45個!A:A,0)),"")</f>
        <v/>
      </c>
      <c r="G1350" s="7" t="s">
        <v>1994</v>
      </c>
    </row>
    <row r="1351" customFormat="false" ht="15" hidden="false" customHeight="false" outlineLevel="0" collapsed="false">
      <c r="A1351" s="7" t="s">
        <v>3160</v>
      </c>
      <c r="B1351" s="7" t="n">
        <v>1739.67</v>
      </c>
      <c r="C1351" s="7" t="n">
        <f aca="false">AVERAGE(B1302:B1351)</f>
        <v>1810.2498</v>
      </c>
      <c r="D1351" s="7" t="n">
        <f aca="false">AVERAGE(B1152:B1351)</f>
        <v>1776.251</v>
      </c>
      <c r="E1351" s="7" t="n">
        <f aca="false">B1351/MAX(B1100:B1351)-1</f>
        <v>-0.115877581720605</v>
      </c>
      <c r="F1351" s="7" t="str">
        <f aca="false">IFERROR(INDEX(02_轉折點45個!B:B,MATCH(A1351,02_轉折點45個!A:A,0)),"")</f>
        <v/>
      </c>
      <c r="G1351" s="7" t="s">
        <v>1994</v>
      </c>
    </row>
    <row r="1352" customFormat="false" ht="15" hidden="false" customHeight="false" outlineLevel="0" collapsed="false">
      <c r="A1352" s="7" t="s">
        <v>3161</v>
      </c>
      <c r="B1352" s="7" t="n">
        <v>1714.45</v>
      </c>
      <c r="C1352" s="7" t="n">
        <f aca="false">AVERAGE(B1303:B1352)</f>
        <v>1807.1256</v>
      </c>
      <c r="D1352" s="7" t="n">
        <f aca="false">AVERAGE(B1153:B1352)</f>
        <v>1776.8979</v>
      </c>
      <c r="E1352" s="7" t="n">
        <f aca="false">B1352/MAX(B1101:B1352)-1</f>
        <v>-0.128694706456334</v>
      </c>
      <c r="F1352" s="7" t="str">
        <f aca="false">IFERROR(INDEX(02_轉折點45個!B:B,MATCH(A1352,02_轉折點45個!A:A,0)),"")</f>
        <v/>
      </c>
      <c r="G1352" s="7" t="s">
        <v>1994</v>
      </c>
    </row>
    <row r="1353" customFormat="false" ht="15" hidden="false" customHeight="false" outlineLevel="0" collapsed="false">
      <c r="A1353" s="7" t="s">
        <v>3162</v>
      </c>
      <c r="B1353" s="7" t="n">
        <v>1733.8</v>
      </c>
      <c r="C1353" s="7" t="n">
        <f aca="false">AVERAGE(B1304:B1353)</f>
        <v>1805.0982</v>
      </c>
      <c r="D1353" s="7" t="n">
        <f aca="false">AVERAGE(B1154:B1353)</f>
        <v>1777.7302</v>
      </c>
      <c r="E1353" s="7" t="n">
        <f aca="false">B1353/MAX(B1102:B1353)-1</f>
        <v>-0.118860790372418</v>
      </c>
      <c r="F1353" s="7" t="str">
        <f aca="false">IFERROR(INDEX(02_轉折點45個!B:B,MATCH(A1353,02_轉折點45個!A:A,0)),"")</f>
        <v/>
      </c>
      <c r="G1353" s="7" t="s">
        <v>1994</v>
      </c>
    </row>
    <row r="1354" customFormat="false" ht="15" hidden="false" customHeight="false" outlineLevel="0" collapsed="false">
      <c r="A1354" s="7" t="s">
        <v>3163</v>
      </c>
      <c r="B1354" s="7" t="n">
        <v>1734.12</v>
      </c>
      <c r="C1354" s="7" t="n">
        <f aca="false">AVERAGE(B1305:B1354)</f>
        <v>1803.3262</v>
      </c>
      <c r="D1354" s="7" t="n">
        <f aca="false">AVERAGE(B1155:B1354)</f>
        <v>1778.5712</v>
      </c>
      <c r="E1354" s="7" t="n">
        <f aca="false">B1354/MAX(B1103:B1354)-1</f>
        <v>-0.118698162302814</v>
      </c>
      <c r="F1354" s="7" t="str">
        <f aca="false">IFERROR(INDEX(02_轉折點45個!B:B,MATCH(A1354,02_轉折點45個!A:A,0)),"")</f>
        <v/>
      </c>
      <c r="G1354" s="7" t="s">
        <v>1994</v>
      </c>
    </row>
    <row r="1355" customFormat="false" ht="15" hidden="false" customHeight="false" outlineLevel="0" collapsed="false">
      <c r="A1355" s="7" t="s">
        <v>3164</v>
      </c>
      <c r="B1355" s="7" t="n">
        <v>1732.67</v>
      </c>
      <c r="C1355" s="7" t="n">
        <f aca="false">AVERAGE(B1306:B1355)</f>
        <v>1802.0918</v>
      </c>
      <c r="D1355" s="7" t="n">
        <f aca="false">AVERAGE(B1156:B1355)</f>
        <v>1779.59025</v>
      </c>
      <c r="E1355" s="7" t="n">
        <f aca="false">B1355/MAX(B1104:B1355)-1</f>
        <v>-0.11943507074321</v>
      </c>
      <c r="F1355" s="7" t="str">
        <f aca="false">IFERROR(INDEX(02_轉折點45個!B:B,MATCH(A1355,02_轉折點45個!A:A,0)),"")</f>
        <v/>
      </c>
      <c r="G1355" s="7" t="s">
        <v>1994</v>
      </c>
    </row>
    <row r="1356" customFormat="false" ht="15" hidden="false" customHeight="false" outlineLevel="0" collapsed="false">
      <c r="A1356" s="7" t="s">
        <v>3165</v>
      </c>
      <c r="B1356" s="7" t="n">
        <v>1746.83</v>
      </c>
      <c r="C1356" s="7" t="n">
        <f aca="false">AVERAGE(B1307:B1356)</f>
        <v>1801.5108</v>
      </c>
      <c r="D1356" s="7" t="n">
        <f aca="false">AVERAGE(B1157:B1356)</f>
        <v>1780.7752</v>
      </c>
      <c r="E1356" s="7" t="n">
        <f aca="false">B1356/MAX(B1105:B1356)-1</f>
        <v>-0.112238778663197</v>
      </c>
      <c r="F1356" s="7" t="str">
        <f aca="false">IFERROR(INDEX(02_轉折點45個!B:B,MATCH(A1356,02_轉折點45個!A:A,0)),"")</f>
        <v/>
      </c>
      <c r="G1356" s="7" t="s">
        <v>1994</v>
      </c>
    </row>
    <row r="1357" customFormat="false" ht="15" hidden="false" customHeight="false" outlineLevel="0" collapsed="false">
      <c r="A1357" s="7" t="s">
        <v>3166</v>
      </c>
      <c r="B1357" s="7" t="n">
        <v>1756.78</v>
      </c>
      <c r="C1357" s="7" t="n">
        <f aca="false">AVERAGE(B1308:B1357)</f>
        <v>1800.3826</v>
      </c>
      <c r="D1357" s="7" t="n">
        <f aca="false">AVERAGE(B1158:B1357)</f>
        <v>1782.01215</v>
      </c>
      <c r="E1357" s="7" t="n">
        <f aca="false">B1357/MAX(B1106:B1357)-1</f>
        <v>-0.107182062123923</v>
      </c>
      <c r="F1357" s="7" t="str">
        <f aca="false">IFERROR(INDEX(02_轉折點45個!B:B,MATCH(A1357,02_轉折點45個!A:A,0)),"")</f>
        <v/>
      </c>
      <c r="G1357" s="7" t="s">
        <v>1994</v>
      </c>
    </row>
    <row r="1358" customFormat="false" ht="15" hidden="false" customHeight="false" outlineLevel="0" collapsed="false">
      <c r="A1358" s="7" t="s">
        <v>544</v>
      </c>
      <c r="B1358" s="7" t="n">
        <v>1794.85</v>
      </c>
      <c r="C1358" s="7" t="n">
        <f aca="false">AVERAGE(B1309:B1358)</f>
        <v>1800.8476</v>
      </c>
      <c r="D1358" s="7" t="n">
        <f aca="false">AVERAGE(B1159:B1358)</f>
        <v>1783.4767</v>
      </c>
      <c r="E1358" s="7" t="n">
        <f aca="false">B1358/MAX(B1107:B1358)-1</f>
        <v>-0.0878344039681249</v>
      </c>
      <c r="F1358" s="7" t="str">
        <f aca="false">IFERROR(INDEX(02_轉折點45個!B:B,MATCH(A1358,02_轉折點45個!A:A,0)),"")</f>
        <v/>
      </c>
      <c r="G1358" s="7" t="s">
        <v>1994</v>
      </c>
    </row>
    <row r="1359" customFormat="false" ht="15" hidden="false" customHeight="false" outlineLevel="0" collapsed="false">
      <c r="A1359" s="7" t="s">
        <v>3167</v>
      </c>
      <c r="B1359" s="7" t="n">
        <v>1805.36</v>
      </c>
      <c r="C1359" s="7" t="n">
        <f aca="false">AVERAGE(B1310:B1359)</f>
        <v>1801.4518</v>
      </c>
      <c r="D1359" s="7" t="n">
        <f aca="false">AVERAGE(B1160:B1359)</f>
        <v>1784.91395</v>
      </c>
      <c r="E1359" s="7" t="n">
        <f aca="false">B1359/MAX(B1108:B1359)-1</f>
        <v>-0.0824930883070418</v>
      </c>
      <c r="F1359" s="7" t="str">
        <f aca="false">IFERROR(INDEX(02_轉折點45個!B:B,MATCH(A1359,02_轉折點45個!A:A,0)),"")</f>
        <v/>
      </c>
      <c r="G1359" s="7" t="s">
        <v>1994</v>
      </c>
    </row>
    <row r="1360" customFormat="false" ht="15" hidden="false" customHeight="false" outlineLevel="0" collapsed="false">
      <c r="A1360" s="7" t="s">
        <v>545</v>
      </c>
      <c r="B1360" s="7" t="n">
        <v>1812.98</v>
      </c>
      <c r="C1360" s="7" t="n">
        <f aca="false">AVERAGE(B1311:B1360)</f>
        <v>1801.5932</v>
      </c>
      <c r="D1360" s="7" t="n">
        <f aca="false">AVERAGE(B1161:B1360)</f>
        <v>1786.2728</v>
      </c>
      <c r="E1360" s="7" t="n">
        <f aca="false">B1360/MAX(B1109:B1360)-1</f>
        <v>-0.0786205073995772</v>
      </c>
      <c r="F1360" s="7" t="str">
        <f aca="false">IFERROR(INDEX(02_轉折點45個!B:B,MATCH(A1360,02_轉折點45個!A:A,0)),"")</f>
        <v/>
      </c>
      <c r="G1360" s="7" t="s">
        <v>1994</v>
      </c>
    </row>
    <row r="1361" customFormat="false" ht="15" hidden="false" customHeight="false" outlineLevel="0" collapsed="false">
      <c r="A1361" s="7" t="s">
        <v>3168</v>
      </c>
      <c r="B1361" s="7" t="n">
        <v>1815.03</v>
      </c>
      <c r="C1361" s="7" t="n">
        <f aca="false">AVERAGE(B1312:B1361)</f>
        <v>1802.0372</v>
      </c>
      <c r="D1361" s="7" t="n">
        <f aca="false">AVERAGE(B1162:B1361)</f>
        <v>1787.64375</v>
      </c>
      <c r="E1361" s="7" t="n">
        <f aca="false">B1361/MAX(B1110:B1361)-1</f>
        <v>-0.0775786713286714</v>
      </c>
      <c r="F1361" s="7" t="str">
        <f aca="false">IFERROR(INDEX(02_轉折點45個!B:B,MATCH(A1361,02_轉折點45個!A:A,0)),"")</f>
        <v/>
      </c>
      <c r="G1361" s="7" t="s">
        <v>1994</v>
      </c>
    </row>
    <row r="1362" customFormat="false" ht="15" hidden="false" customHeight="false" outlineLevel="0" collapsed="false">
      <c r="A1362" s="7" t="s">
        <v>3169</v>
      </c>
      <c r="B1362" s="7" t="n">
        <v>1818.71</v>
      </c>
      <c r="C1362" s="7" t="n">
        <f aca="false">AVERAGE(B1313:B1362)</f>
        <v>1802.9562</v>
      </c>
      <c r="D1362" s="7" t="n">
        <f aca="false">AVERAGE(B1163:B1362)</f>
        <v>1788.9704</v>
      </c>
      <c r="E1362" s="7" t="n">
        <f aca="false">B1362/MAX(B1111:B1362)-1</f>
        <v>-0.075708448528216</v>
      </c>
      <c r="F1362" s="7" t="str">
        <f aca="false">IFERROR(INDEX(02_轉折點45個!B:B,MATCH(A1362,02_轉折點45個!A:A,0)),"")</f>
        <v/>
      </c>
      <c r="G1362" s="7" t="s">
        <v>1994</v>
      </c>
    </row>
    <row r="1363" customFormat="false" ht="15" hidden="false" customHeight="false" outlineLevel="0" collapsed="false">
      <c r="A1363" s="7" t="s">
        <v>3170</v>
      </c>
      <c r="B1363" s="7" t="n">
        <v>1817.08</v>
      </c>
      <c r="C1363" s="7" t="n">
        <f aca="false">AVERAGE(B1314:B1363)</f>
        <v>1804.4012</v>
      </c>
      <c r="D1363" s="7" t="n">
        <f aca="false">AVERAGE(B1164:B1363)</f>
        <v>1790.28125</v>
      </c>
      <c r="E1363" s="7" t="n">
        <f aca="false">B1363/MAX(B1112:B1363)-1</f>
        <v>-0.0765368352577656</v>
      </c>
      <c r="F1363" s="7" t="str">
        <f aca="false">IFERROR(INDEX(02_轉折點45個!B:B,MATCH(A1363,02_轉折點45個!A:A,0)),"")</f>
        <v/>
      </c>
      <c r="G1363" s="7" t="s">
        <v>1994</v>
      </c>
    </row>
    <row r="1364" customFormat="false" ht="15" hidden="false" customHeight="false" outlineLevel="0" collapsed="false">
      <c r="A1364" s="7" t="s">
        <v>546</v>
      </c>
      <c r="B1364" s="7" t="n">
        <v>1790.84</v>
      </c>
      <c r="C1364" s="7" t="n">
        <f aca="false">AVERAGE(B1315:B1364)</f>
        <v>1805.4694</v>
      </c>
      <c r="D1364" s="7" t="n">
        <f aca="false">AVERAGE(B1165:B1364)</f>
        <v>1791.2897</v>
      </c>
      <c r="E1364" s="7" t="n">
        <f aca="false">B1364/MAX(B1113:B1364)-1</f>
        <v>-0.0898723369653603</v>
      </c>
      <c r="F1364" s="7" t="str">
        <f aca="false">IFERROR(INDEX(02_轉折點45個!B:B,MATCH(A1364,02_轉折點45個!A:A,0)),"")</f>
        <v/>
      </c>
      <c r="G1364" s="7" t="s">
        <v>1994</v>
      </c>
    </row>
    <row r="1365" customFormat="false" ht="15" hidden="false" customHeight="false" outlineLevel="0" collapsed="false">
      <c r="A1365" s="7" t="s">
        <v>547</v>
      </c>
      <c r="B1365" s="7" t="n">
        <v>1807.61</v>
      </c>
      <c r="C1365" s="7" t="n">
        <f aca="false">AVERAGE(B1316:B1365)</f>
        <v>1806.7326</v>
      </c>
      <c r="D1365" s="7" t="n">
        <f aca="false">AVERAGE(B1166:B1365)</f>
        <v>1792.28325</v>
      </c>
      <c r="E1365" s="7" t="n">
        <f aca="false">B1365/MAX(B1114:B1365)-1</f>
        <v>-0.0813496096926331</v>
      </c>
      <c r="F1365" s="7" t="str">
        <f aca="false">IFERROR(INDEX(02_轉折點45個!B:B,MATCH(A1365,02_轉折點45個!A:A,0)),"")</f>
        <v/>
      </c>
      <c r="G1365" s="7" t="s">
        <v>1994</v>
      </c>
    </row>
    <row r="1366" customFormat="false" ht="15" hidden="false" customHeight="false" outlineLevel="0" collapsed="false">
      <c r="A1366" s="7" t="s">
        <v>3171</v>
      </c>
      <c r="B1366" s="7" t="n">
        <v>1845.98</v>
      </c>
      <c r="C1366" s="7" t="n">
        <f aca="false">AVERAGE(B1317:B1366)</f>
        <v>1807.7092</v>
      </c>
      <c r="D1366" s="7" t="n">
        <f aca="false">AVERAGE(B1167:B1366)</f>
        <v>1793.47125</v>
      </c>
      <c r="E1366" s="7" t="n">
        <f aca="false">B1366/MAX(B1115:B1366)-1</f>
        <v>-0.0618494877215807</v>
      </c>
      <c r="F1366" s="7" t="str">
        <f aca="false">IFERROR(INDEX(02_轉折點45個!B:B,MATCH(A1366,02_轉折點45個!A:A,0)),"")</f>
        <v/>
      </c>
      <c r="G1366" s="7" t="s">
        <v>1994</v>
      </c>
    </row>
    <row r="1367" customFormat="false" ht="15" hidden="false" customHeight="false" outlineLevel="0" collapsed="false">
      <c r="A1367" s="7" t="s">
        <v>3172</v>
      </c>
      <c r="B1367" s="7" t="n">
        <v>1848.64</v>
      </c>
      <c r="C1367" s="7" t="n">
        <f aca="false">AVERAGE(B1318:B1367)</f>
        <v>1808.8696</v>
      </c>
      <c r="D1367" s="7" t="n">
        <f aca="false">AVERAGE(B1168:B1367)</f>
        <v>1794.59485</v>
      </c>
      <c r="E1367" s="7" t="n">
        <f aca="false">B1367/MAX(B1116:B1367)-1</f>
        <v>-0.0604976418929907</v>
      </c>
      <c r="F1367" s="7" t="str">
        <f aca="false">IFERROR(INDEX(02_轉折點45個!B:B,MATCH(A1367,02_轉折點45個!A:A,0)),"")</f>
        <v/>
      </c>
      <c r="G1367" s="7" t="s">
        <v>1994</v>
      </c>
    </row>
    <row r="1368" customFormat="false" ht="15" hidden="false" customHeight="false" outlineLevel="0" collapsed="false">
      <c r="A1368" s="7" t="s">
        <v>548</v>
      </c>
      <c r="B1368" s="7" t="n">
        <v>1818.57</v>
      </c>
      <c r="C1368" s="7" t="n">
        <f aca="false">AVERAGE(B1319:B1368)</f>
        <v>1808.8338</v>
      </c>
      <c r="D1368" s="7" t="n">
        <f aca="false">AVERAGE(B1169:B1368)</f>
        <v>1795.62395</v>
      </c>
      <c r="E1368" s="7" t="n">
        <f aca="false">B1368/MAX(B1117:B1368)-1</f>
        <v>-0.0757795983086681</v>
      </c>
      <c r="F1368" s="7" t="str">
        <f aca="false">IFERROR(INDEX(02_轉折點45個!B:B,MATCH(A1368,02_轉折點45個!A:A,0)),"")</f>
        <v/>
      </c>
      <c r="G1368" s="7" t="s">
        <v>1994</v>
      </c>
    </row>
    <row r="1369" customFormat="false" ht="15" hidden="false" customHeight="false" outlineLevel="0" collapsed="false">
      <c r="A1369" s="7" t="s">
        <v>549</v>
      </c>
      <c r="B1369" s="7" t="n">
        <v>1827.03</v>
      </c>
      <c r="C1369" s="7" t="n">
        <f aca="false">AVERAGE(B1320:B1369)</f>
        <v>1808.82</v>
      </c>
      <c r="D1369" s="7" t="n">
        <f aca="false">AVERAGE(B1170:B1369)</f>
        <v>1796.69995</v>
      </c>
      <c r="E1369" s="7" t="n">
        <f aca="false">B1369/MAX(B1118:B1369)-1</f>
        <v>-0.0714801187184908</v>
      </c>
      <c r="F1369" s="7" t="str">
        <f aca="false">IFERROR(INDEX(02_轉折點45個!B:B,MATCH(A1369,02_轉折點45個!A:A,0)),"")</f>
        <v/>
      </c>
      <c r="G1369" s="7" t="s">
        <v>1994</v>
      </c>
    </row>
    <row r="1370" customFormat="false" ht="15" hidden="false" customHeight="false" outlineLevel="0" collapsed="false">
      <c r="A1370" s="7" t="s">
        <v>3173</v>
      </c>
      <c r="B1370" s="7" t="n">
        <v>1799.73</v>
      </c>
      <c r="C1370" s="7" t="n">
        <f aca="false">AVERAGE(B1321:B1370)</f>
        <v>1808.3774</v>
      </c>
      <c r="D1370" s="7" t="n">
        <f aca="false">AVERAGE(B1171:B1370)</f>
        <v>1797.6105</v>
      </c>
      <c r="E1370" s="7" t="n">
        <f aca="false">B1370/MAX(B1119:B1370)-1</f>
        <v>-0.0853543259066515</v>
      </c>
      <c r="F1370" s="7" t="str">
        <f aca="false">IFERROR(INDEX(02_轉折點45個!B:B,MATCH(A1370,02_轉折點45個!A:A,0)),"")</f>
        <v/>
      </c>
      <c r="G1370" s="7" t="s">
        <v>1994</v>
      </c>
    </row>
    <row r="1371" customFormat="false" ht="15" hidden="false" customHeight="false" outlineLevel="0" collapsed="false">
      <c r="A1371" s="7" t="s">
        <v>550</v>
      </c>
      <c r="B1371" s="7" t="n">
        <v>1823.13</v>
      </c>
      <c r="C1371" s="7" t="n">
        <f aca="false">AVERAGE(B1322:B1371)</f>
        <v>1808.0228</v>
      </c>
      <c r="D1371" s="7" t="n">
        <f aca="false">AVERAGE(B1172:B1371)</f>
        <v>1798.5856</v>
      </c>
      <c r="E1371" s="7" t="n">
        <f aca="false">B1371/MAX(B1120:B1371)-1</f>
        <v>-0.0734621483167994</v>
      </c>
      <c r="F1371" s="7" t="str">
        <f aca="false">IFERROR(INDEX(02_轉折點45個!B:B,MATCH(A1371,02_轉折點45個!A:A,0)),"")</f>
        <v/>
      </c>
      <c r="G1371" s="7" t="s">
        <v>1994</v>
      </c>
    </row>
    <row r="1372" customFormat="false" ht="15" hidden="false" customHeight="false" outlineLevel="0" collapsed="false">
      <c r="A1372" s="7" t="s">
        <v>3174</v>
      </c>
      <c r="B1372" s="7" t="n">
        <v>1825.53</v>
      </c>
      <c r="C1372" s="7" t="n">
        <f aca="false">AVERAGE(B1323:B1372)</f>
        <v>1806.946</v>
      </c>
      <c r="D1372" s="7" t="n">
        <f aca="false">AVERAGE(B1173:B1372)</f>
        <v>1799.49025</v>
      </c>
      <c r="E1372" s="7" t="n">
        <f aca="false">B1372/MAX(B1121:B1372)-1</f>
        <v>-0.0722424377947635</v>
      </c>
      <c r="F1372" s="7" t="str">
        <f aca="false">IFERROR(INDEX(02_轉折點45個!B:B,MATCH(A1372,02_轉折點45個!A:A,0)),"")</f>
        <v/>
      </c>
      <c r="G1372" s="7" t="s">
        <v>1994</v>
      </c>
    </row>
    <row r="1373" customFormat="false" ht="15" hidden="false" customHeight="false" outlineLevel="0" collapsed="false">
      <c r="A1373" s="7" t="s">
        <v>551</v>
      </c>
      <c r="B1373" s="7" t="n">
        <v>1812.23</v>
      </c>
      <c r="C1373" s="7" t="n">
        <f aca="false">AVERAGE(B1324:B1373)</f>
        <v>1805.202</v>
      </c>
      <c r="D1373" s="7" t="n">
        <f aca="false">AVERAGE(B1174:B1373)</f>
        <v>1800.2815</v>
      </c>
      <c r="E1373" s="7" t="n">
        <f aca="false">B1373/MAX(B1122:B1373)-1</f>
        <v>-0.0790016669377135</v>
      </c>
      <c r="F1373" s="7" t="str">
        <f aca="false">IFERROR(INDEX(02_轉折點45個!B:B,MATCH(A1373,02_轉折點45個!A:A,0)),"")</f>
        <v/>
      </c>
      <c r="G1373" s="7" t="s">
        <v>1994</v>
      </c>
    </row>
    <row r="1374" customFormat="false" ht="15" hidden="false" customHeight="false" outlineLevel="0" collapsed="false">
      <c r="A1374" s="7" t="s">
        <v>3175</v>
      </c>
      <c r="B1374" s="7" t="n">
        <v>1815.02</v>
      </c>
      <c r="C1374" s="7" t="n">
        <f aca="false">AVERAGE(B1325:B1374)</f>
        <v>1803.865</v>
      </c>
      <c r="D1374" s="7" t="n">
        <f aca="false">AVERAGE(B1175:B1374)</f>
        <v>1800.94495</v>
      </c>
      <c r="E1374" s="7" t="n">
        <f aca="false">B1374/MAX(B1123:B1374)-1</f>
        <v>-0.0775837534558466</v>
      </c>
      <c r="F1374" s="7" t="str">
        <f aca="false">IFERROR(INDEX(02_轉折點45個!B:B,MATCH(A1374,02_轉折點45個!A:A,0)),"")</f>
        <v/>
      </c>
      <c r="G1374" s="7" t="s">
        <v>1994</v>
      </c>
    </row>
    <row r="1375" customFormat="false" ht="15" hidden="false" customHeight="false" outlineLevel="0" collapsed="false">
      <c r="A1375" s="7" t="s">
        <v>3176</v>
      </c>
      <c r="B1375" s="7" t="n">
        <v>1803.74</v>
      </c>
      <c r="C1375" s="7" t="n">
        <f aca="false">AVERAGE(B1326:B1375)</f>
        <v>1802.479</v>
      </c>
      <c r="D1375" s="7" t="n">
        <f aca="false">AVERAGE(B1176:B1375)</f>
        <v>1801.49985</v>
      </c>
      <c r="E1375" s="7" t="n">
        <f aca="false">B1375/MAX(B1124:B1375)-1</f>
        <v>-0.0833163929094162</v>
      </c>
      <c r="F1375" s="7" t="str">
        <f aca="false">IFERROR(INDEX(02_轉折點45個!B:B,MATCH(A1375,02_轉折點45個!A:A,0)),"")</f>
        <v/>
      </c>
      <c r="G1375" s="7" t="s">
        <v>1994</v>
      </c>
    </row>
    <row r="1376" customFormat="false" ht="15" hidden="false" customHeight="false" outlineLevel="0" collapsed="false">
      <c r="A1376" s="7" t="s">
        <v>3177</v>
      </c>
      <c r="B1376" s="7" t="n">
        <v>1821.8</v>
      </c>
      <c r="C1376" s="7" t="n">
        <f aca="false">AVERAGE(B1327:B1376)</f>
        <v>1801.406</v>
      </c>
      <c r="D1376" s="7" t="n">
        <f aca="false">AVERAGE(B1177:B1376)</f>
        <v>1802.07165</v>
      </c>
      <c r="E1376" s="7" t="n">
        <f aca="false">B1376/MAX(B1125:B1376)-1</f>
        <v>-0.0741380712310945</v>
      </c>
      <c r="F1376" s="7" t="str">
        <f aca="false">IFERROR(INDEX(02_轉折點45個!B:B,MATCH(A1376,02_轉折點45個!A:A,0)),"")</f>
        <v/>
      </c>
      <c r="G1376" s="7" t="s">
        <v>1994</v>
      </c>
    </row>
    <row r="1377" customFormat="false" ht="15" hidden="false" customHeight="false" outlineLevel="0" collapsed="false">
      <c r="A1377" s="7" t="s">
        <v>3178</v>
      </c>
      <c r="B1377" s="7" t="n">
        <v>1846.31</v>
      </c>
      <c r="C1377" s="7" t="n">
        <f aca="false">AVERAGE(B1328:B1377)</f>
        <v>1800.5928</v>
      </c>
      <c r="D1377" s="7" t="n">
        <f aca="false">AVERAGE(B1178:B1377)</f>
        <v>1802.815</v>
      </c>
      <c r="E1377" s="7" t="n">
        <f aca="false">B1377/MAX(B1126:B1377)-1</f>
        <v>-0.0616817775248009</v>
      </c>
      <c r="F1377" s="7" t="str">
        <f aca="false">IFERROR(INDEX(02_轉折點45個!B:B,MATCH(A1377,02_轉折點45個!A:A,0)),"")</f>
        <v/>
      </c>
      <c r="G1377" s="7" t="s">
        <v>1994</v>
      </c>
    </row>
    <row r="1378" customFormat="false" ht="15" hidden="false" customHeight="false" outlineLevel="0" collapsed="false">
      <c r="A1378" s="7" t="s">
        <v>3179</v>
      </c>
      <c r="B1378" s="7" t="n">
        <v>1841.37</v>
      </c>
      <c r="C1378" s="7" t="n">
        <f aca="false">AVERAGE(B1329:B1378)</f>
        <v>1800.3276</v>
      </c>
      <c r="D1378" s="7" t="n">
        <f aca="false">AVERAGE(B1179:B1378)</f>
        <v>1803.3949</v>
      </c>
      <c r="E1378" s="7" t="n">
        <f aca="false">B1378/MAX(B1127:B1378)-1</f>
        <v>-0.0641923483493252</v>
      </c>
      <c r="F1378" s="7" t="str">
        <f aca="false">IFERROR(INDEX(02_轉折點45個!B:B,MATCH(A1378,02_轉折點45個!A:A,0)),"")</f>
        <v/>
      </c>
      <c r="G1378" s="7" t="s">
        <v>1994</v>
      </c>
    </row>
    <row r="1379" customFormat="false" ht="15" hidden="false" customHeight="false" outlineLevel="0" collapsed="false">
      <c r="A1379" s="7" t="s">
        <v>3180</v>
      </c>
      <c r="B1379" s="7" t="n">
        <v>1850.41</v>
      </c>
      <c r="C1379" s="7" t="n">
        <f aca="false">AVERAGE(B1330:B1379)</f>
        <v>1800.3388</v>
      </c>
      <c r="D1379" s="7" t="n">
        <f aca="false">AVERAGE(B1180:B1379)</f>
        <v>1804.0894</v>
      </c>
      <c r="E1379" s="7" t="n">
        <f aca="false">B1379/MAX(B1128:B1379)-1</f>
        <v>-0.059598105382989</v>
      </c>
      <c r="F1379" s="7" t="str">
        <f aca="false">IFERROR(INDEX(02_轉折點45個!B:B,MATCH(A1379,02_轉折點45個!A:A,0)),"")</f>
        <v/>
      </c>
      <c r="G1379" s="7" t="s">
        <v>1994</v>
      </c>
    </row>
    <row r="1380" customFormat="false" ht="15" hidden="false" customHeight="false" outlineLevel="0" collapsed="false">
      <c r="A1380" s="7" t="s">
        <v>552</v>
      </c>
      <c r="B1380" s="7" t="n">
        <v>1845.25</v>
      </c>
      <c r="C1380" s="7" t="n">
        <f aca="false">AVERAGE(B1331:B1380)</f>
        <v>1800.6612</v>
      </c>
      <c r="D1380" s="7" t="n">
        <f aca="false">AVERAGE(B1181:B1380)</f>
        <v>1804.98475</v>
      </c>
      <c r="E1380" s="7" t="n">
        <f aca="false">B1380/MAX(B1129:B1380)-1</f>
        <v>-0.0622204830053668</v>
      </c>
      <c r="F1380" s="7" t="str">
        <f aca="false">IFERROR(INDEX(02_轉折點45個!B:B,MATCH(A1380,02_轉折點45個!A:A,0)),"")</f>
        <v/>
      </c>
      <c r="G1380" s="7" t="s">
        <v>1994</v>
      </c>
    </row>
    <row r="1381" customFormat="false" ht="15" hidden="false" customHeight="false" outlineLevel="0" collapsed="false">
      <c r="A1381" s="7" t="s">
        <v>3181</v>
      </c>
      <c r="B1381" s="7" t="n">
        <v>1859.06</v>
      </c>
      <c r="C1381" s="7" t="n">
        <f aca="false">AVERAGE(B1332:B1381)</f>
        <v>1801.3774</v>
      </c>
      <c r="D1381" s="7" t="n">
        <f aca="false">AVERAGE(B1182:B1381)</f>
        <v>1805.84735</v>
      </c>
      <c r="E1381" s="7" t="n">
        <f aca="false">B1381/MAX(B1130:B1381)-1</f>
        <v>-0.0552020653764841</v>
      </c>
      <c r="F1381" s="7" t="str">
        <f aca="false">IFERROR(INDEX(02_轉折點45個!B:B,MATCH(A1381,02_轉折點45個!A:A,0)),"")</f>
        <v/>
      </c>
      <c r="G1381" s="7" t="s">
        <v>1994</v>
      </c>
    </row>
    <row r="1382" customFormat="false" ht="15" hidden="false" customHeight="false" outlineLevel="0" collapsed="false">
      <c r="A1382" s="7" t="s">
        <v>553</v>
      </c>
      <c r="B1382" s="7" t="n">
        <v>1870.8</v>
      </c>
      <c r="C1382" s="7" t="n">
        <f aca="false">AVERAGE(B1333:B1382)</f>
        <v>1801.8772</v>
      </c>
      <c r="D1382" s="7" t="n">
        <f aca="false">AVERAGE(B1183:B1382)</f>
        <v>1806.72785</v>
      </c>
      <c r="E1382" s="7" t="n">
        <f aca="false">B1382/MAX(B1131:B1382)-1</f>
        <v>-0.0492356480728574</v>
      </c>
      <c r="F1382" s="7" t="str">
        <f aca="false">IFERROR(INDEX(02_轉折點45個!B:B,MATCH(A1382,02_轉折點45個!A:A,0)),"")</f>
        <v/>
      </c>
      <c r="G1382" s="7" t="s">
        <v>1994</v>
      </c>
    </row>
    <row r="1383" customFormat="false" ht="15" hidden="false" customHeight="false" outlineLevel="0" collapsed="false">
      <c r="A1383" s="7" t="s">
        <v>554</v>
      </c>
      <c r="B1383" s="7" t="n">
        <v>1841.35</v>
      </c>
      <c r="C1383" s="7" t="n">
        <f aca="false">AVERAGE(B1334:B1383)</f>
        <v>1802.5518</v>
      </c>
      <c r="D1383" s="7" t="n">
        <f aca="false">AVERAGE(B1184:B1383)</f>
        <v>1807.5037</v>
      </c>
      <c r="E1383" s="7" t="n">
        <f aca="false">B1383/MAX(B1132:B1383)-1</f>
        <v>-0.0642025126036755</v>
      </c>
      <c r="F1383" s="7" t="str">
        <f aca="false">IFERROR(INDEX(02_轉折點45個!B:B,MATCH(A1383,02_轉折點45個!A:A,0)),"")</f>
        <v/>
      </c>
      <c r="G1383" s="7" t="s">
        <v>1994</v>
      </c>
    </row>
    <row r="1384" customFormat="false" ht="15" hidden="false" customHeight="false" outlineLevel="0" collapsed="false">
      <c r="A1384" s="7" t="s">
        <v>3182</v>
      </c>
      <c r="B1384" s="7" t="n">
        <v>1833.23</v>
      </c>
      <c r="C1384" s="7" t="n">
        <f aca="false">AVERAGE(B1335:B1384)</f>
        <v>1802.7534</v>
      </c>
      <c r="D1384" s="7" t="n">
        <f aca="false">AVERAGE(B1185:B1384)</f>
        <v>1808.04915</v>
      </c>
      <c r="E1384" s="7" t="n">
        <f aca="false">B1384/MAX(B1133:B1384)-1</f>
        <v>-0.0683291998698976</v>
      </c>
      <c r="F1384" s="7" t="str">
        <f aca="false">IFERROR(INDEX(02_轉折點45個!B:B,MATCH(A1384,02_轉折點45個!A:A,0)),"")</f>
        <v/>
      </c>
      <c r="G1384" s="7" t="s">
        <v>1994</v>
      </c>
    </row>
    <row r="1385" customFormat="false" ht="15" hidden="false" customHeight="false" outlineLevel="0" collapsed="false">
      <c r="A1385" s="7" t="s">
        <v>555</v>
      </c>
      <c r="B1385" s="7" t="n">
        <v>1793.74</v>
      </c>
      <c r="C1385" s="7" t="n">
        <f aca="false">AVERAGE(B1336:B1385)</f>
        <v>1801.484</v>
      </c>
      <c r="D1385" s="7" t="n">
        <f aca="false">AVERAGE(B1186:B1385)</f>
        <v>1808.4161</v>
      </c>
      <c r="E1385" s="7" t="n">
        <f aca="false">B1385/MAX(B1134:B1385)-1</f>
        <v>-0.0883985200845666</v>
      </c>
      <c r="F1385" s="7" t="str">
        <f aca="false">IFERROR(INDEX(02_轉折點45個!B:B,MATCH(A1385,02_轉折點45個!A:A,0)),"")</f>
        <v/>
      </c>
      <c r="G1385" s="7" t="s">
        <v>1994</v>
      </c>
    </row>
    <row r="1386" customFormat="false" ht="15" hidden="false" customHeight="false" outlineLevel="0" collapsed="false">
      <c r="A1386" s="7" t="s">
        <v>3183</v>
      </c>
      <c r="B1386" s="7" t="n">
        <v>1796.16</v>
      </c>
      <c r="C1386" s="7" t="n">
        <f aca="false">AVERAGE(B1337:B1386)</f>
        <v>1799.955</v>
      </c>
      <c r="D1386" s="7" t="n">
        <f aca="false">AVERAGE(B1187:B1386)</f>
        <v>1808.67435</v>
      </c>
      <c r="E1386" s="7" t="n">
        <f aca="false">B1386/MAX(B1135:B1386)-1</f>
        <v>-0.0871686453081801</v>
      </c>
      <c r="F1386" s="7" t="str">
        <f aca="false">IFERROR(INDEX(02_轉折點45個!B:B,MATCH(A1386,02_轉折點45個!A:A,0)),"")</f>
        <v/>
      </c>
      <c r="G1386" s="7" t="s">
        <v>1994</v>
      </c>
    </row>
    <row r="1387" customFormat="false" ht="15" hidden="false" customHeight="false" outlineLevel="0" collapsed="false">
      <c r="A1387" s="7" t="s">
        <v>3184</v>
      </c>
      <c r="B1387" s="7" t="n">
        <v>1768.06</v>
      </c>
      <c r="C1387" s="7" t="n">
        <f aca="false">AVERAGE(B1338:B1387)</f>
        <v>1798.1014</v>
      </c>
      <c r="D1387" s="7" t="n">
        <f aca="false">AVERAGE(B1188:B1387)</f>
        <v>1808.80965</v>
      </c>
      <c r="E1387" s="7" t="n">
        <f aca="false">B1387/MAX(B1136:B1387)-1</f>
        <v>-0.101449422670353</v>
      </c>
      <c r="F1387" s="7" t="str">
        <f aca="false">IFERROR(INDEX(02_轉折點45個!B:B,MATCH(A1387,02_轉折點45個!A:A,0)),"")</f>
        <v/>
      </c>
      <c r="G1387" s="7" t="s">
        <v>1994</v>
      </c>
    </row>
    <row r="1388" customFormat="false" ht="15" hidden="false" customHeight="false" outlineLevel="0" collapsed="false">
      <c r="A1388" s="7" t="s">
        <v>3185</v>
      </c>
      <c r="B1388" s="7" t="n">
        <v>1778.11</v>
      </c>
      <c r="C1388" s="7" t="n">
        <f aca="false">AVERAGE(B1339:B1388)</f>
        <v>1796.5264</v>
      </c>
      <c r="D1388" s="7" t="n">
        <f aca="false">AVERAGE(B1189:B1388)</f>
        <v>1809.1372</v>
      </c>
      <c r="E1388" s="7" t="n">
        <f aca="false">B1388/MAX(B1137:B1388)-1</f>
        <v>-0.0963418848593268</v>
      </c>
      <c r="F1388" s="7" t="str">
        <f aca="false">IFERROR(INDEX(02_轉折點45個!B:B,MATCH(A1388,02_轉折點45個!A:A,0)),"")</f>
        <v/>
      </c>
      <c r="G1388" s="7" t="s">
        <v>1994</v>
      </c>
    </row>
    <row r="1389" customFormat="false" ht="15" hidden="false" customHeight="false" outlineLevel="0" collapsed="false">
      <c r="A1389" s="7" t="s">
        <v>3186</v>
      </c>
      <c r="B1389" s="7" t="n">
        <v>1769.52</v>
      </c>
      <c r="C1389" s="7" t="n">
        <f aca="false">AVERAGE(B1340:B1389)</f>
        <v>1795.565</v>
      </c>
      <c r="D1389" s="7" t="n">
        <f aca="false">AVERAGE(B1190:B1389)</f>
        <v>1809.298</v>
      </c>
      <c r="E1389" s="7" t="n">
        <f aca="false">B1389/MAX(B1138:B1389)-1</f>
        <v>-0.100707432102781</v>
      </c>
      <c r="F1389" s="7" t="str">
        <f aca="false">IFERROR(INDEX(02_轉折點45個!B:B,MATCH(A1389,02_轉折點45個!A:A,0)),"")</f>
        <v/>
      </c>
      <c r="G1389" s="7" t="s">
        <v>1994</v>
      </c>
    </row>
    <row r="1390" customFormat="false" ht="15" hidden="false" customHeight="false" outlineLevel="0" collapsed="false">
      <c r="A1390" s="7" t="s">
        <v>3187</v>
      </c>
      <c r="B1390" s="7" t="n">
        <v>1764.71</v>
      </c>
      <c r="C1390" s="7" t="n">
        <f aca="false">AVERAGE(B1341:B1390)</f>
        <v>1795.0694</v>
      </c>
      <c r="D1390" s="7" t="n">
        <f aca="false">AVERAGE(B1191:B1390)</f>
        <v>1809.6998</v>
      </c>
      <c r="E1390" s="7" t="n">
        <f aca="false">B1390/MAX(B1139:B1390)-1</f>
        <v>-0.103151935274028</v>
      </c>
      <c r="F1390" s="7" t="str">
        <f aca="false">IFERROR(INDEX(02_轉折點45個!B:B,MATCH(A1390,02_轉折點45個!A:A,0)),"")</f>
        <v/>
      </c>
      <c r="G1390" s="7" t="s">
        <v>1994</v>
      </c>
    </row>
    <row r="1391" customFormat="false" ht="15" hidden="false" customHeight="false" outlineLevel="0" collapsed="false">
      <c r="A1391" s="7" t="s">
        <v>3188</v>
      </c>
      <c r="B1391" s="7" t="n">
        <v>1749.38</v>
      </c>
      <c r="C1391" s="7" t="n">
        <f aca="false">AVERAGE(B1342:B1391)</f>
        <v>1794.973</v>
      </c>
      <c r="D1391" s="7" t="n">
        <f aca="false">AVERAGE(B1192:B1391)</f>
        <v>1810.1458</v>
      </c>
      <c r="E1391" s="7" t="n">
        <f aca="false">B1391/MAX(B1140:B1391)-1</f>
        <v>-0.110942836233534</v>
      </c>
      <c r="F1391" s="7" t="str">
        <f aca="false">IFERROR(INDEX(02_轉折點45個!B:B,MATCH(A1391,02_轉折點45個!A:A,0)),"")</f>
        <v/>
      </c>
      <c r="G1391" s="7" t="s">
        <v>1994</v>
      </c>
    </row>
    <row r="1392" customFormat="false" ht="15" hidden="false" customHeight="false" outlineLevel="0" collapsed="false">
      <c r="A1392" s="7" t="s">
        <v>3189</v>
      </c>
      <c r="B1392" s="7" t="n">
        <v>1747.4</v>
      </c>
      <c r="C1392" s="7" t="n">
        <f aca="false">AVERAGE(B1343:B1392)</f>
        <v>1794.4978</v>
      </c>
      <c r="D1392" s="7" t="n">
        <f aca="false">AVERAGE(B1193:B1392)</f>
        <v>1810.69685</v>
      </c>
      <c r="E1392" s="7" t="n">
        <f aca="false">B1392/MAX(B1141:B1392)-1</f>
        <v>-0.111949097414214</v>
      </c>
      <c r="F1392" s="7" t="str">
        <f aca="false">IFERROR(INDEX(02_轉折點45個!B:B,MATCH(A1392,02_轉折點45個!A:A,0)),"")</f>
        <v/>
      </c>
      <c r="G1392" s="7" t="s">
        <v>1994</v>
      </c>
    </row>
    <row r="1393" customFormat="false" ht="15" hidden="false" customHeight="false" outlineLevel="0" collapsed="false">
      <c r="A1393" s="7" t="s">
        <v>3190</v>
      </c>
      <c r="B1393" s="7" t="n">
        <v>1720.39</v>
      </c>
      <c r="C1393" s="7" t="n">
        <f aca="false">AVERAGE(B1344:B1393)</f>
        <v>1793.2674</v>
      </c>
      <c r="D1393" s="7" t="n">
        <f aca="false">AVERAGE(B1194:B1393)</f>
        <v>1810.96445</v>
      </c>
      <c r="E1393" s="7" t="n">
        <f aca="false">B1393/MAX(B1142:B1393)-1</f>
        <v>-0.125675922914295</v>
      </c>
      <c r="F1393" s="7" t="str">
        <f aca="false">IFERROR(INDEX(02_轉折點45個!B:B,MATCH(A1393,02_轉折點45個!A:A,0)),"")</f>
        <v/>
      </c>
      <c r="G1393" s="7" t="s">
        <v>1994</v>
      </c>
    </row>
    <row r="1394" customFormat="false" ht="15" hidden="false" customHeight="false" outlineLevel="0" collapsed="false">
      <c r="A1394" s="7" t="s">
        <v>3191</v>
      </c>
      <c r="B1394" s="7" t="n">
        <v>1721.02</v>
      </c>
      <c r="C1394" s="7" t="n">
        <f aca="false">AVERAGE(B1345:B1394)</f>
        <v>1791.9258</v>
      </c>
      <c r="D1394" s="7" t="n">
        <f aca="false">AVERAGE(B1195:B1394)</f>
        <v>1811.40705</v>
      </c>
      <c r="E1394" s="7" t="n">
        <f aca="false">B1394/MAX(B1143:B1394)-1</f>
        <v>-0.125355748902261</v>
      </c>
      <c r="F1394" s="7" t="str">
        <f aca="false">IFERROR(INDEX(02_轉折點45個!B:B,MATCH(A1394,02_轉折點45個!A:A,0)),"")</f>
        <v/>
      </c>
      <c r="G1394" s="7" t="s">
        <v>1994</v>
      </c>
    </row>
    <row r="1395" customFormat="false" ht="15" hidden="false" customHeight="false" outlineLevel="0" collapsed="false">
      <c r="A1395" s="7" t="s">
        <v>3192</v>
      </c>
      <c r="B1395" s="7" t="n">
        <v>1751.38</v>
      </c>
      <c r="C1395" s="7" t="n">
        <f aca="false">AVERAGE(B1346:B1395)</f>
        <v>1791.548</v>
      </c>
      <c r="D1395" s="7" t="n">
        <f aca="false">AVERAGE(B1196:B1395)</f>
        <v>1811.7945</v>
      </c>
      <c r="E1395" s="7" t="n">
        <f aca="false">B1395/MAX(B1144:B1395)-1</f>
        <v>-0.109926410798504</v>
      </c>
      <c r="F1395" s="7" t="str">
        <f aca="false">IFERROR(INDEX(02_轉折點45個!B:B,MATCH(A1395,02_轉折點45個!A:A,0)),"")</f>
        <v/>
      </c>
      <c r="G1395" s="7" t="s">
        <v>1994</v>
      </c>
    </row>
    <row r="1396" customFormat="false" ht="15" hidden="false" customHeight="false" outlineLevel="0" collapsed="false">
      <c r="A1396" s="7" t="s">
        <v>556</v>
      </c>
      <c r="B1396" s="7" t="n">
        <v>1712.37</v>
      </c>
      <c r="C1396" s="7" t="n">
        <f aca="false">AVERAGE(B1347:B1396)</f>
        <v>1790.7514</v>
      </c>
      <c r="D1396" s="7" t="n">
        <f aca="false">AVERAGE(B1197:B1396)</f>
        <v>1811.96875</v>
      </c>
      <c r="E1396" s="7" t="n">
        <f aca="false">B1396/MAX(B1145:B1396)-1</f>
        <v>-0.129751788908766</v>
      </c>
      <c r="F1396" s="7" t="str">
        <f aca="false">IFERROR(INDEX(02_轉折點45個!B:B,MATCH(A1396,02_轉折點45個!A:A,0)),"")</f>
        <v/>
      </c>
      <c r="G1396" s="7" t="s">
        <v>1994</v>
      </c>
    </row>
    <row r="1397" customFormat="false" ht="15" hidden="false" customHeight="false" outlineLevel="0" collapsed="false">
      <c r="A1397" s="7" t="s">
        <v>3193</v>
      </c>
      <c r="B1397" s="7" t="n">
        <v>1725.79</v>
      </c>
      <c r="C1397" s="7" t="n">
        <f aca="false">AVERAGE(B1348:B1397)</f>
        <v>1790.6232</v>
      </c>
      <c r="D1397" s="7" t="n">
        <f aca="false">AVERAGE(B1198:B1397)</f>
        <v>1812.0075</v>
      </c>
      <c r="E1397" s="7" t="n">
        <f aca="false">B1397/MAX(B1146:B1397)-1</f>
        <v>-0.122931574239714</v>
      </c>
      <c r="F1397" s="7" t="str">
        <f aca="false">IFERROR(INDEX(02_轉折點45個!B:B,MATCH(A1397,02_轉折點45個!A:A,0)),"")</f>
        <v/>
      </c>
      <c r="G1397" s="7" t="s">
        <v>1994</v>
      </c>
    </row>
    <row r="1398" customFormat="false" ht="15" hidden="false" customHeight="false" outlineLevel="0" collapsed="false">
      <c r="A1398" s="7" t="s">
        <v>3194</v>
      </c>
      <c r="B1398" s="7" t="n">
        <v>1689.28</v>
      </c>
      <c r="C1398" s="7" t="n">
        <f aca="false">AVERAGE(B1349:B1398)</f>
        <v>1789.1202</v>
      </c>
      <c r="D1398" s="7" t="n">
        <f aca="false">AVERAGE(B1199:B1398)</f>
        <v>1811.80485</v>
      </c>
      <c r="E1398" s="7" t="n">
        <f aca="false">B1398/MAX(B1147:B1398)-1</f>
        <v>-0.141486420556188</v>
      </c>
      <c r="F1398" s="7" t="str">
        <f aca="false">IFERROR(INDEX(02_轉折點45個!B:B,MATCH(A1398,02_轉折點45個!A:A,0)),"")</f>
        <v/>
      </c>
      <c r="G1398" s="7" t="s">
        <v>1994</v>
      </c>
    </row>
    <row r="1399" customFormat="false" ht="15" hidden="false" customHeight="false" outlineLevel="0" collapsed="false">
      <c r="A1399" s="7" t="s">
        <v>3195</v>
      </c>
      <c r="B1399" s="7" t="n">
        <v>1680.08</v>
      </c>
      <c r="C1399" s="7" t="n">
        <f aca="false">AVERAGE(B1350:B1399)</f>
        <v>1787.5384</v>
      </c>
      <c r="D1399" s="7" t="n">
        <f aca="false">AVERAGE(B1200:B1399)</f>
        <v>1811.49045</v>
      </c>
      <c r="E1399" s="7" t="n">
        <f aca="false">B1399/MAX(B1148:B1399)-1</f>
        <v>-0.146161977557326</v>
      </c>
      <c r="F1399" s="7" t="str">
        <f aca="false">IFERROR(INDEX(02_轉折點45個!B:B,MATCH(A1399,02_轉折點45個!A:A,0)),"")</f>
        <v/>
      </c>
      <c r="G1399" s="7" t="s">
        <v>1994</v>
      </c>
    </row>
    <row r="1400" customFormat="false" ht="15" hidden="false" customHeight="false" outlineLevel="0" collapsed="false">
      <c r="A1400" s="7" t="s">
        <v>3196</v>
      </c>
      <c r="B1400" s="7" t="n">
        <v>1707.56</v>
      </c>
      <c r="C1400" s="7" t="n">
        <f aca="false">AVERAGE(B1351:B1400)</f>
        <v>1786.4982</v>
      </c>
      <c r="D1400" s="7" t="n">
        <f aca="false">AVERAGE(B1201:B1400)</f>
        <v>1811.3777</v>
      </c>
      <c r="E1400" s="7" t="n">
        <f aca="false">B1400/MAX(B1149:B1400)-1</f>
        <v>-0.132196292080013</v>
      </c>
      <c r="F1400" s="7" t="str">
        <f aca="false">IFERROR(INDEX(02_轉折點45個!B:B,MATCH(A1400,02_轉折點45個!A:A,0)),"")</f>
        <v/>
      </c>
      <c r="G1400" s="7" t="s">
        <v>1994</v>
      </c>
    </row>
    <row r="1401" customFormat="false" ht="15" hidden="false" customHeight="false" outlineLevel="0" collapsed="false">
      <c r="A1401" s="7" t="s">
        <v>3197</v>
      </c>
      <c r="B1401" s="7" t="n">
        <v>1697.66</v>
      </c>
      <c r="C1401" s="7" t="n">
        <f aca="false">AVERAGE(B1352:B1401)</f>
        <v>1785.658</v>
      </c>
      <c r="D1401" s="7" t="n">
        <f aca="false">AVERAGE(B1202:B1401)</f>
        <v>1811.1327</v>
      </c>
      <c r="E1401" s="7" t="n">
        <f aca="false">B1401/MAX(B1150:B1401)-1</f>
        <v>-0.137227597983412</v>
      </c>
      <c r="F1401" s="7" t="str">
        <f aca="false">IFERROR(INDEX(02_轉折點45個!B:B,MATCH(A1401,02_轉折點45個!A:A,0)),"")</f>
        <v/>
      </c>
      <c r="G1401" s="7" t="s">
        <v>1994</v>
      </c>
    </row>
    <row r="1402" customFormat="false" ht="15" hidden="false" customHeight="false" outlineLevel="0" collapsed="false">
      <c r="A1402" s="7" t="s">
        <v>3198</v>
      </c>
      <c r="B1402" s="7" t="n">
        <v>1718.48</v>
      </c>
      <c r="C1402" s="7" t="n">
        <f aca="false">AVERAGE(B1353:B1402)</f>
        <v>1785.7386</v>
      </c>
      <c r="D1402" s="7" t="n">
        <f aca="false">AVERAGE(B1203:B1402)</f>
        <v>1810.97625</v>
      </c>
      <c r="E1402" s="7" t="n">
        <f aca="false">B1402/MAX(B1151:B1402)-1</f>
        <v>-0.126646609204749</v>
      </c>
      <c r="F1402" s="7" t="str">
        <f aca="false">IFERROR(INDEX(02_轉折點45個!B:B,MATCH(A1402,02_轉折點45個!A:A,0)),"")</f>
        <v/>
      </c>
      <c r="G1402" s="7" t="s">
        <v>1994</v>
      </c>
    </row>
    <row r="1403" customFormat="false" ht="15" hidden="false" customHeight="false" outlineLevel="0" collapsed="false">
      <c r="A1403" s="7" t="s">
        <v>3199</v>
      </c>
      <c r="B1403" s="7" t="n">
        <v>1724.24</v>
      </c>
      <c r="C1403" s="7" t="n">
        <f aca="false">AVERAGE(B1354:B1403)</f>
        <v>1785.5474</v>
      </c>
      <c r="D1403" s="7" t="n">
        <f aca="false">AVERAGE(B1204:B1403)</f>
        <v>1810.76535</v>
      </c>
      <c r="E1403" s="7" t="n">
        <f aca="false">B1403/MAX(B1152:B1403)-1</f>
        <v>-0.123719303951862</v>
      </c>
      <c r="F1403" s="7" t="str">
        <f aca="false">IFERROR(INDEX(02_轉折點45個!B:B,MATCH(A1403,02_轉折點45個!A:A,0)),"")</f>
        <v/>
      </c>
      <c r="G1403" s="7" t="s">
        <v>1994</v>
      </c>
    </row>
    <row r="1404" customFormat="false" ht="15" hidden="false" customHeight="false" outlineLevel="0" collapsed="false">
      <c r="A1404" s="7" t="s">
        <v>3200</v>
      </c>
      <c r="B1404" s="7" t="n">
        <v>1728.56</v>
      </c>
      <c r="C1404" s="7" t="n">
        <f aca="false">AVERAGE(B1355:B1404)</f>
        <v>1785.4362</v>
      </c>
      <c r="D1404" s="7" t="n">
        <f aca="false">AVERAGE(B1205:B1404)</f>
        <v>1810.5319</v>
      </c>
      <c r="E1404" s="7" t="n">
        <f aca="false">B1404/MAX(B1153:B1404)-1</f>
        <v>-0.121523825012197</v>
      </c>
      <c r="F1404" s="7" t="str">
        <f aca="false">IFERROR(INDEX(02_轉折點45個!B:B,MATCH(A1404,02_轉折點45個!A:A,0)),"")</f>
        <v/>
      </c>
      <c r="G1404" s="7" t="s">
        <v>1994</v>
      </c>
    </row>
    <row r="1405" customFormat="false" ht="15" hidden="false" customHeight="false" outlineLevel="0" collapsed="false">
      <c r="A1405" s="7" t="s">
        <v>3201</v>
      </c>
      <c r="B1405" s="7" t="n">
        <v>1698.72</v>
      </c>
      <c r="C1405" s="7" t="n">
        <f aca="false">AVERAGE(B1356:B1405)</f>
        <v>1784.7572</v>
      </c>
      <c r="D1405" s="7" t="n">
        <f aca="false">AVERAGE(B1206:B1405)</f>
        <v>1810.16795</v>
      </c>
      <c r="E1405" s="7" t="n">
        <f aca="false">B1405/MAX(B1154:B1405)-1</f>
        <v>-0.136688892502846</v>
      </c>
      <c r="F1405" s="7" t="str">
        <f aca="false">IFERROR(INDEX(02_轉折點45個!B:B,MATCH(A1405,02_轉折點45個!A:A,0)),"")</f>
        <v/>
      </c>
      <c r="G1405" s="7" t="s">
        <v>1994</v>
      </c>
    </row>
    <row r="1406" customFormat="false" ht="15" hidden="false" customHeight="false" outlineLevel="0" collapsed="false">
      <c r="A1406" s="7" t="s">
        <v>3202</v>
      </c>
      <c r="B1406" s="7" t="n">
        <v>1694.73</v>
      </c>
      <c r="C1406" s="7" t="n">
        <f aca="false">AVERAGE(B1357:B1406)</f>
        <v>1783.7152</v>
      </c>
      <c r="D1406" s="7" t="n">
        <f aca="false">AVERAGE(B1207:B1406)</f>
        <v>1809.73365</v>
      </c>
      <c r="E1406" s="7" t="n">
        <f aca="false">B1406/MAX(B1155:B1406)-1</f>
        <v>-0.138716661245731</v>
      </c>
      <c r="F1406" s="7" t="str">
        <f aca="false">IFERROR(INDEX(02_轉折點45個!B:B,MATCH(A1406,02_轉折點45個!A:A,0)),"")</f>
        <v/>
      </c>
      <c r="G1406" s="7" t="s">
        <v>1994</v>
      </c>
    </row>
    <row r="1407" customFormat="false" ht="15" hidden="false" customHeight="false" outlineLevel="0" collapsed="false">
      <c r="A1407" s="7" t="s">
        <v>3203</v>
      </c>
      <c r="B1407" s="7" t="n">
        <v>1664.19</v>
      </c>
      <c r="C1407" s="7" t="n">
        <f aca="false">AVERAGE(B1358:B1407)</f>
        <v>1781.8634</v>
      </c>
      <c r="D1407" s="7" t="n">
        <f aca="false">AVERAGE(B1208:B1407)</f>
        <v>1809.3192</v>
      </c>
      <c r="E1407" s="7" t="n">
        <f aca="false">B1407/MAX(B1156:B1407)-1</f>
        <v>-0.15423747763864</v>
      </c>
      <c r="F1407" s="7" t="str">
        <f aca="false">IFERROR(INDEX(02_轉折點45個!B:B,MATCH(A1407,02_轉折點45個!A:A,0)),"")</f>
        <v/>
      </c>
      <c r="G1407" s="7" t="s">
        <v>1994</v>
      </c>
    </row>
    <row r="1408" customFormat="false" ht="15" hidden="false" customHeight="false" outlineLevel="0" collapsed="false">
      <c r="A1408" s="7" t="s">
        <v>557</v>
      </c>
      <c r="B1408" s="7" t="n">
        <v>1623.32</v>
      </c>
      <c r="C1408" s="7" t="n">
        <f aca="false">AVERAGE(B1359:B1408)</f>
        <v>1778.4328</v>
      </c>
      <c r="D1408" s="7" t="n">
        <f aca="false">AVERAGE(B1209:B1408)</f>
        <v>1808.642</v>
      </c>
      <c r="E1408" s="7" t="n">
        <f aca="false">B1408/MAX(B1157:B1408)-1</f>
        <v>-0.17500813140348</v>
      </c>
      <c r="F1408" s="7" t="str">
        <f aca="false">IFERROR(INDEX(02_轉折點45個!B:B,MATCH(A1408,02_轉折點45個!A:A,0)),"")</f>
        <v/>
      </c>
      <c r="G1408" s="7" t="s">
        <v>1994</v>
      </c>
    </row>
    <row r="1409" customFormat="false" ht="15" hidden="false" customHeight="false" outlineLevel="0" collapsed="false">
      <c r="A1409" s="7" t="s">
        <v>3204</v>
      </c>
      <c r="B1409" s="7" t="n">
        <v>1621.26</v>
      </c>
      <c r="C1409" s="7" t="n">
        <f aca="false">AVERAGE(B1360:B1409)</f>
        <v>1774.7508</v>
      </c>
      <c r="D1409" s="7" t="n">
        <f aca="false">AVERAGE(B1210:B1409)</f>
        <v>1807.88255</v>
      </c>
      <c r="E1409" s="7" t="n">
        <f aca="false">B1409/MAX(B1158:B1409)-1</f>
        <v>-0.176055049601561</v>
      </c>
      <c r="F1409" s="7" t="str">
        <f aca="false">IFERROR(INDEX(02_轉折點45個!B:B,MATCH(A1409,02_轉折點45個!A:A,0)),"")</f>
        <v/>
      </c>
      <c r="G1409" s="7" t="s">
        <v>1994</v>
      </c>
    </row>
    <row r="1410" customFormat="false" ht="15" hidden="false" customHeight="false" outlineLevel="0" collapsed="false">
      <c r="A1410" s="7" t="s">
        <v>3205</v>
      </c>
      <c r="B1410" s="7" t="n">
        <v>1652.38</v>
      </c>
      <c r="C1410" s="7" t="n">
        <f aca="false">AVERAGE(B1361:B1410)</f>
        <v>1771.5388</v>
      </c>
      <c r="D1410" s="7" t="n">
        <f aca="false">AVERAGE(B1211:B1410)</f>
        <v>1807.47435</v>
      </c>
      <c r="E1410" s="7" t="n">
        <f aca="false">B1410/MAX(B1159:B1410)-1</f>
        <v>-0.160239469832493</v>
      </c>
      <c r="F1410" s="7" t="str">
        <f aca="false">IFERROR(INDEX(02_轉折點45個!B:B,MATCH(A1410,02_轉折點45個!A:A,0)),"")</f>
        <v/>
      </c>
      <c r="G1410" s="7" t="s">
        <v>1994</v>
      </c>
    </row>
    <row r="1411" customFormat="false" ht="15" hidden="false" customHeight="false" outlineLevel="0" collapsed="false">
      <c r="A1411" s="7" t="s">
        <v>3206</v>
      </c>
      <c r="B1411" s="7" t="n">
        <v>1628.37</v>
      </c>
      <c r="C1411" s="7" t="n">
        <f aca="false">AVERAGE(B1362:B1411)</f>
        <v>1767.8056</v>
      </c>
      <c r="D1411" s="7" t="n">
        <f aca="false">AVERAGE(B1212:B1411)</f>
        <v>1807.00345</v>
      </c>
      <c r="E1411" s="7" t="n">
        <f aca="false">B1411/MAX(B1160:B1411)-1</f>
        <v>-0.172441657180029</v>
      </c>
      <c r="F1411" s="7" t="str">
        <f aca="false">IFERROR(INDEX(02_轉折點45個!B:B,MATCH(A1411,02_轉折點45個!A:A,0)),"")</f>
        <v/>
      </c>
      <c r="G1411" s="7" t="s">
        <v>1994</v>
      </c>
    </row>
    <row r="1412" customFormat="false" ht="15" hidden="false" customHeight="false" outlineLevel="0" collapsed="false">
      <c r="A1412" s="7" t="s">
        <v>131</v>
      </c>
      <c r="B1412" s="7" t="n">
        <v>1601.03</v>
      </c>
      <c r="C1412" s="7" t="n">
        <f aca="false">AVERAGE(B1363:B1412)</f>
        <v>1763.452</v>
      </c>
      <c r="D1412" s="7" t="n">
        <f aca="false">AVERAGE(B1213:B1412)</f>
        <v>1806.48685</v>
      </c>
      <c r="E1412" s="7" t="n">
        <f aca="false">B1412/MAX(B1161:B1412)-1</f>
        <v>-0.186336192876891</v>
      </c>
      <c r="F1412" s="7" t="str">
        <f aca="false">IFERROR(INDEX(02_轉折點45個!B:B,MATCH(A1412,02_轉折點45個!A:A,0)),"")</f>
        <v>BOTTOM</v>
      </c>
      <c r="G1412" s="7" t="s">
        <v>1994</v>
      </c>
    </row>
    <row r="1413" customFormat="false" ht="15" hidden="false" customHeight="false" outlineLevel="0" collapsed="false">
      <c r="A1413" s="7" t="s">
        <v>3207</v>
      </c>
      <c r="B1413" s="7" t="n">
        <v>1605.35</v>
      </c>
      <c r="C1413" s="7" t="n">
        <f aca="false">AVERAGE(B1364:B1413)</f>
        <v>1759.2174</v>
      </c>
      <c r="D1413" s="7" t="n">
        <f aca="false">AVERAGE(B1214:B1413)</f>
        <v>1805.9127</v>
      </c>
      <c r="E1413" s="7" t="n">
        <f aca="false">B1413/MAX(B1162:B1413)-1</f>
        <v>-0.184140713937226</v>
      </c>
      <c r="F1413" s="7" t="str">
        <f aca="false">IFERROR(INDEX(02_轉折點45個!B:B,MATCH(A1413,02_轉折點45個!A:A,0)),"")</f>
        <v/>
      </c>
      <c r="G1413" s="7" t="s">
        <v>1994</v>
      </c>
    </row>
    <row r="1414" customFormat="false" ht="15" hidden="false" customHeight="false" outlineLevel="0" collapsed="false">
      <c r="A1414" s="7" t="s">
        <v>3208</v>
      </c>
      <c r="B1414" s="7" t="n">
        <v>1628.75</v>
      </c>
      <c r="C1414" s="7" t="n">
        <f aca="false">AVERAGE(B1365:B1414)</f>
        <v>1755.9756</v>
      </c>
      <c r="D1414" s="7" t="n">
        <f aca="false">AVERAGE(B1215:B1414)</f>
        <v>1805.23015</v>
      </c>
      <c r="E1414" s="7" t="n">
        <f aca="false">B1414/MAX(B1163:B1414)-1</f>
        <v>-0.172248536347374</v>
      </c>
      <c r="F1414" s="7" t="str">
        <f aca="false">IFERROR(INDEX(02_轉折點45個!B:B,MATCH(A1414,02_轉折點45個!A:A,0)),"")</f>
        <v/>
      </c>
      <c r="G1414" s="7" t="s">
        <v>1994</v>
      </c>
    </row>
    <row r="1415" customFormat="false" ht="15" hidden="false" customHeight="false" outlineLevel="0" collapsed="false">
      <c r="A1415" s="7" t="s">
        <v>3209</v>
      </c>
      <c r="B1415" s="7" t="n">
        <v>1640.09</v>
      </c>
      <c r="C1415" s="7" t="n">
        <f aca="false">AVERAGE(B1366:B1415)</f>
        <v>1752.6252</v>
      </c>
      <c r="D1415" s="7" t="n">
        <f aca="false">AVERAGE(B1216:B1415)</f>
        <v>1804.58465</v>
      </c>
      <c r="E1415" s="7" t="n">
        <f aca="false">B1415/MAX(B1164:B1415)-1</f>
        <v>-0.166485404130753</v>
      </c>
      <c r="F1415" s="7" t="str">
        <f aca="false">IFERROR(INDEX(02_轉折點45個!B:B,MATCH(A1415,02_轉折點45個!A:A,0)),"")</f>
        <v/>
      </c>
      <c r="G1415" s="7" t="s">
        <v>1994</v>
      </c>
    </row>
    <row r="1416" customFormat="false" ht="15" hidden="false" customHeight="false" outlineLevel="0" collapsed="false">
      <c r="A1416" s="7" t="s">
        <v>3210</v>
      </c>
      <c r="B1416" s="7" t="n">
        <v>1673.09</v>
      </c>
      <c r="C1416" s="7" t="n">
        <f aca="false">AVERAGE(B1367:B1416)</f>
        <v>1749.1674</v>
      </c>
      <c r="D1416" s="7" t="n">
        <f aca="false">AVERAGE(B1217:B1416)</f>
        <v>1804.12185</v>
      </c>
      <c r="E1416" s="7" t="n">
        <f aca="false">B1416/MAX(B1165:B1416)-1</f>
        <v>-0.149714384452757</v>
      </c>
      <c r="F1416" s="7" t="str">
        <f aca="false">IFERROR(INDEX(02_轉折點45個!B:B,MATCH(A1416,02_轉折點45個!A:A,0)),"")</f>
        <v/>
      </c>
      <c r="G1416" s="7" t="s">
        <v>1994</v>
      </c>
    </row>
    <row r="1417" customFormat="false" ht="15" hidden="false" customHeight="false" outlineLevel="0" collapsed="false">
      <c r="A1417" s="7" t="s">
        <v>558</v>
      </c>
      <c r="B1417" s="7" t="n">
        <v>1662.6</v>
      </c>
      <c r="C1417" s="7" t="n">
        <f aca="false">AVERAGE(B1368:B1417)</f>
        <v>1745.4466</v>
      </c>
      <c r="D1417" s="7" t="n">
        <f aca="false">AVERAGE(B1218:B1417)</f>
        <v>1803.6088</v>
      </c>
      <c r="E1417" s="7" t="n">
        <f aca="false">B1417/MAX(B1166:B1417)-1</f>
        <v>-0.155045535859489</v>
      </c>
      <c r="F1417" s="7" t="str">
        <f aca="false">IFERROR(INDEX(02_轉折點45個!B:B,MATCH(A1417,02_轉折點45個!A:A,0)),"")</f>
        <v/>
      </c>
      <c r="G1417" s="7" t="s">
        <v>1994</v>
      </c>
    </row>
    <row r="1418" customFormat="false" ht="15" hidden="false" customHeight="false" outlineLevel="0" collapsed="false">
      <c r="A1418" s="7" t="s">
        <v>3211</v>
      </c>
      <c r="B1418" s="7" t="n">
        <v>1679.16</v>
      </c>
      <c r="C1418" s="7" t="n">
        <f aca="false">AVERAGE(B1369:B1418)</f>
        <v>1742.6584</v>
      </c>
      <c r="D1418" s="7" t="n">
        <f aca="false">AVERAGE(B1219:B1418)</f>
        <v>1803.0164</v>
      </c>
      <c r="E1418" s="7" t="n">
        <f aca="false">B1418/MAX(B1167:B1418)-1</f>
        <v>-0.14662953325744</v>
      </c>
      <c r="F1418" s="7" t="str">
        <f aca="false">IFERROR(INDEX(02_轉折點45個!B:B,MATCH(A1418,02_轉折點45個!A:A,0)),"")</f>
        <v/>
      </c>
      <c r="G1418" s="7" t="s">
        <v>1994</v>
      </c>
    </row>
    <row r="1419" customFormat="false" ht="15" hidden="false" customHeight="false" outlineLevel="0" collapsed="false">
      <c r="A1419" s="7" t="s">
        <v>3212</v>
      </c>
      <c r="B1419" s="7" t="n">
        <v>1679.79</v>
      </c>
      <c r="C1419" s="7" t="n">
        <f aca="false">AVERAGE(B1370:B1419)</f>
        <v>1739.7136</v>
      </c>
      <c r="D1419" s="7" t="n">
        <f aca="false">AVERAGE(B1220:B1419)</f>
        <v>1802.4716</v>
      </c>
      <c r="E1419" s="7" t="n">
        <f aca="false">B1419/MAX(B1168:B1419)-1</f>
        <v>-0.146309359245406</v>
      </c>
      <c r="F1419" s="7" t="str">
        <f aca="false">IFERROR(INDEX(02_轉折點45個!B:B,MATCH(A1419,02_轉折點45個!A:A,0)),"")</f>
        <v/>
      </c>
      <c r="G1419" s="7" t="s">
        <v>1994</v>
      </c>
    </row>
    <row r="1420" customFormat="false" ht="15" hidden="false" customHeight="false" outlineLevel="0" collapsed="false">
      <c r="A1420" s="7" t="s">
        <v>3213</v>
      </c>
      <c r="B1420" s="7" t="n">
        <v>1678.13</v>
      </c>
      <c r="C1420" s="7" t="n">
        <f aca="false">AVERAGE(B1371:B1420)</f>
        <v>1737.2816</v>
      </c>
      <c r="D1420" s="7" t="n">
        <f aca="false">AVERAGE(B1221:B1420)</f>
        <v>1801.9121</v>
      </c>
      <c r="E1420" s="7" t="n">
        <f aca="false">B1420/MAX(B1169:B1420)-1</f>
        <v>-0.147152992356481</v>
      </c>
      <c r="F1420" s="7" t="str">
        <f aca="false">IFERROR(INDEX(02_轉折點45個!B:B,MATCH(A1420,02_轉折點45個!A:A,0)),"")</f>
        <v/>
      </c>
      <c r="G1420" s="7" t="s">
        <v>1994</v>
      </c>
    </row>
    <row r="1421" customFormat="false" ht="15" hidden="false" customHeight="false" outlineLevel="0" collapsed="false">
      <c r="A1421" s="7" t="s">
        <v>3214</v>
      </c>
      <c r="B1421" s="7" t="n">
        <v>1699.9</v>
      </c>
      <c r="C1421" s="7" t="n">
        <f aca="false">AVERAGE(B1372:B1421)</f>
        <v>1734.817</v>
      </c>
      <c r="D1421" s="7" t="n">
        <f aca="false">AVERAGE(B1222:B1421)</f>
        <v>1801.3838</v>
      </c>
      <c r="E1421" s="7" t="n">
        <f aca="false">B1421/MAX(B1170:B1421)-1</f>
        <v>-0.136089201496178</v>
      </c>
      <c r="F1421" s="7" t="str">
        <f aca="false">IFERROR(INDEX(02_轉折點45個!B:B,MATCH(A1421,02_轉折點45個!A:A,0)),"")</f>
        <v/>
      </c>
      <c r="G1421" s="7" t="s">
        <v>1994</v>
      </c>
    </row>
    <row r="1422" customFormat="false" ht="15" hidden="false" customHeight="false" outlineLevel="0" collapsed="false">
      <c r="A1422" s="7" t="s">
        <v>3215</v>
      </c>
      <c r="B1422" s="7" t="n">
        <v>1692.78</v>
      </c>
      <c r="C1422" s="7" t="n">
        <f aca="false">AVERAGE(B1373:B1422)</f>
        <v>1732.162</v>
      </c>
      <c r="D1422" s="7" t="n">
        <f aca="false">AVERAGE(B1223:B1422)</f>
        <v>1800.84565</v>
      </c>
      <c r="E1422" s="7" t="n">
        <f aca="false">B1422/MAX(B1171:B1422)-1</f>
        <v>-0.139707676044885</v>
      </c>
      <c r="F1422" s="7" t="str">
        <f aca="false">IFERROR(INDEX(02_轉折點45個!B:B,MATCH(A1422,02_轉折點45個!A:A,0)),"")</f>
        <v/>
      </c>
      <c r="G1422" s="7" t="s">
        <v>1994</v>
      </c>
    </row>
    <row r="1423" customFormat="false" ht="15" hidden="false" customHeight="false" outlineLevel="0" collapsed="false">
      <c r="A1423" s="7" t="s">
        <v>3216</v>
      </c>
      <c r="B1423" s="7" t="n">
        <v>1701.15</v>
      </c>
      <c r="C1423" s="7" t="n">
        <f aca="false">AVERAGE(B1374:B1423)</f>
        <v>1729.9404</v>
      </c>
      <c r="D1423" s="7" t="n">
        <f aca="false">AVERAGE(B1224:B1423)</f>
        <v>1800.48225</v>
      </c>
      <c r="E1423" s="7" t="n">
        <f aca="false">B1423/MAX(B1172:B1423)-1</f>
        <v>-0.135453935599284</v>
      </c>
      <c r="F1423" s="7" t="str">
        <f aca="false">IFERROR(INDEX(02_轉折點45個!B:B,MATCH(A1423,02_轉折點45個!A:A,0)),"")</f>
        <v/>
      </c>
      <c r="G1423" s="7" t="s">
        <v>1994</v>
      </c>
    </row>
    <row r="1424" customFormat="false" ht="15" hidden="false" customHeight="false" outlineLevel="0" collapsed="false">
      <c r="A1424" s="7" t="s">
        <v>3217</v>
      </c>
      <c r="B1424" s="7" t="n">
        <v>1677.77</v>
      </c>
      <c r="C1424" s="7" t="n">
        <f aca="false">AVERAGE(B1375:B1424)</f>
        <v>1727.1954</v>
      </c>
      <c r="D1424" s="7" t="n">
        <f aca="false">AVERAGE(B1225:B1424)</f>
        <v>1800.0517</v>
      </c>
      <c r="E1424" s="7" t="n">
        <f aca="false">B1424/MAX(B1173:B1424)-1</f>
        <v>-0.147335948934786</v>
      </c>
      <c r="F1424" s="7" t="str">
        <f aca="false">IFERROR(INDEX(02_轉折點45個!B:B,MATCH(A1424,02_轉折點45個!A:A,0)),"")</f>
        <v/>
      </c>
      <c r="G1424" s="7" t="s">
        <v>1994</v>
      </c>
    </row>
    <row r="1425" customFormat="false" ht="15" hidden="false" customHeight="false" outlineLevel="0" collapsed="false">
      <c r="A1425" s="7" t="s">
        <v>3218</v>
      </c>
      <c r="B1425" s="7" t="n">
        <v>1679.24</v>
      </c>
      <c r="C1425" s="7" t="n">
        <f aca="false">AVERAGE(B1376:B1425)</f>
        <v>1724.7054</v>
      </c>
      <c r="D1425" s="7" t="n">
        <f aca="false">AVERAGE(B1226:B1425)</f>
        <v>1799.435</v>
      </c>
      <c r="E1425" s="7" t="n">
        <f aca="false">B1425/MAX(B1174:B1425)-1</f>
        <v>-0.146588876240039</v>
      </c>
      <c r="F1425" s="7" t="str">
        <f aca="false">IFERROR(INDEX(02_轉折點45個!B:B,MATCH(A1425,02_轉折點45個!A:A,0)),"")</f>
        <v/>
      </c>
      <c r="G1425" s="7" t="s">
        <v>1994</v>
      </c>
    </row>
    <row r="1426" customFormat="false" ht="15" hidden="false" customHeight="false" outlineLevel="0" collapsed="false">
      <c r="A1426" s="7" t="s">
        <v>3219</v>
      </c>
      <c r="B1426" s="7" t="n">
        <v>1690.48</v>
      </c>
      <c r="C1426" s="7" t="n">
        <f aca="false">AVERAGE(B1377:B1426)</f>
        <v>1722.079</v>
      </c>
      <c r="D1426" s="7" t="n">
        <f aca="false">AVERAGE(B1227:B1426)</f>
        <v>1798.9008</v>
      </c>
      <c r="E1426" s="7" t="n">
        <f aca="false">B1426/MAX(B1175:B1426)-1</f>
        <v>-0.14087656529517</v>
      </c>
      <c r="F1426" s="7" t="str">
        <f aca="false">IFERROR(INDEX(02_轉折點45個!B:B,MATCH(A1426,02_轉折點45個!A:A,0)),"")</f>
        <v/>
      </c>
      <c r="G1426" s="7" t="s">
        <v>1994</v>
      </c>
    </row>
    <row r="1427" customFormat="false" ht="15" hidden="false" customHeight="false" outlineLevel="0" collapsed="false">
      <c r="A1427" s="7" t="s">
        <v>3220</v>
      </c>
      <c r="B1427" s="7" t="n">
        <v>1711.51</v>
      </c>
      <c r="C1427" s="7" t="n">
        <f aca="false">AVERAGE(B1378:B1427)</f>
        <v>1719.383</v>
      </c>
      <c r="D1427" s="7" t="n">
        <f aca="false">AVERAGE(B1228:B1427)</f>
        <v>1798.6412</v>
      </c>
      <c r="E1427" s="7" t="n">
        <f aca="false">B1427/MAX(B1176:B1427)-1</f>
        <v>-0.130188851845829</v>
      </c>
      <c r="F1427" s="7" t="str">
        <f aca="false">IFERROR(INDEX(02_轉折點45個!B:B,MATCH(A1427,02_轉折點45個!A:A,0)),"")</f>
        <v/>
      </c>
      <c r="G1427" s="7" t="s">
        <v>1994</v>
      </c>
    </row>
    <row r="1428" customFormat="false" ht="15" hidden="false" customHeight="false" outlineLevel="0" collapsed="false">
      <c r="A1428" s="7" t="s">
        <v>3221</v>
      </c>
      <c r="B1428" s="7" t="n">
        <v>1685.07</v>
      </c>
      <c r="C1428" s="7" t="n">
        <f aca="false">AVERAGE(B1379:B1428)</f>
        <v>1716.257</v>
      </c>
      <c r="D1428" s="7" t="n">
        <f aca="false">AVERAGE(B1229:B1428)</f>
        <v>1798.3437</v>
      </c>
      <c r="E1428" s="7" t="n">
        <f aca="false">B1428/MAX(B1177:B1428)-1</f>
        <v>-0.143625996096926</v>
      </c>
      <c r="F1428" s="7" t="str">
        <f aca="false">IFERROR(INDEX(02_轉折點45個!B:B,MATCH(A1428,02_轉折點45個!A:A,0)),"")</f>
        <v/>
      </c>
      <c r="G1428" s="7" t="s">
        <v>1994</v>
      </c>
    </row>
    <row r="1429" customFormat="false" ht="15" hidden="false" customHeight="false" outlineLevel="0" collapsed="false">
      <c r="A1429" s="7" t="s">
        <v>559</v>
      </c>
      <c r="B1429" s="7" t="n">
        <v>1697.93</v>
      </c>
      <c r="C1429" s="7" t="n">
        <f aca="false">AVERAGE(B1380:B1429)</f>
        <v>1713.2074</v>
      </c>
      <c r="D1429" s="7" t="n">
        <f aca="false">AVERAGE(B1230:B1429)</f>
        <v>1798.23775</v>
      </c>
      <c r="E1429" s="7" t="n">
        <f aca="false">B1429/MAX(B1178:B1429)-1</f>
        <v>-0.137090380549683</v>
      </c>
      <c r="F1429" s="7" t="str">
        <f aca="false">IFERROR(INDEX(02_轉折點45個!B:B,MATCH(A1429,02_轉折點45個!A:A,0)),"")</f>
        <v/>
      </c>
      <c r="G1429" s="7" t="s">
        <v>1994</v>
      </c>
    </row>
    <row r="1430" customFormat="false" ht="15" hidden="false" customHeight="false" outlineLevel="0" collapsed="false">
      <c r="A1430" s="7" t="s">
        <v>3222</v>
      </c>
      <c r="B1430" s="7" t="n">
        <v>1690.69</v>
      </c>
      <c r="C1430" s="7" t="n">
        <f aca="false">AVERAGE(B1381:B1430)</f>
        <v>1710.1162</v>
      </c>
      <c r="D1430" s="7" t="n">
        <f aca="false">AVERAGE(B1231:B1430)</f>
        <v>1798.01385</v>
      </c>
      <c r="E1430" s="7" t="n">
        <f aca="false">B1430/MAX(B1179:B1430)-1</f>
        <v>-0.140769840624492</v>
      </c>
      <c r="F1430" s="7" t="str">
        <f aca="false">IFERROR(INDEX(02_轉折點45個!B:B,MATCH(A1430,02_轉折點45個!A:A,0)),"")</f>
        <v/>
      </c>
      <c r="G1430" s="7" t="s">
        <v>1994</v>
      </c>
    </row>
    <row r="1431" customFormat="false" ht="15" hidden="false" customHeight="false" outlineLevel="0" collapsed="false">
      <c r="A1431" s="7" t="s">
        <v>3223</v>
      </c>
      <c r="B1431" s="7" t="n">
        <v>1708.06</v>
      </c>
      <c r="C1431" s="7" t="n">
        <f aca="false">AVERAGE(B1382:B1431)</f>
        <v>1707.0962</v>
      </c>
      <c r="D1431" s="7" t="n">
        <f aca="false">AVERAGE(B1232:B1431)</f>
        <v>1797.9578</v>
      </c>
      <c r="E1431" s="7" t="n">
        <f aca="false">B1431/MAX(B1180:B1431)-1</f>
        <v>-0.131942185721256</v>
      </c>
      <c r="F1431" s="7" t="str">
        <f aca="false">IFERROR(INDEX(02_轉折點45個!B:B,MATCH(A1431,02_轉折點45個!A:A,0)),"")</f>
        <v/>
      </c>
      <c r="G1431" s="7" t="s">
        <v>1994</v>
      </c>
    </row>
    <row r="1432" customFormat="false" ht="15" hidden="false" customHeight="false" outlineLevel="0" collapsed="false">
      <c r="A1432" s="7" t="s">
        <v>3224</v>
      </c>
      <c r="B1432" s="7" t="n">
        <v>1730.59</v>
      </c>
      <c r="C1432" s="7" t="n">
        <f aca="false">AVERAGE(B1383:B1432)</f>
        <v>1704.292</v>
      </c>
      <c r="D1432" s="7" t="n">
        <f aca="false">AVERAGE(B1233:B1432)</f>
        <v>1797.95975</v>
      </c>
      <c r="E1432" s="7" t="n">
        <f aca="false">B1432/MAX(B1181:B1432)-1</f>
        <v>-0.120492153195642</v>
      </c>
      <c r="F1432" s="7" t="str">
        <f aca="false">IFERROR(INDEX(02_轉折點45個!B:B,MATCH(A1432,02_轉折點45個!A:A,0)),"")</f>
        <v/>
      </c>
      <c r="G1432" s="7" t="s">
        <v>1994</v>
      </c>
    </row>
    <row r="1433" customFormat="false" ht="15" hidden="false" customHeight="false" outlineLevel="0" collapsed="false">
      <c r="A1433" s="7" t="s">
        <v>3225</v>
      </c>
      <c r="B1433" s="7" t="n">
        <v>1745.27</v>
      </c>
      <c r="C1433" s="7" t="n">
        <f aca="false">AVERAGE(B1384:B1433)</f>
        <v>1702.3704</v>
      </c>
      <c r="D1433" s="7" t="n">
        <f aca="false">AVERAGE(B1234:B1433)</f>
        <v>1797.79185</v>
      </c>
      <c r="E1433" s="7" t="n">
        <f aca="false">B1433/MAX(B1182:B1433)-1</f>
        <v>-0.113031590502521</v>
      </c>
      <c r="F1433" s="7" t="str">
        <f aca="false">IFERROR(INDEX(02_轉折點45個!B:B,MATCH(A1433,02_轉折點45個!A:A,0)),"")</f>
        <v/>
      </c>
      <c r="G1433" s="7" t="s">
        <v>1994</v>
      </c>
    </row>
    <row r="1434" customFormat="false" ht="15" hidden="false" customHeight="false" outlineLevel="0" collapsed="false">
      <c r="A1434" s="7" t="s">
        <v>3226</v>
      </c>
      <c r="B1434" s="7" t="n">
        <v>1749.86</v>
      </c>
      <c r="C1434" s="7" t="n">
        <f aca="false">AVERAGE(B1385:B1434)</f>
        <v>1700.703</v>
      </c>
      <c r="D1434" s="7" t="n">
        <f aca="false">AVERAGE(B1235:B1434)</f>
        <v>1797.6656</v>
      </c>
      <c r="E1434" s="7" t="n">
        <f aca="false">B1434/MAX(B1183:B1434)-1</f>
        <v>-0.110698894129127</v>
      </c>
      <c r="F1434" s="7" t="str">
        <f aca="false">IFERROR(INDEX(02_轉折點45個!B:B,MATCH(A1434,02_轉折點45個!A:A,0)),"")</f>
        <v/>
      </c>
      <c r="G1434" s="7" t="s">
        <v>1994</v>
      </c>
    </row>
    <row r="1435" customFormat="false" ht="15" hidden="false" customHeight="false" outlineLevel="0" collapsed="false">
      <c r="A1435" s="7" t="s">
        <v>3227</v>
      </c>
      <c r="B1435" s="7" t="n">
        <v>1732.61</v>
      </c>
      <c r="C1435" s="7" t="n">
        <f aca="false">AVERAGE(B1386:B1435)</f>
        <v>1699.4804</v>
      </c>
      <c r="D1435" s="7" t="n">
        <f aca="false">AVERAGE(B1236:B1435)</f>
        <v>1797.4062</v>
      </c>
      <c r="E1435" s="7" t="n">
        <f aca="false">B1435/MAX(B1184:B1435)-1</f>
        <v>-0.119465563506261</v>
      </c>
      <c r="F1435" s="7" t="str">
        <f aca="false">IFERROR(INDEX(02_轉折點45個!B:B,MATCH(A1435,02_轉折點45個!A:A,0)),"")</f>
        <v/>
      </c>
      <c r="G1435" s="7" t="s">
        <v>1994</v>
      </c>
    </row>
    <row r="1436" customFormat="false" ht="15" hidden="false" customHeight="false" outlineLevel="0" collapsed="false">
      <c r="A1436" s="7" t="s">
        <v>3228</v>
      </c>
      <c r="B1436" s="7" t="n">
        <v>1739.52</v>
      </c>
      <c r="C1436" s="7" t="n">
        <f aca="false">AVERAGE(B1387:B1436)</f>
        <v>1698.3476</v>
      </c>
      <c r="D1436" s="7" t="n">
        <f aca="false">AVERAGE(B1237:B1436)</f>
        <v>1797.1496</v>
      </c>
      <c r="E1436" s="7" t="n">
        <f aca="false">B1436/MAX(B1185:B1436)-1</f>
        <v>-0.115953813628232</v>
      </c>
      <c r="F1436" s="7" t="str">
        <f aca="false">IFERROR(INDEX(02_轉折點45個!B:B,MATCH(A1436,02_轉折點45個!A:A,0)),"")</f>
        <v/>
      </c>
      <c r="G1436" s="7" t="s">
        <v>1994</v>
      </c>
    </row>
    <row r="1437" customFormat="false" ht="15" hidden="false" customHeight="false" outlineLevel="0" collapsed="false">
      <c r="A1437" s="7" t="s">
        <v>3229</v>
      </c>
      <c r="B1437" s="7" t="n">
        <v>1745.01</v>
      </c>
      <c r="C1437" s="7" t="n">
        <f aca="false">AVERAGE(B1388:B1437)</f>
        <v>1697.8866</v>
      </c>
      <c r="D1437" s="7" t="n">
        <f aca="false">AVERAGE(B1238:B1437)</f>
        <v>1796.7854</v>
      </c>
      <c r="E1437" s="7" t="n">
        <f aca="false">B1437/MAX(B1186:B1437)-1</f>
        <v>-0.113163725809075</v>
      </c>
      <c r="F1437" s="7" t="str">
        <f aca="false">IFERROR(INDEX(02_轉折點45個!B:B,MATCH(A1437,02_轉折點45個!A:A,0)),"")</f>
        <v/>
      </c>
      <c r="G1437" s="7" t="s">
        <v>1994</v>
      </c>
    </row>
    <row r="1438" customFormat="false" ht="15" hidden="false" customHeight="false" outlineLevel="0" collapsed="false">
      <c r="A1438" s="7" t="s">
        <v>3230</v>
      </c>
      <c r="B1438" s="7" t="n">
        <v>1743.16</v>
      </c>
      <c r="C1438" s="7" t="n">
        <f aca="false">AVERAGE(B1389:B1438)</f>
        <v>1697.1876</v>
      </c>
      <c r="D1438" s="7" t="n">
        <f aca="false">AVERAGE(B1239:B1438)</f>
        <v>1796.4565</v>
      </c>
      <c r="E1438" s="7" t="n">
        <f aca="false">B1438/MAX(B1187:B1438)-1</f>
        <v>-0.114103919336477</v>
      </c>
      <c r="F1438" s="7" t="str">
        <f aca="false">IFERROR(INDEX(02_轉折點45個!B:B,MATCH(A1438,02_轉折點45個!A:A,0)),"")</f>
        <v/>
      </c>
      <c r="G1438" s="7" t="s">
        <v>1994</v>
      </c>
    </row>
    <row r="1439" customFormat="false" ht="15" hidden="false" customHeight="false" outlineLevel="0" collapsed="false">
      <c r="A1439" s="7" t="s">
        <v>3231</v>
      </c>
      <c r="B1439" s="7" t="n">
        <v>1755.14</v>
      </c>
      <c r="C1439" s="7" t="n">
        <f aca="false">AVERAGE(B1390:B1439)</f>
        <v>1696.9</v>
      </c>
      <c r="D1439" s="7" t="n">
        <f aca="false">AVERAGE(B1240:B1439)</f>
        <v>1796.27805</v>
      </c>
      <c r="E1439" s="7" t="n">
        <f aca="false">B1439/MAX(B1188:B1439)-1</f>
        <v>-0.108015530980647</v>
      </c>
      <c r="F1439" s="7" t="str">
        <f aca="false">IFERROR(INDEX(02_轉折點45個!B:B,MATCH(A1439,02_轉折點45個!A:A,0)),"")</f>
        <v/>
      </c>
      <c r="G1439" s="7" t="s">
        <v>1994</v>
      </c>
    </row>
    <row r="1440" customFormat="false" ht="15" hidden="false" customHeight="false" outlineLevel="0" collapsed="false">
      <c r="A1440" s="7" t="s">
        <v>3232</v>
      </c>
      <c r="B1440" s="7" t="n">
        <v>1722.73</v>
      </c>
      <c r="C1440" s="7" t="n">
        <f aca="false">AVERAGE(B1391:B1440)</f>
        <v>1696.0604</v>
      </c>
      <c r="D1440" s="7" t="n">
        <f aca="false">AVERAGE(B1241:B1440)</f>
        <v>1795.8985</v>
      </c>
      <c r="E1440" s="7" t="n">
        <f aca="false">B1440/MAX(B1189:B1440)-1</f>
        <v>-0.12448670515531</v>
      </c>
      <c r="F1440" s="7" t="str">
        <f aca="false">IFERROR(INDEX(02_轉折點45個!B:B,MATCH(A1440,02_轉折點45個!A:A,0)),"")</f>
        <v/>
      </c>
      <c r="G1440" s="7" t="s">
        <v>1994</v>
      </c>
    </row>
    <row r="1441" customFormat="false" ht="15" hidden="false" customHeight="false" outlineLevel="0" collapsed="false">
      <c r="A1441" s="7" t="s">
        <v>3233</v>
      </c>
      <c r="B1441" s="7" t="n">
        <v>1723.39</v>
      </c>
      <c r="C1441" s="7" t="n">
        <f aca="false">AVERAGE(B1392:B1441)</f>
        <v>1695.5406</v>
      </c>
      <c r="D1441" s="7" t="n">
        <f aca="false">AVERAGE(B1242:B1441)</f>
        <v>1795.66375</v>
      </c>
      <c r="E1441" s="7" t="n">
        <f aca="false">B1441/MAX(B1190:B1441)-1</f>
        <v>-0.12415128476175</v>
      </c>
      <c r="F1441" s="7" t="str">
        <f aca="false">IFERROR(INDEX(02_轉折點45個!B:B,MATCH(A1441,02_轉折點45個!A:A,0)),"")</f>
        <v/>
      </c>
      <c r="G1441" s="7" t="s">
        <v>1994</v>
      </c>
    </row>
    <row r="1442" customFormat="false" ht="15" hidden="false" customHeight="false" outlineLevel="0" collapsed="false">
      <c r="A1442" s="7" t="s">
        <v>3234</v>
      </c>
      <c r="B1442" s="7" t="n">
        <v>1717.04</v>
      </c>
      <c r="C1442" s="7" t="n">
        <f aca="false">AVERAGE(B1393:B1442)</f>
        <v>1694.9334</v>
      </c>
      <c r="D1442" s="7" t="n">
        <f aca="false">AVERAGE(B1243:B1442)</f>
        <v>1795.34685</v>
      </c>
      <c r="E1442" s="7" t="n">
        <f aca="false">B1442/MAX(B1191:B1442)-1</f>
        <v>-0.12737843551797</v>
      </c>
      <c r="F1442" s="7" t="str">
        <f aca="false">IFERROR(INDEX(02_轉折點45個!B:B,MATCH(A1442,02_轉折點45個!A:A,0)),"")</f>
        <v/>
      </c>
      <c r="G1442" s="7" t="s">
        <v>1994</v>
      </c>
    </row>
    <row r="1443" customFormat="false" ht="15" hidden="false" customHeight="false" outlineLevel="0" collapsed="false">
      <c r="A1443" s="7" t="s">
        <v>3235</v>
      </c>
      <c r="B1443" s="7" t="n">
        <v>1699.14</v>
      </c>
      <c r="C1443" s="7" t="n">
        <f aca="false">AVERAGE(B1394:B1443)</f>
        <v>1694.5084</v>
      </c>
      <c r="D1443" s="7" t="n">
        <f aca="false">AVERAGE(B1244:B1443)</f>
        <v>1795.1256</v>
      </c>
      <c r="E1443" s="7" t="n">
        <f aca="false">B1443/MAX(B1192:B1443)-1</f>
        <v>-0.13647544316149</v>
      </c>
      <c r="F1443" s="7" t="str">
        <f aca="false">IFERROR(INDEX(02_轉折點45個!B:B,MATCH(A1443,02_轉折點45個!A:A,0)),"")</f>
        <v/>
      </c>
      <c r="G1443" s="7" t="s">
        <v>1994</v>
      </c>
    </row>
    <row r="1444" customFormat="false" ht="15" hidden="false" customHeight="false" outlineLevel="0" collapsed="false">
      <c r="A1444" s="7" t="s">
        <v>3236</v>
      </c>
      <c r="B1444" s="7" t="n">
        <v>1708.26</v>
      </c>
      <c r="C1444" s="7" t="n">
        <f aca="false">AVERAGE(B1395:B1444)</f>
        <v>1694.2532</v>
      </c>
      <c r="D1444" s="7" t="n">
        <f aca="false">AVERAGE(B1245:B1444)</f>
        <v>1794.9667</v>
      </c>
      <c r="E1444" s="7" t="n">
        <f aca="false">B1444/MAX(B1193:B1444)-1</f>
        <v>-0.131840543177753</v>
      </c>
      <c r="F1444" s="7" t="str">
        <f aca="false">IFERROR(INDEX(02_轉折點45個!B:B,MATCH(A1444,02_轉折點45個!A:A,0)),"")</f>
        <v/>
      </c>
      <c r="G1444" s="7" t="s">
        <v>1994</v>
      </c>
    </row>
    <row r="1445" customFormat="false" ht="15" hidden="false" customHeight="false" outlineLevel="0" collapsed="false">
      <c r="A1445" s="7" t="s">
        <v>3237</v>
      </c>
      <c r="B1445" s="7" t="n">
        <v>1730.25</v>
      </c>
      <c r="C1445" s="7" t="n">
        <f aca="false">AVERAGE(B1396:B1445)</f>
        <v>1693.8306</v>
      </c>
      <c r="D1445" s="7" t="n">
        <f aca="false">AVERAGE(B1246:B1445)</f>
        <v>1794.7457</v>
      </c>
      <c r="E1445" s="7" t="n">
        <f aca="false">B1445/MAX(B1194:B1445)-1</f>
        <v>-0.120664945519597</v>
      </c>
      <c r="F1445" s="7" t="str">
        <f aca="false">IFERROR(INDEX(02_轉折點45個!B:B,MATCH(A1445,02_轉折點45個!A:A,0)),"")</f>
        <v/>
      </c>
      <c r="G1445" s="7" t="s">
        <v>1994</v>
      </c>
    </row>
    <row r="1446" customFormat="false" ht="15" hidden="false" customHeight="false" outlineLevel="0" collapsed="false">
      <c r="A1446" s="7" t="s">
        <v>3238</v>
      </c>
      <c r="B1446" s="7" t="n">
        <v>1732.9</v>
      </c>
      <c r="C1446" s="7" t="n">
        <f aca="false">AVERAGE(B1397:B1446)</f>
        <v>1694.2412</v>
      </c>
      <c r="D1446" s="7" t="n">
        <f aca="false">AVERAGE(B1247:B1446)</f>
        <v>1794.50745</v>
      </c>
      <c r="E1446" s="7" t="n">
        <f aca="false">B1446/MAX(B1195:B1446)-1</f>
        <v>-0.119318181818182</v>
      </c>
      <c r="F1446" s="7" t="str">
        <f aca="false">IFERROR(INDEX(02_轉折點45個!B:B,MATCH(A1446,02_轉折點45個!A:A,0)),"")</f>
        <v/>
      </c>
      <c r="G1446" s="7" t="s">
        <v>1994</v>
      </c>
    </row>
    <row r="1447" customFormat="false" ht="15" hidden="false" customHeight="false" outlineLevel="0" collapsed="false">
      <c r="A1447" s="7" t="s">
        <v>560</v>
      </c>
      <c r="B1447" s="7" t="n">
        <v>1774.34</v>
      </c>
      <c r="C1447" s="7" t="n">
        <f aca="false">AVERAGE(B1398:B1447)</f>
        <v>1695.2122</v>
      </c>
      <c r="D1447" s="7" t="n">
        <f aca="false">AVERAGE(B1248:B1447)</f>
        <v>1794.6168</v>
      </c>
      <c r="E1447" s="7" t="n">
        <f aca="false">B1447/MAX(B1196:B1447)-1</f>
        <v>-0.0982578468043585</v>
      </c>
      <c r="F1447" s="7" t="str">
        <f aca="false">IFERROR(INDEX(02_轉折點45個!B:B,MATCH(A1447,02_轉折點45個!A:A,0)),"")</f>
        <v/>
      </c>
      <c r="G1447" s="7" t="s">
        <v>1994</v>
      </c>
    </row>
    <row r="1448" customFormat="false" ht="15" hidden="false" customHeight="false" outlineLevel="0" collapsed="false">
      <c r="A1448" s="7" t="s">
        <v>561</v>
      </c>
      <c r="B1448" s="7" t="n">
        <v>1783.66</v>
      </c>
      <c r="C1448" s="7" t="n">
        <f aca="false">AVERAGE(B1399:B1448)</f>
        <v>1697.0998</v>
      </c>
      <c r="D1448" s="7" t="n">
        <f aca="false">AVERAGE(B1249:B1448)</f>
        <v>1794.7452</v>
      </c>
      <c r="E1448" s="7" t="n">
        <f aca="false">B1448/MAX(B1197:B1448)-1</f>
        <v>-0.0935213042771182</v>
      </c>
      <c r="F1448" s="7" t="str">
        <f aca="false">IFERROR(INDEX(02_轉折點45個!B:B,MATCH(A1448,02_轉折點45個!A:A,0)),"")</f>
        <v/>
      </c>
      <c r="G1448" s="7" t="s">
        <v>1994</v>
      </c>
    </row>
    <row r="1449" customFormat="false" ht="15" hidden="false" customHeight="false" outlineLevel="0" collapsed="false">
      <c r="A1449" s="7" t="s">
        <v>3239</v>
      </c>
      <c r="B1449" s="7" t="n">
        <v>1786.49</v>
      </c>
      <c r="C1449" s="7" t="n">
        <f aca="false">AVERAGE(B1400:B1449)</f>
        <v>1699.228</v>
      </c>
      <c r="D1449" s="7" t="n">
        <f aca="false">AVERAGE(B1250:B1449)</f>
        <v>1794.9013</v>
      </c>
      <c r="E1449" s="7" t="n">
        <f aca="false">B1449/MAX(B1198:B1449)-1</f>
        <v>-0.0920830622865507</v>
      </c>
      <c r="F1449" s="7" t="str">
        <f aca="false">IFERROR(INDEX(02_轉折點45個!B:B,MATCH(A1449,02_轉折點45個!A:A,0)),"")</f>
        <v/>
      </c>
      <c r="G1449" s="7" t="s">
        <v>1994</v>
      </c>
    </row>
    <row r="1450" customFormat="false" ht="15" hidden="false" customHeight="false" outlineLevel="0" collapsed="false">
      <c r="A1450" s="7" t="s">
        <v>562</v>
      </c>
      <c r="B1450" s="7" t="n">
        <v>1800.68</v>
      </c>
      <c r="C1450" s="7" t="n">
        <f aca="false">AVERAGE(B1401:B1450)</f>
        <v>1701.0904</v>
      </c>
      <c r="D1450" s="7" t="n">
        <f aca="false">AVERAGE(B1251:B1450)</f>
        <v>1794.96915</v>
      </c>
      <c r="E1450" s="7" t="n">
        <f aca="false">B1450/MAX(B1199:B1450)-1</f>
        <v>-0.0848715238250122</v>
      </c>
      <c r="F1450" s="7" t="str">
        <f aca="false">IFERROR(INDEX(02_轉折點45個!B:B,MATCH(A1450,02_轉折點45個!A:A,0)),"")</f>
        <v/>
      </c>
      <c r="G1450" s="7" t="s">
        <v>1994</v>
      </c>
    </row>
    <row r="1451" customFormat="false" ht="15" hidden="false" customHeight="false" outlineLevel="0" collapsed="false">
      <c r="A1451" s="7" t="s">
        <v>563</v>
      </c>
      <c r="B1451" s="7" t="n">
        <v>1780.11</v>
      </c>
      <c r="C1451" s="7" t="n">
        <f aca="false">AVERAGE(B1402:B1451)</f>
        <v>1702.7394</v>
      </c>
      <c r="D1451" s="7" t="n">
        <f aca="false">AVERAGE(B1252:B1451)</f>
        <v>1794.9577</v>
      </c>
      <c r="E1451" s="7" t="n">
        <f aca="false">B1451/MAX(B1200:B1451)-1</f>
        <v>-0.0953254594242967</v>
      </c>
      <c r="F1451" s="7" t="str">
        <f aca="false">IFERROR(INDEX(02_轉折點45個!B:B,MATCH(A1451,02_轉折點45個!A:A,0)),"")</f>
        <v/>
      </c>
      <c r="G1451" s="7" t="s">
        <v>1994</v>
      </c>
    </row>
    <row r="1452" customFormat="false" ht="15" hidden="false" customHeight="false" outlineLevel="0" collapsed="false">
      <c r="A1452" s="7" t="s">
        <v>3240</v>
      </c>
      <c r="B1452" s="7" t="n">
        <v>1754.03</v>
      </c>
      <c r="C1452" s="7" t="n">
        <f aca="false">AVERAGE(B1403:B1452)</f>
        <v>1703.4504</v>
      </c>
      <c r="D1452" s="7" t="n">
        <f aca="false">AVERAGE(B1253:B1452)</f>
        <v>1794.794</v>
      </c>
      <c r="E1452" s="7" t="n">
        <f aca="false">B1452/MAX(B1201:B1452)-1</f>
        <v>-0.108579647097089</v>
      </c>
      <c r="F1452" s="7" t="str">
        <f aca="false">IFERROR(INDEX(02_轉折點45個!B:B,MATCH(A1452,02_轉折點45個!A:A,0)),"")</f>
        <v/>
      </c>
      <c r="G1452" s="7" t="s">
        <v>1994</v>
      </c>
    </row>
    <row r="1453" customFormat="false" ht="15" hidden="false" customHeight="false" outlineLevel="0" collapsed="false">
      <c r="A1453" s="7" t="s">
        <v>3241</v>
      </c>
      <c r="B1453" s="7" t="n">
        <v>1762.06</v>
      </c>
      <c r="C1453" s="7" t="n">
        <f aca="false">AVERAGE(B1404:B1453)</f>
        <v>1704.2068</v>
      </c>
      <c r="D1453" s="7" t="n">
        <f aca="false">AVERAGE(B1254:B1453)</f>
        <v>1794.5838</v>
      </c>
      <c r="E1453" s="7" t="n">
        <f aca="false">B1453/MAX(B1202:B1453)-1</f>
        <v>-0.104498698975443</v>
      </c>
      <c r="F1453" s="7" t="str">
        <f aca="false">IFERROR(INDEX(02_轉折點45個!B:B,MATCH(A1453,02_轉折點45個!A:A,0)),"")</f>
        <v/>
      </c>
      <c r="G1453" s="7" t="s">
        <v>1994</v>
      </c>
    </row>
    <row r="1454" customFormat="false" ht="15" hidden="false" customHeight="false" outlineLevel="0" collapsed="false">
      <c r="A1454" s="7" t="s">
        <v>3242</v>
      </c>
      <c r="B1454" s="7" t="n">
        <v>1758.78</v>
      </c>
      <c r="C1454" s="7" t="n">
        <f aca="false">AVERAGE(B1405:B1454)</f>
        <v>1704.8112</v>
      </c>
      <c r="D1454" s="7" t="n">
        <f aca="false">AVERAGE(B1255:B1454)</f>
        <v>1794.38255</v>
      </c>
      <c r="E1454" s="7" t="n">
        <f aca="false">B1454/MAX(B1203:B1454)-1</f>
        <v>-0.106165636688893</v>
      </c>
      <c r="F1454" s="7" t="str">
        <f aca="false">IFERROR(INDEX(02_轉折點45個!B:B,MATCH(A1454,02_轉折點45個!A:A,0)),"")</f>
        <v/>
      </c>
      <c r="G1454" s="7" t="s">
        <v>1994</v>
      </c>
    </row>
    <row r="1455" customFormat="false" ht="15" hidden="false" customHeight="false" outlineLevel="0" collapsed="false">
      <c r="A1455" s="7" t="s">
        <v>3243</v>
      </c>
      <c r="B1455" s="7" t="n">
        <v>1754.54</v>
      </c>
      <c r="C1455" s="7" t="n">
        <f aca="false">AVERAGE(B1406:B1455)</f>
        <v>1705.9276</v>
      </c>
      <c r="D1455" s="7" t="n">
        <f aca="false">AVERAGE(B1256:B1455)</f>
        <v>1794.1422</v>
      </c>
      <c r="E1455" s="7" t="n">
        <f aca="false">B1455/MAX(B1204:B1455)-1</f>
        <v>-0.108320458611156</v>
      </c>
      <c r="F1455" s="7" t="str">
        <f aca="false">IFERROR(INDEX(02_轉折點45個!B:B,MATCH(A1455,02_轉折點45個!A:A,0)),"")</f>
        <v/>
      </c>
      <c r="G1455" s="7" t="s">
        <v>1994</v>
      </c>
    </row>
    <row r="1456" customFormat="false" ht="15" hidden="false" customHeight="false" outlineLevel="0" collapsed="false">
      <c r="A1456" s="7" t="s">
        <v>3244</v>
      </c>
      <c r="B1456" s="7" t="n">
        <v>1738.55</v>
      </c>
      <c r="C1456" s="7" t="n">
        <f aca="false">AVERAGE(B1407:B1456)</f>
        <v>1706.804</v>
      </c>
      <c r="D1456" s="7" t="n">
        <f aca="false">AVERAGE(B1257:B1456)</f>
        <v>1793.6696</v>
      </c>
      <c r="E1456" s="7" t="n">
        <f aca="false">B1456/MAX(B1205:B1456)-1</f>
        <v>-0.116446779964222</v>
      </c>
      <c r="F1456" s="7" t="str">
        <f aca="false">IFERROR(INDEX(02_轉折點45個!B:B,MATCH(A1456,02_轉折點45個!A:A,0)),"")</f>
        <v/>
      </c>
      <c r="G1456" s="7" t="s">
        <v>1994</v>
      </c>
    </row>
    <row r="1457" customFormat="false" ht="15" hidden="false" customHeight="false" outlineLevel="0" collapsed="false">
      <c r="A1457" s="7" t="s">
        <v>3245</v>
      </c>
      <c r="B1457" s="7" t="n">
        <v>1746.29</v>
      </c>
      <c r="C1457" s="7" t="n">
        <f aca="false">AVERAGE(B1408:B1457)</f>
        <v>1708.446</v>
      </c>
      <c r="D1457" s="7" t="n">
        <f aca="false">AVERAGE(B1258:B1457)</f>
        <v>1793.2202</v>
      </c>
      <c r="E1457" s="7" t="n">
        <f aca="false">B1457/MAX(B1206:B1457)-1</f>
        <v>-0.112513213530655</v>
      </c>
      <c r="F1457" s="7" t="str">
        <f aca="false">IFERROR(INDEX(02_轉折點45個!B:B,MATCH(A1457,02_轉折點45個!A:A,0)),"")</f>
        <v/>
      </c>
      <c r="G1457" s="7" t="s">
        <v>1994</v>
      </c>
    </row>
    <row r="1458" customFormat="false" ht="15" hidden="false" customHeight="false" outlineLevel="0" collapsed="false">
      <c r="A1458" s="7" t="s">
        <v>3246</v>
      </c>
      <c r="B1458" s="7" t="n">
        <v>1769.15</v>
      </c>
      <c r="C1458" s="7" t="n">
        <f aca="false">AVERAGE(B1409:B1458)</f>
        <v>1711.3626</v>
      </c>
      <c r="D1458" s="7" t="n">
        <f aca="false">AVERAGE(B1259:B1458)</f>
        <v>1792.91485</v>
      </c>
      <c r="E1458" s="7" t="n">
        <f aca="false">B1458/MAX(B1207:B1458)-1</f>
        <v>-0.100895470808261</v>
      </c>
      <c r="F1458" s="7" t="str">
        <f aca="false">IFERROR(INDEX(02_轉折點45個!B:B,MATCH(A1458,02_轉折點45個!A:A,0)),"")</f>
        <v/>
      </c>
      <c r="G1458" s="7" t="s">
        <v>1994</v>
      </c>
    </row>
    <row r="1459" customFormat="false" ht="15" hidden="false" customHeight="false" outlineLevel="0" collapsed="false">
      <c r="A1459" s="7" t="s">
        <v>3247</v>
      </c>
      <c r="B1459" s="7" t="n">
        <v>1756.71</v>
      </c>
      <c r="C1459" s="7" t="n">
        <f aca="false">AVERAGE(B1410:B1459)</f>
        <v>1714.0716</v>
      </c>
      <c r="D1459" s="7" t="n">
        <f aca="false">AVERAGE(B1260:B1459)</f>
        <v>1792.53215</v>
      </c>
      <c r="E1459" s="7" t="n">
        <f aca="false">B1459/MAX(B1208:B1459)-1</f>
        <v>-0.107217637014149</v>
      </c>
      <c r="F1459" s="7" t="str">
        <f aca="false">IFERROR(INDEX(02_轉折點45個!B:B,MATCH(A1459,02_轉折點45個!A:A,0)),"")</f>
        <v/>
      </c>
      <c r="G1459" s="7" t="s">
        <v>1994</v>
      </c>
    </row>
    <row r="1460" customFormat="false" ht="15" hidden="false" customHeight="false" outlineLevel="0" collapsed="false">
      <c r="A1460" s="7" t="s">
        <v>3248</v>
      </c>
      <c r="B1460" s="7" t="n">
        <v>1765.91</v>
      </c>
      <c r="C1460" s="7" t="n">
        <f aca="false">AVERAGE(B1411:B1460)</f>
        <v>1716.3422</v>
      </c>
      <c r="D1460" s="7" t="n">
        <f aca="false">AVERAGE(B1261:B1460)</f>
        <v>1792.00965</v>
      </c>
      <c r="E1460" s="7" t="n">
        <f aca="false">B1460/MAX(B1209:B1460)-1</f>
        <v>-0.10254208001301</v>
      </c>
      <c r="F1460" s="7" t="str">
        <f aca="false">IFERROR(INDEX(02_轉折點45個!B:B,MATCH(A1460,02_轉折點45個!A:A,0)),"")</f>
        <v/>
      </c>
      <c r="G1460" s="7" t="s">
        <v>1994</v>
      </c>
    </row>
    <row r="1461" customFormat="false" ht="15" hidden="false" customHeight="false" outlineLevel="0" collapsed="false">
      <c r="A1461" s="7" t="s">
        <v>564</v>
      </c>
      <c r="B1461" s="7" t="n">
        <v>1784.77</v>
      </c>
      <c r="C1461" s="7" t="n">
        <f aca="false">AVERAGE(B1412:B1461)</f>
        <v>1719.4702</v>
      </c>
      <c r="D1461" s="7" t="n">
        <f aca="false">AVERAGE(B1262:B1461)</f>
        <v>1791.5357</v>
      </c>
      <c r="E1461" s="7" t="n">
        <f aca="false">B1461/MAX(B1210:B1461)-1</f>
        <v>-0.0929571881606766</v>
      </c>
      <c r="F1461" s="7" t="str">
        <f aca="false">IFERROR(INDEX(02_轉折點45個!B:B,MATCH(A1461,02_轉折點45個!A:A,0)),"")</f>
        <v/>
      </c>
      <c r="G1461" s="7" t="s">
        <v>1994</v>
      </c>
    </row>
    <row r="1462" customFormat="false" ht="15" hidden="false" customHeight="false" outlineLevel="0" collapsed="false">
      <c r="A1462" s="7" t="s">
        <v>3249</v>
      </c>
      <c r="B1462" s="7" t="n">
        <v>1749.62</v>
      </c>
      <c r="C1462" s="7" t="n">
        <f aca="false">AVERAGE(B1413:B1462)</f>
        <v>1722.442</v>
      </c>
      <c r="D1462" s="7" t="n">
        <f aca="false">AVERAGE(B1263:B1462)</f>
        <v>1790.79325</v>
      </c>
      <c r="E1462" s="7" t="n">
        <f aca="false">B1462/MAX(B1211:B1462)-1</f>
        <v>-0.11082086518133</v>
      </c>
      <c r="F1462" s="7" t="str">
        <f aca="false">IFERROR(INDEX(02_轉折點45個!B:B,MATCH(A1462,02_轉折點45個!A:A,0)),"")</f>
        <v/>
      </c>
      <c r="G1462" s="7" t="s">
        <v>1994</v>
      </c>
    </row>
    <row r="1463" customFormat="false" ht="15" hidden="false" customHeight="false" outlineLevel="0" collapsed="false">
      <c r="A1463" s="7" t="s">
        <v>3250</v>
      </c>
      <c r="B1463" s="7" t="n">
        <v>1748.61</v>
      </c>
      <c r="C1463" s="7" t="n">
        <f aca="false">AVERAGE(B1414:B1463)</f>
        <v>1725.3072</v>
      </c>
      <c r="D1463" s="7" t="n">
        <f aca="false">AVERAGE(B1264:B1463)</f>
        <v>1789.94265</v>
      </c>
      <c r="E1463" s="7" t="n">
        <f aca="false">B1463/MAX(B1212:B1463)-1</f>
        <v>-0.111334160026021</v>
      </c>
      <c r="F1463" s="7" t="str">
        <f aca="false">IFERROR(INDEX(02_轉折點45個!B:B,MATCH(A1463,02_轉折點45個!A:A,0)),"")</f>
        <v/>
      </c>
      <c r="G1463" s="7" t="s">
        <v>1994</v>
      </c>
    </row>
    <row r="1464" customFormat="false" ht="15" hidden="false" customHeight="false" outlineLevel="0" collapsed="false">
      <c r="A1464" s="7" t="s">
        <v>3251</v>
      </c>
      <c r="B1464" s="7" t="n">
        <v>1762.09</v>
      </c>
      <c r="C1464" s="7" t="n">
        <f aca="false">AVERAGE(B1415:B1464)</f>
        <v>1727.974</v>
      </c>
      <c r="D1464" s="7" t="n">
        <f aca="false">AVERAGE(B1265:B1464)</f>
        <v>1789.22035</v>
      </c>
      <c r="E1464" s="7" t="n">
        <f aca="false">B1464/MAX(B1213:B1464)-1</f>
        <v>-0.104483452593918</v>
      </c>
      <c r="F1464" s="7" t="str">
        <f aca="false">IFERROR(INDEX(02_轉折點45個!B:B,MATCH(A1464,02_轉折點45個!A:A,0)),"")</f>
        <v/>
      </c>
      <c r="G1464" s="7" t="s">
        <v>1994</v>
      </c>
    </row>
    <row r="1465" customFormat="false" ht="15" hidden="false" customHeight="false" outlineLevel="0" collapsed="false">
      <c r="A1465" s="7" t="s">
        <v>565</v>
      </c>
      <c r="B1465" s="7" t="n">
        <v>1799.73</v>
      </c>
      <c r="C1465" s="7" t="n">
        <f aca="false">AVERAGE(B1416:B1465)</f>
        <v>1731.1668</v>
      </c>
      <c r="D1465" s="7" t="n">
        <f aca="false">AVERAGE(B1266:B1465)</f>
        <v>1788.5727</v>
      </c>
      <c r="E1465" s="7" t="n">
        <f aca="false">B1465/MAX(B1214:B1465)-1</f>
        <v>-0.0853543259066515</v>
      </c>
      <c r="F1465" s="7" t="str">
        <f aca="false">IFERROR(INDEX(02_轉折點45個!B:B,MATCH(A1465,02_轉折點45個!A:A,0)),"")</f>
        <v/>
      </c>
      <c r="G1465" s="7" t="s">
        <v>1994</v>
      </c>
    </row>
    <row r="1466" customFormat="false" ht="15" hidden="false" customHeight="false" outlineLevel="0" collapsed="false">
      <c r="A1466" s="7" t="s">
        <v>566</v>
      </c>
      <c r="B1466" s="7" t="n">
        <v>1804.98</v>
      </c>
      <c r="C1466" s="7" t="n">
        <f aca="false">AVERAGE(B1417:B1466)</f>
        <v>1733.8046</v>
      </c>
      <c r="D1466" s="7" t="n">
        <f aca="false">AVERAGE(B1267:B1466)</f>
        <v>1788.02135</v>
      </c>
      <c r="E1466" s="7" t="n">
        <f aca="false">B1466/MAX(B1215:B1466)-1</f>
        <v>-0.0826862091396975</v>
      </c>
      <c r="F1466" s="7" t="str">
        <f aca="false">IFERROR(INDEX(02_轉折點45個!B:B,MATCH(A1466,02_轉折點45個!A:A,0)),"")</f>
        <v/>
      </c>
      <c r="G1466" s="7" t="s">
        <v>1994</v>
      </c>
    </row>
    <row r="1467" customFormat="false" ht="15" hidden="false" customHeight="false" outlineLevel="0" collapsed="false">
      <c r="A1467" s="7" t="s">
        <v>3252</v>
      </c>
      <c r="B1467" s="7" t="n">
        <v>1804.3</v>
      </c>
      <c r="C1467" s="7" t="n">
        <f aca="false">AVERAGE(B1418:B1467)</f>
        <v>1736.6386</v>
      </c>
      <c r="D1467" s="7" t="n">
        <f aca="false">AVERAGE(B1268:B1467)</f>
        <v>1787.3995</v>
      </c>
      <c r="E1467" s="7" t="n">
        <f aca="false">B1467/MAX(B1216:B1467)-1</f>
        <v>-0.0830317937876078</v>
      </c>
      <c r="F1467" s="7" t="str">
        <f aca="false">IFERROR(INDEX(02_轉折點45個!B:B,MATCH(A1467,02_轉折點45個!A:A,0)),"")</f>
        <v/>
      </c>
      <c r="G1467" s="7" t="s">
        <v>1994</v>
      </c>
    </row>
    <row r="1468" customFormat="false" ht="15" hidden="false" customHeight="false" outlineLevel="0" collapsed="false">
      <c r="A1468" s="7" t="s">
        <v>567</v>
      </c>
      <c r="B1468" s="7" t="n">
        <v>1808.76</v>
      </c>
      <c r="C1468" s="7" t="n">
        <f aca="false">AVERAGE(B1419:B1468)</f>
        <v>1739.2306</v>
      </c>
      <c r="D1468" s="7" t="n">
        <f aca="false">AVERAGE(B1269:B1468)</f>
        <v>1786.8093</v>
      </c>
      <c r="E1468" s="7" t="n">
        <f aca="false">B1468/MAX(B1217:B1468)-1</f>
        <v>-0.0807651650674907</v>
      </c>
      <c r="F1468" s="7" t="str">
        <f aca="false">IFERROR(INDEX(02_轉折點45個!B:B,MATCH(A1468,02_轉折點45個!A:A,0)),"")</f>
        <v/>
      </c>
      <c r="G1468" s="7" t="s">
        <v>1994</v>
      </c>
    </row>
    <row r="1469" customFormat="false" ht="15" hidden="false" customHeight="false" outlineLevel="0" collapsed="false">
      <c r="A1469" s="7" t="s">
        <v>568</v>
      </c>
      <c r="B1469" s="7" t="n">
        <v>1813.25</v>
      </c>
      <c r="C1469" s="7" t="n">
        <f aca="false">AVERAGE(B1420:B1469)</f>
        <v>1741.8998</v>
      </c>
      <c r="D1469" s="7" t="n">
        <f aca="false">AVERAGE(B1270:B1469)</f>
        <v>1786.0982</v>
      </c>
      <c r="E1469" s="7" t="n">
        <f aca="false">B1469/MAX(B1218:B1469)-1</f>
        <v>-0.0784832899658481</v>
      </c>
      <c r="F1469" s="7" t="str">
        <f aca="false">IFERROR(INDEX(02_轉折點45個!B:B,MATCH(A1469,02_轉折點45個!A:A,0)),"")</f>
        <v/>
      </c>
      <c r="G1469" s="7" t="s">
        <v>1994</v>
      </c>
    </row>
    <row r="1470" customFormat="false" ht="15" hidden="false" customHeight="false" outlineLevel="0" collapsed="false">
      <c r="A1470" s="7" t="s">
        <v>3253</v>
      </c>
      <c r="B1470" s="7" t="n">
        <v>1831.1</v>
      </c>
      <c r="C1470" s="7" t="n">
        <f aca="false">AVERAGE(B1421:B1470)</f>
        <v>1744.9592</v>
      </c>
      <c r="D1470" s="7" t="n">
        <f aca="false">AVERAGE(B1271:B1470)</f>
        <v>1785.442</v>
      </c>
      <c r="E1470" s="7" t="n">
        <f aca="false">B1470/MAX(B1219:B1470)-1</f>
        <v>-0.0694116929582047</v>
      </c>
      <c r="F1470" s="7" t="str">
        <f aca="false">IFERROR(INDEX(02_轉折點45個!B:B,MATCH(A1470,02_轉折點45個!A:A,0)),"")</f>
        <v/>
      </c>
      <c r="G1470" s="7" t="s">
        <v>1994</v>
      </c>
    </row>
    <row r="1471" customFormat="false" ht="15" hidden="false" customHeight="false" outlineLevel="0" collapsed="false">
      <c r="A1471" s="7" t="s">
        <v>3254</v>
      </c>
      <c r="B1471" s="7" t="n">
        <v>1848.73</v>
      </c>
      <c r="C1471" s="7" t="n">
        <f aca="false">AVERAGE(B1422:B1471)</f>
        <v>1747.9358</v>
      </c>
      <c r="D1471" s="7" t="n">
        <f aca="false">AVERAGE(B1272:B1471)</f>
        <v>1784.89925</v>
      </c>
      <c r="E1471" s="7" t="n">
        <f aca="false">B1471/MAX(B1220:B1471)-1</f>
        <v>-0.0604519027484144</v>
      </c>
      <c r="F1471" s="7" t="str">
        <f aca="false">IFERROR(INDEX(02_轉折點45個!B:B,MATCH(A1471,02_轉折點45個!A:A,0)),"")</f>
        <v/>
      </c>
      <c r="G1471" s="7" t="s">
        <v>1994</v>
      </c>
    </row>
    <row r="1472" customFormat="false" ht="15" hidden="false" customHeight="false" outlineLevel="0" collapsed="false">
      <c r="A1472" s="7" t="s">
        <v>3255</v>
      </c>
      <c r="B1472" s="7" t="n">
        <v>1862.72</v>
      </c>
      <c r="C1472" s="7" t="n">
        <f aca="false">AVERAGE(B1423:B1472)</f>
        <v>1751.3346</v>
      </c>
      <c r="D1472" s="7" t="n">
        <f aca="false">AVERAGE(B1273:B1472)</f>
        <v>1784.5335</v>
      </c>
      <c r="E1472" s="7" t="n">
        <f aca="false">B1472/MAX(B1221:B1472)-1</f>
        <v>-0.0533420068303789</v>
      </c>
      <c r="F1472" s="7" t="str">
        <f aca="false">IFERROR(INDEX(02_轉折點45個!B:B,MATCH(A1472,02_轉折點45個!A:A,0)),"")</f>
        <v/>
      </c>
      <c r="G1472" s="7" t="s">
        <v>1994</v>
      </c>
    </row>
    <row r="1473" customFormat="false" ht="15" hidden="false" customHeight="false" outlineLevel="0" collapsed="false">
      <c r="A1473" s="7" t="s">
        <v>3256</v>
      </c>
      <c r="B1473" s="7" t="n">
        <v>1863</v>
      </c>
      <c r="C1473" s="7" t="n">
        <f aca="false">AVERAGE(B1424:B1473)</f>
        <v>1754.5716</v>
      </c>
      <c r="D1473" s="7" t="n">
        <f aca="false">AVERAGE(B1274:B1473)</f>
        <v>1784.14695</v>
      </c>
      <c r="E1473" s="7" t="n">
        <f aca="false">B1473/MAX(B1222:B1473)-1</f>
        <v>-0.0531997072694748</v>
      </c>
      <c r="F1473" s="7" t="str">
        <f aca="false">IFERROR(INDEX(02_轉折點45個!B:B,MATCH(A1473,02_轉折點45個!A:A,0)),"")</f>
        <v/>
      </c>
      <c r="G1473" s="7" t="s">
        <v>1994</v>
      </c>
    </row>
    <row r="1474" customFormat="false" ht="15" hidden="false" customHeight="false" outlineLevel="0" collapsed="false">
      <c r="A1474" s="7" t="s">
        <v>3257</v>
      </c>
      <c r="B1474" s="7" t="n">
        <v>1866.73</v>
      </c>
      <c r="C1474" s="7" t="n">
        <f aca="false">AVERAGE(B1425:B1474)</f>
        <v>1758.3508</v>
      </c>
      <c r="D1474" s="7" t="n">
        <f aca="false">AVERAGE(B1275:B1474)</f>
        <v>1783.6422</v>
      </c>
      <c r="E1474" s="7" t="n">
        <f aca="false">B1474/MAX(B1223:B1474)-1</f>
        <v>-0.0513040738331436</v>
      </c>
      <c r="F1474" s="7" t="str">
        <f aca="false">IFERROR(INDEX(02_轉折點45個!B:B,MATCH(A1474,02_轉折點45個!A:A,0)),"")</f>
        <v/>
      </c>
      <c r="G1474" s="7" t="s">
        <v>1994</v>
      </c>
    </row>
    <row r="1475" customFormat="false" ht="15" hidden="false" customHeight="false" outlineLevel="0" collapsed="false">
      <c r="A1475" s="7" t="s">
        <v>3258</v>
      </c>
      <c r="B1475" s="7" t="n">
        <v>1858.72</v>
      </c>
      <c r="C1475" s="7" t="n">
        <f aca="false">AVERAGE(B1426:B1475)</f>
        <v>1761.9404</v>
      </c>
      <c r="D1475" s="7" t="n">
        <f aca="false">AVERAGE(B1276:B1475)</f>
        <v>1783.27</v>
      </c>
      <c r="E1475" s="7" t="n">
        <f aca="false">B1475/MAX(B1224:B1475)-1</f>
        <v>-0.0553748577004392</v>
      </c>
      <c r="F1475" s="7" t="str">
        <f aca="false">IFERROR(INDEX(02_轉折點45個!B:B,MATCH(A1475,02_轉折點45個!A:A,0)),"")</f>
        <v/>
      </c>
      <c r="G1475" s="7" t="s">
        <v>1994</v>
      </c>
    </row>
    <row r="1476" customFormat="false" ht="15" hidden="false" customHeight="false" outlineLevel="0" collapsed="false">
      <c r="A1476" s="7" t="s">
        <v>3259</v>
      </c>
      <c r="B1476" s="7" t="n">
        <v>1883.12</v>
      </c>
      <c r="C1476" s="7" t="n">
        <f aca="false">AVERAGE(B1427:B1476)</f>
        <v>1765.7932</v>
      </c>
      <c r="D1476" s="7" t="n">
        <f aca="false">AVERAGE(B1277:B1476)</f>
        <v>1783.19645</v>
      </c>
      <c r="E1476" s="7" t="n">
        <f aca="false">B1476/MAX(B1225:B1476)-1</f>
        <v>-0.0429744673930721</v>
      </c>
      <c r="F1476" s="7" t="str">
        <f aca="false">IFERROR(INDEX(02_轉折點45個!B:B,MATCH(A1476,02_轉折點45個!A:A,0)),"")</f>
        <v/>
      </c>
      <c r="G1476" s="7" t="s">
        <v>1994</v>
      </c>
    </row>
    <row r="1477" customFormat="false" ht="15" hidden="false" customHeight="false" outlineLevel="0" collapsed="false">
      <c r="A1477" s="7" t="s">
        <v>3260</v>
      </c>
      <c r="B1477" s="7" t="n">
        <v>1905.11</v>
      </c>
      <c r="C1477" s="7" t="n">
        <f aca="false">AVERAGE(B1428:B1477)</f>
        <v>1769.6652</v>
      </c>
      <c r="D1477" s="7" t="n">
        <f aca="false">AVERAGE(B1278:B1477)</f>
        <v>1783.2746</v>
      </c>
      <c r="E1477" s="7" t="n">
        <f aca="false">B1477/MAX(B1226:B1477)-1</f>
        <v>-0.0317988697349163</v>
      </c>
      <c r="F1477" s="7" t="str">
        <f aca="false">IFERROR(INDEX(02_轉折點45個!B:B,MATCH(A1477,02_轉折點45個!A:A,0)),"")</f>
        <v/>
      </c>
      <c r="G1477" s="7" t="s">
        <v>1994</v>
      </c>
    </row>
    <row r="1478" customFormat="false" ht="15" hidden="false" customHeight="false" outlineLevel="0" collapsed="false">
      <c r="A1478" s="7" t="s">
        <v>3261</v>
      </c>
      <c r="B1478" s="7" t="n">
        <v>1913.1</v>
      </c>
      <c r="C1478" s="7" t="n">
        <f aca="false">AVERAGE(B1429:B1478)</f>
        <v>1774.2258</v>
      </c>
      <c r="D1478" s="7" t="n">
        <f aca="false">AVERAGE(B1279:B1478)</f>
        <v>1783.4022</v>
      </c>
      <c r="E1478" s="7" t="n">
        <f aca="false">B1478/MAX(B1227:B1478)-1</f>
        <v>-0.0277382501219712</v>
      </c>
      <c r="F1478" s="7" t="str">
        <f aca="false">IFERROR(INDEX(02_轉折點45個!B:B,MATCH(A1478,02_轉折點45個!A:A,0)),"")</f>
        <v/>
      </c>
      <c r="G1478" s="7" t="s">
        <v>1994</v>
      </c>
    </row>
    <row r="1479" customFormat="false" ht="15" hidden="false" customHeight="false" outlineLevel="0" collapsed="false">
      <c r="A1479" s="7" t="s">
        <v>3262</v>
      </c>
      <c r="B1479" s="7" t="n">
        <v>1898.97</v>
      </c>
      <c r="C1479" s="7" t="n">
        <f aca="false">AVERAGE(B1430:B1479)</f>
        <v>1778.2466</v>
      </c>
      <c r="D1479" s="7" t="n">
        <f aca="false">AVERAGE(B1280:B1479)</f>
        <v>1783.47285</v>
      </c>
      <c r="E1479" s="7" t="n">
        <f aca="false">B1479/MAX(B1228:B1479)-1</f>
        <v>-0.0349192958204586</v>
      </c>
      <c r="F1479" s="7" t="str">
        <f aca="false">IFERROR(INDEX(02_轉折點45個!B:B,MATCH(A1479,02_轉折點45個!A:A,0)),"")</f>
        <v/>
      </c>
      <c r="G1479" s="7" t="s">
        <v>1994</v>
      </c>
    </row>
    <row r="1480" customFormat="false" ht="15" hidden="false" customHeight="false" outlineLevel="0" collapsed="false">
      <c r="A1480" s="7" t="s">
        <v>3263</v>
      </c>
      <c r="B1480" s="7" t="n">
        <v>1918.21</v>
      </c>
      <c r="C1480" s="7" t="n">
        <f aca="false">AVERAGE(B1431:B1480)</f>
        <v>1782.797</v>
      </c>
      <c r="D1480" s="7" t="n">
        <f aca="false">AVERAGE(B1281:B1480)</f>
        <v>1783.62575</v>
      </c>
      <c r="E1480" s="7" t="n">
        <f aca="false">B1480/MAX(B1229:B1480)-1</f>
        <v>-0.0251412831354692</v>
      </c>
      <c r="F1480" s="7" t="str">
        <f aca="false">IFERROR(INDEX(02_轉折點45個!B:B,MATCH(A1480,02_轉折點45個!A:A,0)),"")</f>
        <v/>
      </c>
      <c r="G1480" s="7" t="s">
        <v>1994</v>
      </c>
    </row>
    <row r="1481" customFormat="false" ht="15" hidden="false" customHeight="false" outlineLevel="0" collapsed="false">
      <c r="A1481" s="7" t="s">
        <v>3264</v>
      </c>
      <c r="B1481" s="7" t="n">
        <v>1922.41</v>
      </c>
      <c r="C1481" s="7" t="n">
        <f aca="false">AVERAGE(B1432:B1481)</f>
        <v>1787.084</v>
      </c>
      <c r="D1481" s="7" t="n">
        <f aca="false">AVERAGE(B1282:B1481)</f>
        <v>1784.0375</v>
      </c>
      <c r="E1481" s="7" t="n">
        <f aca="false">B1481/MAX(B1230:B1481)-1</f>
        <v>-0.023006789721906</v>
      </c>
      <c r="F1481" s="7" t="str">
        <f aca="false">IFERROR(INDEX(02_轉折點45個!B:B,MATCH(A1481,02_轉折點45個!A:A,0)),"")</f>
        <v/>
      </c>
      <c r="G1481" s="7" t="s">
        <v>1994</v>
      </c>
    </row>
    <row r="1482" customFormat="false" ht="15" hidden="false" customHeight="false" outlineLevel="0" collapsed="false">
      <c r="A1482" s="7" t="s">
        <v>569</v>
      </c>
      <c r="B1482" s="7" t="n">
        <v>1891.67</v>
      </c>
      <c r="C1482" s="7" t="n">
        <f aca="false">AVERAGE(B1433:B1482)</f>
        <v>1790.3056</v>
      </c>
      <c r="D1482" s="7" t="n">
        <f aca="false">AVERAGE(B1283:B1482)</f>
        <v>1784.2708</v>
      </c>
      <c r="E1482" s="7" t="n">
        <f aca="false">B1482/MAX(B1231:B1482)-1</f>
        <v>-0.0386292486583184</v>
      </c>
      <c r="F1482" s="7" t="str">
        <f aca="false">IFERROR(INDEX(02_轉折點45個!B:B,MATCH(A1482,02_轉折點45個!A:A,0)),"")</f>
        <v/>
      </c>
      <c r="G1482" s="7" t="s">
        <v>1994</v>
      </c>
    </row>
    <row r="1483" customFormat="false" ht="15" hidden="false" customHeight="false" outlineLevel="0" collapsed="false">
      <c r="A1483" s="7" t="s">
        <v>3265</v>
      </c>
      <c r="B1483" s="7" t="n">
        <v>1904.97</v>
      </c>
      <c r="C1483" s="7" t="n">
        <f aca="false">AVERAGE(B1434:B1483)</f>
        <v>1793.4996</v>
      </c>
      <c r="D1483" s="7" t="n">
        <f aca="false">AVERAGE(B1284:B1483)</f>
        <v>1784.36755</v>
      </c>
      <c r="E1483" s="7" t="n">
        <f aca="false">B1483/MAX(B1232:B1483)-1</f>
        <v>-0.0318700195153684</v>
      </c>
      <c r="F1483" s="7" t="str">
        <f aca="false">IFERROR(INDEX(02_轉折點45個!B:B,MATCH(A1483,02_轉折點45個!A:A,0)),"")</f>
        <v/>
      </c>
      <c r="G1483" s="7" t="s">
        <v>1994</v>
      </c>
    </row>
    <row r="1484" customFormat="false" ht="15" hidden="false" customHeight="false" outlineLevel="0" collapsed="false">
      <c r="A1484" s="7" t="s">
        <v>3266</v>
      </c>
      <c r="B1484" s="7" t="n">
        <v>1904.14</v>
      </c>
      <c r="C1484" s="7" t="n">
        <f aca="false">AVERAGE(B1435:B1484)</f>
        <v>1796.5852</v>
      </c>
      <c r="D1484" s="7" t="n">
        <f aca="false">AVERAGE(B1285:B1484)</f>
        <v>1784.47585</v>
      </c>
      <c r="E1484" s="7" t="n">
        <f aca="false">B1484/MAX(B1233:B1484)-1</f>
        <v>-0.0322918360709058</v>
      </c>
      <c r="F1484" s="7" t="str">
        <f aca="false">IFERROR(INDEX(02_轉折點45個!B:B,MATCH(A1484,02_轉折點45個!A:A,0)),"")</f>
        <v/>
      </c>
      <c r="G1484" s="7" t="s">
        <v>1994</v>
      </c>
    </row>
    <row r="1485" customFormat="false" ht="15" hidden="false" customHeight="false" outlineLevel="0" collapsed="false">
      <c r="A1485" s="7" t="s">
        <v>3267</v>
      </c>
      <c r="B1485" s="7" t="n">
        <v>1920.82</v>
      </c>
      <c r="C1485" s="7" t="n">
        <f aca="false">AVERAGE(B1436:B1485)</f>
        <v>1800.3494</v>
      </c>
      <c r="D1485" s="7" t="n">
        <f aca="false">AVERAGE(B1286:B1485)</f>
        <v>1784.60015</v>
      </c>
      <c r="E1485" s="7" t="n">
        <f aca="false">B1485/MAX(B1234:B1485)-1</f>
        <v>-0.023814847942755</v>
      </c>
      <c r="F1485" s="7" t="str">
        <f aca="false">IFERROR(INDEX(02_轉折點45個!B:B,MATCH(A1485,02_轉折點45個!A:A,0)),"")</f>
        <v/>
      </c>
      <c r="G1485" s="7" t="s">
        <v>1994</v>
      </c>
    </row>
    <row r="1486" customFormat="false" ht="15" hidden="false" customHeight="false" outlineLevel="0" collapsed="false">
      <c r="A1486" s="7" t="s">
        <v>570</v>
      </c>
      <c r="B1486" s="7" t="n">
        <v>1920.3</v>
      </c>
      <c r="C1486" s="7" t="n">
        <f aca="false">AVERAGE(B1437:B1486)</f>
        <v>1803.965</v>
      </c>
      <c r="D1486" s="7" t="n">
        <f aca="false">AVERAGE(B1287:B1486)</f>
        <v>1784.65635</v>
      </c>
      <c r="E1486" s="7" t="n">
        <f aca="false">B1486/MAX(B1235:B1486)-1</f>
        <v>-0.0240791185558628</v>
      </c>
      <c r="F1486" s="7" t="str">
        <f aca="false">IFERROR(INDEX(02_轉折點45個!B:B,MATCH(A1486,02_轉折點45個!A:A,0)),"")</f>
        <v/>
      </c>
      <c r="G1486" s="7" t="s">
        <v>1994</v>
      </c>
    </row>
    <row r="1487" customFormat="false" ht="15" hidden="false" customHeight="false" outlineLevel="0" collapsed="false">
      <c r="A1487" s="7" t="s">
        <v>571</v>
      </c>
      <c r="B1487" s="7" t="n">
        <v>1924.78</v>
      </c>
      <c r="C1487" s="7" t="n">
        <f aca="false">AVERAGE(B1438:B1487)</f>
        <v>1807.5604</v>
      </c>
      <c r="D1487" s="7" t="n">
        <f aca="false">AVERAGE(B1288:B1487)</f>
        <v>1784.8083</v>
      </c>
      <c r="E1487" s="7" t="n">
        <f aca="false">B1487/MAX(B1236:B1487)-1</f>
        <v>-0.0218023255813954</v>
      </c>
      <c r="F1487" s="7" t="str">
        <f aca="false">IFERROR(INDEX(02_轉折點45個!B:B,MATCH(A1487,02_轉折點45個!A:A,0)),"")</f>
        <v/>
      </c>
      <c r="G1487" s="7" t="s">
        <v>1994</v>
      </c>
    </row>
    <row r="1488" customFormat="false" ht="15" hidden="false" customHeight="false" outlineLevel="0" collapsed="false">
      <c r="A1488" s="7" t="s">
        <v>3268</v>
      </c>
      <c r="B1488" s="7" t="n">
        <v>1915.59</v>
      </c>
      <c r="C1488" s="7" t="n">
        <f aca="false">AVERAGE(B1439:B1488)</f>
        <v>1811.009</v>
      </c>
      <c r="D1488" s="7" t="n">
        <f aca="false">AVERAGE(B1289:B1488)</f>
        <v>1785.00585</v>
      </c>
      <c r="E1488" s="7" t="n">
        <f aca="false">B1488/MAX(B1237:B1488)-1</f>
        <v>-0.0264728004553587</v>
      </c>
      <c r="F1488" s="7" t="str">
        <f aca="false">IFERROR(INDEX(02_轉折點45個!B:B,MATCH(A1488,02_轉折點45個!A:A,0)),"")</f>
        <v/>
      </c>
      <c r="G1488" s="7" t="s">
        <v>1994</v>
      </c>
    </row>
    <row r="1489" customFormat="false" ht="15" hidden="false" customHeight="false" outlineLevel="0" collapsed="false">
      <c r="A1489" s="7" t="s">
        <v>572</v>
      </c>
      <c r="B1489" s="7" t="n">
        <v>1953.43</v>
      </c>
      <c r="C1489" s="7" t="n">
        <f aca="false">AVERAGE(B1440:B1489)</f>
        <v>1814.9748</v>
      </c>
      <c r="D1489" s="7" t="n">
        <f aca="false">AVERAGE(B1290:B1489)</f>
        <v>1785.27025</v>
      </c>
      <c r="E1489" s="7" t="n">
        <f aca="false">B1489/MAX(B1238:B1489)-1</f>
        <v>-0.00724203122458933</v>
      </c>
      <c r="F1489" s="7" t="str">
        <f aca="false">IFERROR(INDEX(02_轉折點45個!B:B,MATCH(A1489,02_轉折點45個!A:A,0)),"")</f>
        <v/>
      </c>
      <c r="G1489" s="7" t="s">
        <v>1994</v>
      </c>
    </row>
    <row r="1490" customFormat="false" ht="15" hidden="false" customHeight="false" outlineLevel="0" collapsed="false">
      <c r="A1490" s="7" t="s">
        <v>3269</v>
      </c>
      <c r="B1490" s="7" t="n">
        <v>1958.31</v>
      </c>
      <c r="C1490" s="7" t="n">
        <f aca="false">AVERAGE(B1441:B1490)</f>
        <v>1819.6864</v>
      </c>
      <c r="D1490" s="7" t="n">
        <f aca="false">AVERAGE(B1291:B1490)</f>
        <v>1785.57675</v>
      </c>
      <c r="E1490" s="7" t="n">
        <f aca="false">B1490/MAX(B1239:B1490)-1</f>
        <v>-0.00476195316311601</v>
      </c>
      <c r="F1490" s="7" t="str">
        <f aca="false">IFERROR(INDEX(02_轉折點45個!B:B,MATCH(A1490,02_轉折點45個!A:A,0)),"")</f>
        <v/>
      </c>
      <c r="G1490" s="7" t="s">
        <v>1994</v>
      </c>
    </row>
    <row r="1491" customFormat="false" ht="15" hidden="false" customHeight="false" outlineLevel="0" collapsed="false">
      <c r="A1491" s="7" t="s">
        <v>3270</v>
      </c>
      <c r="B1491" s="7" t="n">
        <v>1962.32</v>
      </c>
      <c r="C1491" s="7" t="n">
        <f aca="false">AVERAGE(B1442:B1491)</f>
        <v>1824.465</v>
      </c>
      <c r="D1491" s="7" t="n">
        <f aca="false">AVERAGE(B1292:B1491)</f>
        <v>1786.0427</v>
      </c>
      <c r="E1491" s="7" t="n">
        <f aca="false">B1491/MAX(B1240:B1491)-1</f>
        <v>-0.00272402016588069</v>
      </c>
      <c r="F1491" s="7" t="str">
        <f aca="false">IFERROR(INDEX(02_轉折點45個!B:B,MATCH(A1491,02_轉折點45個!A:A,0)),"")</f>
        <v/>
      </c>
      <c r="G1491" s="7" t="s">
        <v>1994</v>
      </c>
    </row>
    <row r="1492" customFormat="false" ht="15" hidden="false" customHeight="false" outlineLevel="0" collapsed="false">
      <c r="A1492" s="7" t="s">
        <v>3271</v>
      </c>
      <c r="B1492" s="7" t="n">
        <v>1965.32</v>
      </c>
      <c r="C1492" s="7" t="n">
        <f aca="false">AVERAGE(B1443:B1492)</f>
        <v>1829.4306</v>
      </c>
      <c r="D1492" s="7" t="n">
        <f aca="false">AVERAGE(B1293:B1492)</f>
        <v>1786.5603</v>
      </c>
      <c r="E1492" s="7" t="n">
        <f aca="false">B1492/MAX(B1241:B1492)-1</f>
        <v>-0.00119938201333558</v>
      </c>
      <c r="F1492" s="7" t="str">
        <f aca="false">IFERROR(INDEX(02_轉折點45個!B:B,MATCH(A1492,02_轉折點45個!A:A,0)),"")</f>
        <v/>
      </c>
      <c r="G1492" s="7" t="s">
        <v>1994</v>
      </c>
    </row>
    <row r="1493" customFormat="false" ht="15" hidden="false" customHeight="false" outlineLevel="0" collapsed="false">
      <c r="A1493" s="7" t="s">
        <v>573</v>
      </c>
      <c r="B1493" s="7" t="n">
        <v>1931.9</v>
      </c>
      <c r="C1493" s="7" t="n">
        <f aca="false">AVERAGE(B1444:B1493)</f>
        <v>1834.0858</v>
      </c>
      <c r="D1493" s="7" t="n">
        <f aca="false">AVERAGE(B1294:B1493)</f>
        <v>1787.0497</v>
      </c>
      <c r="E1493" s="7" t="n">
        <f aca="false">B1493/MAX(B1242:B1493)-1</f>
        <v>-0.0181838510326883</v>
      </c>
      <c r="F1493" s="7" t="str">
        <f aca="false">IFERROR(INDEX(02_轉折點45個!B:B,MATCH(A1493,02_轉折點45個!A:A,0)),"")</f>
        <v/>
      </c>
      <c r="G1493" s="7" t="s">
        <v>1994</v>
      </c>
    </row>
    <row r="1494" customFormat="false" ht="15" hidden="false" customHeight="false" outlineLevel="0" collapsed="false">
      <c r="A1494" s="7" t="s">
        <v>3272</v>
      </c>
      <c r="B1494" s="7" t="n">
        <v>1942.36</v>
      </c>
      <c r="C1494" s="7" t="n">
        <f aca="false">AVERAGE(B1445:B1494)</f>
        <v>1838.7678</v>
      </c>
      <c r="D1494" s="7" t="n">
        <f aca="false">AVERAGE(B1295:B1494)</f>
        <v>1787.6009</v>
      </c>
      <c r="E1494" s="7" t="n">
        <f aca="false">B1494/MAX(B1243:B1494)-1</f>
        <v>-0.012867946007481</v>
      </c>
      <c r="F1494" s="7" t="str">
        <f aca="false">IFERROR(INDEX(02_轉折點45個!B:B,MATCH(A1494,02_轉折點45個!A:A,0)),"")</f>
        <v/>
      </c>
      <c r="G1494" s="7" t="s">
        <v>1994</v>
      </c>
    </row>
    <row r="1495" customFormat="false" ht="15" hidden="false" customHeight="false" outlineLevel="0" collapsed="false">
      <c r="A1495" s="7" t="s">
        <v>3273</v>
      </c>
      <c r="B1495" s="7" t="n">
        <v>1945.01</v>
      </c>
      <c r="C1495" s="7" t="n">
        <f aca="false">AVERAGE(B1446:B1495)</f>
        <v>1843.063</v>
      </c>
      <c r="D1495" s="7" t="n">
        <f aca="false">AVERAGE(B1296:B1495)</f>
        <v>1788.08525</v>
      </c>
      <c r="E1495" s="7" t="n">
        <f aca="false">B1495/MAX(B1244:B1495)-1</f>
        <v>-0.011521182306066</v>
      </c>
      <c r="F1495" s="7" t="str">
        <f aca="false">IFERROR(INDEX(02_轉折點45個!B:B,MATCH(A1495,02_轉折點45個!A:A,0)),"")</f>
        <v/>
      </c>
      <c r="G1495" s="7" t="s">
        <v>1994</v>
      </c>
    </row>
    <row r="1496" customFormat="false" ht="15" hidden="false" customHeight="false" outlineLevel="0" collapsed="false">
      <c r="A1496" s="7" t="s">
        <v>3274</v>
      </c>
      <c r="B1496" s="7" t="n">
        <v>1944.15</v>
      </c>
      <c r="C1496" s="7" t="n">
        <f aca="false">AVERAGE(B1447:B1496)</f>
        <v>1847.288</v>
      </c>
      <c r="D1496" s="7" t="n">
        <f aca="false">AVERAGE(B1297:B1496)</f>
        <v>1788.5215</v>
      </c>
      <c r="E1496" s="7" t="n">
        <f aca="false">B1496/MAX(B1245:B1496)-1</f>
        <v>-0.0119582452431289</v>
      </c>
      <c r="F1496" s="7" t="str">
        <f aca="false">IFERROR(INDEX(02_轉折點45個!B:B,MATCH(A1496,02_轉折點45個!A:A,0)),"")</f>
        <v/>
      </c>
      <c r="G1496" s="7" t="s">
        <v>1994</v>
      </c>
    </row>
    <row r="1497" customFormat="false" ht="15" hidden="false" customHeight="false" outlineLevel="0" collapsed="false">
      <c r="A1497" s="7" t="s">
        <v>574</v>
      </c>
      <c r="B1497" s="7" t="n">
        <v>1962.81</v>
      </c>
      <c r="C1497" s="7" t="n">
        <f aca="false">AVERAGE(B1448:B1497)</f>
        <v>1851.0574</v>
      </c>
      <c r="D1497" s="7" t="n">
        <f aca="false">AVERAGE(B1298:B1497)</f>
        <v>1789.0636</v>
      </c>
      <c r="E1497" s="7" t="n">
        <f aca="false">B1497/MAX(B1246:B1497)-1</f>
        <v>-0.00247499593429834</v>
      </c>
      <c r="F1497" s="7" t="str">
        <f aca="false">IFERROR(INDEX(02_轉折點45個!B:B,MATCH(A1497,02_轉折點45個!A:A,0)),"")</f>
        <v/>
      </c>
      <c r="G1497" s="7" t="s">
        <v>1994</v>
      </c>
    </row>
    <row r="1498" customFormat="false" ht="15" hidden="false" customHeight="false" outlineLevel="0" collapsed="false">
      <c r="A1498" s="7" t="s">
        <v>3275</v>
      </c>
      <c r="B1498" s="7" t="n">
        <v>1973.17</v>
      </c>
      <c r="C1498" s="7" t="n">
        <f aca="false">AVERAGE(B1449:B1498)</f>
        <v>1854.8476</v>
      </c>
      <c r="D1498" s="7" t="n">
        <f aca="false">AVERAGE(B1299:B1498)</f>
        <v>1789.5297</v>
      </c>
      <c r="E1498" s="7" t="n">
        <f aca="false">B1498/MAX(B1247:B1498)-1</f>
        <v>0</v>
      </c>
      <c r="F1498" s="7" t="str">
        <f aca="false">IFERROR(INDEX(02_轉折點45個!B:B,MATCH(A1498,02_轉折點45個!A:A,0)),"")</f>
        <v/>
      </c>
      <c r="G1498" s="7" t="s">
        <v>1994</v>
      </c>
    </row>
    <row r="1499" customFormat="false" ht="15" hidden="false" customHeight="false" outlineLevel="0" collapsed="false">
      <c r="A1499" s="7" t="s">
        <v>575</v>
      </c>
      <c r="B1499" s="7" t="n">
        <v>1975.65</v>
      </c>
      <c r="C1499" s="7" t="n">
        <f aca="false">AVERAGE(B1450:B1499)</f>
        <v>1858.6308</v>
      </c>
      <c r="D1499" s="7" t="n">
        <f aca="false">AVERAGE(B1300:B1499)</f>
        <v>1790.0911</v>
      </c>
      <c r="E1499" s="7" t="n">
        <f aca="false">B1499/MAX(B1248:B1499)-1</f>
        <v>0</v>
      </c>
      <c r="F1499" s="7" t="str">
        <f aca="false">IFERROR(INDEX(02_轉折點45個!B:B,MATCH(A1499,02_轉折點45個!A:A,0)),"")</f>
        <v/>
      </c>
      <c r="G1499" s="7" t="s">
        <v>1994</v>
      </c>
    </row>
    <row r="1500" customFormat="false" ht="15" hidden="false" customHeight="false" outlineLevel="0" collapsed="false">
      <c r="A1500" s="7" t="s">
        <v>3276</v>
      </c>
      <c r="B1500" s="7" t="n">
        <v>1960.66</v>
      </c>
      <c r="C1500" s="7" t="n">
        <f aca="false">AVERAGE(B1451:B1500)</f>
        <v>1861.8304</v>
      </c>
      <c r="D1500" s="7" t="n">
        <f aca="false">AVERAGE(B1301:B1500)</f>
        <v>1790.6063</v>
      </c>
      <c r="E1500" s="7" t="n">
        <f aca="false">B1500/MAX(B1249:B1500)-1</f>
        <v>-0.00758737630653206</v>
      </c>
      <c r="F1500" s="7" t="str">
        <f aca="false">IFERROR(INDEX(02_轉折點45個!B:B,MATCH(A1500,02_轉折點45個!A:A,0)),"")</f>
        <v/>
      </c>
      <c r="G1500" s="7" t="s">
        <v>1994</v>
      </c>
    </row>
    <row r="1501" customFormat="false" ht="15" hidden="false" customHeight="false" outlineLevel="0" collapsed="false">
      <c r="A1501" s="7" t="s">
        <v>576</v>
      </c>
      <c r="B1501" s="7" t="n">
        <v>1950.66</v>
      </c>
      <c r="C1501" s="7" t="n">
        <f aca="false">AVERAGE(B1452:B1501)</f>
        <v>1865.2414</v>
      </c>
      <c r="D1501" s="7" t="n">
        <f aca="false">AVERAGE(B1302:B1501)</f>
        <v>1790.97215</v>
      </c>
      <c r="E1501" s="7" t="n">
        <f aca="false">B1501/MAX(B1250:B1501)-1</f>
        <v>-0.012649001594412</v>
      </c>
      <c r="F1501" s="7" t="str">
        <f aca="false">IFERROR(INDEX(02_轉折點45個!B:B,MATCH(A1501,02_轉折點45個!A:A,0)),"")</f>
        <v/>
      </c>
      <c r="G1501" s="7" t="s">
        <v>1994</v>
      </c>
    </row>
    <row r="1502" customFormat="false" ht="15" hidden="false" customHeight="false" outlineLevel="0" collapsed="false">
      <c r="A1502" s="7" t="s">
        <v>3277</v>
      </c>
      <c r="B1502" s="7" t="n">
        <v>1943.95</v>
      </c>
      <c r="C1502" s="7" t="n">
        <f aca="false">AVERAGE(B1453:B1502)</f>
        <v>1869.0398</v>
      </c>
      <c r="D1502" s="7" t="n">
        <f aca="false">AVERAGE(B1303:B1502)</f>
        <v>1791.3386</v>
      </c>
      <c r="E1502" s="7" t="n">
        <f aca="false">B1502/MAX(B1251:B1502)-1</f>
        <v>-0.0160453521625794</v>
      </c>
      <c r="F1502" s="7" t="str">
        <f aca="false">IFERROR(INDEX(02_轉折點45個!B:B,MATCH(A1502,02_轉折點45個!A:A,0)),"")</f>
        <v/>
      </c>
      <c r="G1502" s="7" t="s">
        <v>1994</v>
      </c>
    </row>
    <row r="1503" customFormat="false" ht="15" hidden="false" customHeight="false" outlineLevel="0" collapsed="false">
      <c r="A1503" s="7" t="s">
        <v>3278</v>
      </c>
      <c r="B1503" s="7" t="n">
        <v>1965.01</v>
      </c>
      <c r="C1503" s="7" t="n">
        <f aca="false">AVERAGE(B1454:B1503)</f>
        <v>1873.0988</v>
      </c>
      <c r="D1503" s="7" t="n">
        <f aca="false">AVERAGE(B1304:B1503)</f>
        <v>1791.9878</v>
      </c>
      <c r="E1503" s="7" t="n">
        <f aca="false">B1503/MAX(B1252:B1503)-1</f>
        <v>-0.00538556930630429</v>
      </c>
      <c r="F1503" s="7" t="str">
        <f aca="false">IFERROR(INDEX(02_轉折點45個!B:B,MATCH(A1503,02_轉折點45個!A:A,0)),"")</f>
        <v/>
      </c>
      <c r="G1503" s="7" t="s">
        <v>1994</v>
      </c>
    </row>
    <row r="1504" customFormat="false" ht="15" hidden="false" customHeight="false" outlineLevel="0" collapsed="false">
      <c r="A1504" s="7" t="s">
        <v>577</v>
      </c>
      <c r="B1504" s="7" t="n">
        <v>1970.6</v>
      </c>
      <c r="C1504" s="7" t="n">
        <f aca="false">AVERAGE(B1455:B1504)</f>
        <v>1877.3352</v>
      </c>
      <c r="D1504" s="7" t="n">
        <f aca="false">AVERAGE(B1305:B1504)</f>
        <v>1792.7272</v>
      </c>
      <c r="E1504" s="7" t="n">
        <f aca="false">B1504/MAX(B1253:B1504)-1</f>
        <v>-0.00255612077037948</v>
      </c>
      <c r="F1504" s="7" t="str">
        <f aca="false">IFERROR(INDEX(02_轉折點45個!B:B,MATCH(A1504,02_轉折點45個!A:A,0)),"")</f>
        <v/>
      </c>
      <c r="G1504" s="7" t="s">
        <v>1994</v>
      </c>
    </row>
    <row r="1505" customFormat="false" ht="15" hidden="false" customHeight="false" outlineLevel="0" collapsed="false">
      <c r="A1505" s="7" t="s">
        <v>3279</v>
      </c>
      <c r="B1505" s="7" t="n">
        <v>1973.88</v>
      </c>
      <c r="C1505" s="7" t="n">
        <f aca="false">AVERAGE(B1456:B1505)</f>
        <v>1881.722</v>
      </c>
      <c r="D1505" s="7" t="n">
        <f aca="false">AVERAGE(B1306:B1505)</f>
        <v>1793.62465</v>
      </c>
      <c r="E1505" s="7" t="n">
        <f aca="false">B1505/MAX(B1254:B1505)-1</f>
        <v>-0.00089590767595471</v>
      </c>
      <c r="F1505" s="7" t="str">
        <f aca="false">IFERROR(INDEX(02_轉折點45個!B:B,MATCH(A1505,02_轉折點45個!A:A,0)),"")</f>
        <v/>
      </c>
      <c r="G1505" s="7" t="s">
        <v>1994</v>
      </c>
    </row>
    <row r="1506" customFormat="false" ht="15" hidden="false" customHeight="false" outlineLevel="0" collapsed="false">
      <c r="A1506" s="7" t="s">
        <v>578</v>
      </c>
      <c r="B1506" s="7" t="n">
        <v>1968.04</v>
      </c>
      <c r="C1506" s="7" t="n">
        <f aca="false">AVERAGE(B1457:B1506)</f>
        <v>1886.3118</v>
      </c>
      <c r="D1506" s="7" t="n">
        <f aca="false">AVERAGE(B1307:B1506)</f>
        <v>1794.58545</v>
      </c>
      <c r="E1506" s="7" t="n">
        <f aca="false">B1506/MAX(B1255:B1506)-1</f>
        <v>-0.00385189684407672</v>
      </c>
      <c r="F1506" s="7" t="str">
        <f aca="false">IFERROR(INDEX(02_轉折點45個!B:B,MATCH(A1506,02_轉折點45個!A:A,0)),"")</f>
        <v/>
      </c>
      <c r="G1506" s="7" t="s">
        <v>1994</v>
      </c>
    </row>
    <row r="1507" customFormat="false" ht="15" hidden="false" customHeight="false" outlineLevel="0" collapsed="false">
      <c r="A1507" s="7" t="s">
        <v>579</v>
      </c>
      <c r="B1507" s="7" t="n">
        <v>1989.02</v>
      </c>
      <c r="C1507" s="7" t="n">
        <f aca="false">AVERAGE(B1458:B1507)</f>
        <v>1891.1664</v>
      </c>
      <c r="D1507" s="7" t="n">
        <f aca="false">AVERAGE(B1308:B1507)</f>
        <v>1795.4646</v>
      </c>
      <c r="E1507" s="7" t="n">
        <f aca="false">B1507/MAX(B1256:B1507)-1</f>
        <v>0</v>
      </c>
      <c r="F1507" s="7" t="str">
        <f aca="false">IFERROR(INDEX(02_轉折點45個!B:B,MATCH(A1507,02_轉折點45個!A:A,0)),"")</f>
        <v/>
      </c>
      <c r="G1507" s="7" t="s">
        <v>1994</v>
      </c>
    </row>
    <row r="1508" customFormat="false" ht="15" hidden="false" customHeight="false" outlineLevel="0" collapsed="false">
      <c r="A1508" s="7" t="s">
        <v>3280</v>
      </c>
      <c r="B1508" s="7" t="n">
        <v>1988.85</v>
      </c>
      <c r="C1508" s="7" t="n">
        <f aca="false">AVERAGE(B1459:B1508)</f>
        <v>1895.5604</v>
      </c>
      <c r="D1508" s="7" t="n">
        <f aca="false">AVERAGE(B1309:B1508)</f>
        <v>1796.55085</v>
      </c>
      <c r="E1508" s="7" t="n">
        <f aca="false">B1508/MAX(B1257:B1508)-1</f>
        <v>-8.54692260510159E-005</v>
      </c>
      <c r="F1508" s="7" t="str">
        <f aca="false">IFERROR(INDEX(02_轉折點45個!B:B,MATCH(A1508,02_轉折點45個!A:A,0)),"")</f>
        <v/>
      </c>
      <c r="G1508" s="7" t="s">
        <v>1994</v>
      </c>
    </row>
    <row r="1509" customFormat="false" ht="15" hidden="false" customHeight="false" outlineLevel="0" collapsed="false">
      <c r="A1509" s="7" t="s">
        <v>580</v>
      </c>
      <c r="B1509" s="7" t="n">
        <v>1990.07</v>
      </c>
      <c r="C1509" s="7" t="n">
        <f aca="false">AVERAGE(B1460:B1509)</f>
        <v>1900.2276</v>
      </c>
      <c r="D1509" s="7" t="n">
        <f aca="false">AVERAGE(B1310:B1509)</f>
        <v>1797.62545</v>
      </c>
      <c r="E1509" s="7" t="n">
        <f aca="false">B1509/MAX(B1258:B1509)-1</f>
        <v>0</v>
      </c>
      <c r="F1509" s="7" t="str">
        <f aca="false">IFERROR(INDEX(02_轉折點45個!B:B,MATCH(A1509,02_轉折點45個!A:A,0)),"")</f>
        <v/>
      </c>
      <c r="G1509" s="7" t="s">
        <v>1994</v>
      </c>
    </row>
    <row r="1510" customFormat="false" ht="15" hidden="false" customHeight="false" outlineLevel="0" collapsed="false">
      <c r="A1510" s="7" t="s">
        <v>3281</v>
      </c>
      <c r="B1510" s="7" t="n">
        <v>1987.42</v>
      </c>
      <c r="C1510" s="7" t="n">
        <f aca="false">AVERAGE(B1461:B1510)</f>
        <v>1904.6578</v>
      </c>
      <c r="D1510" s="7" t="n">
        <f aca="false">AVERAGE(B1311:B1510)</f>
        <v>1798.533</v>
      </c>
      <c r="E1510" s="7" t="n">
        <f aca="false">B1510/MAX(B1259:B1510)-1</f>
        <v>-0.00133161145085337</v>
      </c>
      <c r="F1510" s="7" t="str">
        <f aca="false">IFERROR(INDEX(02_轉折點45個!B:B,MATCH(A1510,02_轉折點45個!A:A,0)),"")</f>
        <v/>
      </c>
      <c r="G1510" s="7" t="s">
        <v>1994</v>
      </c>
    </row>
    <row r="1511" customFormat="false" ht="15" hidden="false" customHeight="false" outlineLevel="0" collapsed="false">
      <c r="A1511" s="7" t="s">
        <v>581</v>
      </c>
      <c r="B1511" s="7" t="n">
        <v>1966.15</v>
      </c>
      <c r="C1511" s="7" t="n">
        <f aca="false">AVERAGE(B1462:B1511)</f>
        <v>1908.2854</v>
      </c>
      <c r="D1511" s="7" t="n">
        <f aca="false">AVERAGE(B1312:B1511)</f>
        <v>1799.3996</v>
      </c>
      <c r="E1511" s="7" t="n">
        <f aca="false">B1511/MAX(B1260:B1511)-1</f>
        <v>-0.0120196776997793</v>
      </c>
      <c r="F1511" s="7" t="str">
        <f aca="false">IFERROR(INDEX(02_轉折點45個!B:B,MATCH(A1511,02_轉折點45個!A:A,0)),"")</f>
        <v/>
      </c>
      <c r="G1511" s="7" t="s">
        <v>1994</v>
      </c>
    </row>
    <row r="1512" customFormat="false" ht="15" hidden="false" customHeight="false" outlineLevel="0" collapsed="false">
      <c r="A1512" s="7" t="s">
        <v>582</v>
      </c>
      <c r="B1512" s="7" t="n">
        <v>1925.68</v>
      </c>
      <c r="C1512" s="7" t="n">
        <f aca="false">AVERAGE(B1463:B1512)</f>
        <v>1911.8066</v>
      </c>
      <c r="D1512" s="7" t="n">
        <f aca="false">AVERAGE(B1313:B1512)</f>
        <v>1800.1642</v>
      </c>
      <c r="E1512" s="7" t="n">
        <f aca="false">B1512/MAX(B1261:B1512)-1</f>
        <v>-0.0323556457813041</v>
      </c>
      <c r="F1512" s="7" t="str">
        <f aca="false">IFERROR(INDEX(02_轉折點45個!B:B,MATCH(A1512,02_轉折點45個!A:A,0)),"")</f>
        <v/>
      </c>
      <c r="G1512" s="7" t="s">
        <v>1994</v>
      </c>
    </row>
    <row r="1513" customFormat="false" ht="15" hidden="false" customHeight="false" outlineLevel="0" collapsed="false">
      <c r="A1513" s="7" t="s">
        <v>3282</v>
      </c>
      <c r="B1513" s="7" t="n">
        <v>1910.5</v>
      </c>
      <c r="C1513" s="7" t="n">
        <f aca="false">AVERAGE(B1464:B1513)</f>
        <v>1915.0444</v>
      </c>
      <c r="D1513" s="7" t="n">
        <f aca="false">AVERAGE(B1314:B1513)</f>
        <v>1800.99255</v>
      </c>
      <c r="E1513" s="7" t="n">
        <f aca="false">B1513/MAX(B1262:B1513)-1</f>
        <v>-0.0399835181677026</v>
      </c>
      <c r="F1513" s="7" t="str">
        <f aca="false">IFERROR(INDEX(02_轉折點45個!B:B,MATCH(A1513,02_轉折點45個!A:A,0)),"")</f>
        <v/>
      </c>
      <c r="G1513" s="7" t="s">
        <v>1994</v>
      </c>
    </row>
    <row r="1514" customFormat="false" ht="15" hidden="false" customHeight="false" outlineLevel="0" collapsed="false">
      <c r="A1514" s="7" t="s">
        <v>3283</v>
      </c>
      <c r="B1514" s="7" t="n">
        <v>1909.37</v>
      </c>
      <c r="C1514" s="7" t="n">
        <f aca="false">AVERAGE(B1465:B1514)</f>
        <v>1917.99</v>
      </c>
      <c r="D1514" s="7" t="n">
        <f aca="false">AVERAGE(B1315:B1514)</f>
        <v>1801.85225</v>
      </c>
      <c r="E1514" s="7" t="n">
        <f aca="false">B1514/MAX(B1263:B1514)-1</f>
        <v>-0.0405513373901421</v>
      </c>
      <c r="F1514" s="7" t="str">
        <f aca="false">IFERROR(INDEX(02_轉折點45個!B:B,MATCH(A1514,02_轉折點45個!A:A,0)),"")</f>
        <v/>
      </c>
      <c r="G1514" s="7" t="s">
        <v>1994</v>
      </c>
    </row>
    <row r="1515" customFormat="false" ht="15" hidden="false" customHeight="false" outlineLevel="0" collapsed="false">
      <c r="A1515" s="7" t="s">
        <v>3284</v>
      </c>
      <c r="B1515" s="7" t="n">
        <v>1908.1</v>
      </c>
      <c r="C1515" s="7" t="n">
        <f aca="false">AVERAGE(B1466:B1515)</f>
        <v>1920.1574</v>
      </c>
      <c r="D1515" s="7" t="n">
        <f aca="false">AVERAGE(B1316:B1515)</f>
        <v>1802.6705</v>
      </c>
      <c r="E1515" s="7" t="n">
        <f aca="false">B1515/MAX(B1264:B1515)-1</f>
        <v>-0.0411895058967775</v>
      </c>
      <c r="F1515" s="7" t="str">
        <f aca="false">IFERROR(INDEX(02_轉折點45個!B:B,MATCH(A1515,02_轉折點45個!A:A,0)),"")</f>
        <v/>
      </c>
      <c r="G1515" s="7" t="s">
        <v>1994</v>
      </c>
    </row>
    <row r="1516" customFormat="false" ht="15" hidden="false" customHeight="false" outlineLevel="0" collapsed="false">
      <c r="A1516" s="7" t="s">
        <v>3285</v>
      </c>
      <c r="B1516" s="7" t="n">
        <v>1915.8</v>
      </c>
      <c r="C1516" s="7" t="n">
        <f aca="false">AVERAGE(B1467:B1516)</f>
        <v>1922.3738</v>
      </c>
      <c r="D1516" s="7" t="n">
        <f aca="false">AVERAGE(B1317:B1516)</f>
        <v>1803.26375</v>
      </c>
      <c r="E1516" s="7" t="n">
        <f aca="false">B1516/MAX(B1265:B1516)-1</f>
        <v>-0.0373202952659957</v>
      </c>
      <c r="F1516" s="7" t="str">
        <f aca="false">IFERROR(INDEX(02_轉折點45個!B:B,MATCH(A1516,02_轉折點45個!A:A,0)),"")</f>
        <v/>
      </c>
      <c r="G1516" s="7" t="s">
        <v>1994</v>
      </c>
    </row>
    <row r="1517" customFormat="false" ht="15" hidden="false" customHeight="false" outlineLevel="0" collapsed="false">
      <c r="A1517" s="7" t="s">
        <v>3286</v>
      </c>
      <c r="B1517" s="7" t="n">
        <v>1899.88</v>
      </c>
      <c r="C1517" s="7" t="n">
        <f aca="false">AVERAGE(B1468:B1517)</f>
        <v>1924.2854</v>
      </c>
      <c r="D1517" s="7" t="n">
        <f aca="false">AVERAGE(B1318:B1517)</f>
        <v>1803.81005</v>
      </c>
      <c r="E1517" s="7" t="n">
        <f aca="false">B1517/MAX(B1266:B1517)-1</f>
        <v>-0.0453200138688588</v>
      </c>
      <c r="F1517" s="7" t="str">
        <f aca="false">IFERROR(INDEX(02_轉折點45個!B:B,MATCH(A1517,02_轉折點45個!A:A,0)),"")</f>
        <v/>
      </c>
      <c r="G1517" s="7" t="s">
        <v>1994</v>
      </c>
    </row>
    <row r="1518" customFormat="false" ht="15" hidden="false" customHeight="false" outlineLevel="0" collapsed="false">
      <c r="A1518" s="7" t="s">
        <v>3287</v>
      </c>
      <c r="B1518" s="7" t="n">
        <v>1911.68</v>
      </c>
      <c r="C1518" s="7" t="n">
        <f aca="false">AVERAGE(B1469:B1518)</f>
        <v>1926.3438</v>
      </c>
      <c r="D1518" s="7" t="n">
        <f aca="false">AVERAGE(B1319:B1518)</f>
        <v>1804.26665</v>
      </c>
      <c r="E1518" s="7" t="n">
        <f aca="false">B1518/MAX(B1267:B1518)-1</f>
        <v>-0.0393905742009074</v>
      </c>
      <c r="F1518" s="7" t="str">
        <f aca="false">IFERROR(INDEX(02_轉折點45個!B:B,MATCH(A1518,02_轉折點45個!A:A,0)),"")</f>
        <v/>
      </c>
      <c r="G1518" s="7" t="s">
        <v>1994</v>
      </c>
    </row>
    <row r="1519" customFormat="false" ht="15" hidden="false" customHeight="false" outlineLevel="0" collapsed="false">
      <c r="A1519" s="7" t="s">
        <v>3288</v>
      </c>
      <c r="B1519" s="7" t="n">
        <v>1891.61</v>
      </c>
      <c r="C1519" s="7" t="n">
        <f aca="false">AVERAGE(B1470:B1519)</f>
        <v>1927.911</v>
      </c>
      <c r="D1519" s="7" t="n">
        <f aca="false">AVERAGE(B1320:B1519)</f>
        <v>1804.5861</v>
      </c>
      <c r="E1519" s="7" t="n">
        <f aca="false">B1519/MAX(B1268:B1519)-1</f>
        <v>-0.049475646585296</v>
      </c>
      <c r="F1519" s="7" t="str">
        <f aca="false">IFERROR(INDEX(02_轉折點45個!B:B,MATCH(A1519,02_轉折點45個!A:A,0)),"")</f>
        <v/>
      </c>
      <c r="G1519" s="7" t="s">
        <v>1994</v>
      </c>
    </row>
    <row r="1520" customFormat="false" ht="15" hidden="false" customHeight="false" outlineLevel="0" collapsed="false">
      <c r="A1520" s="7" t="s">
        <v>3289</v>
      </c>
      <c r="B1520" s="7" t="n">
        <v>1907.46</v>
      </c>
      <c r="C1520" s="7" t="n">
        <f aca="false">AVERAGE(B1471:B1520)</f>
        <v>1929.4382</v>
      </c>
      <c r="D1520" s="7" t="n">
        <f aca="false">AVERAGE(B1321:B1520)</f>
        <v>1805.0141</v>
      </c>
      <c r="E1520" s="7" t="n">
        <f aca="false">B1520/MAX(B1269:B1520)-1</f>
        <v>-0.0415111026245307</v>
      </c>
      <c r="F1520" s="7" t="str">
        <f aca="false">IFERROR(INDEX(02_轉折點45個!B:B,MATCH(A1520,02_轉折點45個!A:A,0)),"")</f>
        <v/>
      </c>
      <c r="G1520" s="7" t="s">
        <v>1994</v>
      </c>
    </row>
    <row r="1521" customFormat="false" ht="15" hidden="false" customHeight="false" outlineLevel="0" collapsed="false">
      <c r="A1521" s="7" t="s">
        <v>583</v>
      </c>
      <c r="B1521" s="7" t="n">
        <v>1924.02</v>
      </c>
      <c r="C1521" s="7" t="n">
        <f aca="false">AVERAGE(B1472:B1521)</f>
        <v>1930.944</v>
      </c>
      <c r="D1521" s="7" t="n">
        <f aca="false">AVERAGE(B1322:B1521)</f>
        <v>1805.4299</v>
      </c>
      <c r="E1521" s="7" t="n">
        <f aca="false">B1521/MAX(B1270:B1521)-1</f>
        <v>-0.0331897872939143</v>
      </c>
      <c r="F1521" s="7" t="str">
        <f aca="false">IFERROR(INDEX(02_轉折點45個!B:B,MATCH(A1521,02_轉折點45個!A:A,0)),"")</f>
        <v/>
      </c>
      <c r="G1521" s="7" t="s">
        <v>1994</v>
      </c>
    </row>
    <row r="1522" customFormat="false" ht="15" hidden="false" customHeight="false" outlineLevel="0" collapsed="false">
      <c r="A1522" s="7" t="s">
        <v>3290</v>
      </c>
      <c r="B1522" s="7" t="n">
        <v>1894.38</v>
      </c>
      <c r="C1522" s="7" t="n">
        <f aca="false">AVERAGE(B1473:B1522)</f>
        <v>1931.5772</v>
      </c>
      <c r="D1522" s="7" t="n">
        <f aca="false">AVERAGE(B1323:B1522)</f>
        <v>1805.50495</v>
      </c>
      <c r="E1522" s="7" t="n">
        <f aca="false">B1522/MAX(B1271:B1522)-1</f>
        <v>-0.0480837357479886</v>
      </c>
      <c r="F1522" s="7" t="str">
        <f aca="false">IFERROR(INDEX(02_轉折點45個!B:B,MATCH(A1522,02_轉折點45個!A:A,0)),"")</f>
        <v/>
      </c>
      <c r="G1522" s="7" t="s">
        <v>1994</v>
      </c>
    </row>
    <row r="1523" customFormat="false" ht="15" hidden="false" customHeight="false" outlineLevel="0" collapsed="false">
      <c r="A1523" s="7" t="s">
        <v>584</v>
      </c>
      <c r="B1523" s="7" t="n">
        <v>1869.06</v>
      </c>
      <c r="C1523" s="7" t="n">
        <f aca="false">AVERAGE(B1474:B1523)</f>
        <v>1931.6984</v>
      </c>
      <c r="D1523" s="7" t="n">
        <f aca="false">AVERAGE(B1324:B1523)</f>
        <v>1805.3531</v>
      </c>
      <c r="E1523" s="7" t="n">
        <f aca="false">B1523/MAX(B1272:B1523)-1</f>
        <v>-0.0608069062897285</v>
      </c>
      <c r="F1523" s="7" t="str">
        <f aca="false">IFERROR(INDEX(02_轉折點45個!B:B,MATCH(A1523,02_轉折點45個!A:A,0)),"")</f>
        <v/>
      </c>
      <c r="G1523" s="7" t="s">
        <v>1994</v>
      </c>
    </row>
    <row r="1524" customFormat="false" ht="15" hidden="false" customHeight="false" outlineLevel="0" collapsed="false">
      <c r="A1524" s="7" t="s">
        <v>3291</v>
      </c>
      <c r="B1524" s="7" t="n">
        <v>1858.45</v>
      </c>
      <c r="C1524" s="7" t="n">
        <f aca="false">AVERAGE(B1475:B1524)</f>
        <v>1931.5328</v>
      </c>
      <c r="D1524" s="7" t="n">
        <f aca="false">AVERAGE(B1325:B1524)</f>
        <v>1805.236</v>
      </c>
      <c r="E1524" s="7" t="n">
        <f aca="false">B1524/MAX(B1273:B1524)-1</f>
        <v>-0.0661383770420135</v>
      </c>
      <c r="F1524" s="7" t="str">
        <f aca="false">IFERROR(INDEX(02_轉折點45個!B:B,MATCH(A1524,02_轉折點45個!A:A,0)),"")</f>
        <v/>
      </c>
      <c r="G1524" s="7" t="s">
        <v>1994</v>
      </c>
    </row>
    <row r="1525" customFormat="false" ht="15" hidden="false" customHeight="false" outlineLevel="0" collapsed="false">
      <c r="A1525" s="7" t="s">
        <v>3292</v>
      </c>
      <c r="B1525" s="7" t="n">
        <v>1835.09</v>
      </c>
      <c r="C1525" s="7" t="n">
        <f aca="false">AVERAGE(B1476:B1525)</f>
        <v>1931.0602</v>
      </c>
      <c r="D1525" s="7" t="n">
        <f aca="false">AVERAGE(B1326:B1525)</f>
        <v>1805.04625</v>
      </c>
      <c r="E1525" s="7" t="n">
        <f aca="false">B1525/MAX(B1274:B1525)-1</f>
        <v>-0.0778766576050088</v>
      </c>
      <c r="F1525" s="7" t="str">
        <f aca="false">IFERROR(INDEX(02_轉折點45個!B:B,MATCH(A1525,02_轉折點45個!A:A,0)),"")</f>
        <v/>
      </c>
      <c r="G1525" s="7" t="s">
        <v>1994</v>
      </c>
    </row>
    <row r="1526" customFormat="false" ht="15" hidden="false" customHeight="false" outlineLevel="0" collapsed="false">
      <c r="A1526" s="7" t="s">
        <v>3293</v>
      </c>
      <c r="B1526" s="7" t="n">
        <v>1845.37</v>
      </c>
      <c r="C1526" s="7" t="n">
        <f aca="false">AVERAGE(B1477:B1526)</f>
        <v>1930.3052</v>
      </c>
      <c r="D1526" s="7" t="n">
        <f aca="false">AVERAGE(B1327:B1526)</f>
        <v>1804.89585</v>
      </c>
      <c r="E1526" s="7" t="n">
        <f aca="false">B1526/MAX(B1275:B1526)-1</f>
        <v>-0.0727110101654716</v>
      </c>
      <c r="F1526" s="7" t="str">
        <f aca="false">IFERROR(INDEX(02_轉折點45個!B:B,MATCH(A1526,02_轉折點45個!A:A,0)),"")</f>
        <v/>
      </c>
      <c r="G1526" s="7" t="s">
        <v>1994</v>
      </c>
    </row>
    <row r="1527" customFormat="false" ht="15" hidden="false" customHeight="false" outlineLevel="0" collapsed="false">
      <c r="A1527" s="7" t="s">
        <v>3294</v>
      </c>
      <c r="B1527" s="7" t="n">
        <v>1869.25</v>
      </c>
      <c r="C1527" s="7" t="n">
        <f aca="false">AVERAGE(B1478:B1527)</f>
        <v>1929.588</v>
      </c>
      <c r="D1527" s="7" t="n">
        <f aca="false">AVERAGE(B1328:B1527)</f>
        <v>1804.80725</v>
      </c>
      <c r="E1527" s="7" t="n">
        <f aca="false">B1527/MAX(B1276:B1527)-1</f>
        <v>-0.0607114322611767</v>
      </c>
      <c r="F1527" s="7" t="str">
        <f aca="false">IFERROR(INDEX(02_轉折點45個!B:B,MATCH(A1527,02_轉折點45個!A:A,0)),"")</f>
        <v/>
      </c>
      <c r="G1527" s="7" t="s">
        <v>1994</v>
      </c>
    </row>
    <row r="1528" customFormat="false" ht="15" hidden="false" customHeight="false" outlineLevel="0" collapsed="false">
      <c r="A1528" s="7" t="s">
        <v>3295</v>
      </c>
      <c r="B1528" s="7" t="n">
        <v>1870.22</v>
      </c>
      <c r="C1528" s="7" t="n">
        <f aca="false">AVERAGE(B1479:B1528)</f>
        <v>1928.7304</v>
      </c>
      <c r="D1528" s="7" t="n">
        <f aca="false">AVERAGE(B1329:B1528)</f>
        <v>1804.8852</v>
      </c>
      <c r="E1528" s="7" t="n">
        <f aca="false">B1528/MAX(B1277:B1528)-1</f>
        <v>-0.0602240122206756</v>
      </c>
      <c r="F1528" s="7" t="str">
        <f aca="false">IFERROR(INDEX(02_轉折點45個!B:B,MATCH(A1528,02_轉折點45個!A:A,0)),"")</f>
        <v/>
      </c>
      <c r="G1528" s="7" t="s">
        <v>1994</v>
      </c>
    </row>
    <row r="1529" customFormat="false" ht="15" hidden="false" customHeight="false" outlineLevel="0" collapsed="false">
      <c r="A1529" s="7" t="s">
        <v>585</v>
      </c>
      <c r="B1529" s="7" t="n">
        <v>1859.88</v>
      </c>
      <c r="C1529" s="7" t="n">
        <f aca="false">AVERAGE(B1480:B1529)</f>
        <v>1927.9486</v>
      </c>
      <c r="D1529" s="7" t="n">
        <f aca="false">AVERAGE(B1330:B1529)</f>
        <v>1804.93535</v>
      </c>
      <c r="E1529" s="7" t="n">
        <f aca="false">B1529/MAX(B1278:B1529)-1</f>
        <v>-0.0654198093534397</v>
      </c>
      <c r="F1529" s="7" t="str">
        <f aca="false">IFERROR(INDEX(02_轉折點45個!B:B,MATCH(A1529,02_轉折點45個!A:A,0)),"")</f>
        <v/>
      </c>
      <c r="G1529" s="7" t="s">
        <v>1994</v>
      </c>
    </row>
    <row r="1530" customFormat="false" ht="15" hidden="false" customHeight="false" outlineLevel="0" collapsed="false">
      <c r="A1530" s="7" t="s">
        <v>3296</v>
      </c>
      <c r="B1530" s="7" t="n">
        <v>1884.16</v>
      </c>
      <c r="C1530" s="7" t="n">
        <f aca="false">AVERAGE(B1481:B1530)</f>
        <v>1927.2676</v>
      </c>
      <c r="D1530" s="7" t="n">
        <f aca="false">AVERAGE(B1331:B1530)</f>
        <v>1805.2105</v>
      </c>
      <c r="E1530" s="7" t="n">
        <f aca="false">B1530/MAX(B1279:B1530)-1</f>
        <v>-0.0532192334942991</v>
      </c>
      <c r="F1530" s="7" t="str">
        <f aca="false">IFERROR(INDEX(02_轉折點45個!B:B,MATCH(A1530,02_轉折點45個!A:A,0)),"")</f>
        <v/>
      </c>
      <c r="G1530" s="7" t="s">
        <v>1994</v>
      </c>
    </row>
    <row r="1531" customFormat="false" ht="15" hidden="false" customHeight="false" outlineLevel="0" collapsed="false">
      <c r="A1531" s="7" t="s">
        <v>3297</v>
      </c>
      <c r="B1531" s="7" t="n">
        <v>1889.91</v>
      </c>
      <c r="C1531" s="7" t="n">
        <f aca="false">AVERAGE(B1482:B1531)</f>
        <v>1926.6176</v>
      </c>
      <c r="D1531" s="7" t="n">
        <f aca="false">AVERAGE(B1332:B1531)</f>
        <v>1805.5438</v>
      </c>
      <c r="E1531" s="7" t="n">
        <f aca="false">B1531/MAX(B1280:B1531)-1</f>
        <v>-0.0503298878933907</v>
      </c>
      <c r="F1531" s="7" t="str">
        <f aca="false">IFERROR(INDEX(02_轉折點45個!B:B,MATCH(A1531,02_轉折點45個!A:A,0)),"")</f>
        <v/>
      </c>
      <c r="G1531" s="7" t="s">
        <v>1994</v>
      </c>
    </row>
    <row r="1532" customFormat="false" ht="15" hidden="false" customHeight="false" outlineLevel="0" collapsed="false">
      <c r="A1532" s="7" t="s">
        <v>586</v>
      </c>
      <c r="B1532" s="7" t="n">
        <v>1895.72</v>
      </c>
      <c r="C1532" s="7" t="n">
        <f aca="false">AVERAGE(B1483:B1532)</f>
        <v>1926.6986</v>
      </c>
      <c r="D1532" s="7" t="n">
        <f aca="false">AVERAGE(B1333:B1532)</f>
        <v>1805.79335</v>
      </c>
      <c r="E1532" s="7" t="n">
        <f aca="false">B1532/MAX(B1281:B1532)-1</f>
        <v>-0.0474103925992553</v>
      </c>
      <c r="F1532" s="7" t="str">
        <f aca="false">IFERROR(INDEX(02_轉折點45個!B:B,MATCH(A1532,02_轉折點45個!A:A,0)),"")</f>
        <v/>
      </c>
      <c r="G1532" s="7" t="s">
        <v>1994</v>
      </c>
    </row>
    <row r="1533" customFormat="false" ht="15" hidden="false" customHeight="false" outlineLevel="0" collapsed="false">
      <c r="A1533" s="7" t="s">
        <v>3298</v>
      </c>
      <c r="B1533" s="7" t="n">
        <v>1879.8</v>
      </c>
      <c r="C1533" s="7" t="n">
        <f aca="false">AVERAGE(B1484:B1533)</f>
        <v>1926.1952</v>
      </c>
      <c r="D1533" s="7" t="n">
        <f aca="false">AVERAGE(B1334:B1533)</f>
        <v>1806.15425</v>
      </c>
      <c r="E1533" s="7" t="n">
        <f aca="false">B1533/MAX(B1282:B1533)-1</f>
        <v>-0.0554101112021185</v>
      </c>
      <c r="F1533" s="7" t="str">
        <f aca="false">IFERROR(INDEX(02_轉折點45個!B:B,MATCH(A1533,02_轉折點45個!A:A,0)),"")</f>
        <v/>
      </c>
      <c r="G1533" s="7" t="s">
        <v>1994</v>
      </c>
    </row>
    <row r="1534" customFormat="false" ht="15" hidden="false" customHeight="false" outlineLevel="0" collapsed="false">
      <c r="A1534" s="7" t="s">
        <v>587</v>
      </c>
      <c r="B1534" s="7" t="n">
        <v>1906.32</v>
      </c>
      <c r="C1534" s="7" t="n">
        <f aca="false">AVERAGE(B1485:B1534)</f>
        <v>1926.2388</v>
      </c>
      <c r="D1534" s="7" t="n">
        <f aca="false">AVERAGE(B1335:B1534)</f>
        <v>1806.5701</v>
      </c>
      <c r="E1534" s="7" t="n">
        <f aca="false">B1534/MAX(B1283:B1534)-1</f>
        <v>-0.0420839467958414</v>
      </c>
      <c r="F1534" s="7" t="str">
        <f aca="false">IFERROR(INDEX(02_轉折點45個!B:B,MATCH(A1534,02_轉折點45個!A:A,0)),"")</f>
        <v/>
      </c>
      <c r="G1534" s="7" t="s">
        <v>1994</v>
      </c>
    </row>
    <row r="1535" customFormat="false" ht="15" hidden="false" customHeight="false" outlineLevel="0" collapsed="false">
      <c r="A1535" s="7" t="s">
        <v>3299</v>
      </c>
      <c r="B1535" s="7" t="n">
        <v>1902.09</v>
      </c>
      <c r="C1535" s="7" t="n">
        <f aca="false">AVERAGE(B1486:B1535)</f>
        <v>1925.8642</v>
      </c>
      <c r="D1535" s="7" t="n">
        <f aca="false">AVERAGE(B1336:B1535)</f>
        <v>1806.7945</v>
      </c>
      <c r="E1535" s="7" t="n">
        <f aca="false">B1535/MAX(B1284:B1535)-1</f>
        <v>-0.0442095001683358</v>
      </c>
      <c r="F1535" s="7" t="str">
        <f aca="false">IFERROR(INDEX(02_轉折點45個!B:B,MATCH(A1535,02_轉折點45個!A:A,0)),"")</f>
        <v/>
      </c>
      <c r="G1535" s="7" t="s">
        <v>1994</v>
      </c>
    </row>
    <row r="1536" customFormat="false" ht="15" hidden="false" customHeight="false" outlineLevel="0" collapsed="false">
      <c r="A1536" s="7" t="s">
        <v>3300</v>
      </c>
      <c r="B1536" s="7" t="n">
        <v>1906.33</v>
      </c>
      <c r="C1536" s="7" t="n">
        <f aca="false">AVERAGE(B1487:B1536)</f>
        <v>1925.5848</v>
      </c>
      <c r="D1536" s="7" t="n">
        <f aca="false">AVERAGE(B1337:B1536)</f>
        <v>1806.9631</v>
      </c>
      <c r="E1536" s="7" t="n">
        <f aca="false">B1536/MAX(B1285:B1536)-1</f>
        <v>-0.0420789218469703</v>
      </c>
      <c r="F1536" s="7" t="str">
        <f aca="false">IFERROR(INDEX(02_轉折點45個!B:B,MATCH(A1536,02_轉折點45個!A:A,0)),"")</f>
        <v/>
      </c>
      <c r="G1536" s="7" t="s">
        <v>1994</v>
      </c>
    </row>
    <row r="1537" customFormat="false" ht="15" hidden="false" customHeight="false" outlineLevel="0" collapsed="false">
      <c r="A1537" s="7" t="s">
        <v>3301</v>
      </c>
      <c r="B1537" s="7" t="n">
        <v>1875.15</v>
      </c>
      <c r="C1537" s="7" t="n">
        <f aca="false">AVERAGE(B1488:B1537)</f>
        <v>1924.5922</v>
      </c>
      <c r="D1537" s="7" t="n">
        <f aca="false">AVERAGE(B1338:B1537)</f>
        <v>1807.03515</v>
      </c>
      <c r="E1537" s="7" t="n">
        <f aca="false">B1537/MAX(B1286:B1537)-1</f>
        <v>-0.057746712427201</v>
      </c>
      <c r="F1537" s="7" t="str">
        <f aca="false">IFERROR(INDEX(02_轉折點45個!B:B,MATCH(A1537,02_轉折點45個!A:A,0)),"")</f>
        <v/>
      </c>
      <c r="G1537" s="7" t="s">
        <v>1994</v>
      </c>
    </row>
    <row r="1538" customFormat="false" ht="15" hidden="false" customHeight="false" outlineLevel="0" collapsed="false">
      <c r="A1538" s="7" t="s">
        <v>3302</v>
      </c>
      <c r="B1538" s="7" t="n">
        <v>1875.66</v>
      </c>
      <c r="C1538" s="7" t="n">
        <f aca="false">AVERAGE(B1489:B1538)</f>
        <v>1923.7936</v>
      </c>
      <c r="D1538" s="7" t="n">
        <f aca="false">AVERAGE(B1339:B1538)</f>
        <v>1807.12915</v>
      </c>
      <c r="E1538" s="7" t="n">
        <f aca="false">B1538/MAX(B1287:B1538)-1</f>
        <v>-0.0574904400347726</v>
      </c>
      <c r="F1538" s="7" t="str">
        <f aca="false">IFERROR(INDEX(02_轉折點45個!B:B,MATCH(A1538,02_轉折點45個!A:A,0)),"")</f>
        <v/>
      </c>
      <c r="G1538" s="7" t="s">
        <v>1994</v>
      </c>
    </row>
    <row r="1539" customFormat="false" ht="15" hidden="false" customHeight="false" outlineLevel="0" collapsed="false">
      <c r="A1539" s="7" t="s">
        <v>588</v>
      </c>
      <c r="B1539" s="7" t="n">
        <v>1897.18</v>
      </c>
      <c r="C1539" s="7" t="n">
        <f aca="false">AVERAGE(B1490:B1539)</f>
        <v>1922.6686</v>
      </c>
      <c r="D1539" s="7" t="n">
        <f aca="false">AVERAGE(B1340:B1539)</f>
        <v>1807.5271</v>
      </c>
      <c r="E1539" s="7" t="n">
        <f aca="false">B1539/MAX(B1288:B1539)-1</f>
        <v>-0.046676750064068</v>
      </c>
      <c r="F1539" s="7" t="str">
        <f aca="false">IFERROR(INDEX(02_轉折點45個!B:B,MATCH(A1539,02_轉折點45個!A:A,0)),"")</f>
        <v/>
      </c>
      <c r="G1539" s="7" t="s">
        <v>1994</v>
      </c>
    </row>
    <row r="1540" customFormat="false" ht="15" hidden="false" customHeight="false" outlineLevel="0" collapsed="false">
      <c r="A1540" s="7" t="s">
        <v>589</v>
      </c>
      <c r="B1540" s="7" t="n">
        <v>1902.89</v>
      </c>
      <c r="C1540" s="7" t="n">
        <f aca="false">AVERAGE(B1491:B1540)</f>
        <v>1921.5602</v>
      </c>
      <c r="D1540" s="7" t="n">
        <f aca="false">AVERAGE(B1341:B1540)</f>
        <v>1808.0941</v>
      </c>
      <c r="E1540" s="7" t="n">
        <f aca="false">B1540/MAX(B1289:B1540)-1</f>
        <v>-0.0438075042586441</v>
      </c>
      <c r="F1540" s="7" t="str">
        <f aca="false">IFERROR(INDEX(02_轉折點45個!B:B,MATCH(A1540,02_轉折點45個!A:A,0)),"")</f>
        <v/>
      </c>
      <c r="G1540" s="7" t="s">
        <v>1994</v>
      </c>
    </row>
    <row r="1541" customFormat="false" ht="15" hidden="false" customHeight="false" outlineLevel="0" collapsed="false">
      <c r="A1541" s="7" t="s">
        <v>3303</v>
      </c>
      <c r="B1541" s="7" t="n">
        <v>1908.65</v>
      </c>
      <c r="C1541" s="7" t="n">
        <f aca="false">AVERAGE(B1492:B1541)</f>
        <v>1920.4868</v>
      </c>
      <c r="D1541" s="7" t="n">
        <f aca="false">AVERAGE(B1342:B1541)</f>
        <v>1808.86635</v>
      </c>
      <c r="E1541" s="7" t="n">
        <f aca="false">B1541/MAX(B1290:B1541)-1</f>
        <v>-0.0409131337088644</v>
      </c>
      <c r="F1541" s="7" t="str">
        <f aca="false">IFERROR(INDEX(02_轉折點45個!B:B,MATCH(A1541,02_轉折點45個!A:A,0)),"")</f>
        <v/>
      </c>
      <c r="G1541" s="7" t="s">
        <v>1994</v>
      </c>
    </row>
    <row r="1542" customFormat="false" ht="15" hidden="false" customHeight="false" outlineLevel="0" collapsed="false">
      <c r="A1542" s="7" t="s">
        <v>3304</v>
      </c>
      <c r="B1542" s="7" t="n">
        <v>1907.02</v>
      </c>
      <c r="C1542" s="7" t="n">
        <f aca="false">AVERAGE(B1493:B1542)</f>
        <v>1919.3208</v>
      </c>
      <c r="D1542" s="7" t="n">
        <f aca="false">AVERAGE(B1343:B1542)</f>
        <v>1809.54565</v>
      </c>
      <c r="E1542" s="7" t="n">
        <f aca="false">B1542/MAX(B1291:B1542)-1</f>
        <v>-0.0417322003748611</v>
      </c>
      <c r="F1542" s="7" t="str">
        <f aca="false">IFERROR(INDEX(02_轉折點45個!B:B,MATCH(A1542,02_轉折點45個!A:A,0)),"")</f>
        <v/>
      </c>
      <c r="G1542" s="7" t="s">
        <v>1994</v>
      </c>
    </row>
    <row r="1543" customFormat="false" ht="15" hidden="false" customHeight="false" outlineLevel="0" collapsed="false">
      <c r="A1543" s="7" t="s">
        <v>3305</v>
      </c>
      <c r="B1543" s="7" t="n">
        <v>1883.18</v>
      </c>
      <c r="C1543" s="7" t="n">
        <f aca="false">AVERAGE(B1494:B1543)</f>
        <v>1918.3464</v>
      </c>
      <c r="D1543" s="7" t="n">
        <f aca="false">AVERAGE(B1344:B1543)</f>
        <v>1810.052</v>
      </c>
      <c r="E1543" s="7" t="n">
        <f aca="false">B1543/MAX(B1292:B1543)-1</f>
        <v>-0.0537116784836714</v>
      </c>
      <c r="F1543" s="7" t="str">
        <f aca="false">IFERROR(INDEX(02_轉折點45個!B:B,MATCH(A1543,02_轉折點45個!A:A,0)),"")</f>
        <v/>
      </c>
      <c r="G1543" s="7" t="s">
        <v>1994</v>
      </c>
    </row>
    <row r="1544" customFormat="false" ht="15" hidden="false" customHeight="false" outlineLevel="0" collapsed="false">
      <c r="A1544" s="7" t="s">
        <v>3306</v>
      </c>
      <c r="B1544" s="7" t="n">
        <v>1880.7</v>
      </c>
      <c r="C1544" s="7" t="n">
        <f aca="false">AVERAGE(B1495:B1544)</f>
        <v>1917.1132</v>
      </c>
      <c r="D1544" s="7" t="n">
        <f aca="false">AVERAGE(B1345:B1544)</f>
        <v>1810.515</v>
      </c>
      <c r="E1544" s="7" t="n">
        <f aca="false">B1544/MAX(B1293:B1544)-1</f>
        <v>-0.0549578658037154</v>
      </c>
      <c r="F1544" s="7" t="str">
        <f aca="false">IFERROR(INDEX(02_轉折點45個!B:B,MATCH(A1544,02_轉折點45個!A:A,0)),"")</f>
        <v/>
      </c>
      <c r="G1544" s="7" t="s">
        <v>1994</v>
      </c>
    </row>
    <row r="1545" customFormat="false" ht="15" hidden="false" customHeight="false" outlineLevel="0" collapsed="false">
      <c r="A1545" s="7" t="s">
        <v>590</v>
      </c>
      <c r="B1545" s="7" t="n">
        <v>1854.84</v>
      </c>
      <c r="C1545" s="7" t="n">
        <f aca="false">AVERAGE(B1496:B1545)</f>
        <v>1915.3098</v>
      </c>
      <c r="D1545" s="7" t="n">
        <f aca="false">AVERAGE(B1346:B1545)</f>
        <v>1810.93785</v>
      </c>
      <c r="E1545" s="7" t="n">
        <f aca="false">B1545/MAX(B1294:B1545)-1</f>
        <v>-0.0679523835844971</v>
      </c>
      <c r="F1545" s="7" t="str">
        <f aca="false">IFERROR(INDEX(02_轉折點45個!B:B,MATCH(A1545,02_轉折點45個!A:A,0)),"")</f>
        <v/>
      </c>
      <c r="G1545" s="7" t="s">
        <v>1994</v>
      </c>
    </row>
    <row r="1546" customFormat="false" ht="15" hidden="false" customHeight="false" outlineLevel="0" collapsed="false">
      <c r="A1546" s="7" t="s">
        <v>3307</v>
      </c>
      <c r="B1546" s="7" t="n">
        <v>1855.69</v>
      </c>
      <c r="C1546" s="7" t="n">
        <f aca="false">AVERAGE(B1497:B1546)</f>
        <v>1913.5406</v>
      </c>
      <c r="D1546" s="7" t="n">
        <f aca="false">AVERAGE(B1347:B1546)</f>
        <v>1811.4553</v>
      </c>
      <c r="E1546" s="7" t="n">
        <f aca="false">B1546/MAX(B1295:B1546)-1</f>
        <v>-0.0675252629304496</v>
      </c>
      <c r="F1546" s="7" t="str">
        <f aca="false">IFERROR(INDEX(02_轉折點45個!B:B,MATCH(A1546,02_轉折點45個!A:A,0)),"")</f>
        <v/>
      </c>
      <c r="G1546" s="7" t="s">
        <v>1994</v>
      </c>
    </row>
    <row r="1547" customFormat="false" ht="15" hidden="false" customHeight="false" outlineLevel="0" collapsed="false">
      <c r="A1547" s="7" t="s">
        <v>3308</v>
      </c>
      <c r="B1547" s="7" t="n">
        <v>1874.38</v>
      </c>
      <c r="C1547" s="7" t="n">
        <f aca="false">AVERAGE(B1498:B1547)</f>
        <v>1911.772</v>
      </c>
      <c r="D1547" s="7" t="n">
        <f aca="false">AVERAGE(B1348:B1547)</f>
        <v>1812.1662</v>
      </c>
      <c r="E1547" s="7" t="n">
        <f aca="false">B1547/MAX(B1296:B1547)-1</f>
        <v>-0.0581336334902791</v>
      </c>
      <c r="F1547" s="7" t="str">
        <f aca="false">IFERROR(INDEX(02_轉折點45個!B:B,MATCH(A1547,02_轉折點45個!A:A,0)),"")</f>
        <v/>
      </c>
      <c r="G1547" s="7" t="s">
        <v>1994</v>
      </c>
    </row>
    <row r="1548" customFormat="false" ht="15" hidden="false" customHeight="false" outlineLevel="0" collapsed="false">
      <c r="A1548" s="7" t="s">
        <v>3309</v>
      </c>
      <c r="B1548" s="7" t="n">
        <v>1886.89</v>
      </c>
      <c r="C1548" s="7" t="n">
        <f aca="false">AVERAGE(B1499:B1548)</f>
        <v>1910.0464</v>
      </c>
      <c r="D1548" s="7" t="n">
        <f aca="false">AVERAGE(B1349:B1548)</f>
        <v>1812.7785</v>
      </c>
      <c r="E1548" s="7" t="n">
        <f aca="false">B1548/MAX(B1297:B1548)-1</f>
        <v>-0.0518474224524764</v>
      </c>
      <c r="F1548" s="7" t="str">
        <f aca="false">IFERROR(INDEX(02_轉折點45個!B:B,MATCH(A1548,02_轉折點45個!A:A,0)),"")</f>
        <v/>
      </c>
      <c r="G1548" s="7" t="s">
        <v>1994</v>
      </c>
    </row>
    <row r="1549" customFormat="false" ht="15" hidden="false" customHeight="false" outlineLevel="0" collapsed="false">
      <c r="A1549" s="7" t="s">
        <v>3310</v>
      </c>
      <c r="B1549" s="7" t="n">
        <v>1874.4</v>
      </c>
      <c r="C1549" s="7" t="n">
        <f aca="false">AVERAGE(B1500:B1549)</f>
        <v>1908.0214</v>
      </c>
      <c r="D1549" s="7" t="n">
        <f aca="false">AVERAGE(B1350:B1549)</f>
        <v>1813.35465</v>
      </c>
      <c r="E1549" s="7" t="n">
        <f aca="false">B1549/MAX(B1298:B1549)-1</f>
        <v>-0.0581235835925369</v>
      </c>
      <c r="F1549" s="7" t="str">
        <f aca="false">IFERROR(INDEX(02_轉折點45個!B:B,MATCH(A1549,02_轉折點45個!A:A,0)),"")</f>
        <v/>
      </c>
      <c r="G1549" s="7" t="s">
        <v>1994</v>
      </c>
    </row>
    <row r="1550" customFormat="false" ht="15" hidden="false" customHeight="false" outlineLevel="0" collapsed="false">
      <c r="A1550" s="7" t="s">
        <v>591</v>
      </c>
      <c r="B1550" s="7" t="n">
        <v>1892.24</v>
      </c>
      <c r="C1550" s="7" t="n">
        <f aca="false">AVERAGE(B1501:B1550)</f>
        <v>1906.653</v>
      </c>
      <c r="D1550" s="7" t="n">
        <f aca="false">AVERAGE(B1351:B1550)</f>
        <v>1814.018</v>
      </c>
      <c r="E1550" s="7" t="n">
        <f aca="false">B1550/MAX(B1299:B1550)-1</f>
        <v>-0.0491590748064138</v>
      </c>
      <c r="F1550" s="7" t="str">
        <f aca="false">IFERROR(INDEX(02_轉折點45個!B:B,MATCH(A1550,02_轉折點45個!A:A,0)),"")</f>
        <v/>
      </c>
      <c r="G1550" s="7" t="s">
        <v>1994</v>
      </c>
    </row>
    <row r="1551" customFormat="false" ht="15" hidden="false" customHeight="false" outlineLevel="0" collapsed="false">
      <c r="A1551" s="7" t="s">
        <v>3311</v>
      </c>
      <c r="B1551" s="7" t="n">
        <v>1888.81</v>
      </c>
      <c r="C1551" s="7" t="n">
        <f aca="false">AVERAGE(B1502:B1551)</f>
        <v>1905.416</v>
      </c>
      <c r="D1551" s="7" t="n">
        <f aca="false">AVERAGE(B1352:B1551)</f>
        <v>1814.7637</v>
      </c>
      <c r="E1551" s="7" t="n">
        <f aca="false">B1551/MAX(B1300:B1551)-1</f>
        <v>-0.0508826322692166</v>
      </c>
      <c r="F1551" s="7" t="str">
        <f aca="false">IFERROR(INDEX(02_轉折點45個!B:B,MATCH(A1551,02_轉折點45個!A:A,0)),"")</f>
        <v/>
      </c>
      <c r="G1551" s="7" t="s">
        <v>1994</v>
      </c>
    </row>
    <row r="1552" customFormat="false" ht="15" hidden="false" customHeight="false" outlineLevel="0" collapsed="false">
      <c r="A1552" s="7" t="s">
        <v>3312</v>
      </c>
      <c r="B1552" s="7" t="n">
        <v>1880.5</v>
      </c>
      <c r="C1552" s="7" t="n">
        <f aca="false">AVERAGE(B1503:B1552)</f>
        <v>1904.147</v>
      </c>
      <c r="D1552" s="7" t="n">
        <f aca="false">AVERAGE(B1353:B1552)</f>
        <v>1815.59395</v>
      </c>
      <c r="E1552" s="7" t="n">
        <f aca="false">B1552/MAX(B1301:B1552)-1</f>
        <v>-0.0550583647811384</v>
      </c>
      <c r="F1552" s="7" t="str">
        <f aca="false">IFERROR(INDEX(02_轉折點45個!B:B,MATCH(A1552,02_轉折點45個!A:A,0)),"")</f>
        <v/>
      </c>
      <c r="G1552" s="7" t="s">
        <v>1994</v>
      </c>
    </row>
    <row r="1553" customFormat="false" ht="15" hidden="false" customHeight="false" outlineLevel="0" collapsed="false">
      <c r="A1553" s="7" t="s">
        <v>592</v>
      </c>
      <c r="B1553" s="7" t="n">
        <v>1891.65</v>
      </c>
      <c r="C1553" s="7" t="n">
        <f aca="false">AVERAGE(B1504:B1553)</f>
        <v>1902.6798</v>
      </c>
      <c r="D1553" s="7" t="n">
        <f aca="false">AVERAGE(B1354:B1553)</f>
        <v>1816.3832</v>
      </c>
      <c r="E1553" s="7" t="n">
        <f aca="false">B1553/MAX(B1302:B1553)-1</f>
        <v>-0.0494555467898113</v>
      </c>
      <c r="F1553" s="7" t="str">
        <f aca="false">IFERROR(INDEX(02_轉折點45個!B:B,MATCH(A1553,02_轉折點45個!A:A,0)),"")</f>
        <v/>
      </c>
      <c r="G1553" s="7" t="s">
        <v>1994</v>
      </c>
    </row>
    <row r="1554" customFormat="false" ht="15" hidden="false" customHeight="false" outlineLevel="0" collapsed="false">
      <c r="A1554" s="7" t="s">
        <v>3313</v>
      </c>
      <c r="B1554" s="7" t="n">
        <v>1909.56</v>
      </c>
      <c r="C1554" s="7" t="n">
        <f aca="false">AVERAGE(B1505:B1554)</f>
        <v>1901.459</v>
      </c>
      <c r="D1554" s="7" t="n">
        <f aca="false">AVERAGE(B1355:B1554)</f>
        <v>1817.2604</v>
      </c>
      <c r="E1554" s="7" t="n">
        <f aca="false">B1554/MAX(B1303:B1554)-1</f>
        <v>-0.0404558633615902</v>
      </c>
      <c r="F1554" s="7" t="str">
        <f aca="false">IFERROR(INDEX(02_轉折點45個!B:B,MATCH(A1554,02_轉折點45個!A:A,0)),"")</f>
        <v/>
      </c>
      <c r="G1554" s="7" t="s">
        <v>1994</v>
      </c>
    </row>
    <row r="1555" customFormat="false" ht="15" hidden="false" customHeight="false" outlineLevel="0" collapsed="false">
      <c r="A1555" s="7" t="s">
        <v>593</v>
      </c>
      <c r="B1555" s="7" t="n">
        <v>1894.34</v>
      </c>
      <c r="C1555" s="7" t="n">
        <f aca="false">AVERAGE(B1506:B1555)</f>
        <v>1899.8682</v>
      </c>
      <c r="D1555" s="7" t="n">
        <f aca="false">AVERAGE(B1356:B1555)</f>
        <v>1818.06875</v>
      </c>
      <c r="E1555" s="7" t="n">
        <f aca="false">B1555/MAX(B1304:B1555)-1</f>
        <v>-0.0481038355434733</v>
      </c>
      <c r="F1555" s="7" t="str">
        <f aca="false">IFERROR(INDEX(02_轉折點45個!B:B,MATCH(A1555,02_轉折點45個!A:A,0)),"")</f>
        <v/>
      </c>
      <c r="G1555" s="7" t="s">
        <v>1994</v>
      </c>
    </row>
    <row r="1556" customFormat="false" ht="15" hidden="false" customHeight="false" outlineLevel="0" collapsed="false">
      <c r="A1556" s="7" t="s">
        <v>3314</v>
      </c>
      <c r="B1556" s="7" t="n">
        <v>1883.14</v>
      </c>
      <c r="C1556" s="7" t="n">
        <f aca="false">AVERAGE(B1507:B1556)</f>
        <v>1898.1702</v>
      </c>
      <c r="D1556" s="7" t="n">
        <f aca="false">AVERAGE(B1357:B1556)</f>
        <v>1818.7503</v>
      </c>
      <c r="E1556" s="7" t="n">
        <f aca="false">B1556/MAX(B1305:B1556)-1</f>
        <v>-0.053731778279156</v>
      </c>
      <c r="F1556" s="7" t="str">
        <f aca="false">IFERROR(INDEX(02_轉折點45個!B:B,MATCH(A1556,02_轉折點45個!A:A,0)),"")</f>
        <v/>
      </c>
      <c r="G1556" s="7" t="s">
        <v>1994</v>
      </c>
    </row>
    <row r="1557" customFormat="false" ht="15" hidden="false" customHeight="false" outlineLevel="0" collapsed="false">
      <c r="A1557" s="7" t="s">
        <v>3315</v>
      </c>
      <c r="B1557" s="7" t="n">
        <v>1881.7</v>
      </c>
      <c r="C1557" s="7" t="n">
        <f aca="false">AVERAGE(B1508:B1557)</f>
        <v>1896.0238</v>
      </c>
      <c r="D1557" s="7" t="n">
        <f aca="false">AVERAGE(B1358:B1557)</f>
        <v>1819.3749</v>
      </c>
      <c r="E1557" s="7" t="n">
        <f aca="false">B1557/MAX(B1306:B1557)-1</f>
        <v>-0.0544553709166009</v>
      </c>
      <c r="F1557" s="7" t="str">
        <f aca="false">IFERROR(INDEX(02_轉折點45個!B:B,MATCH(A1557,02_轉折點45個!A:A,0)),"")</f>
        <v/>
      </c>
      <c r="G1557" s="7" t="s">
        <v>1994</v>
      </c>
    </row>
    <row r="1558" customFormat="false" ht="15" hidden="false" customHeight="false" outlineLevel="0" collapsed="false">
      <c r="A1558" s="7" t="s">
        <v>594</v>
      </c>
      <c r="B1558" s="7" t="n">
        <v>1865.15</v>
      </c>
      <c r="C1558" s="7" t="n">
        <f aca="false">AVERAGE(B1509:B1558)</f>
        <v>1893.5498</v>
      </c>
      <c r="D1558" s="7" t="n">
        <f aca="false">AVERAGE(B1359:B1558)</f>
        <v>1819.7264</v>
      </c>
      <c r="E1558" s="7" t="n">
        <f aca="false">B1558/MAX(B1307:B1558)-1</f>
        <v>-0.0627716612983462</v>
      </c>
      <c r="F1558" s="7" t="str">
        <f aca="false">IFERROR(INDEX(02_轉折點45個!B:B,MATCH(A1558,02_轉折點45個!A:A,0)),"")</f>
        <v/>
      </c>
      <c r="G1558" s="7" t="s">
        <v>1994</v>
      </c>
    </row>
    <row r="1559" customFormat="false" ht="15" hidden="false" customHeight="false" outlineLevel="0" collapsed="false">
      <c r="A1559" s="7" t="s">
        <v>3316</v>
      </c>
      <c r="B1559" s="7" t="n">
        <v>1873.77</v>
      </c>
      <c r="C1559" s="7" t="n">
        <f aca="false">AVERAGE(B1510:B1559)</f>
        <v>1891.2238</v>
      </c>
      <c r="D1559" s="7" t="n">
        <f aca="false">AVERAGE(B1360:B1559)</f>
        <v>1820.06845</v>
      </c>
      <c r="E1559" s="7" t="n">
        <f aca="false">B1559/MAX(B1308:B1559)-1</f>
        <v>-0.0584401553714191</v>
      </c>
      <c r="F1559" s="7" t="str">
        <f aca="false">IFERROR(INDEX(02_轉折點45個!B:B,MATCH(A1559,02_轉折點45個!A:A,0)),"")</f>
        <v/>
      </c>
      <c r="G1559" s="7" t="s">
        <v>1994</v>
      </c>
    </row>
    <row r="1560" customFormat="false" ht="15" hidden="false" customHeight="false" outlineLevel="0" collapsed="false">
      <c r="A1560" s="7" t="s">
        <v>595</v>
      </c>
      <c r="B1560" s="7" t="n">
        <v>1859.1</v>
      </c>
      <c r="C1560" s="7" t="n">
        <f aca="false">AVERAGE(B1511:B1560)</f>
        <v>1888.6574</v>
      </c>
      <c r="D1560" s="7" t="n">
        <f aca="false">AVERAGE(B1361:B1560)</f>
        <v>1820.29905</v>
      </c>
      <c r="E1560" s="7" t="n">
        <f aca="false">B1560/MAX(B1309:B1560)-1</f>
        <v>-0.0658117553653892</v>
      </c>
      <c r="F1560" s="7" t="str">
        <f aca="false">IFERROR(INDEX(02_轉折點45個!B:B,MATCH(A1560,02_轉折點45個!A:A,0)),"")</f>
        <v/>
      </c>
      <c r="G1560" s="7" t="s">
        <v>1994</v>
      </c>
    </row>
    <row r="1561" customFormat="false" ht="15" hidden="false" customHeight="false" outlineLevel="0" collapsed="false">
      <c r="A1561" s="7" t="s">
        <v>3317</v>
      </c>
      <c r="B1561" s="7" t="n">
        <v>1841.53</v>
      </c>
      <c r="C1561" s="7" t="n">
        <f aca="false">AVERAGE(B1512:B1561)</f>
        <v>1886.165</v>
      </c>
      <c r="D1561" s="7" t="n">
        <f aca="false">AVERAGE(B1362:B1561)</f>
        <v>1820.43155</v>
      </c>
      <c r="E1561" s="7" t="n">
        <f aca="false">B1561/MAX(B1310:B1561)-1</f>
        <v>-0.0746405905319914</v>
      </c>
      <c r="F1561" s="7" t="str">
        <f aca="false">IFERROR(INDEX(02_轉折點45個!B:B,MATCH(A1561,02_轉折點45個!A:A,0)),"")</f>
        <v/>
      </c>
      <c r="G1561" s="7" t="s">
        <v>1994</v>
      </c>
    </row>
    <row r="1562" customFormat="false" ht="15" hidden="false" customHeight="false" outlineLevel="0" collapsed="false">
      <c r="A1562" s="7" t="s">
        <v>3318</v>
      </c>
      <c r="B1562" s="7" t="n">
        <v>1842.15</v>
      </c>
      <c r="C1562" s="7" t="n">
        <f aca="false">AVERAGE(B1513:B1562)</f>
        <v>1884.4944</v>
      </c>
      <c r="D1562" s="7" t="n">
        <f aca="false">AVERAGE(B1363:B1562)</f>
        <v>1820.54875</v>
      </c>
      <c r="E1562" s="7" t="n">
        <f aca="false">B1562/MAX(B1311:B1562)-1</f>
        <v>-0.0743290437019802</v>
      </c>
      <c r="F1562" s="7" t="str">
        <f aca="false">IFERROR(INDEX(02_轉折點45個!B:B,MATCH(A1562,02_轉折點45個!A:A,0)),"")</f>
        <v/>
      </c>
      <c r="G1562" s="7" t="s">
        <v>1994</v>
      </c>
    </row>
    <row r="1563" customFormat="false" ht="15" hidden="false" customHeight="false" outlineLevel="0" collapsed="false">
      <c r="A1563" s="7" t="s">
        <v>3319</v>
      </c>
      <c r="B1563" s="7" t="n">
        <v>1834.26</v>
      </c>
      <c r="C1563" s="7" t="n">
        <f aca="false">AVERAGE(B1514:B1563)</f>
        <v>1882.9696</v>
      </c>
      <c r="D1563" s="7" t="n">
        <f aca="false">AVERAGE(B1364:B1563)</f>
        <v>1820.63465</v>
      </c>
      <c r="E1563" s="7" t="n">
        <f aca="false">B1563/MAX(B1312:B1563)-1</f>
        <v>-0.0782937283613139</v>
      </c>
      <c r="F1563" s="7" t="str">
        <f aca="false">IFERROR(INDEX(02_轉折點45個!B:B,MATCH(A1563,02_轉折點45個!A:A,0)),"")</f>
        <v/>
      </c>
      <c r="G1563" s="7" t="s">
        <v>1994</v>
      </c>
    </row>
    <row r="1564" customFormat="false" ht="15" hidden="false" customHeight="false" outlineLevel="0" collapsed="false">
      <c r="A1564" s="7" t="s">
        <v>3320</v>
      </c>
      <c r="B1564" s="7" t="n">
        <v>1834.01</v>
      </c>
      <c r="C1564" s="7" t="n">
        <f aca="false">AVERAGE(B1515:B1564)</f>
        <v>1881.4624</v>
      </c>
      <c r="D1564" s="7" t="n">
        <f aca="false">AVERAGE(B1365:B1564)</f>
        <v>1820.8505</v>
      </c>
      <c r="E1564" s="7" t="n">
        <f aca="false">B1564/MAX(B1313:B1564)-1</f>
        <v>-0.0784193520830925</v>
      </c>
      <c r="F1564" s="7" t="str">
        <f aca="false">IFERROR(INDEX(02_轉折點45個!B:B,MATCH(A1564,02_轉折點45個!A:A,0)),"")</f>
        <v/>
      </c>
      <c r="G1564" s="7" t="s">
        <v>1994</v>
      </c>
    </row>
    <row r="1565" customFormat="false" ht="15" hidden="false" customHeight="false" outlineLevel="0" collapsed="false">
      <c r="A1565" s="7" t="s">
        <v>596</v>
      </c>
      <c r="B1565" s="7" t="n">
        <v>1817.41</v>
      </c>
      <c r="C1565" s="7" t="n">
        <f aca="false">AVERAGE(B1516:B1565)</f>
        <v>1879.6486</v>
      </c>
      <c r="D1565" s="7" t="n">
        <f aca="false">AVERAGE(B1366:B1565)</f>
        <v>1820.8995</v>
      </c>
      <c r="E1565" s="7" t="n">
        <f aca="false">B1565/MAX(B1314:B1565)-1</f>
        <v>-0.0867607672091936</v>
      </c>
      <c r="F1565" s="7" t="str">
        <f aca="false">IFERROR(INDEX(02_轉折點45個!B:B,MATCH(A1565,02_轉折點45個!A:A,0)),"")</f>
        <v/>
      </c>
      <c r="G1565" s="7" t="s">
        <v>1994</v>
      </c>
    </row>
    <row r="1566" customFormat="false" ht="15" hidden="false" customHeight="false" outlineLevel="0" collapsed="false">
      <c r="A1566" s="7" t="s">
        <v>3321</v>
      </c>
      <c r="B1566" s="7" t="n">
        <v>1818.21</v>
      </c>
      <c r="C1566" s="7" t="n">
        <f aca="false">AVERAGE(B1517:B1566)</f>
        <v>1877.6968</v>
      </c>
      <c r="D1566" s="7" t="n">
        <f aca="false">AVERAGE(B1367:B1566)</f>
        <v>1820.76065</v>
      </c>
      <c r="E1566" s="7" t="n">
        <f aca="false">B1566/MAX(B1315:B1566)-1</f>
        <v>-0.086358771299502</v>
      </c>
      <c r="F1566" s="7" t="str">
        <f aca="false">IFERROR(INDEX(02_轉折點45個!B:B,MATCH(A1566,02_轉折點45個!A:A,0)),"")</f>
        <v/>
      </c>
      <c r="G1566" s="7" t="s">
        <v>1994</v>
      </c>
    </row>
    <row r="1567" customFormat="false" ht="15" hidden="false" customHeight="false" outlineLevel="0" collapsed="false">
      <c r="A1567" s="7" t="s">
        <v>3322</v>
      </c>
      <c r="B1567" s="7" t="n">
        <v>1818.98</v>
      </c>
      <c r="C1567" s="7" t="n">
        <f aca="false">AVERAGE(B1518:B1567)</f>
        <v>1876.0788</v>
      </c>
      <c r="D1567" s="7" t="n">
        <f aca="false">AVERAGE(B1368:B1567)</f>
        <v>1820.61235</v>
      </c>
      <c r="E1567" s="7" t="n">
        <f aca="false">B1567/MAX(B1316:B1567)-1</f>
        <v>-0.0859718502364238</v>
      </c>
      <c r="F1567" s="7" t="str">
        <f aca="false">IFERROR(INDEX(02_轉折點45個!B:B,MATCH(A1567,02_轉折點45個!A:A,0)),"")</f>
        <v/>
      </c>
      <c r="G1567" s="7" t="s">
        <v>1994</v>
      </c>
    </row>
    <row r="1568" customFormat="false" ht="15" hidden="false" customHeight="false" outlineLevel="0" collapsed="false">
      <c r="A1568" s="7" t="s">
        <v>3323</v>
      </c>
      <c r="B1568" s="7" t="n">
        <v>1820.31</v>
      </c>
      <c r="C1568" s="7" t="n">
        <f aca="false">AVERAGE(B1519:B1568)</f>
        <v>1874.2514</v>
      </c>
      <c r="D1568" s="7" t="n">
        <f aca="false">AVERAGE(B1369:B1568)</f>
        <v>1820.62105</v>
      </c>
      <c r="E1568" s="7" t="n">
        <f aca="false">B1568/MAX(B1317:B1568)-1</f>
        <v>-0.0853035320365615</v>
      </c>
      <c r="F1568" s="7" t="str">
        <f aca="false">IFERROR(INDEX(02_轉折點45個!B:B,MATCH(A1568,02_轉折點45個!A:A,0)),"")</f>
        <v/>
      </c>
      <c r="G1568" s="7" t="s">
        <v>1994</v>
      </c>
    </row>
    <row r="1569" customFormat="false" ht="15" hidden="false" customHeight="false" outlineLevel="0" collapsed="false">
      <c r="A1569" s="7" t="s">
        <v>3324</v>
      </c>
      <c r="B1569" s="7" t="n">
        <v>1803.28</v>
      </c>
      <c r="C1569" s="7" t="n">
        <f aca="false">AVERAGE(B1520:B1569)</f>
        <v>1872.4848</v>
      </c>
      <c r="D1569" s="7" t="n">
        <f aca="false">AVERAGE(B1370:B1569)</f>
        <v>1820.5023</v>
      </c>
      <c r="E1569" s="7" t="n">
        <f aca="false">B1569/MAX(B1318:B1569)-1</f>
        <v>-0.0938610199641219</v>
      </c>
      <c r="F1569" s="7" t="str">
        <f aca="false">IFERROR(INDEX(02_轉折點45個!B:B,MATCH(A1569,02_轉折點45個!A:A,0)),"")</f>
        <v/>
      </c>
      <c r="G1569" s="7" t="s">
        <v>1994</v>
      </c>
    </row>
    <row r="1570" customFormat="false" ht="15" hidden="false" customHeight="false" outlineLevel="0" collapsed="false">
      <c r="A1570" s="7" t="s">
        <v>597</v>
      </c>
      <c r="B1570" s="7" t="n">
        <v>1832.33</v>
      </c>
      <c r="C1570" s="7" t="n">
        <f aca="false">AVERAGE(B1521:B1570)</f>
        <v>1870.9822</v>
      </c>
      <c r="D1570" s="7" t="n">
        <f aca="false">AVERAGE(B1371:B1570)</f>
        <v>1820.6653</v>
      </c>
      <c r="E1570" s="7" t="n">
        <f aca="false">B1570/MAX(B1319:B1570)-1</f>
        <v>-0.079263543493445</v>
      </c>
      <c r="F1570" s="7" t="str">
        <f aca="false">IFERROR(INDEX(02_轉折點45個!B:B,MATCH(A1570,02_轉折點45個!A:A,0)),"")</f>
        <v/>
      </c>
      <c r="G1570" s="7" t="s">
        <v>1994</v>
      </c>
    </row>
    <row r="1571" customFormat="false" ht="15" hidden="false" customHeight="false" outlineLevel="0" collapsed="false">
      <c r="A1571" s="7" t="s">
        <v>3325</v>
      </c>
      <c r="B1571" s="7" t="n">
        <v>1826.44</v>
      </c>
      <c r="C1571" s="7" t="n">
        <f aca="false">AVERAGE(B1522:B1571)</f>
        <v>1869.0306</v>
      </c>
      <c r="D1571" s="7" t="n">
        <f aca="false">AVERAGE(B1372:B1571)</f>
        <v>1820.68185</v>
      </c>
      <c r="E1571" s="7" t="n">
        <f aca="false">B1571/MAX(B1320:B1571)-1</f>
        <v>-0.0822232383785494</v>
      </c>
      <c r="F1571" s="7" t="str">
        <f aca="false">IFERROR(INDEX(02_轉折點45個!B:B,MATCH(A1571,02_轉折點45個!A:A,0)),"")</f>
        <v/>
      </c>
      <c r="G1571" s="7" t="s">
        <v>1994</v>
      </c>
    </row>
    <row r="1572" customFormat="false" ht="15" hidden="false" customHeight="false" outlineLevel="0" collapsed="false">
      <c r="A1572" s="7" t="s">
        <v>598</v>
      </c>
      <c r="B1572" s="7" t="n">
        <v>1813.27</v>
      </c>
      <c r="C1572" s="7" t="n">
        <f aca="false">AVERAGE(B1523:B1572)</f>
        <v>1867.4084</v>
      </c>
      <c r="D1572" s="7" t="n">
        <f aca="false">AVERAGE(B1373:B1572)</f>
        <v>1820.62055</v>
      </c>
      <c r="E1572" s="7" t="n">
        <f aca="false">B1572/MAX(B1321:B1572)-1</f>
        <v>-0.0888410960418478</v>
      </c>
      <c r="F1572" s="7" t="str">
        <f aca="false">IFERROR(INDEX(02_轉折點45個!B:B,MATCH(A1572,02_轉折點45個!A:A,0)),"")</f>
        <v/>
      </c>
      <c r="G1572" s="7" t="s">
        <v>1994</v>
      </c>
    </row>
    <row r="1573" customFormat="false" ht="15" hidden="false" customHeight="false" outlineLevel="0" collapsed="false">
      <c r="A1573" s="7" t="s">
        <v>3326</v>
      </c>
      <c r="B1573" s="7" t="n">
        <v>1818.99</v>
      </c>
      <c r="C1573" s="7" t="n">
        <f aca="false">AVERAGE(B1524:B1573)</f>
        <v>1866.407</v>
      </c>
      <c r="D1573" s="7" t="n">
        <f aca="false">AVERAGE(B1374:B1573)</f>
        <v>1820.65435</v>
      </c>
      <c r="E1573" s="7" t="n">
        <f aca="false">B1573/MAX(B1322:B1573)-1</f>
        <v>-0.0859668252875526</v>
      </c>
      <c r="F1573" s="7" t="str">
        <f aca="false">IFERROR(INDEX(02_轉折點45個!B:B,MATCH(A1573,02_轉折點45個!A:A,0)),"")</f>
        <v/>
      </c>
      <c r="G1573" s="7" t="s">
        <v>1994</v>
      </c>
    </row>
    <row r="1574" customFormat="false" ht="15" hidden="false" customHeight="false" outlineLevel="0" collapsed="false">
      <c r="A1574" s="7" t="s">
        <v>599</v>
      </c>
      <c r="B1574" s="7" t="n">
        <v>1826.52</v>
      </c>
      <c r="C1574" s="7" t="n">
        <f aca="false">AVERAGE(B1525:B1574)</f>
        <v>1865.7684</v>
      </c>
      <c r="D1574" s="7" t="n">
        <f aca="false">AVERAGE(B1375:B1574)</f>
        <v>1820.71185</v>
      </c>
      <c r="E1574" s="7" t="n">
        <f aca="false">B1574/MAX(B1323:B1574)-1</f>
        <v>-0.0821830387875803</v>
      </c>
      <c r="F1574" s="7" t="str">
        <f aca="false">IFERROR(INDEX(02_轉折點45個!B:B,MATCH(A1574,02_轉折點45個!A:A,0)),"")</f>
        <v/>
      </c>
      <c r="G1574" s="7" t="s">
        <v>1994</v>
      </c>
    </row>
    <row r="1575" customFormat="false" ht="15" hidden="false" customHeight="false" outlineLevel="0" collapsed="false">
      <c r="A1575" s="7" t="s">
        <v>3327</v>
      </c>
      <c r="B1575" s="7" t="n">
        <v>1826.36</v>
      </c>
      <c r="C1575" s="7" t="n">
        <f aca="false">AVERAGE(B1526:B1575)</f>
        <v>1865.5938</v>
      </c>
      <c r="D1575" s="7" t="n">
        <f aca="false">AVERAGE(B1376:B1575)</f>
        <v>1820.82495</v>
      </c>
      <c r="E1575" s="7" t="n">
        <f aca="false">B1575/MAX(B1324:B1575)-1</f>
        <v>-0.0822634379695186</v>
      </c>
      <c r="F1575" s="7" t="str">
        <f aca="false">IFERROR(INDEX(02_轉折點45個!B:B,MATCH(A1575,02_轉折點45個!A:A,0)),"")</f>
        <v/>
      </c>
      <c r="G1575" s="7" t="s">
        <v>1994</v>
      </c>
    </row>
    <row r="1576" customFormat="false" ht="15" hidden="false" customHeight="false" outlineLevel="0" collapsed="false">
      <c r="A1576" s="7" t="s">
        <v>600</v>
      </c>
      <c r="B1576" s="7" t="n">
        <v>1844.31</v>
      </c>
      <c r="C1576" s="7" t="n">
        <f aca="false">AVERAGE(B1527:B1576)</f>
        <v>1865.5726</v>
      </c>
      <c r="D1576" s="7" t="n">
        <f aca="false">AVERAGE(B1377:B1576)</f>
        <v>1820.9375</v>
      </c>
      <c r="E1576" s="7" t="n">
        <f aca="false">B1576/MAX(B1325:B1576)-1</f>
        <v>-0.073243654745813</v>
      </c>
      <c r="F1576" s="7" t="str">
        <f aca="false">IFERROR(INDEX(02_轉折點45個!B:B,MATCH(A1576,02_轉折點45個!A:A,0)),"")</f>
        <v/>
      </c>
      <c r="G1576" s="7" t="s">
        <v>1994</v>
      </c>
    </row>
    <row r="1577" customFormat="false" ht="15" hidden="false" customHeight="false" outlineLevel="0" collapsed="false">
      <c r="A1577" s="7" t="s">
        <v>3328</v>
      </c>
      <c r="B1577" s="7" t="n">
        <v>1826.55</v>
      </c>
      <c r="C1577" s="7" t="n">
        <f aca="false">AVERAGE(B1528:B1577)</f>
        <v>1864.7186</v>
      </c>
      <c r="D1577" s="7" t="n">
        <f aca="false">AVERAGE(B1378:B1577)</f>
        <v>1820.8387</v>
      </c>
      <c r="E1577" s="7" t="n">
        <f aca="false">B1577/MAX(B1326:B1577)-1</f>
        <v>-0.0821679639409669</v>
      </c>
      <c r="F1577" s="7" t="str">
        <f aca="false">IFERROR(INDEX(02_轉折點45個!B:B,MATCH(A1577,02_轉折點45個!A:A,0)),"")</f>
        <v/>
      </c>
      <c r="G1577" s="7" t="s">
        <v>1994</v>
      </c>
    </row>
    <row r="1578" customFormat="false" ht="15" hidden="false" customHeight="false" outlineLevel="0" collapsed="false">
      <c r="A1578" s="7" t="s">
        <v>601</v>
      </c>
      <c r="B1578" s="7" t="n">
        <v>1819.95</v>
      </c>
      <c r="C1578" s="7" t="n">
        <f aca="false">AVERAGE(B1529:B1578)</f>
        <v>1863.7132</v>
      </c>
      <c r="D1578" s="7" t="n">
        <f aca="false">AVERAGE(B1379:B1578)</f>
        <v>1820.7316</v>
      </c>
      <c r="E1578" s="7" t="n">
        <f aca="false">B1578/MAX(B1327:B1578)-1</f>
        <v>-0.0854844301959227</v>
      </c>
      <c r="F1578" s="7" t="str">
        <f aca="false">IFERROR(INDEX(02_轉折點45個!B:B,MATCH(A1578,02_轉折點45個!A:A,0)),"")</f>
        <v/>
      </c>
      <c r="G1578" s="7" t="s">
        <v>1994</v>
      </c>
    </row>
    <row r="1579" customFormat="false" ht="15" hidden="false" customHeight="false" outlineLevel="0" collapsed="false">
      <c r="A1579" s="7" t="s">
        <v>602</v>
      </c>
      <c r="B1579" s="7" t="n">
        <v>1832.08</v>
      </c>
      <c r="C1579" s="7" t="n">
        <f aca="false">AVERAGE(B1530:B1579)</f>
        <v>1863.1572</v>
      </c>
      <c r="D1579" s="7" t="n">
        <f aca="false">AVERAGE(B1380:B1579)</f>
        <v>1820.63995</v>
      </c>
      <c r="E1579" s="7" t="n">
        <f aca="false">B1579/MAX(B1328:B1579)-1</f>
        <v>-0.0793891672152236</v>
      </c>
      <c r="F1579" s="7" t="str">
        <f aca="false">IFERROR(INDEX(02_轉折點45個!B:B,MATCH(A1579,02_轉折點45個!A:A,0)),"")</f>
        <v/>
      </c>
      <c r="G1579" s="7" t="s">
        <v>1994</v>
      </c>
    </row>
    <row r="1580" customFormat="false" ht="15" hidden="false" customHeight="false" outlineLevel="0" collapsed="false">
      <c r="A1580" s="7" t="s">
        <v>603</v>
      </c>
      <c r="B1580" s="7" t="n">
        <v>1803.73</v>
      </c>
      <c r="C1580" s="7" t="n">
        <f aca="false">AVERAGE(B1531:B1580)</f>
        <v>1861.5486</v>
      </c>
      <c r="D1580" s="7" t="n">
        <f aca="false">AVERAGE(B1381:B1580)</f>
        <v>1820.43235</v>
      </c>
      <c r="E1580" s="7" t="n">
        <f aca="false">B1580/MAX(B1329:B1580)-1</f>
        <v>-0.0936348972649203</v>
      </c>
      <c r="F1580" s="7" t="str">
        <f aca="false">IFERROR(INDEX(02_轉折點45個!B:B,MATCH(A1580,02_轉折點45個!A:A,0)),"")</f>
        <v/>
      </c>
      <c r="G1580" s="7" t="s">
        <v>1994</v>
      </c>
    </row>
    <row r="1581" customFormat="false" ht="15" hidden="false" customHeight="false" outlineLevel="0" collapsed="false">
      <c r="A1581" s="7" t="s">
        <v>604</v>
      </c>
      <c r="B1581" s="7" t="n">
        <v>1778.46</v>
      </c>
      <c r="C1581" s="7" t="n">
        <f aca="false">AVERAGE(B1532:B1581)</f>
        <v>1859.3196</v>
      </c>
      <c r="D1581" s="7" t="n">
        <f aca="false">AVERAGE(B1382:B1581)</f>
        <v>1820.02935</v>
      </c>
      <c r="E1581" s="7" t="n">
        <f aca="false">B1581/MAX(B1330:B1581)-1</f>
        <v>-0.106332943062304</v>
      </c>
      <c r="F1581" s="7" t="str">
        <f aca="false">IFERROR(INDEX(02_轉折點45個!B:B,MATCH(A1581,02_轉折點45個!A:A,0)),"")</f>
        <v/>
      </c>
      <c r="G1581" s="7" t="s">
        <v>1994</v>
      </c>
    </row>
    <row r="1582" customFormat="false" ht="15" hidden="false" customHeight="false" outlineLevel="0" collapsed="false">
      <c r="A1582" s="7" t="s">
        <v>3329</v>
      </c>
      <c r="B1582" s="7" t="n">
        <v>1743.23</v>
      </c>
      <c r="C1582" s="7" t="n">
        <f aca="false">AVERAGE(B1533:B1582)</f>
        <v>1856.2698</v>
      </c>
      <c r="D1582" s="7" t="n">
        <f aca="false">AVERAGE(B1383:B1582)</f>
        <v>1819.3915</v>
      </c>
      <c r="E1582" s="7" t="n">
        <f aca="false">B1582/MAX(B1331:B1582)-1</f>
        <v>-0.124035837935349</v>
      </c>
      <c r="F1582" s="7" t="str">
        <f aca="false">IFERROR(INDEX(02_轉折點45個!B:B,MATCH(A1582,02_轉折點45個!A:A,0)),"")</f>
        <v/>
      </c>
      <c r="G1582" s="7" t="s">
        <v>1994</v>
      </c>
    </row>
    <row r="1583" customFormat="false" ht="15" hidden="false" customHeight="false" outlineLevel="0" collapsed="false">
      <c r="A1583" s="7" t="s">
        <v>3330</v>
      </c>
      <c r="B1583" s="7" t="n">
        <v>1747.59</v>
      </c>
      <c r="C1583" s="7" t="n">
        <f aca="false">AVERAGE(B1534:B1583)</f>
        <v>1853.6256</v>
      </c>
      <c r="D1583" s="7" t="n">
        <f aca="false">AVERAGE(B1384:B1583)</f>
        <v>1818.9227</v>
      </c>
      <c r="E1583" s="7" t="n">
        <f aca="false">B1583/MAX(B1332:B1583)-1</f>
        <v>-0.12184496022753</v>
      </c>
      <c r="F1583" s="7" t="str">
        <f aca="false">IFERROR(INDEX(02_轉折點45個!B:B,MATCH(A1583,02_轉折點45個!A:A,0)),"")</f>
        <v/>
      </c>
      <c r="G1583" s="7" t="s">
        <v>1994</v>
      </c>
    </row>
    <row r="1584" customFormat="false" ht="15" hidden="false" customHeight="false" outlineLevel="0" collapsed="false">
      <c r="A1584" s="7" t="s">
        <v>3331</v>
      </c>
      <c r="B1584" s="7" t="n">
        <v>1765.35</v>
      </c>
      <c r="C1584" s="7" t="n">
        <f aca="false">AVERAGE(B1535:B1584)</f>
        <v>1850.8062</v>
      </c>
      <c r="D1584" s="7" t="n">
        <f aca="false">AVERAGE(B1385:B1584)</f>
        <v>1818.5833</v>
      </c>
      <c r="E1584" s="7" t="n">
        <f aca="false">B1584/MAX(B1333:B1584)-1</f>
        <v>-0.112920651032376</v>
      </c>
      <c r="F1584" s="7" t="str">
        <f aca="false">IFERROR(INDEX(02_轉折點45個!B:B,MATCH(A1584,02_轉折點45個!A:A,0)),"")</f>
        <v/>
      </c>
      <c r="G1584" s="7" t="s">
        <v>1994</v>
      </c>
    </row>
    <row r="1585" customFormat="false" ht="15" hidden="false" customHeight="false" outlineLevel="0" collapsed="false">
      <c r="A1585" s="7" t="s">
        <v>3332</v>
      </c>
      <c r="B1585" s="7" t="n">
        <v>1748.36</v>
      </c>
      <c r="C1585" s="7" t="n">
        <f aca="false">AVERAGE(B1536:B1585)</f>
        <v>1847.7316</v>
      </c>
      <c r="D1585" s="7" t="n">
        <f aca="false">AVERAGE(B1386:B1585)</f>
        <v>1818.3564</v>
      </c>
      <c r="E1585" s="7" t="n">
        <f aca="false">B1585/MAX(B1334:B1585)-1</f>
        <v>-0.121458039164452</v>
      </c>
      <c r="F1585" s="7" t="str">
        <f aca="false">IFERROR(INDEX(02_轉折點45個!B:B,MATCH(A1585,02_轉折點45個!A:A,0)),"")</f>
        <v/>
      </c>
      <c r="G1585" s="7" t="s">
        <v>1994</v>
      </c>
    </row>
    <row r="1586" customFormat="false" ht="15" hidden="false" customHeight="false" outlineLevel="0" collapsed="false">
      <c r="A1586" s="7" t="s">
        <v>3333</v>
      </c>
      <c r="B1586" s="7" t="n">
        <v>1792.8</v>
      </c>
      <c r="C1586" s="7" t="n">
        <f aca="false">AVERAGE(B1537:B1586)</f>
        <v>1845.461</v>
      </c>
      <c r="D1586" s="7" t="n">
        <f aca="false">AVERAGE(B1387:B1586)</f>
        <v>1818.3396</v>
      </c>
      <c r="E1586" s="7" t="n">
        <f aca="false">B1586/MAX(B1335:B1586)-1</f>
        <v>-0.0991271663810821</v>
      </c>
      <c r="F1586" s="7" t="str">
        <f aca="false">IFERROR(INDEX(02_轉折點45個!B:B,MATCH(A1586,02_轉折點45個!A:A,0)),"")</f>
        <v/>
      </c>
      <c r="G1586" s="7" t="s">
        <v>1994</v>
      </c>
    </row>
    <row r="1587" customFormat="false" ht="15" hidden="false" customHeight="false" outlineLevel="0" collapsed="false">
      <c r="A1587" s="7" t="s">
        <v>3334</v>
      </c>
      <c r="B1587" s="7" t="n">
        <v>1765.2</v>
      </c>
      <c r="C1587" s="7" t="n">
        <f aca="false">AVERAGE(B1538:B1587)</f>
        <v>1843.262</v>
      </c>
      <c r="D1587" s="7" t="n">
        <f aca="false">AVERAGE(B1388:B1587)</f>
        <v>1818.3253</v>
      </c>
      <c r="E1587" s="7" t="n">
        <f aca="false">B1587/MAX(B1336:B1587)-1</f>
        <v>-0.112996025265443</v>
      </c>
      <c r="F1587" s="7" t="str">
        <f aca="false">IFERROR(INDEX(02_轉折點45個!B:B,MATCH(A1587,02_轉折點45個!A:A,0)),"")</f>
        <v/>
      </c>
      <c r="G1587" s="7" t="s">
        <v>1994</v>
      </c>
    </row>
    <row r="1588" customFormat="false" ht="15" hidden="false" customHeight="false" outlineLevel="0" collapsed="false">
      <c r="A1588" s="7" t="s">
        <v>3335</v>
      </c>
      <c r="B1588" s="7" t="n">
        <v>1782.18</v>
      </c>
      <c r="C1588" s="7" t="n">
        <f aca="false">AVERAGE(B1539:B1588)</f>
        <v>1841.3924</v>
      </c>
      <c r="D1588" s="7" t="n">
        <f aca="false">AVERAGE(B1389:B1588)</f>
        <v>1818.34565</v>
      </c>
      <c r="E1588" s="7" t="n">
        <f aca="false">B1588/MAX(B1337:B1588)-1</f>
        <v>-0.104463662082238</v>
      </c>
      <c r="F1588" s="7" t="str">
        <f aca="false">IFERROR(INDEX(02_轉折點45個!B:B,MATCH(A1588,02_轉折點45個!A:A,0)),"")</f>
        <v/>
      </c>
      <c r="G1588" s="7" t="s">
        <v>1994</v>
      </c>
    </row>
    <row r="1589" customFormat="false" ht="15" hidden="false" customHeight="false" outlineLevel="0" collapsed="false">
      <c r="A1589" s="7" t="s">
        <v>605</v>
      </c>
      <c r="B1589" s="7" t="n">
        <v>1760.86</v>
      </c>
      <c r="C1589" s="7" t="n">
        <f aca="false">AVERAGE(B1540:B1589)</f>
        <v>1838.666</v>
      </c>
      <c r="D1589" s="7" t="n">
        <f aca="false">AVERAGE(B1390:B1589)</f>
        <v>1818.30235</v>
      </c>
      <c r="E1589" s="7" t="n">
        <f aca="false">B1589/MAX(B1338:B1589)-1</f>
        <v>-0.11517685307552</v>
      </c>
      <c r="F1589" s="7" t="str">
        <f aca="false">IFERROR(INDEX(02_轉折點45個!B:B,MATCH(A1589,02_轉折點45個!A:A,0)),"")</f>
        <v/>
      </c>
      <c r="G1589" s="7" t="s">
        <v>1994</v>
      </c>
    </row>
    <row r="1590" customFormat="false" ht="15" hidden="false" customHeight="false" outlineLevel="0" collapsed="false">
      <c r="A1590" s="7" t="s">
        <v>3336</v>
      </c>
      <c r="B1590" s="7" t="n">
        <v>1763.59</v>
      </c>
      <c r="C1590" s="7" t="n">
        <f aca="false">AVERAGE(B1541:B1590)</f>
        <v>1835.88</v>
      </c>
      <c r="D1590" s="7" t="n">
        <f aca="false">AVERAGE(B1391:B1590)</f>
        <v>1818.29675</v>
      </c>
      <c r="E1590" s="7" t="n">
        <f aca="false">B1590/MAX(B1339:B1590)-1</f>
        <v>-0.113805042033697</v>
      </c>
      <c r="F1590" s="7" t="str">
        <f aca="false">IFERROR(INDEX(02_轉折點45個!B:B,MATCH(A1590,02_轉折點45個!A:A,0)),"")</f>
        <v/>
      </c>
      <c r="G1590" s="7" t="s">
        <v>1994</v>
      </c>
    </row>
    <row r="1591" customFormat="false" ht="15" hidden="false" customHeight="false" outlineLevel="0" collapsed="false">
      <c r="A1591" s="7" t="s">
        <v>606</v>
      </c>
      <c r="B1591" s="7" t="n">
        <v>1739.61</v>
      </c>
      <c r="C1591" s="7" t="n">
        <f aca="false">AVERAGE(B1542:B1591)</f>
        <v>1832.4992</v>
      </c>
      <c r="D1591" s="7" t="n">
        <f aca="false">AVERAGE(B1392:B1591)</f>
        <v>1818.2479</v>
      </c>
      <c r="E1591" s="7" t="n">
        <f aca="false">B1591/MAX(B1340:B1591)-1</f>
        <v>-0.125854869426704</v>
      </c>
      <c r="F1591" s="7" t="str">
        <f aca="false">IFERROR(INDEX(02_轉折點45個!B:B,MATCH(A1591,02_轉折點45個!A:A,0)),"")</f>
        <v/>
      </c>
      <c r="G1591" s="7" t="s">
        <v>1994</v>
      </c>
    </row>
    <row r="1592" customFormat="false" ht="15" hidden="false" customHeight="false" outlineLevel="0" collapsed="false">
      <c r="A1592" s="7" t="s">
        <v>607</v>
      </c>
      <c r="B1592" s="7" t="n">
        <v>1755.57</v>
      </c>
      <c r="C1592" s="7" t="n">
        <f aca="false">AVERAGE(B1543:B1592)</f>
        <v>1829.4702</v>
      </c>
      <c r="D1592" s="7" t="n">
        <f aca="false">AVERAGE(B1393:B1592)</f>
        <v>1818.28875</v>
      </c>
      <c r="E1592" s="7" t="n">
        <f aca="false">B1592/MAX(B1341:B1592)-1</f>
        <v>-0.117835051028356</v>
      </c>
      <c r="F1592" s="7" t="str">
        <f aca="false">IFERROR(INDEX(02_轉折點45個!B:B,MATCH(A1592,02_轉折點45個!A:A,0)),"")</f>
        <v/>
      </c>
      <c r="G1592" s="7" t="s">
        <v>1994</v>
      </c>
    </row>
    <row r="1593" customFormat="false" ht="15" hidden="false" customHeight="false" outlineLevel="0" collapsed="false">
      <c r="A1593" s="7" t="s">
        <v>3337</v>
      </c>
      <c r="B1593" s="7" t="n">
        <v>1761.96</v>
      </c>
      <c r="C1593" s="7" t="n">
        <f aca="false">AVERAGE(B1544:B1593)</f>
        <v>1827.0458</v>
      </c>
      <c r="D1593" s="7" t="n">
        <f aca="false">AVERAGE(B1394:B1593)</f>
        <v>1818.4966</v>
      </c>
      <c r="E1593" s="7" t="n">
        <f aca="false">B1593/MAX(B1342:B1593)-1</f>
        <v>-0.114624108699694</v>
      </c>
      <c r="F1593" s="7" t="str">
        <f aca="false">IFERROR(INDEX(02_轉折點45個!B:B,MATCH(A1593,02_轉折點45個!A:A,0)),"")</f>
        <v/>
      </c>
      <c r="G1593" s="7" t="s">
        <v>1994</v>
      </c>
    </row>
    <row r="1594" customFormat="false" ht="15" hidden="false" customHeight="false" outlineLevel="0" collapsed="false">
      <c r="A1594" s="7" t="s">
        <v>3338</v>
      </c>
      <c r="B1594" s="7" t="n">
        <v>1766</v>
      </c>
      <c r="C1594" s="7" t="n">
        <f aca="false">AVERAGE(B1545:B1594)</f>
        <v>1824.7518</v>
      </c>
      <c r="D1594" s="7" t="n">
        <f aca="false">AVERAGE(B1395:B1594)</f>
        <v>1818.7215</v>
      </c>
      <c r="E1594" s="7" t="n">
        <f aca="false">B1594/MAX(B1343:B1594)-1</f>
        <v>-0.112594029355751</v>
      </c>
      <c r="F1594" s="7" t="str">
        <f aca="false">IFERROR(INDEX(02_轉折點45個!B:B,MATCH(A1594,02_轉折點45個!A:A,0)),"")</f>
        <v/>
      </c>
      <c r="G1594" s="7" t="s">
        <v>1994</v>
      </c>
    </row>
    <row r="1595" customFormat="false" ht="15" hidden="false" customHeight="false" outlineLevel="0" collapsed="false">
      <c r="A1595" s="7" t="s">
        <v>3339</v>
      </c>
      <c r="B1595" s="7" t="n">
        <v>1792.64</v>
      </c>
      <c r="C1595" s="7" t="n">
        <f aca="false">AVERAGE(B1546:B1595)</f>
        <v>1823.5078</v>
      </c>
      <c r="D1595" s="7" t="n">
        <f aca="false">AVERAGE(B1396:B1595)</f>
        <v>1818.9278</v>
      </c>
      <c r="E1595" s="7" t="n">
        <f aca="false">B1595/MAX(B1344:B1595)-1</f>
        <v>-0.0992075655630204</v>
      </c>
      <c r="F1595" s="7" t="str">
        <f aca="false">IFERROR(INDEX(02_轉折點45個!B:B,MATCH(A1595,02_轉折點45個!A:A,0)),"")</f>
        <v/>
      </c>
      <c r="G1595" s="7" t="s">
        <v>1994</v>
      </c>
    </row>
    <row r="1596" customFormat="false" ht="15" hidden="false" customHeight="false" outlineLevel="0" collapsed="false">
      <c r="A1596" s="7" t="s">
        <v>608</v>
      </c>
      <c r="B1596" s="7" t="n">
        <v>1792.25</v>
      </c>
      <c r="C1596" s="7" t="n">
        <f aca="false">AVERAGE(B1547:B1596)</f>
        <v>1822.239</v>
      </c>
      <c r="D1596" s="7" t="n">
        <f aca="false">AVERAGE(B1397:B1596)</f>
        <v>1819.3272</v>
      </c>
      <c r="E1596" s="7" t="n">
        <f aca="false">B1596/MAX(B1345:B1596)-1</f>
        <v>-0.0994035385689951</v>
      </c>
      <c r="F1596" s="7" t="str">
        <f aca="false">IFERROR(INDEX(02_轉折點45個!B:B,MATCH(A1596,02_轉折點45個!A:A,0)),"")</f>
        <v/>
      </c>
      <c r="G1596" s="7" t="s">
        <v>1994</v>
      </c>
    </row>
    <row r="1597" customFormat="false" ht="15" hidden="false" customHeight="false" outlineLevel="0" collapsed="false">
      <c r="A1597" s="7" t="s">
        <v>3340</v>
      </c>
      <c r="B1597" s="7" t="n">
        <v>1797.32</v>
      </c>
      <c r="C1597" s="7" t="n">
        <f aca="false">AVERAGE(B1548:B1597)</f>
        <v>1820.6978</v>
      </c>
      <c r="D1597" s="7" t="n">
        <f aca="false">AVERAGE(B1398:B1597)</f>
        <v>1819.68485</v>
      </c>
      <c r="E1597" s="7" t="n">
        <f aca="false">B1597/MAX(B1346:B1597)-1</f>
        <v>-0.0968558894913244</v>
      </c>
      <c r="F1597" s="7" t="str">
        <f aca="false">IFERROR(INDEX(02_轉折點45個!B:B,MATCH(A1597,02_轉折點45個!A:A,0)),"")</f>
        <v/>
      </c>
      <c r="G1597" s="7" t="s">
        <v>1994</v>
      </c>
    </row>
    <row r="1598" customFormat="false" ht="15" hidden="false" customHeight="false" outlineLevel="0" collapsed="false">
      <c r="A1598" s="7" t="s">
        <v>3341</v>
      </c>
      <c r="B1598" s="7" t="n">
        <v>1808.57</v>
      </c>
      <c r="C1598" s="7" t="n">
        <f aca="false">AVERAGE(B1549:B1598)</f>
        <v>1819.1314</v>
      </c>
      <c r="D1598" s="7" t="n">
        <f aca="false">AVERAGE(B1399:B1598)</f>
        <v>1820.2813</v>
      </c>
      <c r="E1598" s="7" t="n">
        <f aca="false">B1598/MAX(B1347:B1598)-1</f>
        <v>-0.091202822011286</v>
      </c>
      <c r="F1598" s="7" t="str">
        <f aca="false">IFERROR(INDEX(02_轉折點45個!B:B,MATCH(A1598,02_轉折點45個!A:A,0)),"")</f>
        <v/>
      </c>
      <c r="G1598" s="7" t="s">
        <v>1994</v>
      </c>
    </row>
    <row r="1599" customFormat="false" ht="15" hidden="false" customHeight="false" outlineLevel="0" collapsed="false">
      <c r="A1599" s="7" t="s">
        <v>3342</v>
      </c>
      <c r="B1599" s="7" t="n">
        <v>1793.13</v>
      </c>
      <c r="C1599" s="7" t="n">
        <f aca="false">AVERAGE(B1550:B1599)</f>
        <v>1817.506</v>
      </c>
      <c r="D1599" s="7" t="n">
        <f aca="false">AVERAGE(B1400:B1599)</f>
        <v>1820.84655</v>
      </c>
      <c r="E1599" s="7" t="n">
        <f aca="false">B1599/MAX(B1348:B1599)-1</f>
        <v>-0.0989613430683342</v>
      </c>
      <c r="F1599" s="7" t="str">
        <f aca="false">IFERROR(INDEX(02_轉折點45個!B:B,MATCH(A1599,02_轉折點45個!A:A,0)),"")</f>
        <v/>
      </c>
      <c r="G1599" s="7" t="s">
        <v>1994</v>
      </c>
    </row>
    <row r="1600" customFormat="false" ht="15" hidden="false" customHeight="false" outlineLevel="0" collapsed="false">
      <c r="A1600" s="7" t="s">
        <v>3343</v>
      </c>
      <c r="B1600" s="7" t="n">
        <v>1801.15</v>
      </c>
      <c r="C1600" s="7" t="n">
        <f aca="false">AVERAGE(B1551:B1600)</f>
        <v>1815.6842</v>
      </c>
      <c r="D1600" s="7" t="n">
        <f aca="false">AVERAGE(B1401:B1600)</f>
        <v>1821.3145</v>
      </c>
      <c r="E1600" s="7" t="n">
        <f aca="false">B1600/MAX(B1349:B1600)-1</f>
        <v>-0.0949313340736757</v>
      </c>
      <c r="F1600" s="7" t="str">
        <f aca="false">IFERROR(INDEX(02_轉折點45個!B:B,MATCH(A1600,02_轉折點45個!A:A,0)),"")</f>
        <v/>
      </c>
      <c r="G1600" s="7" t="s">
        <v>1994</v>
      </c>
    </row>
    <row r="1601" customFormat="false" ht="15" hidden="false" customHeight="false" outlineLevel="0" collapsed="false">
      <c r="A1601" s="7" t="s">
        <v>3344</v>
      </c>
      <c r="B1601" s="7" t="n">
        <v>1794.15</v>
      </c>
      <c r="C1601" s="7" t="n">
        <f aca="false">AVERAGE(B1552:B1601)</f>
        <v>1813.791</v>
      </c>
      <c r="D1601" s="7" t="n">
        <f aca="false">AVERAGE(B1402:B1601)</f>
        <v>1821.79695</v>
      </c>
      <c r="E1601" s="7" t="n">
        <f aca="false">B1601/MAX(B1350:B1601)-1</f>
        <v>-0.0984487982834774</v>
      </c>
      <c r="F1601" s="7" t="str">
        <f aca="false">IFERROR(INDEX(02_轉折點45個!B:B,MATCH(A1601,02_轉折點45個!A:A,0)),"")</f>
        <v/>
      </c>
      <c r="G1601" s="7" t="s">
        <v>1994</v>
      </c>
    </row>
    <row r="1602" customFormat="false" ht="15" hidden="false" customHeight="false" outlineLevel="0" collapsed="false">
      <c r="A1602" s="7" t="s">
        <v>3345</v>
      </c>
      <c r="B1602" s="7" t="n">
        <v>1805.93</v>
      </c>
      <c r="C1602" s="7" t="n">
        <f aca="false">AVERAGE(B1553:B1602)</f>
        <v>1812.2996</v>
      </c>
      <c r="D1602" s="7" t="n">
        <f aca="false">AVERAGE(B1403:B1602)</f>
        <v>1822.2342</v>
      </c>
      <c r="E1602" s="7" t="n">
        <f aca="false">B1602/MAX(B1351:B1602)-1</f>
        <v>-0.0925294085132683</v>
      </c>
      <c r="F1602" s="7" t="str">
        <f aca="false">IFERROR(INDEX(02_轉折點45個!B:B,MATCH(A1602,02_轉折點45個!A:A,0)),"")</f>
        <v/>
      </c>
      <c r="G1602" s="7" t="s">
        <v>1994</v>
      </c>
    </row>
    <row r="1603" customFormat="false" ht="15" hidden="false" customHeight="false" outlineLevel="0" collapsed="false">
      <c r="A1603" s="7" t="s">
        <v>3346</v>
      </c>
      <c r="B1603" s="7" t="n">
        <v>1822.06</v>
      </c>
      <c r="C1603" s="7" t="n">
        <f aca="false">AVERAGE(B1554:B1603)</f>
        <v>1810.9078</v>
      </c>
      <c r="D1603" s="7" t="n">
        <f aca="false">AVERAGE(B1404:B1603)</f>
        <v>1822.7233</v>
      </c>
      <c r="E1603" s="7" t="n">
        <f aca="false">B1603/MAX(B1352:B1603)-1</f>
        <v>-0.0844241659841111</v>
      </c>
      <c r="F1603" s="7" t="str">
        <f aca="false">IFERROR(INDEX(02_轉折點45個!B:B,MATCH(A1603,02_轉折點45個!A:A,0)),"")</f>
        <v/>
      </c>
      <c r="G1603" s="7" t="s">
        <v>1994</v>
      </c>
    </row>
    <row r="1604" customFormat="false" ht="15" hidden="false" customHeight="false" outlineLevel="0" collapsed="false">
      <c r="A1604" s="7" t="s">
        <v>609</v>
      </c>
      <c r="B1604" s="7" t="n">
        <v>1830.94</v>
      </c>
      <c r="C1604" s="7" t="n">
        <f aca="false">AVERAGE(B1555:B1604)</f>
        <v>1809.3354</v>
      </c>
      <c r="D1604" s="7" t="n">
        <f aca="false">AVERAGE(B1405:B1604)</f>
        <v>1823.2352</v>
      </c>
      <c r="E1604" s="7" t="n">
        <f aca="false">B1604/MAX(B1353:B1604)-1</f>
        <v>-0.0799620113865341</v>
      </c>
      <c r="F1604" s="7" t="str">
        <f aca="false">IFERROR(INDEX(02_轉折點45個!B:B,MATCH(A1604,02_轉折點45個!A:A,0)),"")</f>
        <v/>
      </c>
      <c r="G1604" s="7" t="s">
        <v>1994</v>
      </c>
    </row>
    <row r="1605" customFormat="false" ht="15" hidden="false" customHeight="false" outlineLevel="0" collapsed="false">
      <c r="A1605" s="7" t="s">
        <v>3347</v>
      </c>
      <c r="B1605" s="7" t="n">
        <v>1855.15</v>
      </c>
      <c r="C1605" s="7" t="n">
        <f aca="false">AVERAGE(B1556:B1605)</f>
        <v>1808.5516</v>
      </c>
      <c r="D1605" s="7" t="n">
        <f aca="false">AVERAGE(B1406:B1605)</f>
        <v>1824.01735</v>
      </c>
      <c r="E1605" s="7" t="n">
        <f aca="false">B1605/MAX(B1354:B1605)-1</f>
        <v>-0.0677966101694915</v>
      </c>
      <c r="F1605" s="7" t="str">
        <f aca="false">IFERROR(INDEX(02_轉折點45個!B:B,MATCH(A1605,02_轉折點45個!A:A,0)),"")</f>
        <v/>
      </c>
      <c r="G1605" s="7" t="s">
        <v>1994</v>
      </c>
    </row>
    <row r="1606" customFormat="false" ht="15" hidden="false" customHeight="false" outlineLevel="0" collapsed="false">
      <c r="A1606" s="7" t="s">
        <v>3348</v>
      </c>
      <c r="B1606" s="7" t="n">
        <v>1866.05</v>
      </c>
      <c r="C1606" s="7" t="n">
        <f aca="false">AVERAGE(B1557:B1606)</f>
        <v>1808.2098</v>
      </c>
      <c r="D1606" s="7" t="n">
        <f aca="false">AVERAGE(B1407:B1606)</f>
        <v>1824.87395</v>
      </c>
      <c r="E1606" s="7" t="n">
        <f aca="false">B1606/MAX(B1355:B1606)-1</f>
        <v>-0.0623194158999432</v>
      </c>
      <c r="F1606" s="7" t="str">
        <f aca="false">IFERROR(INDEX(02_轉折點45個!B:B,MATCH(A1606,02_轉折點45個!A:A,0)),"")</f>
        <v/>
      </c>
      <c r="G1606" s="7" t="s">
        <v>1994</v>
      </c>
    </row>
    <row r="1607" customFormat="false" ht="15" hidden="false" customHeight="false" outlineLevel="0" collapsed="false">
      <c r="A1607" s="7" t="s">
        <v>3349</v>
      </c>
      <c r="B1607" s="7" t="n">
        <v>1869.55</v>
      </c>
      <c r="C1607" s="7" t="n">
        <f aca="false">AVERAGE(B1558:B1607)</f>
        <v>1807.9668</v>
      </c>
      <c r="D1607" s="7" t="n">
        <f aca="false">AVERAGE(B1408:B1607)</f>
        <v>1825.90075</v>
      </c>
      <c r="E1607" s="7" t="n">
        <f aca="false">B1607/MAX(B1356:B1607)-1</f>
        <v>-0.0605606837950424</v>
      </c>
      <c r="F1607" s="7" t="str">
        <f aca="false">IFERROR(INDEX(02_轉折點45個!B:B,MATCH(A1607,02_轉折點45個!A:A,0)),"")</f>
        <v/>
      </c>
      <c r="G1607" s="7" t="s">
        <v>1994</v>
      </c>
    </row>
    <row r="1608" customFormat="false" ht="15" hidden="false" customHeight="false" outlineLevel="0" collapsed="false">
      <c r="A1608" s="7" t="s">
        <v>3350</v>
      </c>
      <c r="B1608" s="7" t="n">
        <v>1878.9</v>
      </c>
      <c r="C1608" s="7" t="n">
        <f aca="false">AVERAGE(B1559:B1608)</f>
        <v>1808.2418</v>
      </c>
      <c r="D1608" s="7" t="n">
        <f aca="false">AVERAGE(B1409:B1608)</f>
        <v>1827.17865</v>
      </c>
      <c r="E1608" s="7" t="n">
        <f aca="false">B1608/MAX(B1357:B1608)-1</f>
        <v>-0.0558623566005215</v>
      </c>
      <c r="F1608" s="7" t="str">
        <f aca="false">IFERROR(INDEX(02_轉折點45個!B:B,MATCH(A1608,02_轉折點45個!A:A,0)),"")</f>
        <v/>
      </c>
      <c r="G1608" s="7" t="s">
        <v>1994</v>
      </c>
    </row>
    <row r="1609" customFormat="false" ht="15" hidden="false" customHeight="false" outlineLevel="0" collapsed="false">
      <c r="A1609" s="7" t="s">
        <v>3351</v>
      </c>
      <c r="B1609" s="7" t="n">
        <v>1883.44</v>
      </c>
      <c r="C1609" s="7" t="n">
        <f aca="false">AVERAGE(B1560:B1609)</f>
        <v>1808.4352</v>
      </c>
      <c r="D1609" s="7" t="n">
        <f aca="false">AVERAGE(B1410:B1609)</f>
        <v>1828.48955</v>
      </c>
      <c r="E1609" s="7" t="n">
        <f aca="false">B1609/MAX(B1358:B1609)-1</f>
        <v>-0.0535810298130216</v>
      </c>
      <c r="F1609" s="7" t="str">
        <f aca="false">IFERROR(INDEX(02_轉折點45個!B:B,MATCH(A1609,02_轉折點45個!A:A,0)),"")</f>
        <v/>
      </c>
      <c r="G1609" s="7" t="s">
        <v>1994</v>
      </c>
    </row>
    <row r="1610" customFormat="false" ht="15" hidden="false" customHeight="false" outlineLevel="0" collapsed="false">
      <c r="A1610" s="7" t="s">
        <v>3352</v>
      </c>
      <c r="B1610" s="7" t="n">
        <v>1872.93</v>
      </c>
      <c r="C1610" s="7" t="n">
        <f aca="false">AVERAGE(B1561:B1610)</f>
        <v>1808.7118</v>
      </c>
      <c r="D1610" s="7" t="n">
        <f aca="false">AVERAGE(B1411:B1610)</f>
        <v>1829.5923</v>
      </c>
      <c r="E1610" s="7" t="n">
        <f aca="false">B1610/MAX(B1359:B1610)-1</f>
        <v>-0.0588622510765953</v>
      </c>
      <c r="F1610" s="7" t="str">
        <f aca="false">IFERROR(INDEX(02_轉折點45個!B:B,MATCH(A1610,02_轉折點45個!A:A,0)),"")</f>
        <v/>
      </c>
      <c r="G1610" s="7" t="s">
        <v>1994</v>
      </c>
    </row>
    <row r="1611" customFormat="false" ht="15" hidden="false" customHeight="false" outlineLevel="0" collapsed="false">
      <c r="A1611" s="7" t="s">
        <v>3353</v>
      </c>
      <c r="B1611" s="7" t="n">
        <v>1892.23</v>
      </c>
      <c r="C1611" s="7" t="n">
        <f aca="false">AVERAGE(B1562:B1611)</f>
        <v>1809.7258</v>
      </c>
      <c r="D1611" s="7" t="n">
        <f aca="false">AVERAGE(B1412:B1611)</f>
        <v>1830.9116</v>
      </c>
      <c r="E1611" s="7" t="n">
        <f aca="false">B1611/MAX(B1360:B1611)-1</f>
        <v>-0.0491640997552849</v>
      </c>
      <c r="F1611" s="7" t="str">
        <f aca="false">IFERROR(INDEX(02_轉折點45個!B:B,MATCH(A1611,02_轉折點45個!A:A,0)),"")</f>
        <v/>
      </c>
      <c r="G1611" s="7" t="s">
        <v>1994</v>
      </c>
    </row>
    <row r="1612" customFormat="false" ht="15" hidden="false" customHeight="false" outlineLevel="0" collapsed="false">
      <c r="A1612" s="7" t="s">
        <v>3354</v>
      </c>
      <c r="B1612" s="7" t="n">
        <v>1896.33</v>
      </c>
      <c r="C1612" s="7" t="n">
        <f aca="false">AVERAGE(B1563:B1612)</f>
        <v>1810.8094</v>
      </c>
      <c r="D1612" s="7" t="n">
        <f aca="false">AVERAGE(B1413:B1612)</f>
        <v>1832.3881</v>
      </c>
      <c r="E1612" s="7" t="n">
        <f aca="false">B1612/MAX(B1361:B1612)-1</f>
        <v>-0.0471038707181155</v>
      </c>
      <c r="F1612" s="7" t="str">
        <f aca="false">IFERROR(INDEX(02_轉折點45個!B:B,MATCH(A1612,02_轉折點45個!A:A,0)),"")</f>
        <v/>
      </c>
      <c r="G1612" s="7" t="s">
        <v>1994</v>
      </c>
    </row>
    <row r="1613" customFormat="false" ht="15" hidden="false" customHeight="false" outlineLevel="0" collapsed="false">
      <c r="A1613" s="7" t="s">
        <v>3355</v>
      </c>
      <c r="B1613" s="7" t="n">
        <v>1889.47</v>
      </c>
      <c r="C1613" s="7" t="n">
        <f aca="false">AVERAGE(B1564:B1613)</f>
        <v>1811.9136</v>
      </c>
      <c r="D1613" s="7" t="n">
        <f aca="false">AVERAGE(B1414:B1613)</f>
        <v>1833.8087</v>
      </c>
      <c r="E1613" s="7" t="n">
        <f aca="false">B1613/MAX(B1362:B1613)-1</f>
        <v>-0.0505509856437211</v>
      </c>
      <c r="F1613" s="7" t="str">
        <f aca="false">IFERROR(INDEX(02_轉折點45個!B:B,MATCH(A1613,02_轉折點45個!A:A,0)),"")</f>
        <v/>
      </c>
      <c r="G1613" s="7" t="s">
        <v>1994</v>
      </c>
    </row>
    <row r="1614" customFormat="false" ht="15" hidden="false" customHeight="false" outlineLevel="0" collapsed="false">
      <c r="A1614" s="7" t="s">
        <v>3356</v>
      </c>
      <c r="B1614" s="7" t="n">
        <v>1907.41</v>
      </c>
      <c r="C1614" s="7" t="n">
        <f aca="false">AVERAGE(B1565:B1614)</f>
        <v>1813.3816</v>
      </c>
      <c r="D1614" s="7" t="n">
        <f aca="false">AVERAGE(B1415:B1614)</f>
        <v>1835.202</v>
      </c>
      <c r="E1614" s="7" t="n">
        <f aca="false">B1614/MAX(B1363:B1614)-1</f>
        <v>-0.0415362273688864</v>
      </c>
      <c r="F1614" s="7" t="str">
        <f aca="false">IFERROR(INDEX(02_轉折點45個!B:B,MATCH(A1614,02_轉折點45個!A:A,0)),"")</f>
        <v/>
      </c>
      <c r="G1614" s="7" t="s">
        <v>1994</v>
      </c>
    </row>
    <row r="1615" customFormat="false" ht="15" hidden="false" customHeight="false" outlineLevel="0" collapsed="false">
      <c r="A1615" s="7" t="s">
        <v>3357</v>
      </c>
      <c r="B1615" s="7" t="n">
        <v>1916.49</v>
      </c>
      <c r="C1615" s="7" t="n">
        <f aca="false">AVERAGE(B1566:B1615)</f>
        <v>1815.3632</v>
      </c>
      <c r="D1615" s="7" t="n">
        <f aca="false">AVERAGE(B1416:B1615)</f>
        <v>1836.584</v>
      </c>
      <c r="E1615" s="7" t="n">
        <f aca="false">B1615/MAX(B1364:B1615)-1</f>
        <v>-0.0369735737938867</v>
      </c>
      <c r="F1615" s="7" t="str">
        <f aca="false">IFERROR(INDEX(02_轉折點45個!B:B,MATCH(A1615,02_轉折點45個!A:A,0)),"")</f>
        <v/>
      </c>
      <c r="G1615" s="7" t="s">
        <v>1994</v>
      </c>
    </row>
    <row r="1616" customFormat="false" ht="15" hidden="false" customHeight="false" outlineLevel="0" collapsed="false">
      <c r="A1616" s="7" t="s">
        <v>3358</v>
      </c>
      <c r="B1616" s="7" t="n">
        <v>1892.4</v>
      </c>
      <c r="C1616" s="7" t="n">
        <f aca="false">AVERAGE(B1567:B1616)</f>
        <v>1816.847</v>
      </c>
      <c r="D1616" s="7" t="n">
        <f aca="false">AVERAGE(B1417:B1616)</f>
        <v>1837.68055</v>
      </c>
      <c r="E1616" s="7" t="n">
        <f aca="false">B1616/MAX(B1365:B1616)-1</f>
        <v>-0.0490786756244754</v>
      </c>
      <c r="F1616" s="7" t="str">
        <f aca="false">IFERROR(INDEX(02_轉折點45個!B:B,MATCH(A1616,02_轉折點45個!A:A,0)),"")</f>
        <v/>
      </c>
      <c r="G1616" s="7" t="s">
        <v>1994</v>
      </c>
    </row>
    <row r="1617" customFormat="false" ht="15" hidden="false" customHeight="false" outlineLevel="0" collapsed="false">
      <c r="A1617" s="7" t="s">
        <v>3359</v>
      </c>
      <c r="B1617" s="7" t="n">
        <v>1896.36</v>
      </c>
      <c r="C1617" s="7" t="n">
        <f aca="false">AVERAGE(B1568:B1617)</f>
        <v>1818.3946</v>
      </c>
      <c r="D1617" s="7" t="n">
        <f aca="false">AVERAGE(B1418:B1617)</f>
        <v>1838.84935</v>
      </c>
      <c r="E1617" s="7" t="n">
        <f aca="false">B1617/MAX(B1366:B1617)-1</f>
        <v>-0.0470887958715021</v>
      </c>
      <c r="F1617" s="7" t="str">
        <f aca="false">IFERROR(INDEX(02_轉折點45個!B:B,MATCH(A1617,02_轉折點45個!A:A,0)),"")</f>
        <v/>
      </c>
      <c r="G1617" s="7" t="s">
        <v>1994</v>
      </c>
    </row>
    <row r="1618" customFormat="false" ht="15" hidden="false" customHeight="false" outlineLevel="0" collapsed="false">
      <c r="A1618" s="7" t="s">
        <v>3360</v>
      </c>
      <c r="B1618" s="7" t="n">
        <v>1888.5</v>
      </c>
      <c r="C1618" s="7" t="n">
        <f aca="false">AVERAGE(B1569:B1618)</f>
        <v>1819.7584</v>
      </c>
      <c r="D1618" s="7" t="n">
        <f aca="false">AVERAGE(B1419:B1618)</f>
        <v>1839.89605</v>
      </c>
      <c r="E1618" s="7" t="n">
        <f aca="false">B1618/MAX(B1367:B1618)-1</f>
        <v>-0.0510384056842221</v>
      </c>
      <c r="F1618" s="7" t="str">
        <f aca="false">IFERROR(INDEX(02_轉折點45個!B:B,MATCH(A1618,02_轉折點45個!A:A,0)),"")</f>
        <v/>
      </c>
      <c r="G1618" s="7" t="s">
        <v>1994</v>
      </c>
    </row>
    <row r="1619" customFormat="false" ht="15" hidden="false" customHeight="false" outlineLevel="0" collapsed="false">
      <c r="A1619" s="7" t="s">
        <v>3361</v>
      </c>
      <c r="B1619" s="7" t="n">
        <v>1882.12</v>
      </c>
      <c r="C1619" s="7" t="n">
        <f aca="false">AVERAGE(B1570:B1619)</f>
        <v>1821.3352</v>
      </c>
      <c r="D1619" s="7" t="n">
        <f aca="false">AVERAGE(B1420:B1619)</f>
        <v>1840.9077</v>
      </c>
      <c r="E1619" s="7" t="n">
        <f aca="false">B1619/MAX(B1368:B1619)-1</f>
        <v>-0.0542443230640128</v>
      </c>
      <c r="F1619" s="7" t="str">
        <f aca="false">IFERROR(INDEX(02_轉折點45個!B:B,MATCH(A1619,02_轉折點45個!A:A,0)),"")</f>
        <v/>
      </c>
      <c r="G1619" s="7" t="s">
        <v>1994</v>
      </c>
    </row>
    <row r="1620" customFormat="false" ht="15" hidden="false" customHeight="false" outlineLevel="0" collapsed="false">
      <c r="A1620" s="7" t="s">
        <v>610</v>
      </c>
      <c r="B1620" s="7" t="n">
        <v>1897.41</v>
      </c>
      <c r="C1620" s="7" t="n">
        <f aca="false">AVERAGE(B1571:B1620)</f>
        <v>1822.6368</v>
      </c>
      <c r="D1620" s="7" t="n">
        <f aca="false">AVERAGE(B1421:B1620)</f>
        <v>1842.0041</v>
      </c>
      <c r="E1620" s="7" t="n">
        <f aca="false">B1620/MAX(B1369:B1620)-1</f>
        <v>-0.0465611762400316</v>
      </c>
      <c r="F1620" s="7" t="str">
        <f aca="false">IFERROR(INDEX(02_轉折點45個!B:B,MATCH(A1620,02_轉折點45個!A:A,0)),"")</f>
        <v/>
      </c>
      <c r="G1620" s="7" t="s">
        <v>1994</v>
      </c>
    </row>
    <row r="1621" customFormat="false" ht="15" hidden="false" customHeight="false" outlineLevel="0" collapsed="false">
      <c r="A1621" s="7" t="s">
        <v>3362</v>
      </c>
      <c r="B1621" s="7" t="n">
        <v>1884.7</v>
      </c>
      <c r="C1621" s="7" t="n">
        <f aca="false">AVERAGE(B1572:B1621)</f>
        <v>1823.802</v>
      </c>
      <c r="D1621" s="7" t="n">
        <f aca="false">AVERAGE(B1422:B1621)</f>
        <v>1842.9281</v>
      </c>
      <c r="E1621" s="7" t="n">
        <f aca="false">B1621/MAX(B1370:B1621)-1</f>
        <v>-0.0529478862552573</v>
      </c>
      <c r="F1621" s="7" t="str">
        <f aca="false">IFERROR(INDEX(02_轉折點45個!B:B,MATCH(A1621,02_轉折點45個!A:A,0)),"")</f>
        <v/>
      </c>
      <c r="G1621" s="7" t="s">
        <v>1994</v>
      </c>
    </row>
    <row r="1622" customFormat="false" ht="15" hidden="false" customHeight="false" outlineLevel="0" collapsed="false">
      <c r="A1622" s="7" t="s">
        <v>3363</v>
      </c>
      <c r="B1622" s="7" t="n">
        <v>1890.15</v>
      </c>
      <c r="C1622" s="7" t="n">
        <f aca="false">AVERAGE(B1573:B1622)</f>
        <v>1825.3396</v>
      </c>
      <c r="D1622" s="7" t="n">
        <f aca="false">AVERAGE(B1423:B1622)</f>
        <v>1843.91495</v>
      </c>
      <c r="E1622" s="7" t="n">
        <f aca="false">B1622/MAX(B1371:B1622)-1</f>
        <v>-0.0502092891204832</v>
      </c>
      <c r="F1622" s="7" t="str">
        <f aca="false">IFERROR(INDEX(02_轉折點45個!B:B,MATCH(A1622,02_轉折點45個!A:A,0)),"")</f>
        <v/>
      </c>
      <c r="G1622" s="7" t="s">
        <v>1994</v>
      </c>
    </row>
    <row r="1623" customFormat="false" ht="15" hidden="false" customHeight="false" outlineLevel="0" collapsed="false">
      <c r="A1623" s="7" t="s">
        <v>3364</v>
      </c>
      <c r="B1623" s="7" t="n">
        <v>1890.22</v>
      </c>
      <c r="C1623" s="7" t="n">
        <f aca="false">AVERAGE(B1574:B1623)</f>
        <v>1826.7642</v>
      </c>
      <c r="D1623" s="7" t="n">
        <f aca="false">AVERAGE(B1424:B1623)</f>
        <v>1844.8603</v>
      </c>
      <c r="E1623" s="7" t="n">
        <f aca="false">B1623/MAX(B1372:B1623)-1</f>
        <v>-0.0501741144783852</v>
      </c>
      <c r="F1623" s="7" t="str">
        <f aca="false">IFERROR(INDEX(02_轉折點45個!B:B,MATCH(A1623,02_轉折點45個!A:A,0)),"")</f>
        <v/>
      </c>
      <c r="G1623" s="7" t="s">
        <v>1994</v>
      </c>
    </row>
    <row r="1624" customFormat="false" ht="15" hidden="false" customHeight="false" outlineLevel="0" collapsed="false">
      <c r="A1624" s="7" t="s">
        <v>3365</v>
      </c>
      <c r="B1624" s="7" t="n">
        <v>1895.59</v>
      </c>
      <c r="C1624" s="7" t="n">
        <f aca="false">AVERAGE(B1575:B1624)</f>
        <v>1828.1456</v>
      </c>
      <c r="D1624" s="7" t="n">
        <f aca="false">AVERAGE(B1425:B1624)</f>
        <v>1845.9494</v>
      </c>
      <c r="E1624" s="7" t="n">
        <f aca="false">B1624/MAX(B1373:B1624)-1</f>
        <v>-0.0474757169345802</v>
      </c>
      <c r="F1624" s="7" t="str">
        <f aca="false">IFERROR(INDEX(02_轉折點45個!B:B,MATCH(A1624,02_轉折點45個!A:A,0)),"")</f>
        <v/>
      </c>
      <c r="G1624" s="7" t="s">
        <v>1994</v>
      </c>
    </row>
    <row r="1625" customFormat="false" ht="15" hidden="false" customHeight="false" outlineLevel="0" collapsed="false">
      <c r="A1625" s="7" t="s">
        <v>3366</v>
      </c>
      <c r="B1625" s="7" t="n">
        <v>1908.59</v>
      </c>
      <c r="C1625" s="7" t="n">
        <f aca="false">AVERAGE(B1576:B1625)</f>
        <v>1829.7902</v>
      </c>
      <c r="D1625" s="7" t="n">
        <f aca="false">AVERAGE(B1426:B1625)</f>
        <v>1847.09615</v>
      </c>
      <c r="E1625" s="7" t="n">
        <f aca="false">B1625/MAX(B1374:B1625)-1</f>
        <v>-0.0409432834020914</v>
      </c>
      <c r="F1625" s="7" t="str">
        <f aca="false">IFERROR(INDEX(02_轉折點45個!B:B,MATCH(A1625,02_轉折點45個!A:A,0)),"")</f>
        <v/>
      </c>
      <c r="G1625" s="7" t="s">
        <v>1994</v>
      </c>
    </row>
    <row r="1626" customFormat="false" ht="15" hidden="false" customHeight="false" outlineLevel="0" collapsed="false">
      <c r="A1626" s="7" t="s">
        <v>3367</v>
      </c>
      <c r="B1626" s="7" t="n">
        <v>1909.47</v>
      </c>
      <c r="C1626" s="7" t="n">
        <f aca="false">AVERAGE(B1577:B1626)</f>
        <v>1831.0934</v>
      </c>
      <c r="D1626" s="7" t="n">
        <f aca="false">AVERAGE(B1427:B1626)</f>
        <v>1848.1911</v>
      </c>
      <c r="E1626" s="7" t="n">
        <f aca="false">B1626/MAX(B1375:B1626)-1</f>
        <v>-0.0405010879014306</v>
      </c>
      <c r="F1626" s="7" t="str">
        <f aca="false">IFERROR(INDEX(02_轉折點45個!B:B,MATCH(A1626,02_轉折點45個!A:A,0)),"")</f>
        <v/>
      </c>
      <c r="G1626" s="7" t="s">
        <v>1994</v>
      </c>
    </row>
    <row r="1627" customFormat="false" ht="15" hidden="false" customHeight="false" outlineLevel="0" collapsed="false">
      <c r="A1627" s="7" t="s">
        <v>3368</v>
      </c>
      <c r="B1627" s="7" t="n">
        <v>1907.66</v>
      </c>
      <c r="C1627" s="7" t="n">
        <f aca="false">AVERAGE(B1578:B1627)</f>
        <v>1832.7156</v>
      </c>
      <c r="D1627" s="7" t="n">
        <f aca="false">AVERAGE(B1428:B1627)</f>
        <v>1849.17185</v>
      </c>
      <c r="E1627" s="7" t="n">
        <f aca="false">B1627/MAX(B1376:B1627)-1</f>
        <v>-0.0414106036471078</v>
      </c>
      <c r="F1627" s="7" t="str">
        <f aca="false">IFERROR(INDEX(02_轉折點45個!B:B,MATCH(A1627,02_轉折點45個!A:A,0)),"")</f>
        <v/>
      </c>
      <c r="G1627" s="7" t="s">
        <v>1994</v>
      </c>
    </row>
    <row r="1628" customFormat="false" ht="15" hidden="false" customHeight="false" outlineLevel="0" collapsed="false">
      <c r="A1628" s="7" t="s">
        <v>3369</v>
      </c>
      <c r="B1628" s="7" t="n">
        <v>1910.34</v>
      </c>
      <c r="C1628" s="7" t="n">
        <f aca="false">AVERAGE(B1579:B1628)</f>
        <v>1834.5234</v>
      </c>
      <c r="D1628" s="7" t="n">
        <f aca="false">AVERAGE(B1429:B1628)</f>
        <v>1850.2982</v>
      </c>
      <c r="E1628" s="7" t="n">
        <f aca="false">B1628/MAX(B1377:B1628)-1</f>
        <v>-0.040063917349641</v>
      </c>
      <c r="F1628" s="7" t="str">
        <f aca="false">IFERROR(INDEX(02_轉折點45個!B:B,MATCH(A1628,02_轉折點45個!A:A,0)),"")</f>
        <v/>
      </c>
      <c r="G1628" s="7" t="s">
        <v>1994</v>
      </c>
    </row>
    <row r="1629" customFormat="false" ht="15" hidden="false" customHeight="false" outlineLevel="0" collapsed="false">
      <c r="A1629" s="7" t="s">
        <v>3370</v>
      </c>
      <c r="B1629" s="7" t="n">
        <v>1911.22</v>
      </c>
      <c r="C1629" s="7" t="n">
        <f aca="false">AVERAGE(B1580:B1629)</f>
        <v>1836.1062</v>
      </c>
      <c r="D1629" s="7" t="n">
        <f aca="false">AVERAGE(B1430:B1629)</f>
        <v>1851.36465</v>
      </c>
      <c r="E1629" s="7" t="n">
        <f aca="false">B1629/MAX(B1378:B1629)-1</f>
        <v>-0.0396217218489802</v>
      </c>
      <c r="F1629" s="7" t="str">
        <f aca="false">IFERROR(INDEX(02_轉折點45個!B:B,MATCH(A1629,02_轉折點45個!A:A,0)),"")</f>
        <v/>
      </c>
      <c r="G1629" s="7" t="s">
        <v>1994</v>
      </c>
    </row>
    <row r="1630" customFormat="false" ht="15" hidden="false" customHeight="false" outlineLevel="0" collapsed="false">
      <c r="A1630" s="7" t="s">
        <v>3371</v>
      </c>
      <c r="B1630" s="7" t="n">
        <v>1891.7</v>
      </c>
      <c r="C1630" s="7" t="n">
        <f aca="false">AVERAGE(B1581:B1630)</f>
        <v>1837.8656</v>
      </c>
      <c r="D1630" s="7" t="n">
        <f aca="false">AVERAGE(B1431:B1630)</f>
        <v>1852.3697</v>
      </c>
      <c r="E1630" s="7" t="n">
        <f aca="false">B1630/MAX(B1379:B1630)-1</f>
        <v>-0.0494304220454557</v>
      </c>
      <c r="F1630" s="7" t="str">
        <f aca="false">IFERROR(INDEX(02_轉折點45個!B:B,MATCH(A1630,02_轉折點45個!A:A,0)),"")</f>
        <v/>
      </c>
      <c r="G1630" s="7" t="s">
        <v>1994</v>
      </c>
    </row>
    <row r="1631" customFormat="false" ht="15" hidden="false" customHeight="false" outlineLevel="0" collapsed="false">
      <c r="A1631" s="7" t="s">
        <v>3372</v>
      </c>
      <c r="B1631" s="7" t="n">
        <v>1875.81</v>
      </c>
      <c r="C1631" s="7" t="n">
        <f aca="false">AVERAGE(B1582:B1631)</f>
        <v>1839.8126</v>
      </c>
      <c r="D1631" s="7" t="n">
        <f aca="false">AVERAGE(B1432:B1631)</f>
        <v>1853.20845</v>
      </c>
      <c r="E1631" s="7" t="n">
        <f aca="false">B1631/MAX(B1380:B1631)-1</f>
        <v>-0.0574150658017054</v>
      </c>
      <c r="F1631" s="7" t="str">
        <f aca="false">IFERROR(INDEX(02_轉折點45個!B:B,MATCH(A1631,02_轉折點45個!A:A,0)),"")</f>
        <v/>
      </c>
      <c r="G1631" s="7" t="s">
        <v>1994</v>
      </c>
    </row>
    <row r="1632" customFormat="false" ht="15" hidden="false" customHeight="false" outlineLevel="0" collapsed="false">
      <c r="A1632" s="7" t="s">
        <v>611</v>
      </c>
      <c r="B1632" s="7" t="n">
        <v>1868.44</v>
      </c>
      <c r="C1632" s="7" t="n">
        <f aca="false">AVERAGE(B1583:B1632)</f>
        <v>1842.3168</v>
      </c>
      <c r="D1632" s="7" t="n">
        <f aca="false">AVERAGE(B1433:B1632)</f>
        <v>1853.8977</v>
      </c>
      <c r="E1632" s="7" t="n">
        <f aca="false">B1632/MAX(B1381:B1632)-1</f>
        <v>-0.0611184531197394</v>
      </c>
      <c r="F1632" s="7" t="str">
        <f aca="false">IFERROR(INDEX(02_轉折點45個!B:B,MATCH(A1632,02_轉折點45個!A:A,0)),"")</f>
        <v/>
      </c>
      <c r="G1632" s="7" t="s">
        <v>1994</v>
      </c>
    </row>
    <row r="1633" customFormat="false" ht="15" hidden="false" customHeight="false" outlineLevel="0" collapsed="false">
      <c r="A1633" s="7" t="s">
        <v>3373</v>
      </c>
      <c r="B1633" s="7" t="n">
        <v>1890.99</v>
      </c>
      <c r="C1633" s="7" t="n">
        <f aca="false">AVERAGE(B1584:B1633)</f>
        <v>1845.1848</v>
      </c>
      <c r="D1633" s="7" t="n">
        <f aca="false">AVERAGE(B1434:B1633)</f>
        <v>1854.6263</v>
      </c>
      <c r="E1633" s="7" t="n">
        <f aca="false">B1633/MAX(B1382:B1633)-1</f>
        <v>-0.049787193415307</v>
      </c>
      <c r="F1633" s="7" t="str">
        <f aca="false">IFERROR(INDEX(02_轉折點45個!B:B,MATCH(A1633,02_轉折點45個!A:A,0)),"")</f>
        <v/>
      </c>
      <c r="G1633" s="7" t="s">
        <v>1994</v>
      </c>
    </row>
    <row r="1634" customFormat="false" ht="15" hidden="false" customHeight="false" outlineLevel="0" collapsed="false">
      <c r="A1634" s="7" t="s">
        <v>3374</v>
      </c>
      <c r="B1634" s="7" t="n">
        <v>1890.08</v>
      </c>
      <c r="C1634" s="7" t="n">
        <f aca="false">AVERAGE(B1585:B1634)</f>
        <v>1847.6794</v>
      </c>
      <c r="D1634" s="7" t="n">
        <f aca="false">AVERAGE(B1435:B1634)</f>
        <v>1855.3274</v>
      </c>
      <c r="E1634" s="7" t="n">
        <f aca="false">B1634/MAX(B1383:B1634)-1</f>
        <v>-0.0502444637625812</v>
      </c>
      <c r="F1634" s="7" t="str">
        <f aca="false">IFERROR(INDEX(02_轉折點45個!B:B,MATCH(A1634,02_轉折點45個!A:A,0)),"")</f>
        <v/>
      </c>
      <c r="G1634" s="7" t="s">
        <v>1994</v>
      </c>
    </row>
    <row r="1635" customFormat="false" ht="15" hidden="false" customHeight="false" outlineLevel="0" collapsed="false">
      <c r="A1635" s="7" t="s">
        <v>612</v>
      </c>
      <c r="B1635" s="7" t="n">
        <v>1879.18</v>
      </c>
      <c r="C1635" s="7" t="n">
        <f aca="false">AVERAGE(B1586:B1635)</f>
        <v>1850.2958</v>
      </c>
      <c r="D1635" s="7" t="n">
        <f aca="false">AVERAGE(B1436:B1635)</f>
        <v>1856.06025</v>
      </c>
      <c r="E1635" s="7" t="n">
        <f aca="false">B1635/MAX(B1384:B1635)-1</f>
        <v>-0.0557216580321295</v>
      </c>
      <c r="F1635" s="7" t="str">
        <f aca="false">IFERROR(INDEX(02_轉折點45個!B:B,MATCH(A1635,02_轉折點45個!A:A,0)),"")</f>
        <v/>
      </c>
      <c r="G1635" s="7" t="s">
        <v>1994</v>
      </c>
    </row>
    <row r="1636" customFormat="false" ht="15" hidden="false" customHeight="false" outlineLevel="0" collapsed="false">
      <c r="A1636" s="7" t="s">
        <v>3375</v>
      </c>
      <c r="B1636" s="7" t="n">
        <v>1879.56</v>
      </c>
      <c r="C1636" s="7" t="n">
        <f aca="false">AVERAGE(B1587:B1636)</f>
        <v>1852.031</v>
      </c>
      <c r="D1636" s="7" t="n">
        <f aca="false">AVERAGE(B1437:B1636)</f>
        <v>1856.76045</v>
      </c>
      <c r="E1636" s="7" t="n">
        <f aca="false">B1636/MAX(B1385:B1636)-1</f>
        <v>-0.055530709975026</v>
      </c>
      <c r="F1636" s="7" t="str">
        <f aca="false">IFERROR(INDEX(02_轉折點45個!B:B,MATCH(A1636,02_轉折點45個!A:A,0)),"")</f>
        <v/>
      </c>
      <c r="G1636" s="7" t="s">
        <v>1994</v>
      </c>
    </row>
    <row r="1637" customFormat="false" ht="15" hidden="false" customHeight="false" outlineLevel="0" collapsed="false">
      <c r="A1637" s="7" t="s">
        <v>3376</v>
      </c>
      <c r="B1637" s="7" t="n">
        <v>1899.09</v>
      </c>
      <c r="C1637" s="7" t="n">
        <f aca="false">AVERAGE(B1588:B1637)</f>
        <v>1854.7088</v>
      </c>
      <c r="D1637" s="7" t="n">
        <f aca="false">AVERAGE(B1438:B1637)</f>
        <v>1857.53085</v>
      </c>
      <c r="E1637" s="7" t="n">
        <f aca="false">B1637/MAX(B1386:B1637)-1</f>
        <v>-0.0457169848296793</v>
      </c>
      <c r="F1637" s="7" t="str">
        <f aca="false">IFERROR(INDEX(02_轉折點45個!B:B,MATCH(A1637,02_轉折點45個!A:A,0)),"")</f>
        <v/>
      </c>
      <c r="G1637" s="7" t="s">
        <v>1994</v>
      </c>
    </row>
    <row r="1638" customFormat="false" ht="15" hidden="false" customHeight="false" outlineLevel="0" collapsed="false">
      <c r="A1638" s="7" t="s">
        <v>3377</v>
      </c>
      <c r="B1638" s="7" t="n">
        <v>1889.86</v>
      </c>
      <c r="C1638" s="7" t="n">
        <f aca="false">AVERAGE(B1589:B1638)</f>
        <v>1856.8624</v>
      </c>
      <c r="D1638" s="7" t="n">
        <f aca="false">AVERAGE(B1439:B1638)</f>
        <v>1858.26435</v>
      </c>
      <c r="E1638" s="7" t="n">
        <f aca="false">B1638/MAX(B1387:B1638)-1</f>
        <v>-0.0503550126377464</v>
      </c>
      <c r="F1638" s="7" t="str">
        <f aca="false">IFERROR(INDEX(02_轉折點45個!B:B,MATCH(A1638,02_轉折點45個!A:A,0)),"")</f>
        <v/>
      </c>
      <c r="G1638" s="7" t="s">
        <v>1994</v>
      </c>
    </row>
    <row r="1639" customFormat="false" ht="15" hidden="false" customHeight="false" outlineLevel="0" collapsed="false">
      <c r="A1639" s="7" t="s">
        <v>3378</v>
      </c>
      <c r="B1639" s="7" t="n">
        <v>1896.27</v>
      </c>
      <c r="C1639" s="7" t="n">
        <f aca="false">AVERAGE(B1590:B1639)</f>
        <v>1859.5706</v>
      </c>
      <c r="D1639" s="7" t="n">
        <f aca="false">AVERAGE(B1440:B1639)</f>
        <v>1858.97</v>
      </c>
      <c r="E1639" s="7" t="n">
        <f aca="false">B1639/MAX(B1388:B1639)-1</f>
        <v>-0.0471340204113423</v>
      </c>
      <c r="F1639" s="7" t="str">
        <f aca="false">IFERROR(INDEX(02_轉折點45個!B:B,MATCH(A1639,02_轉折點45個!A:A,0)),"")</f>
        <v/>
      </c>
      <c r="G1639" s="7" t="s">
        <v>1994</v>
      </c>
    </row>
    <row r="1640" customFormat="false" ht="15" hidden="false" customHeight="false" outlineLevel="0" collapsed="false">
      <c r="A1640" s="7" t="s">
        <v>613</v>
      </c>
      <c r="B1640" s="7" t="n">
        <v>1930.27</v>
      </c>
      <c r="C1640" s="7" t="n">
        <f aca="false">AVERAGE(B1591:B1640)</f>
        <v>1862.9042</v>
      </c>
      <c r="D1640" s="7" t="n">
        <f aca="false">AVERAGE(B1441:B1640)</f>
        <v>1860.0077</v>
      </c>
      <c r="E1640" s="7" t="n">
        <f aca="false">B1640/MAX(B1389:B1640)-1</f>
        <v>-0.0300491942494485</v>
      </c>
      <c r="F1640" s="7" t="str">
        <f aca="false">IFERROR(INDEX(02_轉折點45個!B:B,MATCH(A1640,02_轉折點45個!A:A,0)),"")</f>
        <v/>
      </c>
      <c r="G1640" s="7" t="s">
        <v>1994</v>
      </c>
    </row>
    <row r="1641" customFormat="false" ht="15" hidden="false" customHeight="false" outlineLevel="0" collapsed="false">
      <c r="A1641" s="7" t="s">
        <v>614</v>
      </c>
      <c r="B1641" s="7" t="n">
        <v>1950.87</v>
      </c>
      <c r="C1641" s="7" t="n">
        <f aca="false">AVERAGE(B1592:B1641)</f>
        <v>1867.1294</v>
      </c>
      <c r="D1641" s="7" t="n">
        <f aca="false">AVERAGE(B1442:B1641)</f>
        <v>1861.1451</v>
      </c>
      <c r="E1641" s="7" t="n">
        <f aca="false">B1641/MAX(B1390:B1641)-1</f>
        <v>-0.0196977995748894</v>
      </c>
      <c r="F1641" s="7" t="str">
        <f aca="false">IFERROR(INDEX(02_轉折點45個!B:B,MATCH(A1641,02_轉折點45個!A:A,0)),"")</f>
        <v/>
      </c>
      <c r="G1641" s="7" t="s">
        <v>1994</v>
      </c>
    </row>
    <row r="1642" customFormat="false" ht="15" hidden="false" customHeight="false" outlineLevel="0" collapsed="false">
      <c r="A1642" s="7" t="s">
        <v>3379</v>
      </c>
      <c r="B1642" s="7" t="n">
        <v>1957.92</v>
      </c>
      <c r="C1642" s="7" t="n">
        <f aca="false">AVERAGE(B1593:B1642)</f>
        <v>1871.1764</v>
      </c>
      <c r="D1642" s="7" t="n">
        <f aca="false">AVERAGE(B1443:B1642)</f>
        <v>1862.3495</v>
      </c>
      <c r="E1642" s="7" t="n">
        <f aca="false">B1642/MAX(B1391:B1642)-1</f>
        <v>-0.0161552106207319</v>
      </c>
      <c r="F1642" s="7" t="str">
        <f aca="false">IFERROR(INDEX(02_轉折點45個!B:B,MATCH(A1642,02_轉折點45個!A:A,0)),"")</f>
        <v/>
      </c>
      <c r="G1642" s="7" t="s">
        <v>1994</v>
      </c>
    </row>
    <row r="1643" customFormat="false" ht="15" hidden="false" customHeight="false" outlineLevel="0" collapsed="false">
      <c r="A1643" s="7" t="s">
        <v>3380</v>
      </c>
      <c r="B1643" s="7" t="n">
        <v>1958.8</v>
      </c>
      <c r="C1643" s="7" t="n">
        <f aca="false">AVERAGE(B1594:B1643)</f>
        <v>1875.1132</v>
      </c>
      <c r="D1643" s="7" t="n">
        <f aca="false">AVERAGE(B1444:B1643)</f>
        <v>1863.6478</v>
      </c>
      <c r="E1643" s="7" t="n">
        <f aca="false">B1643/MAX(B1392:B1643)-1</f>
        <v>-0.0157130151200712</v>
      </c>
      <c r="F1643" s="7" t="str">
        <f aca="false">IFERROR(INDEX(02_轉折點45個!B:B,MATCH(A1643,02_轉折點45個!A:A,0)),"")</f>
        <v/>
      </c>
      <c r="G1643" s="7" t="s">
        <v>1994</v>
      </c>
    </row>
    <row r="1644" customFormat="false" ht="15" hidden="false" customHeight="false" outlineLevel="0" collapsed="false">
      <c r="A1644" s="7" t="s">
        <v>3381</v>
      </c>
      <c r="B1644" s="7" t="n">
        <v>1966.76</v>
      </c>
      <c r="C1644" s="7" t="n">
        <f aca="false">AVERAGE(B1595:B1644)</f>
        <v>1879.1284</v>
      </c>
      <c r="D1644" s="7" t="n">
        <f aca="false">AVERAGE(B1445:B1644)</f>
        <v>1864.9403</v>
      </c>
      <c r="E1644" s="7" t="n">
        <f aca="false">B1644/MAX(B1393:B1644)-1</f>
        <v>-0.0117131558186395</v>
      </c>
      <c r="F1644" s="7" t="str">
        <f aca="false">IFERROR(INDEX(02_轉折點45個!B:B,MATCH(A1644,02_轉折點45個!A:A,0)),"")</f>
        <v/>
      </c>
      <c r="G1644" s="7" t="s">
        <v>1994</v>
      </c>
    </row>
    <row r="1645" customFormat="false" ht="15" hidden="false" customHeight="false" outlineLevel="0" collapsed="false">
      <c r="A1645" s="7" t="s">
        <v>3382</v>
      </c>
      <c r="B1645" s="7" t="n">
        <v>1970.38</v>
      </c>
      <c r="C1645" s="7" t="n">
        <f aca="false">AVERAGE(B1596:B1645)</f>
        <v>1882.6832</v>
      </c>
      <c r="D1645" s="7" t="n">
        <f aca="false">AVERAGE(B1446:B1645)</f>
        <v>1866.14095</v>
      </c>
      <c r="E1645" s="7" t="n">
        <f aca="false">B1645/MAX(B1394:B1645)-1</f>
        <v>-0.00989412432728487</v>
      </c>
      <c r="F1645" s="7" t="str">
        <f aca="false">IFERROR(INDEX(02_轉折點45個!B:B,MATCH(A1645,02_轉折點45個!A:A,0)),"")</f>
        <v/>
      </c>
      <c r="G1645" s="7" t="s">
        <v>1994</v>
      </c>
    </row>
    <row r="1646" customFormat="false" ht="15" hidden="false" customHeight="false" outlineLevel="0" collapsed="false">
      <c r="A1646" s="7" t="s">
        <v>3383</v>
      </c>
      <c r="B1646" s="7" t="n">
        <v>1959.49</v>
      </c>
      <c r="C1646" s="7" t="n">
        <f aca="false">AVERAGE(B1597:B1646)</f>
        <v>1886.028</v>
      </c>
      <c r="D1646" s="7" t="n">
        <f aca="false">AVERAGE(B1447:B1646)</f>
        <v>1867.2739</v>
      </c>
      <c r="E1646" s="7" t="n">
        <f aca="false">B1646/MAX(B1395:B1646)-1</f>
        <v>-0.015366293647962</v>
      </c>
      <c r="F1646" s="7" t="str">
        <f aca="false">IFERROR(INDEX(02_轉折點45個!B:B,MATCH(A1646,02_轉折點45個!A:A,0)),"")</f>
        <v/>
      </c>
      <c r="G1646" s="7" t="s">
        <v>1994</v>
      </c>
    </row>
    <row r="1647" customFormat="false" ht="15" hidden="false" customHeight="false" outlineLevel="0" collapsed="false">
      <c r="A1647" s="7" t="s">
        <v>3384</v>
      </c>
      <c r="B1647" s="7" t="n">
        <v>1985.36</v>
      </c>
      <c r="C1647" s="7" t="n">
        <f aca="false">AVERAGE(B1598:B1647)</f>
        <v>1889.7888</v>
      </c>
      <c r="D1647" s="7" t="n">
        <f aca="false">AVERAGE(B1448:B1647)</f>
        <v>1868.329</v>
      </c>
      <c r="E1647" s="7" t="n">
        <f aca="false">B1647/MAX(B1396:B1647)-1</f>
        <v>-0.0023667509183094</v>
      </c>
      <c r="F1647" s="7" t="str">
        <f aca="false">IFERROR(INDEX(02_轉折點45個!B:B,MATCH(A1647,02_轉折點45個!A:A,0)),"")</f>
        <v/>
      </c>
      <c r="G1647" s="7" t="s">
        <v>1994</v>
      </c>
    </row>
    <row r="1648" customFormat="false" ht="15" hidden="false" customHeight="false" outlineLevel="0" collapsed="false">
      <c r="A1648" s="7" t="s">
        <v>3385</v>
      </c>
      <c r="B1648" s="7" t="n">
        <v>1999.42</v>
      </c>
      <c r="C1648" s="7" t="n">
        <f aca="false">AVERAGE(B1599:B1648)</f>
        <v>1893.6058</v>
      </c>
      <c r="D1648" s="7" t="n">
        <f aca="false">AVERAGE(B1449:B1648)</f>
        <v>1869.4078</v>
      </c>
      <c r="E1648" s="7" t="n">
        <f aca="false">B1648/MAX(B1397:B1648)-1</f>
        <v>0</v>
      </c>
      <c r="F1648" s="7" t="str">
        <f aca="false">IFERROR(INDEX(02_轉折點45個!B:B,MATCH(A1648,02_轉折點45個!A:A,0)),"")</f>
        <v/>
      </c>
      <c r="G1648" s="7" t="s">
        <v>1994</v>
      </c>
    </row>
    <row r="1649" customFormat="false" ht="15" hidden="false" customHeight="false" outlineLevel="0" collapsed="false">
      <c r="A1649" s="7" t="s">
        <v>3386</v>
      </c>
      <c r="B1649" s="7" t="n">
        <v>1990.31</v>
      </c>
      <c r="C1649" s="7" t="n">
        <f aca="false">AVERAGE(B1600:B1649)</f>
        <v>1897.5494</v>
      </c>
      <c r="D1649" s="7" t="n">
        <f aca="false">AVERAGE(B1450:B1649)</f>
        <v>1870.4269</v>
      </c>
      <c r="E1649" s="7" t="n">
        <f aca="false">B1649/MAX(B1398:B1649)-1</f>
        <v>-0.00455632133318673</v>
      </c>
      <c r="F1649" s="7" t="str">
        <f aca="false">IFERROR(INDEX(02_轉折點45個!B:B,MATCH(A1649,02_轉折點45個!A:A,0)),"")</f>
        <v/>
      </c>
      <c r="G1649" s="7" t="s">
        <v>1994</v>
      </c>
    </row>
    <row r="1650" customFormat="false" ht="15" hidden="false" customHeight="false" outlineLevel="0" collapsed="false">
      <c r="A1650" s="7" t="s">
        <v>3387</v>
      </c>
      <c r="B1650" s="7" t="n">
        <v>1991.35</v>
      </c>
      <c r="C1650" s="7" t="n">
        <f aca="false">AVERAGE(B1601:B1650)</f>
        <v>1901.3534</v>
      </c>
      <c r="D1650" s="7" t="n">
        <f aca="false">AVERAGE(B1451:B1650)</f>
        <v>1871.38025</v>
      </c>
      <c r="E1650" s="7" t="n">
        <f aca="false">B1650/MAX(B1399:B1650)-1</f>
        <v>-0.00403617048944205</v>
      </c>
      <c r="F1650" s="7" t="str">
        <f aca="false">IFERROR(INDEX(02_轉折點45個!B:B,MATCH(A1650,02_轉折點45個!A:A,0)),"")</f>
        <v/>
      </c>
      <c r="G1650" s="7" t="s">
        <v>1994</v>
      </c>
    </row>
    <row r="1651" customFormat="false" ht="15" hidden="false" customHeight="false" outlineLevel="0" collapsed="false">
      <c r="A1651" s="7" t="s">
        <v>3388</v>
      </c>
      <c r="B1651" s="7" t="n">
        <v>1979.47</v>
      </c>
      <c r="C1651" s="7" t="n">
        <f aca="false">AVERAGE(B1602:B1651)</f>
        <v>1905.0598</v>
      </c>
      <c r="D1651" s="7" t="n">
        <f aca="false">AVERAGE(B1452:B1651)</f>
        <v>1872.37705</v>
      </c>
      <c r="E1651" s="7" t="n">
        <f aca="false">B1651/MAX(B1400:B1651)-1</f>
        <v>-0.00997789358914092</v>
      </c>
      <c r="F1651" s="7" t="str">
        <f aca="false">IFERROR(INDEX(02_轉折點45個!B:B,MATCH(A1651,02_轉折點45個!A:A,0)),"")</f>
        <v/>
      </c>
      <c r="G1651" s="7" t="s">
        <v>1994</v>
      </c>
    </row>
    <row r="1652" customFormat="false" ht="15" hidden="false" customHeight="false" outlineLevel="0" collapsed="false">
      <c r="A1652" s="7" t="s">
        <v>3389</v>
      </c>
      <c r="B1652" s="7" t="n">
        <v>1987.92</v>
      </c>
      <c r="C1652" s="7" t="n">
        <f aca="false">AVERAGE(B1603:B1652)</f>
        <v>1908.6996</v>
      </c>
      <c r="D1652" s="7" t="n">
        <f aca="false">AVERAGE(B1453:B1652)</f>
        <v>1873.5465</v>
      </c>
      <c r="E1652" s="7" t="n">
        <f aca="false">B1652/MAX(B1401:B1652)-1</f>
        <v>-0.00575166798371529</v>
      </c>
      <c r="F1652" s="7" t="str">
        <f aca="false">IFERROR(INDEX(02_轉折點45個!B:B,MATCH(A1652,02_轉折點45個!A:A,0)),"")</f>
        <v/>
      </c>
      <c r="G1652" s="7" t="s">
        <v>1994</v>
      </c>
    </row>
    <row r="1653" customFormat="false" ht="15" hidden="false" customHeight="false" outlineLevel="0" collapsed="false">
      <c r="A1653" s="7" t="s">
        <v>3390</v>
      </c>
      <c r="B1653" s="7" t="n">
        <v>1997.27</v>
      </c>
      <c r="C1653" s="7" t="n">
        <f aca="false">AVERAGE(B1604:B1653)</f>
        <v>1912.2038</v>
      </c>
      <c r="D1653" s="7" t="n">
        <f aca="false">AVERAGE(B1454:B1653)</f>
        <v>1874.72255</v>
      </c>
      <c r="E1653" s="7" t="n">
        <f aca="false">B1653/MAX(B1402:B1653)-1</f>
        <v>-0.00107531184043375</v>
      </c>
      <c r="F1653" s="7" t="str">
        <f aca="false">IFERROR(INDEX(02_轉折點45個!B:B,MATCH(A1653,02_轉折點45個!A:A,0)),"")</f>
        <v/>
      </c>
      <c r="G1653" s="7" t="s">
        <v>1994</v>
      </c>
    </row>
    <row r="1654" customFormat="false" ht="15" hidden="false" customHeight="false" outlineLevel="0" collapsed="false">
      <c r="A1654" s="7" t="s">
        <v>3391</v>
      </c>
      <c r="B1654" s="7" t="n">
        <v>2008.43</v>
      </c>
      <c r="C1654" s="7" t="n">
        <f aca="false">AVERAGE(B1605:B1654)</f>
        <v>1915.7536</v>
      </c>
      <c r="D1654" s="7" t="n">
        <f aca="false">AVERAGE(B1455:B1654)</f>
        <v>1875.9708</v>
      </c>
      <c r="E1654" s="7" t="n">
        <f aca="false">B1654/MAX(B1403:B1654)-1</f>
        <v>0</v>
      </c>
      <c r="F1654" s="7" t="str">
        <f aca="false">IFERROR(INDEX(02_轉折點45個!B:B,MATCH(A1654,02_轉折點45個!A:A,0)),"")</f>
        <v/>
      </c>
      <c r="G1654" s="7" t="s">
        <v>1994</v>
      </c>
    </row>
    <row r="1655" customFormat="false" ht="15" hidden="false" customHeight="false" outlineLevel="0" collapsed="false">
      <c r="A1655" s="7" t="s">
        <v>3392</v>
      </c>
      <c r="B1655" s="7" t="n">
        <v>1996</v>
      </c>
      <c r="C1655" s="7" t="n">
        <f aca="false">AVERAGE(B1606:B1655)</f>
        <v>1918.5706</v>
      </c>
      <c r="D1655" s="7" t="n">
        <f aca="false">AVERAGE(B1456:B1655)</f>
        <v>1877.1781</v>
      </c>
      <c r="E1655" s="7" t="n">
        <f aca="false">B1655/MAX(B1404:B1655)-1</f>
        <v>-0.00618891372863384</v>
      </c>
      <c r="F1655" s="7" t="str">
        <f aca="false">IFERROR(INDEX(02_轉折點45個!B:B,MATCH(A1655,02_轉折點45個!A:A,0)),"")</f>
        <v/>
      </c>
      <c r="G1655" s="7" t="s">
        <v>1994</v>
      </c>
    </row>
    <row r="1656" customFormat="false" ht="15" hidden="false" customHeight="false" outlineLevel="0" collapsed="false">
      <c r="A1656" s="7" t="s">
        <v>3393</v>
      </c>
      <c r="B1656" s="7" t="n">
        <v>2005.64</v>
      </c>
      <c r="C1656" s="7" t="n">
        <f aca="false">AVERAGE(B1607:B1656)</f>
        <v>1921.3624</v>
      </c>
      <c r="D1656" s="7" t="n">
        <f aca="false">AVERAGE(B1457:B1656)</f>
        <v>1878.51355</v>
      </c>
      <c r="E1656" s="7" t="n">
        <f aca="false">B1656/MAX(B1405:B1656)-1</f>
        <v>-0.0013891447548583</v>
      </c>
      <c r="F1656" s="7" t="str">
        <f aca="false">IFERROR(INDEX(02_轉折點45個!B:B,MATCH(A1656,02_轉折點45個!A:A,0)),"")</f>
        <v/>
      </c>
      <c r="G1656" s="7" t="s">
        <v>1994</v>
      </c>
    </row>
    <row r="1657" customFormat="false" ht="15" hidden="false" customHeight="false" outlineLevel="0" collapsed="false">
      <c r="A1657" s="7" t="s">
        <v>3394</v>
      </c>
      <c r="B1657" s="7" t="n">
        <v>2026.44</v>
      </c>
      <c r="C1657" s="7" t="n">
        <f aca="false">AVERAGE(B1608:B1657)</f>
        <v>1924.5002</v>
      </c>
      <c r="D1657" s="7" t="n">
        <f aca="false">AVERAGE(B1458:B1657)</f>
        <v>1879.9143</v>
      </c>
      <c r="E1657" s="7" t="n">
        <f aca="false">B1657/MAX(B1406:B1657)-1</f>
        <v>0</v>
      </c>
      <c r="F1657" s="7" t="str">
        <f aca="false">IFERROR(INDEX(02_轉折點45個!B:B,MATCH(A1657,02_轉折點45個!A:A,0)),"")</f>
        <v/>
      </c>
      <c r="G1657" s="7" t="s">
        <v>1994</v>
      </c>
    </row>
    <row r="1658" customFormat="false" ht="15" hidden="false" customHeight="false" outlineLevel="0" collapsed="false">
      <c r="A1658" s="7" t="s">
        <v>3395</v>
      </c>
      <c r="B1658" s="7" t="n">
        <v>2025.22</v>
      </c>
      <c r="C1658" s="7" t="n">
        <f aca="false">AVERAGE(B1609:B1658)</f>
        <v>1927.4266</v>
      </c>
      <c r="D1658" s="7" t="n">
        <f aca="false">AVERAGE(B1459:B1658)</f>
        <v>1881.19465</v>
      </c>
      <c r="E1658" s="7" t="n">
        <f aca="false">B1658/MAX(B1407:B1658)-1</f>
        <v>-0.000602041017745414</v>
      </c>
      <c r="F1658" s="7" t="str">
        <f aca="false">IFERROR(INDEX(02_轉折點45個!B:B,MATCH(A1658,02_轉折點45個!A:A,0)),"")</f>
        <v/>
      </c>
      <c r="G1658" s="7" t="s">
        <v>1994</v>
      </c>
    </row>
    <row r="1659" customFormat="false" ht="15" hidden="false" customHeight="false" outlineLevel="0" collapsed="false">
      <c r="A1659" s="7" t="s">
        <v>615</v>
      </c>
      <c r="B1659" s="7" t="n">
        <v>2001.93</v>
      </c>
      <c r="C1659" s="7" t="n">
        <f aca="false">AVERAGE(B1610:B1659)</f>
        <v>1929.7964</v>
      </c>
      <c r="D1659" s="7" t="n">
        <f aca="false">AVERAGE(B1460:B1659)</f>
        <v>1882.42075</v>
      </c>
      <c r="E1659" s="7" t="n">
        <f aca="false">B1659/MAX(B1408:B1659)-1</f>
        <v>-0.012095102741754</v>
      </c>
      <c r="F1659" s="7" t="str">
        <f aca="false">IFERROR(INDEX(02_轉折點45個!B:B,MATCH(A1659,02_轉折點45個!A:A,0)),"")</f>
        <v/>
      </c>
      <c r="G1659" s="7" t="s">
        <v>1994</v>
      </c>
    </row>
    <row r="1660" customFormat="false" ht="15" hidden="false" customHeight="false" outlineLevel="0" collapsed="false">
      <c r="A1660" s="7" t="s">
        <v>3396</v>
      </c>
      <c r="B1660" s="7" t="n">
        <v>1989.68</v>
      </c>
      <c r="C1660" s="7" t="n">
        <f aca="false">AVERAGE(B1611:B1660)</f>
        <v>1932.1314</v>
      </c>
      <c r="D1660" s="7" t="n">
        <f aca="false">AVERAGE(B1461:B1660)</f>
        <v>1883.5396</v>
      </c>
      <c r="E1660" s="7" t="n">
        <f aca="false">B1660/MAX(B1409:B1660)-1</f>
        <v>-0.0181401867314107</v>
      </c>
      <c r="F1660" s="7" t="str">
        <f aca="false">IFERROR(INDEX(02_轉折點45個!B:B,MATCH(A1660,02_轉折點45個!A:A,0)),"")</f>
        <v/>
      </c>
      <c r="G1660" s="7" t="s">
        <v>1994</v>
      </c>
    </row>
    <row r="1661" customFormat="false" ht="15" hidden="false" customHeight="false" outlineLevel="0" collapsed="false">
      <c r="A1661" s="7" t="s">
        <v>3397</v>
      </c>
      <c r="B1661" s="7" t="n">
        <v>1977.33</v>
      </c>
      <c r="C1661" s="7" t="n">
        <f aca="false">AVERAGE(B1612:B1661)</f>
        <v>1933.8334</v>
      </c>
      <c r="D1661" s="7" t="n">
        <f aca="false">AVERAGE(B1462:B1661)</f>
        <v>1884.5024</v>
      </c>
      <c r="E1661" s="7" t="n">
        <f aca="false">B1661/MAX(B1410:B1661)-1</f>
        <v>-0.0242346183454729</v>
      </c>
      <c r="F1661" s="7" t="str">
        <f aca="false">IFERROR(INDEX(02_轉折點45個!B:B,MATCH(A1661,02_轉折點45個!A:A,0)),"")</f>
        <v/>
      </c>
      <c r="G1661" s="7" t="s">
        <v>1994</v>
      </c>
    </row>
    <row r="1662" customFormat="false" ht="15" hidden="false" customHeight="false" outlineLevel="0" collapsed="false">
      <c r="A1662" s="7" t="s">
        <v>616</v>
      </c>
      <c r="B1662" s="7" t="n">
        <v>1986.28</v>
      </c>
      <c r="C1662" s="7" t="n">
        <f aca="false">AVERAGE(B1613:B1662)</f>
        <v>1935.6324</v>
      </c>
      <c r="D1662" s="7" t="n">
        <f aca="false">AVERAGE(B1463:B1662)</f>
        <v>1885.6857</v>
      </c>
      <c r="E1662" s="7" t="n">
        <f aca="false">B1662/MAX(B1411:B1662)-1</f>
        <v>-0.0198180059611931</v>
      </c>
      <c r="F1662" s="7" t="str">
        <f aca="false">IFERROR(INDEX(02_轉折點45個!B:B,MATCH(A1662,02_轉折點45個!A:A,0)),"")</f>
        <v/>
      </c>
      <c r="G1662" s="7" t="s">
        <v>1994</v>
      </c>
    </row>
    <row r="1663" customFormat="false" ht="15" hidden="false" customHeight="false" outlineLevel="0" collapsed="false">
      <c r="A1663" s="7" t="s">
        <v>3398</v>
      </c>
      <c r="B1663" s="7" t="n">
        <v>1971.32</v>
      </c>
      <c r="C1663" s="7" t="n">
        <f aca="false">AVERAGE(B1614:B1663)</f>
        <v>1937.2694</v>
      </c>
      <c r="D1663" s="7" t="n">
        <f aca="false">AVERAGE(B1464:B1663)</f>
        <v>1886.79925</v>
      </c>
      <c r="E1663" s="7" t="n">
        <f aca="false">B1663/MAX(B1412:B1663)-1</f>
        <v>-0.0272004105722351</v>
      </c>
      <c r="F1663" s="7" t="str">
        <f aca="false">IFERROR(INDEX(02_轉折點45個!B:B,MATCH(A1663,02_轉折點45個!A:A,0)),"")</f>
        <v/>
      </c>
      <c r="G1663" s="7" t="s">
        <v>1994</v>
      </c>
    </row>
    <row r="1664" customFormat="false" ht="15" hidden="false" customHeight="false" outlineLevel="0" collapsed="false">
      <c r="A1664" s="7" t="s">
        <v>3399</v>
      </c>
      <c r="B1664" s="7" t="n">
        <v>1986.61</v>
      </c>
      <c r="C1664" s="7" t="n">
        <f aca="false">AVERAGE(B1615:B1664)</f>
        <v>1938.8534</v>
      </c>
      <c r="D1664" s="7" t="n">
        <f aca="false">AVERAGE(B1465:B1664)</f>
        <v>1887.92185</v>
      </c>
      <c r="E1664" s="7" t="n">
        <f aca="false">B1664/MAX(B1413:B1664)-1</f>
        <v>-0.0196551588006554</v>
      </c>
      <c r="F1664" s="7" t="str">
        <f aca="false">IFERROR(INDEX(02_轉折點45個!B:B,MATCH(A1664,02_轉折點45個!A:A,0)),"")</f>
        <v/>
      </c>
      <c r="G1664" s="7" t="s">
        <v>1994</v>
      </c>
    </row>
    <row r="1665" customFormat="false" ht="15" hidden="false" customHeight="false" outlineLevel="0" collapsed="false">
      <c r="A1665" s="7" t="s">
        <v>617</v>
      </c>
      <c r="B1665" s="7" t="n">
        <v>1970.48</v>
      </c>
      <c r="C1665" s="7" t="n">
        <f aca="false">AVERAGE(B1616:B1665)</f>
        <v>1939.9332</v>
      </c>
      <c r="D1665" s="7" t="n">
        <f aca="false">AVERAGE(B1466:B1665)</f>
        <v>1888.7756</v>
      </c>
      <c r="E1665" s="7" t="n">
        <f aca="false">B1665/MAX(B1414:B1665)-1</f>
        <v>-0.0276149306172401</v>
      </c>
      <c r="F1665" s="7" t="str">
        <f aca="false">IFERROR(INDEX(02_轉折點45個!B:B,MATCH(A1665,02_轉折點45個!A:A,0)),"")</f>
        <v/>
      </c>
      <c r="G1665" s="7" t="s">
        <v>1994</v>
      </c>
    </row>
    <row r="1666" customFormat="false" ht="15" hidden="false" customHeight="false" outlineLevel="0" collapsed="false">
      <c r="A1666" s="7" t="s">
        <v>3400</v>
      </c>
      <c r="B1666" s="7" t="n">
        <v>1979.75</v>
      </c>
      <c r="C1666" s="7" t="n">
        <f aca="false">AVERAGE(B1617:B1666)</f>
        <v>1941.6802</v>
      </c>
      <c r="D1666" s="7" t="n">
        <f aca="false">AVERAGE(B1467:B1666)</f>
        <v>1889.64945</v>
      </c>
      <c r="E1666" s="7" t="n">
        <f aca="false">B1666/MAX(B1415:B1666)-1</f>
        <v>-0.0230404058348631</v>
      </c>
      <c r="F1666" s="7" t="str">
        <f aca="false">IFERROR(INDEX(02_轉折點45個!B:B,MATCH(A1666,02_轉折點45個!A:A,0)),"")</f>
        <v/>
      </c>
      <c r="G1666" s="7" t="s">
        <v>1994</v>
      </c>
    </row>
    <row r="1667" customFormat="false" ht="15" hidden="false" customHeight="false" outlineLevel="0" collapsed="false">
      <c r="A1667" s="7" t="s">
        <v>3401</v>
      </c>
      <c r="B1667" s="7" t="n">
        <v>1952.36</v>
      </c>
      <c r="C1667" s="7" t="n">
        <f aca="false">AVERAGE(B1618:B1667)</f>
        <v>1942.8002</v>
      </c>
      <c r="D1667" s="7" t="n">
        <f aca="false">AVERAGE(B1468:B1667)</f>
        <v>1890.38975</v>
      </c>
      <c r="E1667" s="7" t="n">
        <f aca="false">B1667/MAX(B1416:B1667)-1</f>
        <v>-0.0365567201594916</v>
      </c>
      <c r="F1667" s="7" t="str">
        <f aca="false">IFERROR(INDEX(02_轉折點45個!B:B,MATCH(A1667,02_轉折點45個!A:A,0)),"")</f>
        <v/>
      </c>
      <c r="G1667" s="7" t="s">
        <v>1994</v>
      </c>
    </row>
    <row r="1668" customFormat="false" ht="15" hidden="false" customHeight="false" outlineLevel="0" collapsed="false">
      <c r="A1668" s="7" t="s">
        <v>3402</v>
      </c>
      <c r="B1668" s="7" t="n">
        <v>1959.75</v>
      </c>
      <c r="C1668" s="7" t="n">
        <f aca="false">AVERAGE(B1619:B1668)</f>
        <v>1944.2252</v>
      </c>
      <c r="D1668" s="7" t="n">
        <f aca="false">AVERAGE(B1469:B1668)</f>
        <v>1891.1447</v>
      </c>
      <c r="E1668" s="7" t="n">
        <f aca="false">B1668/MAX(B1417:B1668)-1</f>
        <v>-0.0329099307159354</v>
      </c>
      <c r="F1668" s="7" t="str">
        <f aca="false">IFERROR(INDEX(02_轉折點45個!B:B,MATCH(A1668,02_轉折點45個!A:A,0)),"")</f>
        <v/>
      </c>
      <c r="G1668" s="7" t="s">
        <v>1994</v>
      </c>
    </row>
    <row r="1669" customFormat="false" ht="15" hidden="false" customHeight="false" outlineLevel="0" collapsed="false">
      <c r="A1669" s="7" t="s">
        <v>3403</v>
      </c>
      <c r="B1669" s="7" t="n">
        <v>1951.46</v>
      </c>
      <c r="C1669" s="7" t="n">
        <f aca="false">AVERAGE(B1620:B1669)</f>
        <v>1945.612</v>
      </c>
      <c r="D1669" s="7" t="n">
        <f aca="false">AVERAGE(B1470:B1669)</f>
        <v>1891.83575</v>
      </c>
      <c r="E1669" s="7" t="n">
        <f aca="false">B1669/MAX(B1418:B1669)-1</f>
        <v>-0.0370008487791398</v>
      </c>
      <c r="F1669" s="7" t="str">
        <f aca="false">IFERROR(INDEX(02_轉折點45個!B:B,MATCH(A1669,02_轉折點45個!A:A,0)),"")</f>
        <v/>
      </c>
      <c r="G1669" s="7" t="s">
        <v>1994</v>
      </c>
    </row>
    <row r="1670" customFormat="false" ht="15" hidden="false" customHeight="false" outlineLevel="0" collapsed="false">
      <c r="A1670" s="7" t="s">
        <v>3404</v>
      </c>
      <c r="B1670" s="7" t="n">
        <v>1950.99</v>
      </c>
      <c r="C1670" s="7" t="n">
        <f aca="false">AVERAGE(B1621:B1670)</f>
        <v>1946.6836</v>
      </c>
      <c r="D1670" s="7" t="n">
        <f aca="false">AVERAGE(B1471:B1670)</f>
        <v>1892.4352</v>
      </c>
      <c r="E1670" s="7" t="n">
        <f aca="false">B1670/MAX(B1419:B1670)-1</f>
        <v>-0.037232782613845</v>
      </c>
      <c r="F1670" s="7" t="str">
        <f aca="false">IFERROR(INDEX(02_轉折點45個!B:B,MATCH(A1670,02_轉折點45個!A:A,0)),"")</f>
        <v/>
      </c>
      <c r="G1670" s="7" t="s">
        <v>1994</v>
      </c>
    </row>
    <row r="1671" customFormat="false" ht="15" hidden="false" customHeight="false" outlineLevel="0" collapsed="false">
      <c r="A1671" s="7" t="s">
        <v>3405</v>
      </c>
      <c r="B1671" s="7" t="n">
        <v>1956.33</v>
      </c>
      <c r="C1671" s="7" t="n">
        <f aca="false">AVERAGE(B1622:B1671)</f>
        <v>1948.1162</v>
      </c>
      <c r="D1671" s="7" t="n">
        <f aca="false">AVERAGE(B1472:B1671)</f>
        <v>1892.9732</v>
      </c>
      <c r="E1671" s="7" t="n">
        <f aca="false">B1671/MAX(B1420:B1671)-1</f>
        <v>-0.0345976194705987</v>
      </c>
      <c r="F1671" s="7" t="str">
        <f aca="false">IFERROR(INDEX(02_轉折點45個!B:B,MATCH(A1671,02_轉折點45個!A:A,0)),"")</f>
        <v/>
      </c>
      <c r="G1671" s="7" t="s">
        <v>1994</v>
      </c>
    </row>
    <row r="1672" customFormat="false" ht="15" hidden="false" customHeight="false" outlineLevel="0" collapsed="false">
      <c r="A1672" s="7" t="s">
        <v>3406</v>
      </c>
      <c r="B1672" s="7" t="n">
        <v>1952.53</v>
      </c>
      <c r="C1672" s="7" t="n">
        <f aca="false">AVERAGE(B1623:B1672)</f>
        <v>1949.3638</v>
      </c>
      <c r="D1672" s="7" t="n">
        <f aca="false">AVERAGE(B1473:B1672)</f>
        <v>1893.42225</v>
      </c>
      <c r="E1672" s="7" t="n">
        <f aca="false">B1672/MAX(B1421:B1672)-1</f>
        <v>-0.0364728291980024</v>
      </c>
      <c r="F1672" s="7" t="str">
        <f aca="false">IFERROR(INDEX(02_轉折點45個!B:B,MATCH(A1672,02_轉折點45個!A:A,0)),"")</f>
        <v/>
      </c>
      <c r="G1672" s="7" t="s">
        <v>1994</v>
      </c>
    </row>
    <row r="1673" customFormat="false" ht="15" hidden="false" customHeight="false" outlineLevel="0" collapsed="false">
      <c r="A1673" s="7" t="s">
        <v>3407</v>
      </c>
      <c r="B1673" s="7" t="n">
        <v>1944.91</v>
      </c>
      <c r="C1673" s="7" t="n">
        <f aca="false">AVERAGE(B1624:B1673)</f>
        <v>1950.4576</v>
      </c>
      <c r="D1673" s="7" t="n">
        <f aca="false">AVERAGE(B1474:B1673)</f>
        <v>1893.8318</v>
      </c>
      <c r="E1673" s="7" t="n">
        <f aca="false">B1673/MAX(B1422:B1673)-1</f>
        <v>-0.0402331181776909</v>
      </c>
      <c r="F1673" s="7" t="str">
        <f aca="false">IFERROR(INDEX(02_轉折點45個!B:B,MATCH(A1673,02_轉折點45個!A:A,0)),"")</f>
        <v/>
      </c>
      <c r="G1673" s="7" t="s">
        <v>1994</v>
      </c>
    </row>
    <row r="1674" customFormat="false" ht="15" hidden="false" customHeight="false" outlineLevel="0" collapsed="false">
      <c r="A1674" s="7" t="s">
        <v>3408</v>
      </c>
      <c r="B1674" s="7" t="n">
        <v>1949.9</v>
      </c>
      <c r="C1674" s="7" t="n">
        <f aca="false">AVERAGE(B1625:B1674)</f>
        <v>1951.5438</v>
      </c>
      <c r="D1674" s="7" t="n">
        <f aca="false">AVERAGE(B1475:B1674)</f>
        <v>1894.24765</v>
      </c>
      <c r="E1674" s="7" t="n">
        <f aca="false">B1674/MAX(B1423:B1674)-1</f>
        <v>-0.0377706717198634</v>
      </c>
      <c r="F1674" s="7" t="str">
        <f aca="false">IFERROR(INDEX(02_轉折點45個!B:B,MATCH(A1674,02_轉折點45個!A:A,0)),"")</f>
        <v/>
      </c>
      <c r="G1674" s="7" t="s">
        <v>1994</v>
      </c>
    </row>
    <row r="1675" customFormat="false" ht="15" hidden="false" customHeight="false" outlineLevel="0" collapsed="false">
      <c r="A1675" s="7" t="s">
        <v>3409</v>
      </c>
      <c r="B1675" s="7" t="n">
        <v>1937.48</v>
      </c>
      <c r="C1675" s="7" t="n">
        <f aca="false">AVERAGE(B1626:B1675)</f>
        <v>1952.1216</v>
      </c>
      <c r="D1675" s="7" t="n">
        <f aca="false">AVERAGE(B1476:B1675)</f>
        <v>1894.64145</v>
      </c>
      <c r="E1675" s="7" t="n">
        <f aca="false">B1675/MAX(B1424:B1675)-1</f>
        <v>-0.0438996466710093</v>
      </c>
      <c r="F1675" s="7" t="str">
        <f aca="false">IFERROR(INDEX(02_轉折點45個!B:B,MATCH(A1675,02_轉折點45個!A:A,0)),"")</f>
        <v/>
      </c>
      <c r="G1675" s="7" t="s">
        <v>1994</v>
      </c>
    </row>
    <row r="1676" customFormat="false" ht="15" hidden="false" customHeight="false" outlineLevel="0" collapsed="false">
      <c r="A1676" s="7" t="s">
        <v>3410</v>
      </c>
      <c r="B1676" s="7" t="n">
        <v>1952.9</v>
      </c>
      <c r="C1676" s="7" t="n">
        <f aca="false">AVERAGE(B1627:B1676)</f>
        <v>1952.9902</v>
      </c>
      <c r="D1676" s="7" t="n">
        <f aca="false">AVERAGE(B1477:B1676)</f>
        <v>1894.99035</v>
      </c>
      <c r="E1676" s="7" t="n">
        <f aca="false">B1676/MAX(B1425:B1676)-1</f>
        <v>-0.0362902429877026</v>
      </c>
      <c r="F1676" s="7" t="str">
        <f aca="false">IFERROR(INDEX(02_轉折點45個!B:B,MATCH(A1676,02_轉折點45個!A:A,0)),"")</f>
        <v/>
      </c>
      <c r="G1676" s="7" t="s">
        <v>1994</v>
      </c>
    </row>
    <row r="1677" customFormat="false" ht="15" hidden="false" customHeight="false" outlineLevel="0" collapsed="false">
      <c r="A1677" s="7" t="s">
        <v>3411</v>
      </c>
      <c r="B1677" s="7" t="n">
        <v>1945.69</v>
      </c>
      <c r="C1677" s="7" t="n">
        <f aca="false">AVERAGE(B1628:B1677)</f>
        <v>1953.7508</v>
      </c>
      <c r="D1677" s="7" t="n">
        <f aca="false">AVERAGE(B1478:B1677)</f>
        <v>1895.19325</v>
      </c>
      <c r="E1677" s="7" t="n">
        <f aca="false">B1677/MAX(B1426:B1677)-1</f>
        <v>-0.0398482067073291</v>
      </c>
      <c r="F1677" s="7" t="str">
        <f aca="false">IFERROR(INDEX(02_轉折點45個!B:B,MATCH(A1677,02_轉折點45個!A:A,0)),"")</f>
        <v/>
      </c>
      <c r="G1677" s="7" t="s">
        <v>1994</v>
      </c>
    </row>
    <row r="1678" customFormat="false" ht="15" hidden="false" customHeight="false" outlineLevel="0" collapsed="false">
      <c r="A1678" s="7" t="s">
        <v>3412</v>
      </c>
      <c r="B1678" s="7" t="n">
        <v>1966.09</v>
      </c>
      <c r="C1678" s="7" t="n">
        <f aca="false">AVERAGE(B1629:B1678)</f>
        <v>1954.8658</v>
      </c>
      <c r="D1678" s="7" t="n">
        <f aca="false">AVERAGE(B1479:B1678)</f>
        <v>1895.4582</v>
      </c>
      <c r="E1678" s="7" t="n">
        <f aca="false">B1678/MAX(B1427:B1678)-1</f>
        <v>-0.0297812913286355</v>
      </c>
      <c r="F1678" s="7" t="str">
        <f aca="false">IFERROR(INDEX(02_轉折點45個!B:B,MATCH(A1678,02_轉折點45個!A:A,0)),"")</f>
        <v/>
      </c>
      <c r="G1678" s="7" t="s">
        <v>1994</v>
      </c>
    </row>
    <row r="1679" customFormat="false" ht="15" hidden="false" customHeight="false" outlineLevel="0" collapsed="false">
      <c r="A1679" s="7" t="s">
        <v>3413</v>
      </c>
      <c r="B1679" s="7" t="n">
        <v>1962.26</v>
      </c>
      <c r="C1679" s="7" t="n">
        <f aca="false">AVERAGE(B1630:B1679)</f>
        <v>1955.8866</v>
      </c>
      <c r="D1679" s="7" t="n">
        <f aca="false">AVERAGE(B1480:B1679)</f>
        <v>1895.77465</v>
      </c>
      <c r="E1679" s="7" t="n">
        <f aca="false">B1679/MAX(B1428:B1679)-1</f>
        <v>-0.0316713053433608</v>
      </c>
      <c r="F1679" s="7" t="str">
        <f aca="false">IFERROR(INDEX(02_轉折點45個!B:B,MATCH(A1679,02_轉折點45個!A:A,0)),"")</f>
        <v/>
      </c>
      <c r="G1679" s="7" t="s">
        <v>1994</v>
      </c>
    </row>
    <row r="1680" customFormat="false" ht="15" hidden="false" customHeight="false" outlineLevel="0" collapsed="false">
      <c r="A1680" s="7" t="s">
        <v>3414</v>
      </c>
      <c r="B1680" s="7" t="n">
        <v>1956.02</v>
      </c>
      <c r="C1680" s="7" t="n">
        <f aca="false">AVERAGE(B1631:B1680)</f>
        <v>1957.173</v>
      </c>
      <c r="D1680" s="7" t="n">
        <f aca="false">AVERAGE(B1481:B1680)</f>
        <v>1895.9637</v>
      </c>
      <c r="E1680" s="7" t="n">
        <f aca="false">B1680/MAX(B1429:B1680)-1</f>
        <v>-0.0347505971062554</v>
      </c>
      <c r="F1680" s="7" t="str">
        <f aca="false">IFERROR(INDEX(02_轉折點45個!B:B,MATCH(A1680,02_轉折點45個!A:A,0)),"")</f>
        <v/>
      </c>
      <c r="G1680" s="7" t="s">
        <v>1994</v>
      </c>
    </row>
    <row r="1681" customFormat="false" ht="15" hidden="false" customHeight="false" outlineLevel="0" collapsed="false">
      <c r="A1681" s="7" t="s">
        <v>3415</v>
      </c>
      <c r="B1681" s="7" t="n">
        <v>1979.58</v>
      </c>
      <c r="C1681" s="7" t="n">
        <f aca="false">AVERAGE(B1632:B1681)</f>
        <v>1959.2484</v>
      </c>
      <c r="D1681" s="7" t="n">
        <f aca="false">AVERAGE(B1482:B1681)</f>
        <v>1896.24955</v>
      </c>
      <c r="E1681" s="7" t="n">
        <f aca="false">B1681/MAX(B1430:B1681)-1</f>
        <v>-0.0231242967963523</v>
      </c>
      <c r="F1681" s="7" t="str">
        <f aca="false">IFERROR(INDEX(02_轉折點45個!B:B,MATCH(A1681,02_轉折點45個!A:A,0)),"")</f>
        <v/>
      </c>
      <c r="G1681" s="7" t="s">
        <v>1994</v>
      </c>
    </row>
    <row r="1682" customFormat="false" ht="15" hidden="false" customHeight="false" outlineLevel="0" collapsed="false">
      <c r="A1682" s="7" t="s">
        <v>3416</v>
      </c>
      <c r="B1682" s="7" t="n">
        <v>1984.31</v>
      </c>
      <c r="C1682" s="7" t="n">
        <f aca="false">AVERAGE(B1633:B1682)</f>
        <v>1961.5658</v>
      </c>
      <c r="D1682" s="7" t="n">
        <f aca="false">AVERAGE(B1483:B1682)</f>
        <v>1896.71275</v>
      </c>
      <c r="E1682" s="7" t="n">
        <f aca="false">B1682/MAX(B1431:B1682)-1</f>
        <v>-0.0207901541619787</v>
      </c>
      <c r="F1682" s="7" t="str">
        <f aca="false">IFERROR(INDEX(02_轉折點45個!B:B,MATCH(A1682,02_轉折點45個!A:A,0)),"")</f>
        <v/>
      </c>
      <c r="G1682" s="7" t="s">
        <v>1994</v>
      </c>
    </row>
    <row r="1683" customFormat="false" ht="15" hidden="false" customHeight="false" outlineLevel="0" collapsed="false">
      <c r="A1683" s="7" t="s">
        <v>3417</v>
      </c>
      <c r="B1683" s="7" t="n">
        <v>1978.83</v>
      </c>
      <c r="C1683" s="7" t="n">
        <f aca="false">AVERAGE(B1634:B1683)</f>
        <v>1963.3226</v>
      </c>
      <c r="D1683" s="7" t="n">
        <f aca="false">AVERAGE(B1484:B1683)</f>
        <v>1897.08205</v>
      </c>
      <c r="E1683" s="7" t="n">
        <f aca="false">B1683/MAX(B1432:B1683)-1</f>
        <v>-0.0234944039793925</v>
      </c>
      <c r="F1683" s="7" t="str">
        <f aca="false">IFERROR(INDEX(02_轉折點45個!B:B,MATCH(A1683,02_轉折點45個!A:A,0)),"")</f>
        <v/>
      </c>
      <c r="G1683" s="7" t="s">
        <v>1994</v>
      </c>
    </row>
    <row r="1684" customFormat="false" ht="15" hidden="false" customHeight="false" outlineLevel="0" collapsed="false">
      <c r="A1684" s="7" t="s">
        <v>3418</v>
      </c>
      <c r="B1684" s="7" t="n">
        <v>1987.49</v>
      </c>
      <c r="C1684" s="7" t="n">
        <f aca="false">AVERAGE(B1635:B1684)</f>
        <v>1965.2708</v>
      </c>
      <c r="D1684" s="7" t="n">
        <f aca="false">AVERAGE(B1485:B1684)</f>
        <v>1897.4988</v>
      </c>
      <c r="E1684" s="7" t="n">
        <f aca="false">B1684/MAX(B1433:B1684)-1</f>
        <v>-0.0192208997058881</v>
      </c>
      <c r="F1684" s="7" t="str">
        <f aca="false">IFERROR(INDEX(02_轉折點45個!B:B,MATCH(A1684,02_轉折點45個!A:A,0)),"")</f>
        <v/>
      </c>
      <c r="G1684" s="7" t="s">
        <v>1994</v>
      </c>
    </row>
    <row r="1685" customFormat="false" ht="15" hidden="false" customHeight="false" outlineLevel="0" collapsed="false">
      <c r="A1685" s="7" t="s">
        <v>3419</v>
      </c>
      <c r="B1685" s="7" t="n">
        <v>1994.17</v>
      </c>
      <c r="C1685" s="7" t="n">
        <f aca="false">AVERAGE(B1636:B1685)</f>
        <v>1967.5706</v>
      </c>
      <c r="D1685" s="7" t="n">
        <f aca="false">AVERAGE(B1486:B1685)</f>
        <v>1897.86555</v>
      </c>
      <c r="E1685" s="7" t="n">
        <f aca="false">B1685/MAX(B1434:B1685)-1</f>
        <v>-0.0159244783956101</v>
      </c>
      <c r="F1685" s="7" t="str">
        <f aca="false">IFERROR(INDEX(02_轉折點45個!B:B,MATCH(A1685,02_轉折點45個!A:A,0)),"")</f>
        <v/>
      </c>
      <c r="G1685" s="7" t="s">
        <v>1994</v>
      </c>
    </row>
    <row r="1686" customFormat="false" ht="15" hidden="false" customHeight="false" outlineLevel="0" collapsed="false">
      <c r="A1686" s="7" t="s">
        <v>618</v>
      </c>
      <c r="B1686" s="7" t="n">
        <v>1984.05</v>
      </c>
      <c r="C1686" s="7" t="n">
        <f aca="false">AVERAGE(B1637:B1686)</f>
        <v>1969.6604</v>
      </c>
      <c r="D1686" s="7" t="n">
        <f aca="false">AVERAGE(B1487:B1686)</f>
        <v>1898.1843</v>
      </c>
      <c r="E1686" s="7" t="n">
        <f aca="false">B1686/MAX(B1435:B1686)-1</f>
        <v>-0.0209184579854327</v>
      </c>
      <c r="F1686" s="7" t="str">
        <f aca="false">IFERROR(INDEX(02_轉折點45個!B:B,MATCH(A1686,02_轉折點45個!A:A,0)),"")</f>
        <v/>
      </c>
      <c r="G1686" s="7" t="s">
        <v>1994</v>
      </c>
    </row>
    <row r="1687" customFormat="false" ht="15" hidden="false" customHeight="false" outlineLevel="0" collapsed="false">
      <c r="A1687" s="7" t="s">
        <v>3420</v>
      </c>
      <c r="B1687" s="7" t="n">
        <v>1963.57</v>
      </c>
      <c r="C1687" s="7" t="n">
        <f aca="false">AVERAGE(B1638:B1687)</f>
        <v>1970.95</v>
      </c>
      <c r="D1687" s="7" t="n">
        <f aca="false">AVERAGE(B1488:B1687)</f>
        <v>1898.37825</v>
      </c>
      <c r="E1687" s="7" t="n">
        <f aca="false">B1687/MAX(B1436:B1687)-1</f>
        <v>-0.0310248514636506</v>
      </c>
      <c r="F1687" s="7" t="str">
        <f aca="false">IFERROR(INDEX(02_轉折點45個!B:B,MATCH(A1687,02_轉折點45個!A:A,0)),"")</f>
        <v/>
      </c>
      <c r="G1687" s="7" t="s">
        <v>1994</v>
      </c>
    </row>
    <row r="1688" customFormat="false" ht="15" hidden="false" customHeight="false" outlineLevel="0" collapsed="false">
      <c r="A1688" s="7" t="s">
        <v>3421</v>
      </c>
      <c r="B1688" s="7" t="n">
        <v>1960.66</v>
      </c>
      <c r="C1688" s="7" t="n">
        <f aca="false">AVERAGE(B1639:B1688)</f>
        <v>1972.366</v>
      </c>
      <c r="D1688" s="7" t="n">
        <f aca="false">AVERAGE(B1489:B1688)</f>
        <v>1898.6036</v>
      </c>
      <c r="E1688" s="7" t="n">
        <f aca="false">B1688/MAX(B1437:B1688)-1</f>
        <v>-0.0324608673338466</v>
      </c>
      <c r="F1688" s="7" t="str">
        <f aca="false">IFERROR(INDEX(02_轉折點45個!B:B,MATCH(A1688,02_轉折點45個!A:A,0)),"")</f>
        <v/>
      </c>
      <c r="G1688" s="7" t="s">
        <v>1994</v>
      </c>
    </row>
    <row r="1689" customFormat="false" ht="15" hidden="false" customHeight="false" outlineLevel="0" collapsed="false">
      <c r="A1689" s="7" t="s">
        <v>619</v>
      </c>
      <c r="B1689" s="7" t="n">
        <v>1973.64</v>
      </c>
      <c r="C1689" s="7" t="n">
        <f aca="false">AVERAGE(B1640:B1689)</f>
        <v>1973.9134</v>
      </c>
      <c r="D1689" s="7" t="n">
        <f aca="false">AVERAGE(B1490:B1689)</f>
        <v>1898.70465</v>
      </c>
      <c r="E1689" s="7" t="n">
        <f aca="false">B1689/MAX(B1438:B1689)-1</f>
        <v>-0.0260555456860306</v>
      </c>
      <c r="F1689" s="7" t="str">
        <f aca="false">IFERROR(INDEX(02_轉折點45個!B:B,MATCH(A1689,02_轉折點45個!A:A,0)),"")</f>
        <v/>
      </c>
      <c r="G1689" s="7" t="s">
        <v>1994</v>
      </c>
    </row>
    <row r="1690" customFormat="false" ht="15" hidden="false" customHeight="false" outlineLevel="0" collapsed="false">
      <c r="A1690" s="7" t="s">
        <v>3422</v>
      </c>
      <c r="B1690" s="7" t="n">
        <v>1959.85</v>
      </c>
      <c r="C1690" s="7" t="n">
        <f aca="false">AVERAGE(B1641:B1690)</f>
        <v>1974.505</v>
      </c>
      <c r="D1690" s="7" t="n">
        <f aca="false">AVERAGE(B1491:B1690)</f>
        <v>1898.71235</v>
      </c>
      <c r="E1690" s="7" t="n">
        <f aca="false">B1690/MAX(B1439:B1690)-1</f>
        <v>-0.0328605830915301</v>
      </c>
      <c r="F1690" s="7" t="str">
        <f aca="false">IFERROR(INDEX(02_轉折點45個!B:B,MATCH(A1690,02_轉折點45個!A:A,0)),"")</f>
        <v/>
      </c>
      <c r="G1690" s="7" t="s">
        <v>1994</v>
      </c>
    </row>
    <row r="1691" customFormat="false" ht="15" hidden="false" customHeight="false" outlineLevel="0" collapsed="false">
      <c r="A1691" s="7" t="s">
        <v>620</v>
      </c>
      <c r="B1691" s="7" t="n">
        <v>1947.12</v>
      </c>
      <c r="C1691" s="7" t="n">
        <f aca="false">AVERAGE(B1642:B1691)</f>
        <v>1974.43</v>
      </c>
      <c r="D1691" s="7" t="n">
        <f aca="false">AVERAGE(B1492:B1691)</f>
        <v>1898.63635</v>
      </c>
      <c r="E1691" s="7" t="n">
        <f aca="false">B1691/MAX(B1440:B1691)-1</f>
        <v>-0.0391425356783325</v>
      </c>
      <c r="F1691" s="7" t="str">
        <f aca="false">IFERROR(INDEX(02_轉折點45個!B:B,MATCH(A1691,02_轉折點45個!A:A,0)),"")</f>
        <v/>
      </c>
      <c r="G1691" s="7" t="s">
        <v>1994</v>
      </c>
    </row>
    <row r="1692" customFormat="false" ht="15" hidden="false" customHeight="false" outlineLevel="0" collapsed="false">
      <c r="A1692" s="7" t="s">
        <v>3423</v>
      </c>
      <c r="B1692" s="7" t="n">
        <v>1924.57</v>
      </c>
      <c r="C1692" s="7" t="n">
        <f aca="false">AVERAGE(B1643:B1692)</f>
        <v>1973.763</v>
      </c>
      <c r="D1692" s="7" t="n">
        <f aca="false">AVERAGE(B1493:B1692)</f>
        <v>1898.4326</v>
      </c>
      <c r="E1692" s="7" t="n">
        <f aca="false">B1692/MAX(B1441:B1692)-1</f>
        <v>-0.0502704249817414</v>
      </c>
      <c r="F1692" s="7" t="str">
        <f aca="false">IFERROR(INDEX(02_轉折點45個!B:B,MATCH(A1692,02_轉折點45個!A:A,0)),"")</f>
        <v/>
      </c>
      <c r="G1692" s="7" t="s">
        <v>1994</v>
      </c>
    </row>
    <row r="1693" customFormat="false" ht="15" hidden="false" customHeight="false" outlineLevel="0" collapsed="false">
      <c r="A1693" s="7" t="s">
        <v>3424</v>
      </c>
      <c r="B1693" s="7" t="n">
        <v>1928.35</v>
      </c>
      <c r="C1693" s="7" t="n">
        <f aca="false">AVERAGE(B1644:B1693)</f>
        <v>1973.154</v>
      </c>
      <c r="D1693" s="7" t="n">
        <f aca="false">AVERAGE(B1494:B1693)</f>
        <v>1898.41485</v>
      </c>
      <c r="E1693" s="7" t="n">
        <f aca="false">B1693/MAX(B1442:B1693)-1</f>
        <v>-0.0484050847792188</v>
      </c>
      <c r="F1693" s="7" t="str">
        <f aca="false">IFERROR(INDEX(02_轉折點45個!B:B,MATCH(A1693,02_轉折點45個!A:A,0)),"")</f>
        <v/>
      </c>
      <c r="G1693" s="7" t="s">
        <v>1994</v>
      </c>
    </row>
    <row r="1694" customFormat="false" ht="15" hidden="false" customHeight="false" outlineLevel="0" collapsed="false">
      <c r="A1694" s="7" t="s">
        <v>621</v>
      </c>
      <c r="B1694" s="7" t="n">
        <v>1933.89</v>
      </c>
      <c r="C1694" s="7" t="n">
        <f aca="false">AVERAGE(B1645:B1694)</f>
        <v>1972.4966</v>
      </c>
      <c r="D1694" s="7" t="n">
        <f aca="false">AVERAGE(B1495:B1694)</f>
        <v>1898.3725</v>
      </c>
      <c r="E1694" s="7" t="n">
        <f aca="false">B1694/MAX(B1443:B1694)-1</f>
        <v>-0.0456712263871617</v>
      </c>
      <c r="F1694" s="7" t="str">
        <f aca="false">IFERROR(INDEX(02_轉折點45個!B:B,MATCH(A1694,02_轉折點45個!A:A,0)),"")</f>
        <v/>
      </c>
      <c r="G1694" s="7" t="s">
        <v>1994</v>
      </c>
    </row>
    <row r="1695" customFormat="false" ht="15" hidden="false" customHeight="false" outlineLevel="0" collapsed="false">
      <c r="A1695" s="7" t="s">
        <v>3425</v>
      </c>
      <c r="B1695" s="7" t="n">
        <v>1938.11</v>
      </c>
      <c r="C1695" s="7" t="n">
        <f aca="false">AVERAGE(B1646:B1695)</f>
        <v>1971.8512</v>
      </c>
      <c r="D1695" s="7" t="n">
        <f aca="false">AVERAGE(B1496:B1695)</f>
        <v>1898.338</v>
      </c>
      <c r="E1695" s="7" t="n">
        <f aca="false">B1695/MAX(B1444:B1695)-1</f>
        <v>-0.0435887566372556</v>
      </c>
      <c r="F1695" s="7" t="str">
        <f aca="false">IFERROR(INDEX(02_轉折點45個!B:B,MATCH(A1695,02_轉折點45個!A:A,0)),"")</f>
        <v/>
      </c>
      <c r="G1695" s="7" t="s">
        <v>1994</v>
      </c>
    </row>
    <row r="1696" customFormat="false" ht="15" hidden="false" customHeight="false" outlineLevel="0" collapsed="false">
      <c r="A1696" s="7" t="s">
        <v>622</v>
      </c>
      <c r="B1696" s="7" t="n">
        <v>1933.5</v>
      </c>
      <c r="C1696" s="7" t="n">
        <f aca="false">AVERAGE(B1647:B1696)</f>
        <v>1971.3314</v>
      </c>
      <c r="D1696" s="7" t="n">
        <f aca="false">AVERAGE(B1497:B1696)</f>
        <v>1898.28475</v>
      </c>
      <c r="E1696" s="7" t="n">
        <f aca="false">B1696/MAX(B1445:B1696)-1</f>
        <v>-0.0458636821223427</v>
      </c>
      <c r="F1696" s="7" t="str">
        <f aca="false">IFERROR(INDEX(02_轉折點45個!B:B,MATCH(A1696,02_轉折點45個!A:A,0)),"")</f>
        <v/>
      </c>
      <c r="G1696" s="7" t="s">
        <v>1994</v>
      </c>
    </row>
    <row r="1697" customFormat="false" ht="15" hidden="false" customHeight="false" outlineLevel="0" collapsed="false">
      <c r="A1697" s="7" t="s">
        <v>3426</v>
      </c>
      <c r="B1697" s="7" t="n">
        <v>1932.57</v>
      </c>
      <c r="C1697" s="7" t="n">
        <f aca="false">AVERAGE(B1648:B1697)</f>
        <v>1970.2756</v>
      </c>
      <c r="D1697" s="7" t="n">
        <f aca="false">AVERAGE(B1498:B1697)</f>
        <v>1898.13355</v>
      </c>
      <c r="E1697" s="7" t="n">
        <f aca="false">B1697/MAX(B1446:B1697)-1</f>
        <v>-0.0463226150293126</v>
      </c>
      <c r="F1697" s="7" t="str">
        <f aca="false">IFERROR(INDEX(02_轉折點45個!B:B,MATCH(A1697,02_轉折點45個!A:A,0)),"")</f>
        <v/>
      </c>
      <c r="G1697" s="7" t="s">
        <v>1994</v>
      </c>
    </row>
    <row r="1698" customFormat="false" ht="15" hidden="false" customHeight="false" outlineLevel="0" collapsed="false">
      <c r="A1698" s="7" t="s">
        <v>3427</v>
      </c>
      <c r="B1698" s="7" t="n">
        <v>1956.16</v>
      </c>
      <c r="C1698" s="7" t="n">
        <f aca="false">AVERAGE(B1649:B1698)</f>
        <v>1969.4104</v>
      </c>
      <c r="D1698" s="7" t="n">
        <f aca="false">AVERAGE(B1499:B1698)</f>
        <v>1898.0485</v>
      </c>
      <c r="E1698" s="7" t="n">
        <f aca="false">B1698/MAX(B1447:B1698)-1</f>
        <v>-0.0346815104320878</v>
      </c>
      <c r="F1698" s="7" t="str">
        <f aca="false">IFERROR(INDEX(02_轉折點45個!B:B,MATCH(A1698,02_轉折點45個!A:A,0)),"")</f>
        <v/>
      </c>
      <c r="G1698" s="7" t="s">
        <v>1994</v>
      </c>
    </row>
    <row r="1699" customFormat="false" ht="15" hidden="false" customHeight="false" outlineLevel="0" collapsed="false">
      <c r="A1699" s="7" t="s">
        <v>3428</v>
      </c>
      <c r="B1699" s="7" t="n">
        <v>1965.73</v>
      </c>
      <c r="C1699" s="7" t="n">
        <f aca="false">AVERAGE(B1650:B1699)</f>
        <v>1968.9188</v>
      </c>
      <c r="D1699" s="7" t="n">
        <f aca="false">AVERAGE(B1500:B1699)</f>
        <v>1897.9989</v>
      </c>
      <c r="E1699" s="7" t="n">
        <f aca="false">B1699/MAX(B1448:B1699)-1</f>
        <v>-0.0299589427764948</v>
      </c>
      <c r="F1699" s="7" t="str">
        <f aca="false">IFERROR(INDEX(02_轉折點45個!B:B,MATCH(A1699,02_轉折點45個!A:A,0)),"")</f>
        <v/>
      </c>
      <c r="G1699" s="7" t="s">
        <v>1994</v>
      </c>
    </row>
    <row r="1700" customFormat="false" ht="15" hidden="false" customHeight="false" outlineLevel="0" collapsed="false">
      <c r="A1700" s="7" t="s">
        <v>3429</v>
      </c>
      <c r="B1700" s="7" t="n">
        <v>1969.14</v>
      </c>
      <c r="C1700" s="7" t="n">
        <f aca="false">AVERAGE(B1651:B1700)</f>
        <v>1968.4746</v>
      </c>
      <c r="D1700" s="7" t="n">
        <f aca="false">AVERAGE(B1501:B1700)</f>
        <v>1898.0413</v>
      </c>
      <c r="E1700" s="7" t="n">
        <f aca="false">B1700/MAX(B1449:B1700)-1</f>
        <v>-0.0282761887842719</v>
      </c>
      <c r="F1700" s="7" t="str">
        <f aca="false">IFERROR(INDEX(02_轉折點45個!B:B,MATCH(A1700,02_轉折點45個!A:A,0)),"")</f>
        <v/>
      </c>
      <c r="G1700" s="7" t="s">
        <v>1994</v>
      </c>
    </row>
    <row r="1701" customFormat="false" ht="15" hidden="false" customHeight="false" outlineLevel="0" collapsed="false">
      <c r="A1701" s="7" t="s">
        <v>623</v>
      </c>
      <c r="B1701" s="7" t="n">
        <v>1954.46</v>
      </c>
      <c r="C1701" s="7" t="n">
        <f aca="false">AVERAGE(B1652:B1701)</f>
        <v>1967.9744</v>
      </c>
      <c r="D1701" s="7" t="n">
        <f aca="false">AVERAGE(B1502:B1701)</f>
        <v>1898.0603</v>
      </c>
      <c r="E1701" s="7" t="n">
        <f aca="false">B1701/MAX(B1450:B1701)-1</f>
        <v>-0.035520420046979</v>
      </c>
      <c r="F1701" s="7" t="str">
        <f aca="false">IFERROR(INDEX(02_轉折點45個!B:B,MATCH(A1701,02_轉折點45個!A:A,0)),"")</f>
        <v/>
      </c>
      <c r="G1701" s="7" t="s">
        <v>1994</v>
      </c>
    </row>
    <row r="1702" customFormat="false" ht="15" hidden="false" customHeight="false" outlineLevel="0" collapsed="false">
      <c r="A1702" s="7" t="s">
        <v>3430</v>
      </c>
      <c r="B1702" s="7" t="n">
        <v>1921.26</v>
      </c>
      <c r="C1702" s="7" t="n">
        <f aca="false">AVERAGE(B1653:B1702)</f>
        <v>1966.6412</v>
      </c>
      <c r="D1702" s="7" t="n">
        <f aca="false">AVERAGE(B1503:B1702)</f>
        <v>1897.94685</v>
      </c>
      <c r="E1702" s="7" t="n">
        <f aca="false">B1702/MAX(B1451:B1702)-1</f>
        <v>-0.0519038313495589</v>
      </c>
      <c r="F1702" s="7" t="str">
        <f aca="false">IFERROR(INDEX(02_轉折點45個!B:B,MATCH(A1702,02_轉折點45個!A:A,0)),"")</f>
        <v/>
      </c>
      <c r="G1702" s="7" t="s">
        <v>1994</v>
      </c>
    </row>
    <row r="1703" customFormat="false" ht="15" hidden="false" customHeight="false" outlineLevel="0" collapsed="false">
      <c r="A1703" s="7" t="s">
        <v>624</v>
      </c>
      <c r="B1703" s="7" t="n">
        <v>1903.96</v>
      </c>
      <c r="C1703" s="7" t="n">
        <f aca="false">AVERAGE(B1654:B1703)</f>
        <v>1964.775</v>
      </c>
      <c r="D1703" s="7" t="n">
        <f aca="false">AVERAGE(B1504:B1703)</f>
        <v>1897.6416</v>
      </c>
      <c r="E1703" s="7" t="n">
        <f aca="false">B1703/MAX(B1452:B1703)-1</f>
        <v>-0.0604409703716863</v>
      </c>
      <c r="F1703" s="7" t="str">
        <f aca="false">IFERROR(INDEX(02_轉折點45個!B:B,MATCH(A1703,02_轉折點45個!A:A,0)),"")</f>
        <v/>
      </c>
      <c r="G1703" s="7" t="s">
        <v>1994</v>
      </c>
    </row>
    <row r="1704" customFormat="false" ht="15" hidden="false" customHeight="false" outlineLevel="0" collapsed="false">
      <c r="A1704" s="7" t="s">
        <v>625</v>
      </c>
      <c r="B1704" s="7" t="n">
        <v>1909.69</v>
      </c>
      <c r="C1704" s="7" t="n">
        <f aca="false">AVERAGE(B1655:B1704)</f>
        <v>1962.8002</v>
      </c>
      <c r="D1704" s="7" t="n">
        <f aca="false">AVERAGE(B1505:B1704)</f>
        <v>1897.33705</v>
      </c>
      <c r="E1704" s="7" t="n">
        <f aca="false">B1704/MAX(B1453:B1704)-1</f>
        <v>-0.0576133514932591</v>
      </c>
      <c r="F1704" s="7" t="str">
        <f aca="false">IFERROR(INDEX(02_轉折點45個!B:B,MATCH(A1704,02_轉折點45個!A:A,0)),"")</f>
        <v/>
      </c>
      <c r="G1704" s="7" t="s">
        <v>1994</v>
      </c>
    </row>
    <row r="1705" customFormat="false" ht="15" hidden="false" customHeight="false" outlineLevel="0" collapsed="false">
      <c r="A1705" s="7" t="s">
        <v>626</v>
      </c>
      <c r="B1705" s="7" t="n">
        <v>1899.24</v>
      </c>
      <c r="C1705" s="7" t="n">
        <f aca="false">AVERAGE(B1656:B1705)</f>
        <v>1960.865</v>
      </c>
      <c r="D1705" s="7" t="n">
        <f aca="false">AVERAGE(B1506:B1705)</f>
        <v>1896.96385</v>
      </c>
      <c r="E1705" s="7" t="n">
        <f aca="false">B1705/MAX(B1454:B1705)-1</f>
        <v>-0.0627701782436194</v>
      </c>
      <c r="F1705" s="7" t="str">
        <f aca="false">IFERROR(INDEX(02_轉折點45個!B:B,MATCH(A1705,02_轉折點45個!A:A,0)),"")</f>
        <v/>
      </c>
      <c r="G1705" s="7" t="s">
        <v>1994</v>
      </c>
    </row>
    <row r="1706" customFormat="false" ht="15" hidden="false" customHeight="false" outlineLevel="0" collapsed="false">
      <c r="A1706" s="7" t="s">
        <v>627</v>
      </c>
      <c r="B1706" s="7" t="n">
        <v>1882.96</v>
      </c>
      <c r="C1706" s="7" t="n">
        <f aca="false">AVERAGE(B1657:B1706)</f>
        <v>1958.4114</v>
      </c>
      <c r="D1706" s="7" t="n">
        <f aca="false">AVERAGE(B1507:B1706)</f>
        <v>1896.53845</v>
      </c>
      <c r="E1706" s="7" t="n">
        <f aca="false">B1706/MAX(B1455:B1706)-1</f>
        <v>-0.0708039714968122</v>
      </c>
      <c r="F1706" s="7" t="str">
        <f aca="false">IFERROR(INDEX(02_轉折點45個!B:B,MATCH(A1706,02_轉折點45個!A:A,0)),"")</f>
        <v/>
      </c>
      <c r="G1706" s="7" t="s">
        <v>1994</v>
      </c>
    </row>
    <row r="1707" customFormat="false" ht="15" hidden="false" customHeight="false" outlineLevel="0" collapsed="false">
      <c r="A1707" s="7" t="s">
        <v>3431</v>
      </c>
      <c r="B1707" s="7" t="n">
        <v>1861.38</v>
      </c>
      <c r="C1707" s="7" t="n">
        <f aca="false">AVERAGE(B1658:B1707)</f>
        <v>1955.1102</v>
      </c>
      <c r="D1707" s="7" t="n">
        <f aca="false">AVERAGE(B1508:B1707)</f>
        <v>1895.90025</v>
      </c>
      <c r="E1707" s="7" t="n">
        <f aca="false">B1707/MAX(B1456:B1707)-1</f>
        <v>-0.0814531888434891</v>
      </c>
      <c r="F1707" s="7" t="str">
        <f aca="false">IFERROR(INDEX(02_轉折點45個!B:B,MATCH(A1707,02_轉折點45個!A:A,0)),"")</f>
        <v/>
      </c>
      <c r="G1707" s="7" t="s">
        <v>1994</v>
      </c>
    </row>
    <row r="1708" customFormat="false" ht="15" hidden="false" customHeight="false" outlineLevel="0" collapsed="false">
      <c r="A1708" s="7" t="s">
        <v>628</v>
      </c>
      <c r="B1708" s="7" t="n">
        <v>1870.28</v>
      </c>
      <c r="C1708" s="7" t="n">
        <f aca="false">AVERAGE(B1659:B1708)</f>
        <v>1952.0114</v>
      </c>
      <c r="D1708" s="7" t="n">
        <f aca="false">AVERAGE(B1509:B1708)</f>
        <v>1895.3074</v>
      </c>
      <c r="E1708" s="7" t="n">
        <f aca="false">B1708/MAX(B1457:B1708)-1</f>
        <v>-0.077061250271412</v>
      </c>
      <c r="F1708" s="7" t="str">
        <f aca="false">IFERROR(INDEX(02_轉折點45個!B:B,MATCH(A1708,02_轉折點45個!A:A,0)),"")</f>
        <v/>
      </c>
      <c r="G1708" s="7" t="s">
        <v>1994</v>
      </c>
    </row>
    <row r="1709" customFormat="false" ht="15" hidden="false" customHeight="false" outlineLevel="0" collapsed="false">
      <c r="A1709" s="7" t="s">
        <v>3432</v>
      </c>
      <c r="B1709" s="7" t="n">
        <v>1886.37</v>
      </c>
      <c r="C1709" s="7" t="n">
        <f aca="false">AVERAGE(B1660:B1709)</f>
        <v>1949.7002</v>
      </c>
      <c r="D1709" s="7" t="n">
        <f aca="false">AVERAGE(B1510:B1709)</f>
        <v>1894.7889</v>
      </c>
      <c r="E1709" s="7" t="n">
        <f aca="false">B1709/MAX(B1458:B1709)-1</f>
        <v>-0.0691212175045894</v>
      </c>
      <c r="F1709" s="7" t="str">
        <f aca="false">IFERROR(INDEX(02_轉折點45個!B:B,MATCH(A1709,02_轉折點45個!A:A,0)),"")</f>
        <v/>
      </c>
      <c r="G1709" s="7" t="s">
        <v>1994</v>
      </c>
    </row>
    <row r="1710" customFormat="false" ht="15" hidden="false" customHeight="false" outlineLevel="0" collapsed="false">
      <c r="A1710" s="7" t="s">
        <v>3433</v>
      </c>
      <c r="B1710" s="7" t="n">
        <v>1891.37</v>
      </c>
      <c r="C1710" s="7" t="n">
        <f aca="false">AVERAGE(B1661:B1710)</f>
        <v>1947.734</v>
      </c>
      <c r="D1710" s="7" t="n">
        <f aca="false">AVERAGE(B1511:B1710)</f>
        <v>1894.30865</v>
      </c>
      <c r="E1710" s="7" t="n">
        <f aca="false">B1710/MAX(B1459:B1710)-1</f>
        <v>-0.0666538362843213</v>
      </c>
      <c r="F1710" s="7" t="str">
        <f aca="false">IFERROR(INDEX(02_轉折點45個!B:B,MATCH(A1710,02_轉折點45個!A:A,0)),"")</f>
        <v/>
      </c>
      <c r="G1710" s="7" t="s">
        <v>1994</v>
      </c>
    </row>
    <row r="1711" customFormat="false" ht="15" hidden="false" customHeight="false" outlineLevel="0" collapsed="false">
      <c r="A1711" s="7" t="s">
        <v>3434</v>
      </c>
      <c r="B1711" s="7" t="n">
        <v>1878.31</v>
      </c>
      <c r="C1711" s="7" t="n">
        <f aca="false">AVERAGE(B1662:B1711)</f>
        <v>1945.7536</v>
      </c>
      <c r="D1711" s="7" t="n">
        <f aca="false">AVERAGE(B1512:B1711)</f>
        <v>1893.86945</v>
      </c>
      <c r="E1711" s="7" t="n">
        <f aca="false">B1711/MAX(B1460:B1711)-1</f>
        <v>-0.0730986360316615</v>
      </c>
      <c r="F1711" s="7" t="str">
        <f aca="false">IFERROR(INDEX(02_轉折點45個!B:B,MATCH(A1711,02_轉折點45個!A:A,0)),"")</f>
        <v/>
      </c>
      <c r="G1711" s="7" t="s">
        <v>1994</v>
      </c>
    </row>
    <row r="1712" customFormat="false" ht="15" hidden="false" customHeight="false" outlineLevel="0" collapsed="false">
      <c r="A1712" s="7" t="s">
        <v>629</v>
      </c>
      <c r="B1712" s="7" t="n">
        <v>1910.5</v>
      </c>
      <c r="C1712" s="7" t="n">
        <f aca="false">AVERAGE(B1663:B1712)</f>
        <v>1944.238</v>
      </c>
      <c r="D1712" s="7" t="n">
        <f aca="false">AVERAGE(B1513:B1712)</f>
        <v>1893.79355</v>
      </c>
      <c r="E1712" s="7" t="n">
        <f aca="false">B1712/MAX(B1461:B1712)-1</f>
        <v>-0.0572136357355757</v>
      </c>
      <c r="F1712" s="7" t="str">
        <f aca="false">IFERROR(INDEX(02_轉折點45個!B:B,MATCH(A1712,02_轉折點45個!A:A,0)),"")</f>
        <v/>
      </c>
      <c r="G1712" s="7" t="s">
        <v>1994</v>
      </c>
    </row>
    <row r="1713" customFormat="false" ht="15" hidden="false" customHeight="false" outlineLevel="0" collapsed="false">
      <c r="A1713" s="7" t="s">
        <v>630</v>
      </c>
      <c r="B1713" s="7" t="n">
        <v>1889.37</v>
      </c>
      <c r="C1713" s="7" t="n">
        <f aca="false">AVERAGE(B1664:B1713)</f>
        <v>1942.599</v>
      </c>
      <c r="D1713" s="7" t="n">
        <f aca="false">AVERAGE(B1514:B1713)</f>
        <v>1893.6879</v>
      </c>
      <c r="E1713" s="7" t="n">
        <f aca="false">B1713/MAX(B1462:B1713)-1</f>
        <v>-0.0676407887724286</v>
      </c>
      <c r="F1713" s="7" t="str">
        <f aca="false">IFERROR(INDEX(02_轉折點45個!B:B,MATCH(A1713,02_轉折點45個!A:A,0)),"")</f>
        <v/>
      </c>
      <c r="G1713" s="7" t="s">
        <v>1994</v>
      </c>
    </row>
    <row r="1714" customFormat="false" ht="15" hidden="false" customHeight="false" outlineLevel="0" collapsed="false">
      <c r="A1714" s="7" t="s">
        <v>631</v>
      </c>
      <c r="B1714" s="7" t="n">
        <v>1902.25</v>
      </c>
      <c r="C1714" s="7" t="n">
        <f aca="false">AVERAGE(B1665:B1714)</f>
        <v>1940.9118</v>
      </c>
      <c r="D1714" s="7" t="n">
        <f aca="false">AVERAGE(B1515:B1714)</f>
        <v>1893.6523</v>
      </c>
      <c r="E1714" s="7" t="n">
        <f aca="false">B1714/MAX(B1463:B1714)-1</f>
        <v>-0.061284814749018</v>
      </c>
      <c r="F1714" s="7" t="str">
        <f aca="false">IFERROR(INDEX(02_轉折點45個!B:B,MATCH(A1714,02_轉折點45個!A:A,0)),"")</f>
        <v/>
      </c>
      <c r="G1714" s="7" t="s">
        <v>1994</v>
      </c>
    </row>
    <row r="1715" customFormat="false" ht="15" hidden="false" customHeight="false" outlineLevel="0" collapsed="false">
      <c r="A1715" s="7" t="s">
        <v>632</v>
      </c>
      <c r="B1715" s="7" t="n">
        <v>1932.96</v>
      </c>
      <c r="C1715" s="7" t="n">
        <f aca="false">AVERAGE(B1666:B1715)</f>
        <v>1940.1614</v>
      </c>
      <c r="D1715" s="7" t="n">
        <f aca="false">AVERAGE(B1516:B1715)</f>
        <v>1893.7766</v>
      </c>
      <c r="E1715" s="7" t="n">
        <f aca="false">B1715/MAX(B1464:B1715)-1</f>
        <v>-0.0461301592941316</v>
      </c>
      <c r="F1715" s="7" t="str">
        <f aca="false">IFERROR(INDEX(02_轉折點45個!B:B,MATCH(A1715,02_轉折點45個!A:A,0)),"")</f>
        <v/>
      </c>
      <c r="G1715" s="7" t="s">
        <v>1994</v>
      </c>
    </row>
    <row r="1716" customFormat="false" ht="15" hidden="false" customHeight="false" outlineLevel="0" collapsed="false">
      <c r="A1716" s="7" t="s">
        <v>3435</v>
      </c>
      <c r="B1716" s="7" t="n">
        <v>1927.14</v>
      </c>
      <c r="C1716" s="7" t="n">
        <f aca="false">AVERAGE(B1667:B1716)</f>
        <v>1939.1092</v>
      </c>
      <c r="D1716" s="7" t="n">
        <f aca="false">AVERAGE(B1517:B1716)</f>
        <v>1893.8333</v>
      </c>
      <c r="E1716" s="7" t="n">
        <f aca="false">B1716/MAX(B1465:B1716)-1</f>
        <v>-0.0490021910345235</v>
      </c>
      <c r="F1716" s="7" t="str">
        <f aca="false">IFERROR(INDEX(02_轉折點45個!B:B,MATCH(A1716,02_轉折點45個!A:A,0)),"")</f>
        <v/>
      </c>
      <c r="G1716" s="7" t="s">
        <v>1994</v>
      </c>
    </row>
    <row r="1717" customFormat="false" ht="15" hidden="false" customHeight="false" outlineLevel="0" collapsed="false">
      <c r="A1717" s="7" t="s">
        <v>3436</v>
      </c>
      <c r="B1717" s="7" t="n">
        <v>1918.55</v>
      </c>
      <c r="C1717" s="7" t="n">
        <f aca="false">AVERAGE(B1668:B1717)</f>
        <v>1938.433</v>
      </c>
      <c r="D1717" s="7" t="n">
        <f aca="false">AVERAGE(B1518:B1717)</f>
        <v>1893.92665</v>
      </c>
      <c r="E1717" s="7" t="n">
        <f aca="false">B1717/MAX(B1466:B1717)-1</f>
        <v>-0.0532411519709441</v>
      </c>
      <c r="F1717" s="7" t="str">
        <f aca="false">IFERROR(INDEX(02_轉折點45個!B:B,MATCH(A1717,02_轉折點45個!A:A,0)),"")</f>
        <v/>
      </c>
      <c r="G1717" s="7" t="s">
        <v>1994</v>
      </c>
    </row>
    <row r="1718" customFormat="false" ht="15" hidden="false" customHeight="false" outlineLevel="0" collapsed="false">
      <c r="A1718" s="7" t="s">
        <v>633</v>
      </c>
      <c r="B1718" s="7" t="n">
        <v>1885.44</v>
      </c>
      <c r="C1718" s="7" t="n">
        <f aca="false">AVERAGE(B1669:B1718)</f>
        <v>1936.9468</v>
      </c>
      <c r="D1718" s="7" t="n">
        <f aca="false">AVERAGE(B1519:B1718)</f>
        <v>1893.79545</v>
      </c>
      <c r="E1718" s="7" t="n">
        <f aca="false">B1718/MAX(B1467:B1718)-1</f>
        <v>-0.0695801504115592</v>
      </c>
      <c r="F1718" s="7" t="str">
        <f aca="false">IFERROR(INDEX(02_轉折點45個!B:B,MATCH(A1718,02_轉折點45個!A:A,0)),"")</f>
        <v/>
      </c>
      <c r="G1718" s="7" t="s">
        <v>1994</v>
      </c>
    </row>
    <row r="1719" customFormat="false" ht="15" hidden="false" customHeight="false" outlineLevel="0" collapsed="false">
      <c r="A1719" s="7" t="s">
        <v>634</v>
      </c>
      <c r="B1719" s="7" t="n">
        <v>1909.26</v>
      </c>
      <c r="C1719" s="7" t="n">
        <f aca="false">AVERAGE(B1670:B1719)</f>
        <v>1936.1028</v>
      </c>
      <c r="D1719" s="7" t="n">
        <f aca="false">AVERAGE(B1520:B1719)</f>
        <v>1893.8837</v>
      </c>
      <c r="E1719" s="7" t="n">
        <f aca="false">B1719/MAX(B1468:B1719)-1</f>
        <v>-0.0578255462782022</v>
      </c>
      <c r="F1719" s="7" t="str">
        <f aca="false">IFERROR(INDEX(02_轉折點45個!B:B,MATCH(A1719,02_轉折點45個!A:A,0)),"")</f>
        <v/>
      </c>
      <c r="G1719" s="7" t="s">
        <v>1994</v>
      </c>
    </row>
    <row r="1720" customFormat="false" ht="15" hidden="false" customHeight="false" outlineLevel="0" collapsed="false">
      <c r="A1720" s="7" t="s">
        <v>635</v>
      </c>
      <c r="B1720" s="7" t="n">
        <v>1937.05</v>
      </c>
      <c r="C1720" s="7" t="n">
        <f aca="false">AVERAGE(B1671:B1720)</f>
        <v>1935.824</v>
      </c>
      <c r="D1720" s="7" t="n">
        <f aca="false">AVERAGE(B1521:B1720)</f>
        <v>1894.03165</v>
      </c>
      <c r="E1720" s="7" t="n">
        <f aca="false">B1720/MAX(B1469:B1720)-1</f>
        <v>-0.0441118414559524</v>
      </c>
      <c r="F1720" s="7" t="str">
        <f aca="false">IFERROR(INDEX(02_轉折點45個!B:B,MATCH(A1720,02_轉折點45個!A:A,0)),"")</f>
        <v/>
      </c>
      <c r="G1720" s="7" t="s">
        <v>1994</v>
      </c>
    </row>
    <row r="1721" customFormat="false" ht="15" hidden="false" customHeight="false" outlineLevel="0" collapsed="false">
      <c r="A1721" s="7" t="s">
        <v>3437</v>
      </c>
      <c r="B1721" s="7" t="n">
        <v>1931.34</v>
      </c>
      <c r="C1721" s="7" t="n">
        <f aca="false">AVERAGE(B1672:B1721)</f>
        <v>1935.3242</v>
      </c>
      <c r="D1721" s="7" t="n">
        <f aca="false">AVERAGE(B1522:B1721)</f>
        <v>1894.06825</v>
      </c>
      <c r="E1721" s="7" t="n">
        <f aca="false">B1721/MAX(B1470:B1721)-1</f>
        <v>-0.0469295908094985</v>
      </c>
      <c r="F1721" s="7" t="str">
        <f aca="false">IFERROR(INDEX(02_轉折點45個!B:B,MATCH(A1721,02_轉折點45個!A:A,0)),"")</f>
        <v/>
      </c>
      <c r="G1721" s="7" t="s">
        <v>1994</v>
      </c>
    </row>
    <row r="1722" customFormat="false" ht="15" hidden="false" customHeight="false" outlineLevel="0" collapsed="false">
      <c r="A1722" s="7" t="s">
        <v>3438</v>
      </c>
      <c r="B1722" s="7" t="n">
        <v>1958.98</v>
      </c>
      <c r="C1722" s="7" t="n">
        <f aca="false">AVERAGE(B1673:B1722)</f>
        <v>1935.4532</v>
      </c>
      <c r="D1722" s="7" t="n">
        <f aca="false">AVERAGE(B1523:B1722)</f>
        <v>1894.39125</v>
      </c>
      <c r="E1722" s="7" t="n">
        <f aca="false">B1722/MAX(B1471:B1722)-1</f>
        <v>-0.0332899074238566</v>
      </c>
      <c r="F1722" s="7" t="str">
        <f aca="false">IFERROR(INDEX(02_轉折點45個!B:B,MATCH(A1722,02_轉折點45個!A:A,0)),"")</f>
        <v/>
      </c>
      <c r="G1722" s="7" t="s">
        <v>1994</v>
      </c>
    </row>
    <row r="1723" customFormat="false" ht="15" hidden="false" customHeight="false" outlineLevel="0" collapsed="false">
      <c r="A1723" s="7" t="s">
        <v>3439</v>
      </c>
      <c r="B1723" s="7" t="n">
        <v>1973.52</v>
      </c>
      <c r="C1723" s="7" t="n">
        <f aca="false">AVERAGE(B1674:B1723)</f>
        <v>1936.0254</v>
      </c>
      <c r="D1723" s="7" t="n">
        <f aca="false">AVERAGE(B1524:B1723)</f>
        <v>1894.91355</v>
      </c>
      <c r="E1723" s="7" t="n">
        <f aca="false">B1723/MAX(B1472:B1723)-1</f>
        <v>-0.0261147628353171</v>
      </c>
      <c r="F1723" s="7" t="str">
        <f aca="false">IFERROR(INDEX(02_轉折點45個!B:B,MATCH(A1723,02_轉折點45個!A:A,0)),"")</f>
        <v/>
      </c>
      <c r="G1723" s="7" t="s">
        <v>1994</v>
      </c>
    </row>
    <row r="1724" customFormat="false" ht="15" hidden="false" customHeight="false" outlineLevel="0" collapsed="false">
      <c r="A1724" s="7" t="s">
        <v>3440</v>
      </c>
      <c r="B1724" s="7" t="n">
        <v>1981.93</v>
      </c>
      <c r="C1724" s="7" t="n">
        <f aca="false">AVERAGE(B1675:B1724)</f>
        <v>1936.666</v>
      </c>
      <c r="D1724" s="7" t="n">
        <f aca="false">AVERAGE(B1525:B1724)</f>
        <v>1895.53095</v>
      </c>
      <c r="E1724" s="7" t="n">
        <f aca="false">B1724/MAX(B1473:B1724)-1</f>
        <v>-0.0219646276228263</v>
      </c>
      <c r="F1724" s="7" t="str">
        <f aca="false">IFERROR(INDEX(02_轉折點45個!B:B,MATCH(A1724,02_轉折點45個!A:A,0)),"")</f>
        <v/>
      </c>
      <c r="G1724" s="7" t="s">
        <v>1994</v>
      </c>
    </row>
    <row r="1725" customFormat="false" ht="15" hidden="false" customHeight="false" outlineLevel="0" collapsed="false">
      <c r="A1725" s="7" t="s">
        <v>3441</v>
      </c>
      <c r="B1725" s="7" t="n">
        <v>1989.98</v>
      </c>
      <c r="C1725" s="7" t="n">
        <f aca="false">AVERAGE(B1676:B1725)</f>
        <v>1937.716</v>
      </c>
      <c r="D1725" s="7" t="n">
        <f aca="false">AVERAGE(B1526:B1725)</f>
        <v>1896.3054</v>
      </c>
      <c r="E1725" s="7" t="n">
        <f aca="false">B1725/MAX(B1474:B1725)-1</f>
        <v>-0.0179921438581947</v>
      </c>
      <c r="F1725" s="7" t="str">
        <f aca="false">IFERROR(INDEX(02_轉折點45個!B:B,MATCH(A1725,02_轉折點45個!A:A,0)),"")</f>
        <v/>
      </c>
      <c r="G1725" s="7" t="s">
        <v>1994</v>
      </c>
    </row>
    <row r="1726" customFormat="false" ht="15" hidden="false" customHeight="false" outlineLevel="0" collapsed="false">
      <c r="A1726" s="7" t="s">
        <v>3442</v>
      </c>
      <c r="B1726" s="7" t="n">
        <v>1984.34</v>
      </c>
      <c r="C1726" s="7" t="n">
        <f aca="false">AVERAGE(B1677:B1726)</f>
        <v>1938.3448</v>
      </c>
      <c r="D1726" s="7" t="n">
        <f aca="false">AVERAGE(B1527:B1726)</f>
        <v>1897.00025</v>
      </c>
      <c r="E1726" s="7" t="n">
        <f aca="false">B1726/MAX(B1475:B1726)-1</f>
        <v>-0.0207753498746571</v>
      </c>
      <c r="F1726" s="7" t="str">
        <f aca="false">IFERROR(INDEX(02_轉折點45個!B:B,MATCH(A1726,02_轉折點45個!A:A,0)),"")</f>
        <v/>
      </c>
      <c r="G1726" s="7" t="s">
        <v>1994</v>
      </c>
    </row>
    <row r="1727" customFormat="false" ht="15" hidden="false" customHeight="false" outlineLevel="0" collapsed="false">
      <c r="A1727" s="7" t="s">
        <v>3443</v>
      </c>
      <c r="B1727" s="7" t="n">
        <v>1987.76</v>
      </c>
      <c r="C1727" s="7" t="n">
        <f aca="false">AVERAGE(B1678:B1727)</f>
        <v>1939.1862</v>
      </c>
      <c r="D1727" s="7" t="n">
        <f aca="false">AVERAGE(B1528:B1727)</f>
        <v>1897.5928</v>
      </c>
      <c r="E1727" s="7" t="n">
        <f aca="false">B1727/MAX(B1476:B1727)-1</f>
        <v>-0.0190876611199937</v>
      </c>
      <c r="F1727" s="7" t="str">
        <f aca="false">IFERROR(INDEX(02_轉折點45個!B:B,MATCH(A1727,02_轉折點45個!A:A,0)),"")</f>
        <v/>
      </c>
      <c r="G1727" s="7" t="s">
        <v>1994</v>
      </c>
    </row>
    <row r="1728" customFormat="false" ht="15" hidden="false" customHeight="false" outlineLevel="0" collapsed="false">
      <c r="A1728" s="7" t="s">
        <v>3444</v>
      </c>
      <c r="B1728" s="7" t="n">
        <v>2006.83</v>
      </c>
      <c r="C1728" s="7" t="n">
        <f aca="false">AVERAGE(B1679:B1728)</f>
        <v>1940.001</v>
      </c>
      <c r="D1728" s="7" t="n">
        <f aca="false">AVERAGE(B1529:B1728)</f>
        <v>1898.27585</v>
      </c>
      <c r="E1728" s="7" t="n">
        <f aca="false">B1728/MAX(B1477:B1728)-1</f>
        <v>-0.00967706914589139</v>
      </c>
      <c r="F1728" s="7" t="str">
        <f aca="false">IFERROR(INDEX(02_轉折點45個!B:B,MATCH(A1728,02_轉折點45個!A:A,0)),"")</f>
        <v/>
      </c>
      <c r="G1728" s="7" t="s">
        <v>1994</v>
      </c>
    </row>
    <row r="1729" customFormat="false" ht="15" hidden="false" customHeight="false" outlineLevel="0" collapsed="false">
      <c r="A1729" s="7" t="s">
        <v>636</v>
      </c>
      <c r="B1729" s="7" t="n">
        <v>2012.12</v>
      </c>
      <c r="C1729" s="7" t="n">
        <f aca="false">AVERAGE(B1680:B1729)</f>
        <v>1940.9982</v>
      </c>
      <c r="D1729" s="7" t="n">
        <f aca="false">AVERAGE(B1530:B1729)</f>
        <v>1899.03705</v>
      </c>
      <c r="E1729" s="7" t="n">
        <f aca="false">B1729/MAX(B1478:B1729)-1</f>
        <v>-0.00706657981484782</v>
      </c>
      <c r="F1729" s="7" t="str">
        <f aca="false">IFERROR(INDEX(02_轉折點45個!B:B,MATCH(A1729,02_轉折點45個!A:A,0)),"")</f>
        <v/>
      </c>
      <c r="G1729" s="7" t="s">
        <v>1994</v>
      </c>
    </row>
    <row r="1730" customFormat="false" ht="15" hidden="false" customHeight="false" outlineLevel="0" collapsed="false">
      <c r="A1730" s="7" t="s">
        <v>3445</v>
      </c>
      <c r="B1730" s="7" t="n">
        <v>2010.73</v>
      </c>
      <c r="C1730" s="7" t="n">
        <f aca="false">AVERAGE(B1681:B1730)</f>
        <v>1942.0924</v>
      </c>
      <c r="D1730" s="7" t="n">
        <f aca="false">AVERAGE(B1531:B1730)</f>
        <v>1899.6699</v>
      </c>
      <c r="E1730" s="7" t="n">
        <f aca="false">B1730/MAX(B1479:B1730)-1</f>
        <v>-0.00775251179408221</v>
      </c>
      <c r="F1730" s="7" t="str">
        <f aca="false">IFERROR(INDEX(02_轉折點45個!B:B,MATCH(A1730,02_轉折點45個!A:A,0)),"")</f>
        <v/>
      </c>
      <c r="G1730" s="7" t="s">
        <v>1994</v>
      </c>
    </row>
    <row r="1731" customFormat="false" ht="15" hidden="false" customHeight="false" outlineLevel="0" collapsed="false">
      <c r="A1731" s="7" t="s">
        <v>3446</v>
      </c>
      <c r="B1731" s="7" t="n">
        <v>1997.75</v>
      </c>
      <c r="C1731" s="7" t="n">
        <f aca="false">AVERAGE(B1682:B1731)</f>
        <v>1942.4558</v>
      </c>
      <c r="D1731" s="7" t="n">
        <f aca="false">AVERAGE(B1532:B1731)</f>
        <v>1900.2091</v>
      </c>
      <c r="E1731" s="7" t="n">
        <f aca="false">B1731/MAX(B1480:B1731)-1</f>
        <v>-0.0141578334418981</v>
      </c>
      <c r="F1731" s="7" t="str">
        <f aca="false">IFERROR(INDEX(02_轉折點45個!B:B,MATCH(A1731,02_轉折點45個!A:A,0)),"")</f>
        <v/>
      </c>
      <c r="G1731" s="7" t="s">
        <v>1994</v>
      </c>
    </row>
    <row r="1732" customFormat="false" ht="15" hidden="false" customHeight="false" outlineLevel="0" collapsed="false">
      <c r="A1732" s="7" t="s">
        <v>3447</v>
      </c>
      <c r="B1732" s="7" t="n">
        <v>1998.83</v>
      </c>
      <c r="C1732" s="7" t="n">
        <f aca="false">AVERAGE(B1683:B1732)</f>
        <v>1942.7462</v>
      </c>
      <c r="D1732" s="7" t="n">
        <f aca="false">AVERAGE(B1533:B1732)</f>
        <v>1900.72465</v>
      </c>
      <c r="E1732" s="7" t="n">
        <f aca="false">B1732/MAX(B1481:B1732)-1</f>
        <v>-0.0136248790983202</v>
      </c>
      <c r="F1732" s="7" t="str">
        <f aca="false">IFERROR(INDEX(02_轉折點45個!B:B,MATCH(A1732,02_轉折點45個!A:A,0)),"")</f>
        <v/>
      </c>
      <c r="G1732" s="7" t="s">
        <v>1994</v>
      </c>
    </row>
    <row r="1733" customFormat="false" ht="15" hidden="false" customHeight="false" outlineLevel="0" collapsed="false">
      <c r="A1733" s="7" t="s">
        <v>637</v>
      </c>
      <c r="B1733" s="7" t="n">
        <v>2028.55</v>
      </c>
      <c r="C1733" s="7" t="n">
        <f aca="false">AVERAGE(B1684:B1733)</f>
        <v>1943.7406</v>
      </c>
      <c r="D1733" s="7" t="n">
        <f aca="false">AVERAGE(B1534:B1733)</f>
        <v>1901.4684</v>
      </c>
      <c r="E1733" s="7" t="n">
        <f aca="false">B1733/MAX(B1482:B1733)-1</f>
        <v>0</v>
      </c>
      <c r="F1733" s="7" t="str">
        <f aca="false">IFERROR(INDEX(02_轉折點45個!B:B,MATCH(A1733,02_轉折點45個!A:A,0)),"")</f>
        <v/>
      </c>
      <c r="G1733" s="7" t="s">
        <v>1994</v>
      </c>
    </row>
    <row r="1734" customFormat="false" ht="15" hidden="false" customHeight="false" outlineLevel="0" collapsed="false">
      <c r="A1734" s="7" t="s">
        <v>638</v>
      </c>
      <c r="B1734" s="7" t="n">
        <v>2034.59</v>
      </c>
      <c r="C1734" s="7" t="n">
        <f aca="false">AVERAGE(B1685:B1734)</f>
        <v>1944.6826</v>
      </c>
      <c r="D1734" s="7" t="n">
        <f aca="false">AVERAGE(B1535:B1734)</f>
        <v>1902.10975</v>
      </c>
      <c r="E1734" s="7" t="n">
        <f aca="false">B1734/MAX(B1483:B1734)-1</f>
        <v>0</v>
      </c>
      <c r="F1734" s="7" t="str">
        <f aca="false">IFERROR(INDEX(02_轉折點45個!B:B,MATCH(A1734,02_轉折點45個!A:A,0)),"")</f>
        <v/>
      </c>
      <c r="G1734" s="7" t="s">
        <v>1994</v>
      </c>
    </row>
    <row r="1735" customFormat="false" ht="15" hidden="false" customHeight="false" outlineLevel="0" collapsed="false">
      <c r="A1735" s="7" t="s">
        <v>3448</v>
      </c>
      <c r="B1735" s="7" t="n">
        <v>2047.93</v>
      </c>
      <c r="C1735" s="7" t="n">
        <f aca="false">AVERAGE(B1686:B1735)</f>
        <v>1945.7578</v>
      </c>
      <c r="D1735" s="7" t="n">
        <f aca="false">AVERAGE(B1536:B1735)</f>
        <v>1902.83895</v>
      </c>
      <c r="E1735" s="7" t="n">
        <f aca="false">B1735/MAX(B1484:B1735)-1</f>
        <v>0</v>
      </c>
      <c r="F1735" s="7" t="str">
        <f aca="false">IFERROR(INDEX(02_轉折點45個!B:B,MATCH(A1735,02_轉折點45個!A:A,0)),"")</f>
        <v/>
      </c>
      <c r="G1735" s="7" t="s">
        <v>1994</v>
      </c>
    </row>
    <row r="1736" customFormat="false" ht="15" hidden="false" customHeight="false" outlineLevel="0" collapsed="false">
      <c r="A1736" s="7" t="s">
        <v>3449</v>
      </c>
      <c r="B1736" s="7" t="n">
        <v>2058.79</v>
      </c>
      <c r="C1736" s="7" t="n">
        <f aca="false">AVERAGE(B1687:B1736)</f>
        <v>1947.2526</v>
      </c>
      <c r="D1736" s="7" t="n">
        <f aca="false">AVERAGE(B1537:B1736)</f>
        <v>1903.60125</v>
      </c>
      <c r="E1736" s="7" t="n">
        <f aca="false">B1736/MAX(B1485:B1736)-1</f>
        <v>0</v>
      </c>
      <c r="F1736" s="7" t="str">
        <f aca="false">IFERROR(INDEX(02_轉折點45個!B:B,MATCH(A1736,02_轉折點45個!A:A,0)),"")</f>
        <v/>
      </c>
      <c r="G1736" s="7" t="s">
        <v>1994</v>
      </c>
    </row>
    <row r="1737" customFormat="false" ht="15" hidden="false" customHeight="false" outlineLevel="0" collapsed="false">
      <c r="A1737" s="7" t="s">
        <v>3450</v>
      </c>
      <c r="B1737" s="7" t="n">
        <v>2064.66</v>
      </c>
      <c r="C1737" s="7" t="n">
        <f aca="false">AVERAGE(B1688:B1737)</f>
        <v>1949.2744</v>
      </c>
      <c r="D1737" s="7" t="n">
        <f aca="false">AVERAGE(B1538:B1737)</f>
        <v>1904.5488</v>
      </c>
      <c r="E1737" s="7" t="n">
        <f aca="false">B1737/MAX(B1486:B1737)-1</f>
        <v>0</v>
      </c>
      <c r="F1737" s="7" t="str">
        <f aca="false">IFERROR(INDEX(02_轉折點45個!B:B,MATCH(A1737,02_轉折點45個!A:A,0)),"")</f>
        <v/>
      </c>
      <c r="G1737" s="7" t="s">
        <v>1994</v>
      </c>
    </row>
    <row r="1738" customFormat="false" ht="15" hidden="false" customHeight="false" outlineLevel="0" collapsed="false">
      <c r="A1738" s="7" t="s">
        <v>3451</v>
      </c>
      <c r="B1738" s="7" t="n">
        <v>2067.42</v>
      </c>
      <c r="C1738" s="7" t="n">
        <f aca="false">AVERAGE(B1689:B1738)</f>
        <v>1951.4096</v>
      </c>
      <c r="D1738" s="7" t="n">
        <f aca="false">AVERAGE(B1539:B1738)</f>
        <v>1905.5076</v>
      </c>
      <c r="E1738" s="7" t="n">
        <f aca="false">B1738/MAX(B1487:B1738)-1</f>
        <v>0</v>
      </c>
      <c r="F1738" s="7" t="str">
        <f aca="false">IFERROR(INDEX(02_轉折點45個!B:B,MATCH(A1738,02_轉折點45個!A:A,0)),"")</f>
        <v/>
      </c>
      <c r="G1738" s="7" t="s">
        <v>1994</v>
      </c>
    </row>
    <row r="1739" customFormat="false" ht="15" hidden="false" customHeight="false" outlineLevel="0" collapsed="false">
      <c r="A1739" s="7" t="s">
        <v>3452</v>
      </c>
      <c r="B1739" s="7" t="n">
        <v>2045.83</v>
      </c>
      <c r="C1739" s="7" t="n">
        <f aca="false">AVERAGE(B1690:B1739)</f>
        <v>1952.8534</v>
      </c>
      <c r="D1739" s="7" t="n">
        <f aca="false">AVERAGE(B1540:B1739)</f>
        <v>1906.25085</v>
      </c>
      <c r="E1739" s="7" t="n">
        <f aca="false">B1739/MAX(B1488:B1739)-1</f>
        <v>-0.0104429675634367</v>
      </c>
      <c r="F1739" s="7" t="str">
        <f aca="false">IFERROR(INDEX(02_轉折點45個!B:B,MATCH(A1739,02_轉折點45個!A:A,0)),"")</f>
        <v/>
      </c>
      <c r="G1739" s="7" t="s">
        <v>1994</v>
      </c>
    </row>
    <row r="1740" customFormat="false" ht="15" hidden="false" customHeight="false" outlineLevel="0" collapsed="false">
      <c r="A1740" s="7" t="s">
        <v>639</v>
      </c>
      <c r="B1740" s="7" t="n">
        <v>2039.74</v>
      </c>
      <c r="C1740" s="7" t="n">
        <f aca="false">AVERAGE(B1691:B1740)</f>
        <v>1954.4512</v>
      </c>
      <c r="D1740" s="7" t="n">
        <f aca="false">AVERAGE(B1541:B1740)</f>
        <v>1906.9351</v>
      </c>
      <c r="E1740" s="7" t="n">
        <f aca="false">B1740/MAX(B1489:B1740)-1</f>
        <v>-0.0133886680016639</v>
      </c>
      <c r="F1740" s="7" t="str">
        <f aca="false">IFERROR(INDEX(02_轉折點45個!B:B,MATCH(A1740,02_轉折點45個!A:A,0)),"")</f>
        <v/>
      </c>
      <c r="G1740" s="7" t="s">
        <v>1994</v>
      </c>
    </row>
    <row r="1741" customFormat="false" ht="15" hidden="false" customHeight="false" outlineLevel="0" collapsed="false">
      <c r="A1741" s="7" t="s">
        <v>3453</v>
      </c>
      <c r="B1741" s="7" t="n">
        <v>2039.84</v>
      </c>
      <c r="C1741" s="7" t="n">
        <f aca="false">AVERAGE(B1692:B1741)</f>
        <v>1956.3056</v>
      </c>
      <c r="D1741" s="7" t="n">
        <f aca="false">AVERAGE(B1542:B1741)</f>
        <v>1907.59105</v>
      </c>
      <c r="E1741" s="7" t="n">
        <f aca="false">B1741/MAX(B1490:B1741)-1</f>
        <v>-0.01334029853634</v>
      </c>
      <c r="F1741" s="7" t="str">
        <f aca="false">IFERROR(INDEX(02_轉折點45個!B:B,MATCH(A1741,02_轉折點45個!A:A,0)),"")</f>
        <v/>
      </c>
      <c r="G1741" s="7" t="s">
        <v>1994</v>
      </c>
    </row>
    <row r="1742" customFormat="false" ht="15" hidden="false" customHeight="false" outlineLevel="0" collapsed="false">
      <c r="A1742" s="7" t="s">
        <v>3454</v>
      </c>
      <c r="B1742" s="7" t="n">
        <v>2071.22</v>
      </c>
      <c r="C1742" s="7" t="n">
        <f aca="false">AVERAGE(B1693:B1742)</f>
        <v>1959.2386</v>
      </c>
      <c r="D1742" s="7" t="n">
        <f aca="false">AVERAGE(B1543:B1742)</f>
        <v>1908.41205</v>
      </c>
      <c r="E1742" s="7" t="n">
        <f aca="false">B1742/MAX(B1491:B1742)-1</f>
        <v>0</v>
      </c>
      <c r="F1742" s="7" t="str">
        <f aca="false">IFERROR(INDEX(02_轉折點45個!B:B,MATCH(A1742,02_轉折點45個!A:A,0)),"")</f>
        <v/>
      </c>
      <c r="G1742" s="7" t="s">
        <v>1994</v>
      </c>
    </row>
    <row r="1743" customFormat="false" ht="15" hidden="false" customHeight="false" outlineLevel="0" collapsed="false">
      <c r="A1743" s="7" t="s">
        <v>3455</v>
      </c>
      <c r="B1743" s="7" t="n">
        <v>2076.89</v>
      </c>
      <c r="C1743" s="7" t="n">
        <f aca="false">AVERAGE(B1694:B1743)</f>
        <v>1962.2094</v>
      </c>
      <c r="D1743" s="7" t="n">
        <f aca="false">AVERAGE(B1544:B1743)</f>
        <v>1909.3806</v>
      </c>
      <c r="E1743" s="7" t="n">
        <f aca="false">B1743/MAX(B1492:B1743)-1</f>
        <v>0</v>
      </c>
      <c r="F1743" s="7" t="str">
        <f aca="false">IFERROR(INDEX(02_轉折點45個!B:B,MATCH(A1743,02_轉折點45個!A:A,0)),"")</f>
        <v/>
      </c>
      <c r="G1743" s="7" t="s">
        <v>1994</v>
      </c>
    </row>
    <row r="1744" customFormat="false" ht="15" hidden="false" customHeight="false" outlineLevel="0" collapsed="false">
      <c r="A1744" s="7" t="s">
        <v>3456</v>
      </c>
      <c r="B1744" s="7" t="n">
        <v>2062.52</v>
      </c>
      <c r="C1744" s="7" t="n">
        <f aca="false">AVERAGE(B1695:B1744)</f>
        <v>1964.782</v>
      </c>
      <c r="D1744" s="7" t="n">
        <f aca="false">AVERAGE(B1545:B1744)</f>
        <v>1910.2897</v>
      </c>
      <c r="E1744" s="7" t="n">
        <f aca="false">B1744/MAX(B1493:B1744)-1</f>
        <v>-0.00691899908035565</v>
      </c>
      <c r="F1744" s="7" t="str">
        <f aca="false">IFERROR(INDEX(02_轉折點45個!B:B,MATCH(A1744,02_轉折點45個!A:A,0)),"")</f>
        <v/>
      </c>
      <c r="G1744" s="7" t="s">
        <v>1994</v>
      </c>
    </row>
    <row r="1745" customFormat="false" ht="15" hidden="false" customHeight="false" outlineLevel="0" collapsed="false">
      <c r="A1745" s="7" t="s">
        <v>3457</v>
      </c>
      <c r="B1745" s="7" t="n">
        <v>2065.37</v>
      </c>
      <c r="C1745" s="7" t="n">
        <f aca="false">AVERAGE(B1696:B1745)</f>
        <v>1967.3272</v>
      </c>
      <c r="D1745" s="7" t="n">
        <f aca="false">AVERAGE(B1546:B1745)</f>
        <v>1911.34235</v>
      </c>
      <c r="E1745" s="7" t="n">
        <f aca="false">B1745/MAX(B1494:B1745)-1</f>
        <v>-0.00554675500387603</v>
      </c>
      <c r="F1745" s="7" t="str">
        <f aca="false">IFERROR(INDEX(02_轉折點45個!B:B,MATCH(A1745,02_轉折點45個!A:A,0)),"")</f>
        <v/>
      </c>
      <c r="G1745" s="7" t="s">
        <v>1994</v>
      </c>
    </row>
    <row r="1746" customFormat="false" ht="15" hidden="false" customHeight="false" outlineLevel="0" collapsed="false">
      <c r="A1746" s="7" t="s">
        <v>3458</v>
      </c>
      <c r="B1746" s="7" t="n">
        <v>2057.37</v>
      </c>
      <c r="C1746" s="7" t="n">
        <f aca="false">AVERAGE(B1697:B1746)</f>
        <v>1969.8046</v>
      </c>
      <c r="D1746" s="7" t="n">
        <f aca="false">AVERAGE(B1547:B1746)</f>
        <v>1912.35075</v>
      </c>
      <c r="E1746" s="7" t="n">
        <f aca="false">B1746/MAX(B1495:B1746)-1</f>
        <v>-0.0093986682010121</v>
      </c>
      <c r="F1746" s="7" t="str">
        <f aca="false">IFERROR(INDEX(02_轉折點45個!B:B,MATCH(A1746,02_轉折點45個!A:A,0)),"")</f>
        <v/>
      </c>
      <c r="G1746" s="7" t="s">
        <v>1994</v>
      </c>
    </row>
    <row r="1747" customFormat="false" ht="15" hidden="false" customHeight="false" outlineLevel="0" collapsed="false">
      <c r="A1747" s="7" t="s">
        <v>3459</v>
      </c>
      <c r="B1747" s="7" t="n">
        <v>2052.3</v>
      </c>
      <c r="C1747" s="7" t="n">
        <f aca="false">AVERAGE(B1698:B1747)</f>
        <v>1972.1992</v>
      </c>
      <c r="D1747" s="7" t="n">
        <f aca="false">AVERAGE(B1548:B1747)</f>
        <v>1913.24035</v>
      </c>
      <c r="E1747" s="7" t="n">
        <f aca="false">B1747/MAX(B1496:B1747)-1</f>
        <v>-0.0118398181896969</v>
      </c>
      <c r="F1747" s="7" t="str">
        <f aca="false">IFERROR(INDEX(02_轉折點45個!B:B,MATCH(A1747,02_轉折點45個!A:A,0)),"")</f>
        <v/>
      </c>
      <c r="G1747" s="7" t="s">
        <v>1994</v>
      </c>
    </row>
    <row r="1748" customFormat="false" ht="15" hidden="false" customHeight="false" outlineLevel="0" collapsed="false">
      <c r="A1748" s="7" t="s">
        <v>3460</v>
      </c>
      <c r="B1748" s="7" t="n">
        <v>2061.69</v>
      </c>
      <c r="C1748" s="7" t="n">
        <f aca="false">AVERAGE(B1699:B1748)</f>
        <v>1974.3098</v>
      </c>
      <c r="D1748" s="7" t="n">
        <f aca="false">AVERAGE(B1549:B1748)</f>
        <v>1914.11435</v>
      </c>
      <c r="E1748" s="7" t="n">
        <f aca="false">B1748/MAX(B1497:B1748)-1</f>
        <v>-0.00731863507455854</v>
      </c>
      <c r="F1748" s="7" t="str">
        <f aca="false">IFERROR(INDEX(02_轉折點45個!B:B,MATCH(A1748,02_轉折點45個!A:A,0)),"")</f>
        <v/>
      </c>
      <c r="G1748" s="7" t="s">
        <v>1994</v>
      </c>
    </row>
    <row r="1749" customFormat="false" ht="15" hidden="false" customHeight="false" outlineLevel="0" collapsed="false">
      <c r="A1749" s="7" t="s">
        <v>3461</v>
      </c>
      <c r="B1749" s="7" t="n">
        <v>2065.54</v>
      </c>
      <c r="C1749" s="7" t="n">
        <f aca="false">AVERAGE(B1700:B1749)</f>
        <v>1976.306</v>
      </c>
      <c r="D1749" s="7" t="n">
        <f aca="false">AVERAGE(B1550:B1749)</f>
        <v>1915.07005</v>
      </c>
      <c r="E1749" s="7" t="n">
        <f aca="false">B1749/MAX(B1498:B1749)-1</f>
        <v>-0.00546490184843684</v>
      </c>
      <c r="F1749" s="7" t="str">
        <f aca="false">IFERROR(INDEX(02_轉折點45個!B:B,MATCH(A1749,02_轉折點45個!A:A,0)),"")</f>
        <v/>
      </c>
      <c r="G1749" s="7" t="s">
        <v>1994</v>
      </c>
    </row>
    <row r="1750" customFormat="false" ht="15" hidden="false" customHeight="false" outlineLevel="0" collapsed="false">
      <c r="A1750" s="7" t="s">
        <v>640</v>
      </c>
      <c r="B1750" s="7" t="n">
        <v>2069.24</v>
      </c>
      <c r="C1750" s="7" t="n">
        <f aca="false">AVERAGE(B1701:B1750)</f>
        <v>1978.308</v>
      </c>
      <c r="D1750" s="7" t="n">
        <f aca="false">AVERAGE(B1551:B1750)</f>
        <v>1915.95505</v>
      </c>
      <c r="E1750" s="7" t="n">
        <f aca="false">B1750/MAX(B1499:B1750)-1</f>
        <v>-0.00368339199476142</v>
      </c>
      <c r="F1750" s="7" t="str">
        <f aca="false">IFERROR(INDEX(02_轉折點45個!B:B,MATCH(A1750,02_轉折點45個!A:A,0)),"")</f>
        <v/>
      </c>
      <c r="G1750" s="7" t="s">
        <v>1994</v>
      </c>
    </row>
    <row r="1751" customFormat="false" ht="15" hidden="false" customHeight="false" outlineLevel="0" collapsed="false">
      <c r="A1751" s="7" t="s">
        <v>3462</v>
      </c>
      <c r="B1751" s="7" t="n">
        <v>2067.04</v>
      </c>
      <c r="C1751" s="7" t="n">
        <f aca="false">AVERAGE(B1702:B1751)</f>
        <v>1980.5596</v>
      </c>
      <c r="D1751" s="7" t="n">
        <f aca="false">AVERAGE(B1552:B1751)</f>
        <v>1916.8462</v>
      </c>
      <c r="E1751" s="7" t="n">
        <f aca="false">B1751/MAX(B1500:B1751)-1</f>
        <v>-0.00474266812397384</v>
      </c>
      <c r="F1751" s="7" t="str">
        <f aca="false">IFERROR(INDEX(02_轉折點45個!B:B,MATCH(A1751,02_轉折點45個!A:A,0)),"")</f>
        <v/>
      </c>
      <c r="G1751" s="7" t="s">
        <v>1994</v>
      </c>
    </row>
    <row r="1752" customFormat="false" ht="15" hidden="false" customHeight="false" outlineLevel="0" collapsed="false">
      <c r="A1752" s="7" t="s">
        <v>3463</v>
      </c>
      <c r="B1752" s="7" t="n">
        <v>2065.25</v>
      </c>
      <c r="C1752" s="7" t="n">
        <f aca="false">AVERAGE(B1703:B1752)</f>
        <v>1983.4394</v>
      </c>
      <c r="D1752" s="7" t="n">
        <f aca="false">AVERAGE(B1553:B1752)</f>
        <v>1917.76995</v>
      </c>
      <c r="E1752" s="7" t="n">
        <f aca="false">B1752/MAX(B1501:B1752)-1</f>
        <v>-0.005604533701833</v>
      </c>
      <c r="F1752" s="7" t="str">
        <f aca="false">IFERROR(INDEX(02_轉折點45個!B:B,MATCH(A1752,02_轉折點45個!A:A,0)),"")</f>
        <v/>
      </c>
      <c r="G1752" s="7" t="s">
        <v>1994</v>
      </c>
    </row>
    <row r="1753" customFormat="false" ht="15" hidden="false" customHeight="false" outlineLevel="0" collapsed="false">
      <c r="A1753" s="7" t="s">
        <v>3464</v>
      </c>
      <c r="B1753" s="7" t="n">
        <v>2057.8</v>
      </c>
      <c r="C1753" s="7" t="n">
        <f aca="false">AVERAGE(B1704:B1753)</f>
        <v>1986.5162</v>
      </c>
      <c r="D1753" s="7" t="n">
        <f aca="false">AVERAGE(B1554:B1753)</f>
        <v>1918.6007</v>
      </c>
      <c r="E1753" s="7" t="n">
        <f aca="false">B1753/MAX(B1502:B1753)-1</f>
        <v>-0.00919162786666583</v>
      </c>
      <c r="F1753" s="7" t="str">
        <f aca="false">IFERROR(INDEX(02_轉折點45個!B:B,MATCH(A1753,02_轉折點45個!A:A,0)),"")</f>
        <v/>
      </c>
      <c r="G1753" s="7" t="s">
        <v>1994</v>
      </c>
    </row>
    <row r="1754" customFormat="false" ht="15" hidden="false" customHeight="false" outlineLevel="0" collapsed="false">
      <c r="A1754" s="7" t="s">
        <v>641</v>
      </c>
      <c r="B1754" s="7" t="n">
        <v>2030.63</v>
      </c>
      <c r="C1754" s="7" t="n">
        <f aca="false">AVERAGE(B1705:B1754)</f>
        <v>1988.935</v>
      </c>
      <c r="D1754" s="7" t="n">
        <f aca="false">AVERAGE(B1555:B1754)</f>
        <v>1919.20605</v>
      </c>
      <c r="E1754" s="7" t="n">
        <f aca="false">B1754/MAX(B1503:B1754)-1</f>
        <v>-0.0222736880624393</v>
      </c>
      <c r="F1754" s="7" t="str">
        <f aca="false">IFERROR(INDEX(02_轉折點45個!B:B,MATCH(A1754,02_轉折點45個!A:A,0)),"")</f>
        <v/>
      </c>
      <c r="G1754" s="7" t="s">
        <v>1994</v>
      </c>
    </row>
    <row r="1755" customFormat="false" ht="15" hidden="false" customHeight="false" outlineLevel="0" collapsed="false">
      <c r="A1755" s="7" t="s">
        <v>3465</v>
      </c>
      <c r="B1755" s="7" t="n">
        <v>2030.34</v>
      </c>
      <c r="C1755" s="7" t="n">
        <f aca="false">AVERAGE(B1706:B1755)</f>
        <v>1991.557</v>
      </c>
      <c r="D1755" s="7" t="n">
        <f aca="false">AVERAGE(B1556:B1755)</f>
        <v>1919.88605</v>
      </c>
      <c r="E1755" s="7" t="n">
        <f aca="false">B1755/MAX(B1504:B1755)-1</f>
        <v>-0.0224133199158357</v>
      </c>
      <c r="F1755" s="7" t="str">
        <f aca="false">IFERROR(INDEX(02_轉折點45個!B:B,MATCH(A1755,02_轉折點45個!A:A,0)),"")</f>
        <v/>
      </c>
      <c r="G1755" s="7" t="s">
        <v>1994</v>
      </c>
    </row>
    <row r="1756" customFormat="false" ht="15" hidden="false" customHeight="false" outlineLevel="0" collapsed="false">
      <c r="A1756" s="7" t="s">
        <v>3466</v>
      </c>
      <c r="B1756" s="7" t="n">
        <v>2038.78</v>
      </c>
      <c r="C1756" s="7" t="n">
        <f aca="false">AVERAGE(B1707:B1756)</f>
        <v>1994.6734</v>
      </c>
      <c r="D1756" s="7" t="n">
        <f aca="false">AVERAGE(B1557:B1756)</f>
        <v>1920.66425</v>
      </c>
      <c r="E1756" s="7" t="n">
        <f aca="false">B1756/MAX(B1505:B1756)-1</f>
        <v>-0.0183495514928571</v>
      </c>
      <c r="F1756" s="7" t="str">
        <f aca="false">IFERROR(INDEX(02_轉折點45個!B:B,MATCH(A1756,02_轉折點45個!A:A,0)),"")</f>
        <v/>
      </c>
      <c r="G1756" s="7" t="s">
        <v>1994</v>
      </c>
    </row>
    <row r="1757" customFormat="false" ht="15" hidden="false" customHeight="false" outlineLevel="0" collapsed="false">
      <c r="A1757" s="7" t="s">
        <v>3467</v>
      </c>
      <c r="B1757" s="7" t="n">
        <v>2052.33</v>
      </c>
      <c r="C1757" s="7" t="n">
        <f aca="false">AVERAGE(B1708:B1757)</f>
        <v>1998.4924</v>
      </c>
      <c r="D1757" s="7" t="n">
        <f aca="false">AVERAGE(B1558:B1757)</f>
        <v>1921.5174</v>
      </c>
      <c r="E1757" s="7" t="n">
        <f aca="false">B1757/MAX(B1506:B1757)-1</f>
        <v>-0.0118253735152078</v>
      </c>
      <c r="F1757" s="7" t="str">
        <f aca="false">IFERROR(INDEX(02_轉折點45個!B:B,MATCH(A1757,02_轉折點45個!A:A,0)),"")</f>
        <v/>
      </c>
      <c r="G1757" s="7" t="s">
        <v>1994</v>
      </c>
    </row>
    <row r="1758" customFormat="false" ht="15" hidden="false" customHeight="false" outlineLevel="0" collapsed="false">
      <c r="A1758" s="7" t="s">
        <v>3468</v>
      </c>
      <c r="B1758" s="7" t="n">
        <v>2055.01</v>
      </c>
      <c r="C1758" s="7" t="n">
        <f aca="false">AVERAGE(B1709:B1758)</f>
        <v>2002.187</v>
      </c>
      <c r="D1758" s="7" t="n">
        <f aca="false">AVERAGE(B1559:B1758)</f>
        <v>1922.4667</v>
      </c>
      <c r="E1758" s="7" t="n">
        <f aca="false">B1758/MAX(B1507:B1758)-1</f>
        <v>-0.0105349825941671</v>
      </c>
      <c r="F1758" s="7" t="str">
        <f aca="false">IFERROR(INDEX(02_轉折點45個!B:B,MATCH(A1758,02_轉折點45個!A:A,0)),"")</f>
        <v/>
      </c>
      <c r="G1758" s="7" t="s">
        <v>1994</v>
      </c>
    </row>
    <row r="1759" customFormat="false" ht="15" hidden="false" customHeight="false" outlineLevel="0" collapsed="false">
      <c r="A1759" s="7" t="s">
        <v>3469</v>
      </c>
      <c r="B1759" s="7" t="n">
        <v>2034.43</v>
      </c>
      <c r="C1759" s="7" t="n">
        <f aca="false">AVERAGE(B1710:B1759)</f>
        <v>2005.1482</v>
      </c>
      <c r="D1759" s="7" t="n">
        <f aca="false">AVERAGE(B1560:B1759)</f>
        <v>1923.27</v>
      </c>
      <c r="E1759" s="7" t="n">
        <f aca="false">B1759/MAX(B1508:B1759)-1</f>
        <v>-0.0204440292937997</v>
      </c>
      <c r="F1759" s="7" t="str">
        <f aca="false">IFERROR(INDEX(02_轉折點45個!B:B,MATCH(A1759,02_轉折點45個!A:A,0)),"")</f>
        <v/>
      </c>
      <c r="G1759" s="7" t="s">
        <v>1994</v>
      </c>
    </row>
    <row r="1760" customFormat="false" ht="15" hidden="false" customHeight="false" outlineLevel="0" collapsed="false">
      <c r="A1760" s="7" t="s">
        <v>3470</v>
      </c>
      <c r="B1760" s="7" t="n">
        <v>2036.3</v>
      </c>
      <c r="C1760" s="7" t="n">
        <f aca="false">AVERAGE(B1711:B1760)</f>
        <v>2008.0468</v>
      </c>
      <c r="D1760" s="7" t="n">
        <f aca="false">AVERAGE(B1561:B1760)</f>
        <v>1924.156</v>
      </c>
      <c r="E1760" s="7" t="n">
        <f aca="false">B1760/MAX(B1509:B1760)-1</f>
        <v>-0.0195436445839693</v>
      </c>
      <c r="F1760" s="7" t="str">
        <f aca="false">IFERROR(INDEX(02_轉折點45個!B:B,MATCH(A1760,02_轉折點45個!A:A,0)),"")</f>
        <v/>
      </c>
      <c r="G1760" s="7" t="s">
        <v>1994</v>
      </c>
    </row>
    <row r="1761" customFormat="false" ht="15" hidden="false" customHeight="false" outlineLevel="0" collapsed="false">
      <c r="A1761" s="7" t="s">
        <v>3471</v>
      </c>
      <c r="B1761" s="7" t="n">
        <v>2026.45</v>
      </c>
      <c r="C1761" s="7" t="n">
        <f aca="false">AVERAGE(B1712:B1761)</f>
        <v>2011.0096</v>
      </c>
      <c r="D1761" s="7" t="n">
        <f aca="false">AVERAGE(B1562:B1761)</f>
        <v>1925.0806</v>
      </c>
      <c r="E1761" s="7" t="n">
        <f aca="false">B1761/MAX(B1510:B1761)-1</f>
        <v>-0.024286312707943</v>
      </c>
      <c r="F1761" s="7" t="str">
        <f aca="false">IFERROR(INDEX(02_轉折點45個!B:B,MATCH(A1761,02_轉折點45個!A:A,0)),"")</f>
        <v/>
      </c>
      <c r="G1761" s="7" t="s">
        <v>1994</v>
      </c>
    </row>
    <row r="1762" customFormat="false" ht="15" hidden="false" customHeight="false" outlineLevel="0" collapsed="false">
      <c r="A1762" s="7" t="s">
        <v>642</v>
      </c>
      <c r="B1762" s="7" t="n">
        <v>2014.72</v>
      </c>
      <c r="C1762" s="7" t="n">
        <f aca="false">AVERAGE(B1713:B1762)</f>
        <v>2013.094</v>
      </c>
      <c r="D1762" s="7" t="n">
        <f aca="false">AVERAGE(B1563:B1762)</f>
        <v>1925.94345</v>
      </c>
      <c r="E1762" s="7" t="n">
        <f aca="false">B1762/MAX(B1511:B1762)-1</f>
        <v>-0.0299341804332439</v>
      </c>
      <c r="F1762" s="7" t="str">
        <f aca="false">IFERROR(INDEX(02_轉折點45個!B:B,MATCH(A1762,02_轉折點45個!A:A,0)),"")</f>
        <v/>
      </c>
      <c r="G1762" s="7" t="s">
        <v>1994</v>
      </c>
    </row>
    <row r="1763" customFormat="false" ht="15" hidden="false" customHeight="false" outlineLevel="0" collapsed="false">
      <c r="A1763" s="7" t="s">
        <v>643</v>
      </c>
      <c r="B1763" s="7" t="n">
        <v>2049.82</v>
      </c>
      <c r="C1763" s="7" t="n">
        <f aca="false">AVERAGE(B1714:B1763)</f>
        <v>2016.303</v>
      </c>
      <c r="D1763" s="7" t="n">
        <f aca="false">AVERAGE(B1564:B1763)</f>
        <v>1927.02125</v>
      </c>
      <c r="E1763" s="7" t="n">
        <f aca="false">B1763/MAX(B1512:B1763)-1</f>
        <v>-0.0130339112808091</v>
      </c>
      <c r="F1763" s="7" t="str">
        <f aca="false">IFERROR(INDEX(02_轉折點45個!B:B,MATCH(A1763,02_轉折點45個!A:A,0)),"")</f>
        <v/>
      </c>
      <c r="G1763" s="7" t="s">
        <v>1994</v>
      </c>
    </row>
    <row r="1764" customFormat="false" ht="15" hidden="false" customHeight="false" outlineLevel="0" collapsed="false">
      <c r="A1764" s="7" t="s">
        <v>3472</v>
      </c>
      <c r="B1764" s="7" t="n">
        <v>2067.84</v>
      </c>
      <c r="C1764" s="7" t="n">
        <f aca="false">AVERAGE(B1715:B1764)</f>
        <v>2019.6148</v>
      </c>
      <c r="D1764" s="7" t="n">
        <f aca="false">AVERAGE(B1565:B1764)</f>
        <v>1928.1904</v>
      </c>
      <c r="E1764" s="7" t="n">
        <f aca="false">B1764/MAX(B1513:B1764)-1</f>
        <v>-0.00435747680426013</v>
      </c>
      <c r="F1764" s="7" t="str">
        <f aca="false">IFERROR(INDEX(02_轉折點45個!B:B,MATCH(A1764,02_轉折點45個!A:A,0)),"")</f>
        <v/>
      </c>
      <c r="G1764" s="7" t="s">
        <v>1994</v>
      </c>
    </row>
    <row r="1765" customFormat="false" ht="15" hidden="false" customHeight="false" outlineLevel="0" collapsed="false">
      <c r="A1765" s="7" t="s">
        <v>644</v>
      </c>
      <c r="B1765" s="7" t="n">
        <v>2080.09</v>
      </c>
      <c r="C1765" s="7" t="n">
        <f aca="false">AVERAGE(B1716:B1765)</f>
        <v>2022.5574</v>
      </c>
      <c r="D1765" s="7" t="n">
        <f aca="false">AVERAGE(B1566:B1765)</f>
        <v>1929.5038</v>
      </c>
      <c r="E1765" s="7" t="n">
        <f aca="false">B1765/MAX(B1514:B1765)-1</f>
        <v>0</v>
      </c>
      <c r="F1765" s="7" t="str">
        <f aca="false">IFERROR(INDEX(02_轉折點45個!B:B,MATCH(A1765,02_轉折點45個!A:A,0)),"")</f>
        <v/>
      </c>
      <c r="G1765" s="7" t="s">
        <v>1994</v>
      </c>
    </row>
    <row r="1766" customFormat="false" ht="15" hidden="false" customHeight="false" outlineLevel="0" collapsed="false">
      <c r="A1766" s="7" t="s">
        <v>645</v>
      </c>
      <c r="B1766" s="7" t="n">
        <v>2106.35</v>
      </c>
      <c r="C1766" s="7" t="n">
        <f aca="false">AVERAGE(B1717:B1766)</f>
        <v>2026.1416</v>
      </c>
      <c r="D1766" s="7" t="n">
        <f aca="false">AVERAGE(B1567:B1766)</f>
        <v>1930.9445</v>
      </c>
      <c r="E1766" s="7" t="n">
        <f aca="false">B1766/MAX(B1515:B1766)-1</f>
        <v>0</v>
      </c>
      <c r="F1766" s="7" t="str">
        <f aca="false">IFERROR(INDEX(02_轉折點45個!B:B,MATCH(A1766,02_轉折點45個!A:A,0)),"")</f>
        <v/>
      </c>
      <c r="G1766" s="7" t="s">
        <v>1994</v>
      </c>
    </row>
    <row r="1767" customFormat="false" ht="15" hidden="false" customHeight="false" outlineLevel="0" collapsed="false">
      <c r="A1767" s="7" t="s">
        <v>3473</v>
      </c>
      <c r="B1767" s="7" t="n">
        <v>2118.29</v>
      </c>
      <c r="C1767" s="7" t="n">
        <f aca="false">AVERAGE(B1718:B1767)</f>
        <v>2030.1364</v>
      </c>
      <c r="D1767" s="7" t="n">
        <f aca="false">AVERAGE(B1568:B1767)</f>
        <v>1932.44105</v>
      </c>
      <c r="E1767" s="7" t="n">
        <f aca="false">B1767/MAX(B1516:B1767)-1</f>
        <v>0</v>
      </c>
      <c r="F1767" s="7" t="str">
        <f aca="false">IFERROR(INDEX(02_轉折點45個!B:B,MATCH(A1767,02_轉折點45個!A:A,0)),"")</f>
        <v/>
      </c>
      <c r="G1767" s="7" t="s">
        <v>1994</v>
      </c>
    </row>
    <row r="1768" customFormat="false" ht="15" hidden="false" customHeight="false" outlineLevel="0" collapsed="false">
      <c r="A1768" s="7" t="s">
        <v>3474</v>
      </c>
      <c r="B1768" s="7" t="n">
        <v>2119.78</v>
      </c>
      <c r="C1768" s="7" t="n">
        <f aca="false">AVERAGE(B1719:B1768)</f>
        <v>2034.8232</v>
      </c>
      <c r="D1768" s="7" t="n">
        <f aca="false">AVERAGE(B1569:B1768)</f>
        <v>1933.9384</v>
      </c>
      <c r="E1768" s="7" t="n">
        <f aca="false">B1768/MAX(B1517:B1768)-1</f>
        <v>0</v>
      </c>
      <c r="F1768" s="7" t="str">
        <f aca="false">IFERROR(INDEX(02_轉折點45個!B:B,MATCH(A1768,02_轉折點45個!A:A,0)),"")</f>
        <v/>
      </c>
      <c r="G1768" s="7" t="s">
        <v>1994</v>
      </c>
    </row>
    <row r="1769" customFormat="false" ht="15" hidden="false" customHeight="false" outlineLevel="0" collapsed="false">
      <c r="A1769" s="7" t="s">
        <v>3475</v>
      </c>
      <c r="B1769" s="7" t="n">
        <v>2129.87</v>
      </c>
      <c r="C1769" s="7" t="n">
        <f aca="false">AVERAGE(B1720:B1769)</f>
        <v>2039.2354</v>
      </c>
      <c r="D1769" s="7" t="n">
        <f aca="false">AVERAGE(B1570:B1769)</f>
        <v>1935.57135</v>
      </c>
      <c r="E1769" s="7" t="n">
        <f aca="false">B1769/MAX(B1518:B1769)-1</f>
        <v>0</v>
      </c>
      <c r="F1769" s="7" t="str">
        <f aca="false">IFERROR(INDEX(02_轉折點45個!B:B,MATCH(A1769,02_轉折點45個!A:A,0)),"")</f>
        <v/>
      </c>
      <c r="G1769" s="7" t="s">
        <v>1994</v>
      </c>
    </row>
    <row r="1770" customFormat="false" ht="15" hidden="false" customHeight="false" outlineLevel="0" collapsed="false">
      <c r="A1770" s="7" t="s">
        <v>3476</v>
      </c>
      <c r="B1770" s="7" t="n">
        <v>2116.46</v>
      </c>
      <c r="C1770" s="7" t="n">
        <f aca="false">AVERAGE(B1721:B1770)</f>
        <v>2042.8236</v>
      </c>
      <c r="D1770" s="7" t="n">
        <f aca="false">AVERAGE(B1571:B1770)</f>
        <v>1936.992</v>
      </c>
      <c r="E1770" s="7" t="n">
        <f aca="false">B1770/MAX(B1519:B1770)-1</f>
        <v>-0.0062961589204974</v>
      </c>
      <c r="F1770" s="7" t="str">
        <f aca="false">IFERROR(INDEX(02_轉折點45個!B:B,MATCH(A1770,02_轉折點45個!A:A,0)),"")</f>
        <v/>
      </c>
      <c r="G1770" s="7" t="s">
        <v>1994</v>
      </c>
    </row>
    <row r="1771" customFormat="false" ht="15" hidden="false" customHeight="false" outlineLevel="0" collapsed="false">
      <c r="A1771" s="7" t="s">
        <v>3477</v>
      </c>
      <c r="B1771" s="7" t="n">
        <v>2116.78</v>
      </c>
      <c r="C1771" s="7" t="n">
        <f aca="false">AVERAGE(B1722:B1771)</f>
        <v>2046.5324</v>
      </c>
      <c r="D1771" s="7" t="n">
        <f aca="false">AVERAGE(B1572:B1771)</f>
        <v>1938.4437</v>
      </c>
      <c r="E1771" s="7" t="n">
        <f aca="false">B1771/MAX(B1520:B1771)-1</f>
        <v>-0.00614591500889716</v>
      </c>
      <c r="F1771" s="7" t="str">
        <f aca="false">IFERROR(INDEX(02_轉折點45個!B:B,MATCH(A1771,02_轉折點45個!A:A,0)),"")</f>
        <v/>
      </c>
      <c r="G1771" s="7" t="s">
        <v>1994</v>
      </c>
    </row>
    <row r="1772" customFormat="false" ht="15" hidden="false" customHeight="false" outlineLevel="0" collapsed="false">
      <c r="A1772" s="7" t="s">
        <v>3478</v>
      </c>
      <c r="B1772" s="7" t="n">
        <v>2103.67</v>
      </c>
      <c r="C1772" s="7" t="n">
        <f aca="false">AVERAGE(B1723:B1772)</f>
        <v>2049.4262</v>
      </c>
      <c r="D1772" s="7" t="n">
        <f aca="false">AVERAGE(B1573:B1772)</f>
        <v>1939.8957</v>
      </c>
      <c r="E1772" s="7" t="n">
        <f aca="false">B1772/MAX(B1521:B1772)-1</f>
        <v>-0.0123012202622694</v>
      </c>
      <c r="F1772" s="7" t="str">
        <f aca="false">IFERROR(INDEX(02_轉折點45個!B:B,MATCH(A1772,02_轉折點45個!A:A,0)),"")</f>
        <v/>
      </c>
      <c r="G1772" s="7" t="s">
        <v>1994</v>
      </c>
    </row>
    <row r="1773" customFormat="false" ht="15" hidden="false" customHeight="false" outlineLevel="0" collapsed="false">
      <c r="A1773" s="7" t="s">
        <v>3479</v>
      </c>
      <c r="B1773" s="7" t="n">
        <v>2082.62</v>
      </c>
      <c r="C1773" s="7" t="n">
        <f aca="false">AVERAGE(B1724:B1773)</f>
        <v>2051.6082</v>
      </c>
      <c r="D1773" s="7" t="n">
        <f aca="false">AVERAGE(B1574:B1773)</f>
        <v>1941.21385</v>
      </c>
      <c r="E1773" s="7" t="n">
        <f aca="false">B1773/MAX(B1522:B1773)-1</f>
        <v>-0.0221844525722227</v>
      </c>
      <c r="F1773" s="7" t="str">
        <f aca="false">IFERROR(INDEX(02_轉折點45個!B:B,MATCH(A1773,02_轉折點45個!A:A,0)),"")</f>
        <v/>
      </c>
      <c r="G1773" s="7" t="s">
        <v>1994</v>
      </c>
    </row>
    <row r="1774" customFormat="false" ht="15" hidden="false" customHeight="false" outlineLevel="0" collapsed="false">
      <c r="A1774" s="7" t="s">
        <v>646</v>
      </c>
      <c r="B1774" s="7" t="n">
        <v>2102.87</v>
      </c>
      <c r="C1774" s="7" t="n">
        <f aca="false">AVERAGE(B1725:B1774)</f>
        <v>2054.027</v>
      </c>
      <c r="D1774" s="7" t="n">
        <f aca="false">AVERAGE(B1575:B1774)</f>
        <v>1942.5956</v>
      </c>
      <c r="E1774" s="7" t="n">
        <f aca="false">B1774/MAX(B1523:B1774)-1</f>
        <v>-0.0126768300412701</v>
      </c>
      <c r="F1774" s="7" t="str">
        <f aca="false">IFERROR(INDEX(02_轉折點45個!B:B,MATCH(A1774,02_轉折點45個!A:A,0)),"")</f>
        <v/>
      </c>
      <c r="G1774" s="7" t="s">
        <v>1994</v>
      </c>
    </row>
    <row r="1775" customFormat="false" ht="15" hidden="false" customHeight="false" outlineLevel="0" collapsed="false">
      <c r="A1775" s="7" t="s">
        <v>3480</v>
      </c>
      <c r="B1775" s="7" t="n">
        <v>2053.44</v>
      </c>
      <c r="C1775" s="7" t="n">
        <f aca="false">AVERAGE(B1726:B1775)</f>
        <v>2055.2962</v>
      </c>
      <c r="D1775" s="7" t="n">
        <f aca="false">AVERAGE(B1576:B1775)</f>
        <v>1943.731</v>
      </c>
      <c r="E1775" s="7" t="n">
        <f aca="false">B1775/MAX(B1524:B1775)-1</f>
        <v>-0.0358848192612694</v>
      </c>
      <c r="F1775" s="7" t="str">
        <f aca="false">IFERROR(INDEX(02_轉折點45個!B:B,MATCH(A1775,02_轉折點45個!A:A,0)),"")</f>
        <v/>
      </c>
      <c r="G1775" s="7" t="s">
        <v>1994</v>
      </c>
    </row>
    <row r="1776" customFormat="false" ht="15" hidden="false" customHeight="false" outlineLevel="0" collapsed="false">
      <c r="A1776" s="7" t="s">
        <v>3481</v>
      </c>
      <c r="B1776" s="7" t="n">
        <v>2054.14</v>
      </c>
      <c r="C1776" s="7" t="n">
        <f aca="false">AVERAGE(B1727:B1776)</f>
        <v>2056.6922</v>
      </c>
      <c r="D1776" s="7" t="n">
        <f aca="false">AVERAGE(B1577:B1776)</f>
        <v>1944.78015</v>
      </c>
      <c r="E1776" s="7" t="n">
        <f aca="false">B1776/MAX(B1525:B1776)-1</f>
        <v>-0.035556160704644</v>
      </c>
      <c r="F1776" s="7" t="str">
        <f aca="false">IFERROR(INDEX(02_轉折點45個!B:B,MATCH(A1776,02_轉折點45個!A:A,0)),"")</f>
        <v/>
      </c>
      <c r="G1776" s="7" t="s">
        <v>1994</v>
      </c>
    </row>
    <row r="1777" customFormat="false" ht="15" hidden="false" customHeight="false" outlineLevel="0" collapsed="false">
      <c r="A1777" s="7" t="s">
        <v>3482</v>
      </c>
      <c r="B1777" s="7" t="n">
        <v>2069.47</v>
      </c>
      <c r="C1777" s="7" t="n">
        <f aca="false">AVERAGE(B1728:B1777)</f>
        <v>2058.3264</v>
      </c>
      <c r="D1777" s="7" t="n">
        <f aca="false">AVERAGE(B1578:B1777)</f>
        <v>1945.99475</v>
      </c>
      <c r="E1777" s="7" t="n">
        <f aca="false">B1777/MAX(B1526:B1777)-1</f>
        <v>-0.028358538314545</v>
      </c>
      <c r="F1777" s="7" t="str">
        <f aca="false">IFERROR(INDEX(02_轉折點45個!B:B,MATCH(A1777,02_轉折點45個!A:A,0)),"")</f>
        <v/>
      </c>
      <c r="G1777" s="7" t="s">
        <v>1994</v>
      </c>
    </row>
    <row r="1778" customFormat="false" ht="15" hidden="false" customHeight="false" outlineLevel="0" collapsed="false">
      <c r="A1778" s="7" t="s">
        <v>3483</v>
      </c>
      <c r="B1778" s="7" t="n">
        <v>2065.27</v>
      </c>
      <c r="C1778" s="7" t="n">
        <f aca="false">AVERAGE(B1729:B1778)</f>
        <v>2059.4952</v>
      </c>
      <c r="D1778" s="7" t="n">
        <f aca="false">AVERAGE(B1579:B1778)</f>
        <v>1947.22135</v>
      </c>
      <c r="E1778" s="7" t="n">
        <f aca="false">B1778/MAX(B1527:B1778)-1</f>
        <v>-0.0303304896542981</v>
      </c>
      <c r="F1778" s="7" t="str">
        <f aca="false">IFERROR(INDEX(02_轉折點45個!B:B,MATCH(A1778,02_轉折點45個!A:A,0)),"")</f>
        <v/>
      </c>
      <c r="G1778" s="7" t="s">
        <v>1994</v>
      </c>
    </row>
    <row r="1779" customFormat="false" ht="15" hidden="false" customHeight="false" outlineLevel="0" collapsed="false">
      <c r="A1779" s="7" t="s">
        <v>3484</v>
      </c>
      <c r="B1779" s="7" t="n">
        <v>2085.69</v>
      </c>
      <c r="C1779" s="7" t="n">
        <f aca="false">AVERAGE(B1730:B1779)</f>
        <v>2060.9666</v>
      </c>
      <c r="D1779" s="7" t="n">
        <f aca="false">AVERAGE(B1580:B1779)</f>
        <v>1948.4894</v>
      </c>
      <c r="E1779" s="7" t="n">
        <f aca="false">B1779/MAX(B1528:B1779)-1</f>
        <v>-0.0207430500453079</v>
      </c>
      <c r="F1779" s="7" t="str">
        <f aca="false">IFERROR(INDEX(02_轉折點45個!B:B,MATCH(A1779,02_轉折點45個!A:A,0)),"")</f>
        <v/>
      </c>
      <c r="G1779" s="7" t="s">
        <v>1994</v>
      </c>
    </row>
    <row r="1780" customFormat="false" ht="15" hidden="false" customHeight="false" outlineLevel="0" collapsed="false">
      <c r="A1780" s="7" t="s">
        <v>3485</v>
      </c>
      <c r="B1780" s="7" t="n">
        <v>2105.08</v>
      </c>
      <c r="C1780" s="7" t="n">
        <f aca="false">AVERAGE(B1731:B1780)</f>
        <v>2062.8536</v>
      </c>
      <c r="D1780" s="7" t="n">
        <f aca="false">AVERAGE(B1581:B1780)</f>
        <v>1949.99615</v>
      </c>
      <c r="E1780" s="7" t="n">
        <f aca="false">B1780/MAX(B1529:B1780)-1</f>
        <v>-0.011639208026781</v>
      </c>
      <c r="F1780" s="7" t="str">
        <f aca="false">IFERROR(INDEX(02_轉折點45個!B:B,MATCH(A1780,02_轉折點45個!A:A,0)),"")</f>
        <v/>
      </c>
      <c r="G1780" s="7" t="s">
        <v>1994</v>
      </c>
    </row>
    <row r="1781" customFormat="false" ht="15" hidden="false" customHeight="false" outlineLevel="0" collapsed="false">
      <c r="A1781" s="7" t="s">
        <v>3486</v>
      </c>
      <c r="B1781" s="7" t="n">
        <v>2107.41</v>
      </c>
      <c r="C1781" s="7" t="n">
        <f aca="false">AVERAGE(B1732:B1781)</f>
        <v>2065.0468</v>
      </c>
      <c r="D1781" s="7" t="n">
        <f aca="false">AVERAGE(B1582:B1781)</f>
        <v>1951.6409</v>
      </c>
      <c r="E1781" s="7" t="n">
        <f aca="false">B1781/MAX(B1530:B1781)-1</f>
        <v>-0.0105452445454418</v>
      </c>
      <c r="F1781" s="7" t="str">
        <f aca="false">IFERROR(INDEX(02_轉折點45個!B:B,MATCH(A1781,02_轉折點45個!A:A,0)),"")</f>
        <v/>
      </c>
      <c r="G1781" s="7" t="s">
        <v>1994</v>
      </c>
    </row>
    <row r="1782" customFormat="false" ht="15" hidden="false" customHeight="false" outlineLevel="0" collapsed="false">
      <c r="A1782" s="7" t="s">
        <v>3487</v>
      </c>
      <c r="B1782" s="7" t="n">
        <v>2106.53</v>
      </c>
      <c r="C1782" s="7" t="n">
        <f aca="false">AVERAGE(B1733:B1782)</f>
        <v>2067.2008</v>
      </c>
      <c r="D1782" s="7" t="n">
        <f aca="false">AVERAGE(B1583:B1782)</f>
        <v>1953.4574</v>
      </c>
      <c r="E1782" s="7" t="n">
        <f aca="false">B1782/MAX(B1531:B1782)-1</f>
        <v>-0.0109584153023422</v>
      </c>
      <c r="F1782" s="7" t="str">
        <f aca="false">IFERROR(INDEX(02_轉折點45個!B:B,MATCH(A1782,02_轉折點45個!A:A,0)),"")</f>
        <v/>
      </c>
      <c r="G1782" s="7" t="s">
        <v>1994</v>
      </c>
    </row>
    <row r="1783" customFormat="false" ht="15" hidden="false" customHeight="false" outlineLevel="0" collapsed="false">
      <c r="A1783" s="7" t="s">
        <v>3488</v>
      </c>
      <c r="B1783" s="7" t="n">
        <v>2110.86</v>
      </c>
      <c r="C1783" s="7" t="n">
        <f aca="false">AVERAGE(B1734:B1783)</f>
        <v>2068.847</v>
      </c>
      <c r="D1783" s="7" t="n">
        <f aca="false">AVERAGE(B1584:B1783)</f>
        <v>1955.27375</v>
      </c>
      <c r="E1783" s="7" t="n">
        <f aca="false">B1783/MAX(B1532:B1783)-1</f>
        <v>-0.00892542737350155</v>
      </c>
      <c r="F1783" s="7" t="str">
        <f aca="false">IFERROR(INDEX(02_轉折點45個!B:B,MATCH(A1783,02_轉折點45個!A:A,0)),"")</f>
        <v/>
      </c>
      <c r="G1783" s="7" t="s">
        <v>1994</v>
      </c>
    </row>
    <row r="1784" customFormat="false" ht="15" hidden="false" customHeight="false" outlineLevel="0" collapsed="false">
      <c r="A1784" s="7" t="s">
        <v>3489</v>
      </c>
      <c r="B1784" s="7" t="n">
        <v>2084.38</v>
      </c>
      <c r="C1784" s="7" t="n">
        <f aca="false">AVERAGE(B1735:B1784)</f>
        <v>2069.8428</v>
      </c>
      <c r="D1784" s="7" t="n">
        <f aca="false">AVERAGE(B1585:B1784)</f>
        <v>1956.8689</v>
      </c>
      <c r="E1784" s="7" t="n">
        <f aca="false">B1784/MAX(B1533:B1784)-1</f>
        <v>-0.0213581110584213</v>
      </c>
      <c r="F1784" s="7" t="str">
        <f aca="false">IFERROR(INDEX(02_轉折點45個!B:B,MATCH(A1784,02_轉折點45個!A:A,0)),"")</f>
        <v/>
      </c>
      <c r="G1784" s="7" t="s">
        <v>1994</v>
      </c>
    </row>
    <row r="1785" customFormat="false" ht="15" hidden="false" customHeight="false" outlineLevel="0" collapsed="false">
      <c r="A1785" s="7" t="s">
        <v>3490</v>
      </c>
      <c r="B1785" s="7" t="n">
        <v>2067.03</v>
      </c>
      <c r="C1785" s="7" t="n">
        <f aca="false">AVERAGE(B1736:B1785)</f>
        <v>2070.2248</v>
      </c>
      <c r="D1785" s="7" t="n">
        <f aca="false">AVERAGE(B1586:B1785)</f>
        <v>1958.46225</v>
      </c>
      <c r="E1785" s="7" t="n">
        <f aca="false">B1785/MAX(B1534:B1785)-1</f>
        <v>-0.0295041481404967</v>
      </c>
      <c r="F1785" s="7" t="str">
        <f aca="false">IFERROR(INDEX(02_轉折點45個!B:B,MATCH(A1785,02_轉折點45個!A:A,0)),"")</f>
        <v/>
      </c>
      <c r="G1785" s="7" t="s">
        <v>1994</v>
      </c>
    </row>
    <row r="1786" customFormat="false" ht="15" hidden="false" customHeight="false" outlineLevel="0" collapsed="false">
      <c r="A1786" s="7" t="s">
        <v>647</v>
      </c>
      <c r="B1786" s="7" t="n">
        <v>2063.58</v>
      </c>
      <c r="C1786" s="7" t="n">
        <f aca="false">AVERAGE(B1737:B1786)</f>
        <v>2070.3206</v>
      </c>
      <c r="D1786" s="7" t="n">
        <f aca="false">AVERAGE(B1587:B1786)</f>
        <v>1959.81615</v>
      </c>
      <c r="E1786" s="7" t="n">
        <f aca="false">B1786/MAX(B1535:B1786)-1</f>
        <v>-0.0311239653124369</v>
      </c>
      <c r="F1786" s="7" t="str">
        <f aca="false">IFERROR(INDEX(02_轉折點45個!B:B,MATCH(A1786,02_轉折點45個!A:A,0)),"")</f>
        <v/>
      </c>
      <c r="G1786" s="7" t="s">
        <v>1994</v>
      </c>
    </row>
    <row r="1787" customFormat="false" ht="15" hidden="false" customHeight="false" outlineLevel="0" collapsed="false">
      <c r="A1787" s="7" t="s">
        <v>3491</v>
      </c>
      <c r="B1787" s="7" t="n">
        <v>2050.93</v>
      </c>
      <c r="C1787" s="7" t="n">
        <f aca="false">AVERAGE(B1738:B1787)</f>
        <v>2070.046</v>
      </c>
      <c r="D1787" s="7" t="n">
        <f aca="false">AVERAGE(B1588:B1787)</f>
        <v>1961.2448</v>
      </c>
      <c r="E1787" s="7" t="n">
        <f aca="false">B1787/MAX(B1536:B1787)-1</f>
        <v>-0.0370632949428839</v>
      </c>
      <c r="F1787" s="7" t="str">
        <f aca="false">IFERROR(INDEX(02_轉折點45個!B:B,MATCH(A1787,02_轉折點45個!A:A,0)),"")</f>
        <v/>
      </c>
      <c r="G1787" s="7" t="s">
        <v>1994</v>
      </c>
    </row>
    <row r="1788" customFormat="false" ht="15" hidden="false" customHeight="false" outlineLevel="0" collapsed="false">
      <c r="A1788" s="7" t="s">
        <v>3492</v>
      </c>
      <c r="B1788" s="7" t="n">
        <v>2071.05</v>
      </c>
      <c r="C1788" s="7" t="n">
        <f aca="false">AVERAGE(B1739:B1788)</f>
        <v>2070.1186</v>
      </c>
      <c r="D1788" s="7" t="n">
        <f aca="false">AVERAGE(B1589:B1788)</f>
        <v>1962.68915</v>
      </c>
      <c r="E1788" s="7" t="n">
        <f aca="false">B1788/MAX(B1537:B1788)-1</f>
        <v>-0.0276167090010188</v>
      </c>
      <c r="F1788" s="7" t="str">
        <f aca="false">IFERROR(INDEX(02_轉折點45個!B:B,MATCH(A1788,02_轉折點45個!A:A,0)),"")</f>
        <v/>
      </c>
      <c r="G1788" s="7" t="s">
        <v>1994</v>
      </c>
    </row>
    <row r="1789" customFormat="false" ht="15" hidden="false" customHeight="false" outlineLevel="0" collapsed="false">
      <c r="A1789" s="7" t="s">
        <v>648</v>
      </c>
      <c r="B1789" s="7" t="n">
        <v>2060.9</v>
      </c>
      <c r="C1789" s="7" t="n">
        <f aca="false">AVERAGE(B1740:B1789)</f>
        <v>2070.42</v>
      </c>
      <c r="D1789" s="7" t="n">
        <f aca="false">AVERAGE(B1590:B1789)</f>
        <v>1964.18935</v>
      </c>
      <c r="E1789" s="7" t="n">
        <f aca="false">B1789/MAX(B1538:B1789)-1</f>
        <v>-0.0323822580720888</v>
      </c>
      <c r="F1789" s="7" t="str">
        <f aca="false">IFERROR(INDEX(02_轉折點45個!B:B,MATCH(A1789,02_轉折點45個!A:A,0)),"")</f>
        <v/>
      </c>
      <c r="G1789" s="7" t="s">
        <v>1994</v>
      </c>
    </row>
    <row r="1790" customFormat="false" ht="15" hidden="false" customHeight="false" outlineLevel="0" collapsed="false">
      <c r="A1790" s="7" t="s">
        <v>649</v>
      </c>
      <c r="B1790" s="7" t="n">
        <v>2066.39</v>
      </c>
      <c r="C1790" s="7" t="n">
        <f aca="false">AVERAGE(B1741:B1790)</f>
        <v>2070.953</v>
      </c>
      <c r="D1790" s="7" t="n">
        <f aca="false">AVERAGE(B1591:B1790)</f>
        <v>1965.70335</v>
      </c>
      <c r="E1790" s="7" t="n">
        <f aca="false">B1790/MAX(B1539:B1790)-1</f>
        <v>-0.0298046359636973</v>
      </c>
      <c r="F1790" s="7" t="str">
        <f aca="false">IFERROR(INDEX(02_轉折點45個!B:B,MATCH(A1790,02_轉折點45個!A:A,0)),"")</f>
        <v/>
      </c>
      <c r="G1790" s="7" t="s">
        <v>1994</v>
      </c>
    </row>
    <row r="1791" customFormat="false" ht="15" hidden="false" customHeight="false" outlineLevel="0" collapsed="false">
      <c r="A1791" s="7" t="s">
        <v>3493</v>
      </c>
      <c r="B1791" s="7" t="n">
        <v>2046.23</v>
      </c>
      <c r="C1791" s="7" t="n">
        <f aca="false">AVERAGE(B1742:B1791)</f>
        <v>2071.0808</v>
      </c>
      <c r="D1791" s="7" t="n">
        <f aca="false">AVERAGE(B1592:B1791)</f>
        <v>1967.23645</v>
      </c>
      <c r="E1791" s="7" t="n">
        <f aca="false">B1791/MAX(B1540:B1791)-1</f>
        <v>-0.0392700023945123</v>
      </c>
      <c r="F1791" s="7" t="str">
        <f aca="false">IFERROR(INDEX(02_轉折點45個!B:B,MATCH(A1791,02_轉折點45個!A:A,0)),"")</f>
        <v/>
      </c>
      <c r="G1791" s="7" t="s">
        <v>1994</v>
      </c>
    </row>
    <row r="1792" customFormat="false" ht="15" hidden="false" customHeight="false" outlineLevel="0" collapsed="false">
      <c r="A1792" s="7" t="s">
        <v>3494</v>
      </c>
      <c r="B1792" s="7" t="n">
        <v>2066.66</v>
      </c>
      <c r="C1792" s="7" t="n">
        <f aca="false">AVERAGE(B1743:B1792)</f>
        <v>2070.9896</v>
      </c>
      <c r="D1792" s="7" t="n">
        <f aca="false">AVERAGE(B1593:B1792)</f>
        <v>1968.7919</v>
      </c>
      <c r="E1792" s="7" t="n">
        <f aca="false">B1792/MAX(B1541:B1792)-1</f>
        <v>-0.0296778676632846</v>
      </c>
      <c r="F1792" s="7" t="str">
        <f aca="false">IFERROR(INDEX(02_轉折點45個!B:B,MATCH(A1792,02_轉折點45個!A:A,0)),"")</f>
        <v/>
      </c>
      <c r="G1792" s="7" t="s">
        <v>1994</v>
      </c>
    </row>
    <row r="1793" customFormat="false" ht="15" hidden="false" customHeight="false" outlineLevel="0" collapsed="false">
      <c r="A1793" s="7" t="s">
        <v>3495</v>
      </c>
      <c r="B1793" s="7" t="n">
        <v>2079.68</v>
      </c>
      <c r="C1793" s="7" t="n">
        <f aca="false">AVERAGE(B1744:B1793)</f>
        <v>2071.0454</v>
      </c>
      <c r="D1793" s="7" t="n">
        <f aca="false">AVERAGE(B1594:B1793)</f>
        <v>1970.3805</v>
      </c>
      <c r="E1793" s="7" t="n">
        <f aca="false">B1793/MAX(B1542:B1793)-1</f>
        <v>-0.02356481851005</v>
      </c>
      <c r="F1793" s="7" t="str">
        <f aca="false">IFERROR(INDEX(02_轉折點45個!B:B,MATCH(A1793,02_轉折點45個!A:A,0)),"")</f>
        <v/>
      </c>
      <c r="G1793" s="7" t="s">
        <v>1994</v>
      </c>
    </row>
    <row r="1794" customFormat="false" ht="15" hidden="false" customHeight="false" outlineLevel="0" collapsed="false">
      <c r="A1794" s="7" t="s">
        <v>3496</v>
      </c>
      <c r="B1794" s="7" t="n">
        <v>2096.31</v>
      </c>
      <c r="C1794" s="7" t="n">
        <f aca="false">AVERAGE(B1745:B1794)</f>
        <v>2071.7212</v>
      </c>
      <c r="D1794" s="7" t="n">
        <f aca="false">AVERAGE(B1595:B1794)</f>
        <v>1972.03205</v>
      </c>
      <c r="E1794" s="7" t="n">
        <f aca="false">B1794/MAX(B1543:B1794)-1</f>
        <v>-0.015756830229075</v>
      </c>
      <c r="F1794" s="7" t="str">
        <f aca="false">IFERROR(INDEX(02_轉折點45個!B:B,MATCH(A1794,02_轉折點45個!A:A,0)),"")</f>
        <v/>
      </c>
      <c r="G1794" s="7" t="s">
        <v>1994</v>
      </c>
    </row>
    <row r="1795" customFormat="false" ht="15" hidden="false" customHeight="false" outlineLevel="0" collapsed="false">
      <c r="A1795" s="7" t="s">
        <v>3497</v>
      </c>
      <c r="B1795" s="7" t="n">
        <v>2085.1</v>
      </c>
      <c r="C1795" s="7" t="n">
        <f aca="false">AVERAGE(B1746:B1795)</f>
        <v>2072.1158</v>
      </c>
      <c r="D1795" s="7" t="n">
        <f aca="false">AVERAGE(B1596:B1795)</f>
        <v>1973.49435</v>
      </c>
      <c r="E1795" s="7" t="n">
        <f aca="false">B1795/MAX(B1544:B1795)-1</f>
        <v>-0.0210200622573209</v>
      </c>
      <c r="F1795" s="7" t="str">
        <f aca="false">IFERROR(INDEX(02_轉折點45個!B:B,MATCH(A1795,02_轉折點45個!A:A,0)),"")</f>
        <v/>
      </c>
      <c r="G1795" s="7" t="s">
        <v>1994</v>
      </c>
    </row>
    <row r="1796" customFormat="false" ht="15" hidden="false" customHeight="false" outlineLevel="0" collapsed="false">
      <c r="A1796" s="7" t="s">
        <v>3498</v>
      </c>
      <c r="B1796" s="7" t="n">
        <v>2067.38</v>
      </c>
      <c r="C1796" s="7" t="n">
        <f aca="false">AVERAGE(B1747:B1796)</f>
        <v>2072.316</v>
      </c>
      <c r="D1796" s="7" t="n">
        <f aca="false">AVERAGE(B1597:B1796)</f>
        <v>1974.87</v>
      </c>
      <c r="E1796" s="7" t="n">
        <f aca="false">B1796/MAX(B1545:B1796)-1</f>
        <v>-0.029339818862184</v>
      </c>
      <c r="F1796" s="7" t="str">
        <f aca="false">IFERROR(INDEX(02_轉折點45個!B:B,MATCH(A1796,02_轉折點45個!A:A,0)),"")</f>
        <v/>
      </c>
      <c r="G1796" s="7" t="s">
        <v>1994</v>
      </c>
    </row>
    <row r="1797" customFormat="false" ht="15" hidden="false" customHeight="false" outlineLevel="0" collapsed="false">
      <c r="A1797" s="7" t="s">
        <v>3499</v>
      </c>
      <c r="B1797" s="7" t="n">
        <v>2085.84</v>
      </c>
      <c r="C1797" s="7" t="n">
        <f aca="false">AVERAGE(B1748:B1797)</f>
        <v>2072.9868</v>
      </c>
      <c r="D1797" s="7" t="n">
        <f aca="false">AVERAGE(B1598:B1797)</f>
        <v>1976.3126</v>
      </c>
      <c r="E1797" s="7" t="n">
        <f aca="false">B1797/MAX(B1546:B1797)-1</f>
        <v>-0.0206726232117452</v>
      </c>
      <c r="F1797" s="7" t="str">
        <f aca="false">IFERROR(INDEX(02_轉折點45個!B:B,MATCH(A1797,02_轉折點45個!A:A,0)),"")</f>
        <v/>
      </c>
      <c r="G1797" s="7" t="s">
        <v>1994</v>
      </c>
    </row>
    <row r="1798" customFormat="false" ht="15" hidden="false" customHeight="false" outlineLevel="0" collapsed="false">
      <c r="A1798" s="7" t="s">
        <v>3500</v>
      </c>
      <c r="B1798" s="7" t="n">
        <v>2082.32</v>
      </c>
      <c r="C1798" s="7" t="n">
        <f aca="false">AVERAGE(B1749:B1798)</f>
        <v>2073.3994</v>
      </c>
      <c r="D1798" s="7" t="n">
        <f aca="false">AVERAGE(B1599:B1798)</f>
        <v>1977.68135</v>
      </c>
      <c r="E1798" s="7" t="n">
        <f aca="false">B1798/MAX(B1547:B1798)-1</f>
        <v>-0.0223253062393478</v>
      </c>
      <c r="F1798" s="7" t="str">
        <f aca="false">IFERROR(INDEX(02_轉折點45個!B:B,MATCH(A1798,02_轉折點45個!A:A,0)),"")</f>
        <v/>
      </c>
      <c r="G1798" s="7" t="s">
        <v>1994</v>
      </c>
    </row>
    <row r="1799" customFormat="false" ht="15" hidden="false" customHeight="false" outlineLevel="0" collapsed="false">
      <c r="A1799" s="7" t="s">
        <v>3501</v>
      </c>
      <c r="B1799" s="7" t="n">
        <v>2089.38</v>
      </c>
      <c r="C1799" s="7" t="n">
        <f aca="false">AVERAGE(B1750:B1799)</f>
        <v>2073.8762</v>
      </c>
      <c r="D1799" s="7" t="n">
        <f aca="false">AVERAGE(B1600:B1799)</f>
        <v>1979.1626</v>
      </c>
      <c r="E1799" s="7" t="n">
        <f aca="false">B1799/MAX(B1548:B1799)-1</f>
        <v>-0.0190105499396676</v>
      </c>
      <c r="F1799" s="7" t="str">
        <f aca="false">IFERROR(INDEX(02_轉折點45個!B:B,MATCH(A1799,02_轉折點45個!A:A,0)),"")</f>
        <v/>
      </c>
      <c r="G1799" s="7" t="s">
        <v>1994</v>
      </c>
    </row>
    <row r="1800" customFormat="false" ht="15" hidden="false" customHeight="false" outlineLevel="0" collapsed="false">
      <c r="A1800" s="7" t="s">
        <v>3502</v>
      </c>
      <c r="B1800" s="7" t="n">
        <v>2107.78</v>
      </c>
      <c r="C1800" s="7" t="n">
        <f aca="false">AVERAGE(B1751:B1800)</f>
        <v>2074.647</v>
      </c>
      <c r="D1800" s="7" t="n">
        <f aca="false">AVERAGE(B1601:B1800)</f>
        <v>1980.69575</v>
      </c>
      <c r="E1800" s="7" t="n">
        <f aca="false">B1800/MAX(B1549:B1800)-1</f>
        <v>-0.0103715250226538</v>
      </c>
      <c r="F1800" s="7" t="str">
        <f aca="false">IFERROR(INDEX(02_轉折點45個!B:B,MATCH(A1800,02_轉折點45個!A:A,0)),"")</f>
        <v/>
      </c>
      <c r="G1800" s="7" t="s">
        <v>1994</v>
      </c>
    </row>
    <row r="1801" customFormat="false" ht="15" hidden="false" customHeight="false" outlineLevel="0" collapsed="false">
      <c r="A1801" s="7" t="s">
        <v>650</v>
      </c>
      <c r="B1801" s="7" t="n">
        <v>2084.22</v>
      </c>
      <c r="C1801" s="7" t="n">
        <f aca="false">AVERAGE(B1752:B1801)</f>
        <v>2074.9906</v>
      </c>
      <c r="D1801" s="7" t="n">
        <f aca="false">AVERAGE(B1602:B1801)</f>
        <v>1982.1461</v>
      </c>
      <c r="E1801" s="7" t="n">
        <f aca="false">B1801/MAX(B1550:B1801)-1</f>
        <v>-0.0214332330142216</v>
      </c>
      <c r="F1801" s="7" t="str">
        <f aca="false">IFERROR(INDEX(02_轉折點45個!B:B,MATCH(A1801,02_轉折點45個!A:A,0)),"")</f>
        <v/>
      </c>
      <c r="G1801" s="7" t="s">
        <v>1994</v>
      </c>
    </row>
    <row r="1802" customFormat="false" ht="15" hidden="false" customHeight="false" outlineLevel="0" collapsed="false">
      <c r="A1802" s="7" t="s">
        <v>3503</v>
      </c>
      <c r="B1802" s="7" t="n">
        <v>2114.59</v>
      </c>
      <c r="C1802" s="7" t="n">
        <f aca="false">AVERAGE(B1753:B1802)</f>
        <v>2075.9774</v>
      </c>
      <c r="D1802" s="7" t="n">
        <f aca="false">AVERAGE(B1603:B1802)</f>
        <v>1983.6894</v>
      </c>
      <c r="E1802" s="7" t="n">
        <f aca="false">B1802/MAX(B1551:B1802)-1</f>
        <v>-0.00717414677891126</v>
      </c>
      <c r="F1802" s="7" t="str">
        <f aca="false">IFERROR(INDEX(02_轉折點45個!B:B,MATCH(A1802,02_轉折點45個!A:A,0)),"")</f>
        <v/>
      </c>
      <c r="G1802" s="7" t="s">
        <v>1994</v>
      </c>
    </row>
    <row r="1803" customFormat="false" ht="15" hidden="false" customHeight="false" outlineLevel="0" collapsed="false">
      <c r="A1803" s="7" t="s">
        <v>3504</v>
      </c>
      <c r="B1803" s="7" t="n">
        <v>2111.37</v>
      </c>
      <c r="C1803" s="7" t="n">
        <f aca="false">AVERAGE(B1754:B1803)</f>
        <v>2077.0488</v>
      </c>
      <c r="D1803" s="7" t="n">
        <f aca="false">AVERAGE(B1604:B1803)</f>
        <v>1985.13595</v>
      </c>
      <c r="E1803" s="7" t="n">
        <f aca="false">B1803/MAX(B1552:B1803)-1</f>
        <v>-0.00868597613938882</v>
      </c>
      <c r="F1803" s="7" t="str">
        <f aca="false">IFERROR(INDEX(02_轉折點45個!B:B,MATCH(A1803,02_轉折點45個!A:A,0)),"")</f>
        <v/>
      </c>
      <c r="G1803" s="7" t="s">
        <v>1994</v>
      </c>
    </row>
    <row r="1804" customFormat="false" ht="15" hidden="false" customHeight="false" outlineLevel="0" collapsed="false">
      <c r="A1804" s="7" t="s">
        <v>651</v>
      </c>
      <c r="B1804" s="7" t="n">
        <v>2103.59</v>
      </c>
      <c r="C1804" s="7" t="n">
        <f aca="false">AVERAGE(B1755:B1804)</f>
        <v>2078.508</v>
      </c>
      <c r="D1804" s="7" t="n">
        <f aca="false">AVERAGE(B1605:B1804)</f>
        <v>1986.4992</v>
      </c>
      <c r="E1804" s="7" t="n">
        <f aca="false">B1804/MAX(B1553:B1804)-1</f>
        <v>-0.0123387812401695</v>
      </c>
      <c r="F1804" s="7" t="str">
        <f aca="false">IFERROR(INDEX(02_轉折點45個!B:B,MATCH(A1804,02_轉折點45個!A:A,0)),"")</f>
        <v/>
      </c>
      <c r="G1804" s="7" t="s">
        <v>1994</v>
      </c>
    </row>
    <row r="1805" customFormat="false" ht="15" hidden="false" customHeight="false" outlineLevel="0" collapsed="false">
      <c r="A1805" s="7" t="s">
        <v>3505</v>
      </c>
      <c r="B1805" s="7" t="n">
        <v>2088.45</v>
      </c>
      <c r="C1805" s="7" t="n">
        <f aca="false">AVERAGE(B1756:B1805)</f>
        <v>2079.6702</v>
      </c>
      <c r="D1805" s="7" t="n">
        <f aca="false">AVERAGE(B1606:B1805)</f>
        <v>1987.6657</v>
      </c>
      <c r="E1805" s="7" t="n">
        <f aca="false">B1805/MAX(B1554:B1805)-1</f>
        <v>-0.0194471963077559</v>
      </c>
      <c r="F1805" s="7" t="str">
        <f aca="false">IFERROR(INDEX(02_轉折點45個!B:B,MATCH(A1805,02_轉折點45個!A:A,0)),"")</f>
        <v/>
      </c>
      <c r="G1805" s="7" t="s">
        <v>1994</v>
      </c>
    </row>
    <row r="1806" customFormat="false" ht="15" hidden="false" customHeight="false" outlineLevel="0" collapsed="false">
      <c r="A1806" s="7" t="s">
        <v>3506</v>
      </c>
      <c r="B1806" s="7" t="n">
        <v>2072.33</v>
      </c>
      <c r="C1806" s="7" t="n">
        <f aca="false">AVERAGE(B1757:B1806)</f>
        <v>2080.3412</v>
      </c>
      <c r="D1806" s="7" t="n">
        <f aca="false">AVERAGE(B1607:B1806)</f>
        <v>1988.6971</v>
      </c>
      <c r="E1806" s="7" t="n">
        <f aca="false">B1806/MAX(B1555:B1806)-1</f>
        <v>-0.0270157333546178</v>
      </c>
      <c r="F1806" s="7" t="str">
        <f aca="false">IFERROR(INDEX(02_轉折點45個!B:B,MATCH(A1806,02_轉折點45個!A:A,0)),"")</f>
        <v/>
      </c>
      <c r="G1806" s="7" t="s">
        <v>1994</v>
      </c>
    </row>
    <row r="1807" customFormat="false" ht="15" hidden="false" customHeight="false" outlineLevel="0" collapsed="false">
      <c r="A1807" s="7" t="s">
        <v>652</v>
      </c>
      <c r="B1807" s="7" t="n">
        <v>2071.49</v>
      </c>
      <c r="C1807" s="7" t="n">
        <f aca="false">AVERAGE(B1758:B1807)</f>
        <v>2080.7244</v>
      </c>
      <c r="D1807" s="7" t="n">
        <f aca="false">AVERAGE(B1608:B1807)</f>
        <v>1989.7068</v>
      </c>
      <c r="E1807" s="7" t="n">
        <f aca="false">B1807/MAX(B1556:B1807)-1</f>
        <v>-0.0274101236225686</v>
      </c>
      <c r="F1807" s="7" t="str">
        <f aca="false">IFERROR(INDEX(02_轉折點45個!B:B,MATCH(A1807,02_轉折點45個!A:A,0)),"")</f>
        <v/>
      </c>
      <c r="G1807" s="7" t="s">
        <v>1994</v>
      </c>
    </row>
    <row r="1808" customFormat="false" ht="15" hidden="false" customHeight="false" outlineLevel="0" collapsed="false">
      <c r="A1808" s="7" t="s">
        <v>3507</v>
      </c>
      <c r="B1808" s="7" t="n">
        <v>2055.28</v>
      </c>
      <c r="C1808" s="7" t="n">
        <f aca="false">AVERAGE(B1759:B1808)</f>
        <v>2080.7298</v>
      </c>
      <c r="D1808" s="7" t="n">
        <f aca="false">AVERAGE(B1609:B1808)</f>
        <v>1990.5887</v>
      </c>
      <c r="E1808" s="7" t="n">
        <f aca="false">B1808/MAX(B1557:B1808)-1</f>
        <v>-0.035020916769568</v>
      </c>
      <c r="F1808" s="7" t="str">
        <f aca="false">IFERROR(INDEX(02_轉折點45個!B:B,MATCH(A1808,02_轉折點45個!A:A,0)),"")</f>
        <v/>
      </c>
      <c r="G1808" s="7" t="s">
        <v>1994</v>
      </c>
    </row>
    <row r="1809" customFormat="false" ht="15" hidden="false" customHeight="false" outlineLevel="0" collapsed="false">
      <c r="A1809" s="7" t="s">
        <v>3508</v>
      </c>
      <c r="B1809" s="7" t="n">
        <v>2066.54</v>
      </c>
      <c r="C1809" s="7" t="n">
        <f aca="false">AVERAGE(B1760:B1809)</f>
        <v>2081.372</v>
      </c>
      <c r="D1809" s="7" t="n">
        <f aca="false">AVERAGE(B1610:B1809)</f>
        <v>1991.5042</v>
      </c>
      <c r="E1809" s="7" t="n">
        <f aca="false">B1809/MAX(B1558:B1809)-1</f>
        <v>-0.0297342091301347</v>
      </c>
      <c r="F1809" s="7" t="str">
        <f aca="false">IFERROR(INDEX(02_轉折點45個!B:B,MATCH(A1809,02_轉折點45個!A:A,0)),"")</f>
        <v/>
      </c>
      <c r="G1809" s="7" t="s">
        <v>1994</v>
      </c>
    </row>
    <row r="1810" customFormat="false" ht="15" hidden="false" customHeight="false" outlineLevel="0" collapsed="false">
      <c r="A1810" s="7" t="s">
        <v>3509</v>
      </c>
      <c r="B1810" s="7" t="n">
        <v>2071.1</v>
      </c>
      <c r="C1810" s="7" t="n">
        <f aca="false">AVERAGE(B1761:B1810)</f>
        <v>2082.068</v>
      </c>
      <c r="D1810" s="7" t="n">
        <f aca="false">AVERAGE(B1611:B1810)</f>
        <v>1992.49505</v>
      </c>
      <c r="E1810" s="7" t="n">
        <f aca="false">B1810/MAX(B1559:B1810)-1</f>
        <v>-0.0275932333898313</v>
      </c>
      <c r="F1810" s="7" t="str">
        <f aca="false">IFERROR(INDEX(02_轉折點45個!B:B,MATCH(A1810,02_轉折點45個!A:A,0)),"")</f>
        <v/>
      </c>
      <c r="G1810" s="7" t="s">
        <v>1994</v>
      </c>
    </row>
    <row r="1811" customFormat="false" ht="15" hidden="false" customHeight="false" outlineLevel="0" collapsed="false">
      <c r="A1811" s="7" t="s">
        <v>3510</v>
      </c>
      <c r="B1811" s="7" t="n">
        <v>2097.47</v>
      </c>
      <c r="C1811" s="7" t="n">
        <f aca="false">AVERAGE(B1762:B1811)</f>
        <v>2083.4884</v>
      </c>
      <c r="D1811" s="7" t="n">
        <f aca="false">AVERAGE(B1612:B1811)</f>
        <v>1993.52125</v>
      </c>
      <c r="E1811" s="7" t="n">
        <f aca="false">B1811/MAX(B1560:B1811)-1</f>
        <v>-0.0152121960495242</v>
      </c>
      <c r="F1811" s="7" t="str">
        <f aca="false">IFERROR(INDEX(02_轉折點45個!B:B,MATCH(A1811,02_轉折點45個!A:A,0)),"")</f>
        <v/>
      </c>
      <c r="G1811" s="7" t="s">
        <v>1994</v>
      </c>
    </row>
    <row r="1812" customFormat="false" ht="15" hidden="false" customHeight="false" outlineLevel="0" collapsed="false">
      <c r="A1812" s="7" t="s">
        <v>3511</v>
      </c>
      <c r="B1812" s="7" t="n">
        <v>2112.03</v>
      </c>
      <c r="C1812" s="7" t="n">
        <f aca="false">AVERAGE(B1763:B1812)</f>
        <v>2085.4346</v>
      </c>
      <c r="D1812" s="7" t="n">
        <f aca="false">AVERAGE(B1613:B1812)</f>
        <v>1994.59975</v>
      </c>
      <c r="E1812" s="7" t="n">
        <f aca="false">B1812/MAX(B1561:B1812)-1</f>
        <v>-0.00837609807171313</v>
      </c>
      <c r="F1812" s="7" t="str">
        <f aca="false">IFERROR(INDEX(02_轉折點45個!B:B,MATCH(A1812,02_轉折點45個!A:A,0)),"")</f>
        <v/>
      </c>
      <c r="G1812" s="7" t="s">
        <v>1994</v>
      </c>
    </row>
    <row r="1813" customFormat="false" ht="15" hidden="false" customHeight="false" outlineLevel="0" collapsed="false">
      <c r="A1813" s="7" t="s">
        <v>3512</v>
      </c>
      <c r="B1813" s="7" t="n">
        <v>2100.82</v>
      </c>
      <c r="C1813" s="7" t="n">
        <f aca="false">AVERAGE(B1764:B1813)</f>
        <v>2086.4546</v>
      </c>
      <c r="D1813" s="7" t="n">
        <f aca="false">AVERAGE(B1614:B1813)</f>
        <v>1995.6565</v>
      </c>
      <c r="E1813" s="7" t="n">
        <f aca="false">B1813/MAX(B1562:B1813)-1</f>
        <v>-0.013639330099959</v>
      </c>
      <c r="F1813" s="7" t="str">
        <f aca="false">IFERROR(INDEX(02_轉折點45個!B:B,MATCH(A1813,02_轉折點45個!A:A,0)),"")</f>
        <v/>
      </c>
      <c r="G1813" s="7" t="s">
        <v>1994</v>
      </c>
    </row>
    <row r="1814" customFormat="false" ht="15" hidden="false" customHeight="false" outlineLevel="0" collapsed="false">
      <c r="A1814" s="7" t="s">
        <v>3513</v>
      </c>
      <c r="B1814" s="7" t="n">
        <v>2107.14</v>
      </c>
      <c r="C1814" s="7" t="n">
        <f aca="false">AVERAGE(B1765:B1814)</f>
        <v>2087.2406</v>
      </c>
      <c r="D1814" s="7" t="n">
        <f aca="false">AVERAGE(B1615:B1814)</f>
        <v>1996.65515</v>
      </c>
      <c r="E1814" s="7" t="n">
        <f aca="false">B1814/MAX(B1563:B1814)-1</f>
        <v>-0.0106720128458545</v>
      </c>
      <c r="F1814" s="7" t="str">
        <f aca="false">IFERROR(INDEX(02_轉折點45個!B:B,MATCH(A1814,02_轉折點45個!A:A,0)),"")</f>
        <v/>
      </c>
      <c r="G1814" s="7" t="s">
        <v>1994</v>
      </c>
    </row>
    <row r="1815" customFormat="false" ht="15" hidden="false" customHeight="false" outlineLevel="0" collapsed="false">
      <c r="A1815" s="7" t="s">
        <v>3514</v>
      </c>
      <c r="B1815" s="7" t="n">
        <v>2114.11</v>
      </c>
      <c r="C1815" s="7" t="n">
        <f aca="false">AVERAGE(B1766:B1815)</f>
        <v>2087.921</v>
      </c>
      <c r="D1815" s="7" t="n">
        <f aca="false">AVERAGE(B1616:B1815)</f>
        <v>1997.64325</v>
      </c>
      <c r="E1815" s="7" t="n">
        <f aca="false">B1815/MAX(B1564:B1815)-1</f>
        <v>-0.00739951264631167</v>
      </c>
      <c r="F1815" s="7" t="str">
        <f aca="false">IFERROR(INDEX(02_轉折點45個!B:B,MATCH(A1815,02_轉折點45個!A:A,0)),"")</f>
        <v/>
      </c>
      <c r="G1815" s="7" t="s">
        <v>1994</v>
      </c>
    </row>
    <row r="1816" customFormat="false" ht="15" hidden="false" customHeight="false" outlineLevel="0" collapsed="false">
      <c r="A1816" s="7" t="s">
        <v>3515</v>
      </c>
      <c r="B1816" s="7" t="n">
        <v>2095.95</v>
      </c>
      <c r="C1816" s="7" t="n">
        <f aca="false">AVERAGE(B1767:B1816)</f>
        <v>2087.713</v>
      </c>
      <c r="D1816" s="7" t="n">
        <f aca="false">AVERAGE(B1617:B1816)</f>
        <v>1998.661</v>
      </c>
      <c r="E1816" s="7" t="n">
        <f aca="false">B1816/MAX(B1565:B1816)-1</f>
        <v>-0.0159258546296254</v>
      </c>
      <c r="F1816" s="7" t="str">
        <f aca="false">IFERROR(INDEX(02_轉折點45個!B:B,MATCH(A1816,02_轉折點45個!A:A,0)),"")</f>
        <v/>
      </c>
      <c r="G1816" s="7" t="s">
        <v>1994</v>
      </c>
    </row>
    <row r="1817" customFormat="false" ht="15" hidden="false" customHeight="false" outlineLevel="0" collapsed="false">
      <c r="A1817" s="7" t="s">
        <v>3516</v>
      </c>
      <c r="B1817" s="7" t="n">
        <v>2104.28</v>
      </c>
      <c r="C1817" s="7" t="n">
        <f aca="false">AVERAGE(B1768:B1817)</f>
        <v>2087.4328</v>
      </c>
      <c r="D1817" s="7" t="n">
        <f aca="false">AVERAGE(B1618:B1817)</f>
        <v>1999.7006</v>
      </c>
      <c r="E1817" s="7" t="n">
        <f aca="false">B1817/MAX(B1566:B1817)-1</f>
        <v>-0.0120148178057814</v>
      </c>
      <c r="F1817" s="7" t="str">
        <f aca="false">IFERROR(INDEX(02_轉折點45個!B:B,MATCH(A1817,02_轉折點45個!A:A,0)),"")</f>
        <v/>
      </c>
      <c r="G1817" s="7" t="s">
        <v>1994</v>
      </c>
    </row>
    <row r="1818" customFormat="false" ht="15" hidden="false" customHeight="false" outlineLevel="0" collapsed="false">
      <c r="A1818" s="7" t="s">
        <v>3517</v>
      </c>
      <c r="B1818" s="7" t="n">
        <v>2101.35</v>
      </c>
      <c r="C1818" s="7" t="n">
        <f aca="false">AVERAGE(B1769:B1818)</f>
        <v>2087.0642</v>
      </c>
      <c r="D1818" s="7" t="n">
        <f aca="false">AVERAGE(B1619:B1818)</f>
        <v>2000.76485</v>
      </c>
      <c r="E1818" s="7" t="n">
        <f aca="false">B1818/MAX(B1567:B1818)-1</f>
        <v>-0.0133904886213713</v>
      </c>
      <c r="F1818" s="7" t="str">
        <f aca="false">IFERROR(INDEX(02_轉折點45個!B:B,MATCH(A1818,02_轉折點45個!A:A,0)),"")</f>
        <v/>
      </c>
      <c r="G1818" s="7" t="s">
        <v>1994</v>
      </c>
    </row>
    <row r="1819" customFormat="false" ht="15" hidden="false" customHeight="false" outlineLevel="0" collapsed="false">
      <c r="A1819" s="7" t="s">
        <v>3518</v>
      </c>
      <c r="B1819" s="7" t="n">
        <v>2112.93</v>
      </c>
      <c r="C1819" s="7" t="n">
        <f aca="false">AVERAGE(B1770:B1819)</f>
        <v>2086.7254</v>
      </c>
      <c r="D1819" s="7" t="n">
        <f aca="false">AVERAGE(B1620:B1819)</f>
        <v>2001.9189</v>
      </c>
      <c r="E1819" s="7" t="n">
        <f aca="false">B1819/MAX(B1568:B1819)-1</f>
        <v>-0.00795353707033764</v>
      </c>
      <c r="F1819" s="7" t="str">
        <f aca="false">IFERROR(INDEX(02_轉折點45個!B:B,MATCH(A1819,02_轉折點45個!A:A,0)),"")</f>
        <v/>
      </c>
      <c r="G1819" s="7" t="s">
        <v>1994</v>
      </c>
    </row>
    <row r="1820" customFormat="false" ht="15" hidden="false" customHeight="false" outlineLevel="0" collapsed="false">
      <c r="A1820" s="7" t="s">
        <v>653</v>
      </c>
      <c r="B1820" s="7" t="n">
        <v>2115.45</v>
      </c>
      <c r="C1820" s="7" t="n">
        <f aca="false">AVERAGE(B1771:B1820)</f>
        <v>2086.7052</v>
      </c>
      <c r="D1820" s="7" t="n">
        <f aca="false">AVERAGE(B1621:B1820)</f>
        <v>2003.0091</v>
      </c>
      <c r="E1820" s="7" t="n">
        <f aca="false">B1820/MAX(B1569:B1820)-1</f>
        <v>-0.00677036626648575</v>
      </c>
      <c r="F1820" s="7" t="str">
        <f aca="false">IFERROR(INDEX(02_轉折點45個!B:B,MATCH(A1820,02_轉折點45個!A:A,0)),"")</f>
        <v/>
      </c>
      <c r="G1820" s="7" t="s">
        <v>1994</v>
      </c>
    </row>
    <row r="1821" customFormat="false" ht="15" hidden="false" customHeight="false" outlineLevel="0" collapsed="false">
      <c r="A1821" s="7" t="s">
        <v>3519</v>
      </c>
      <c r="B1821" s="7" t="n">
        <v>2105.29</v>
      </c>
      <c r="C1821" s="7" t="n">
        <f aca="false">AVERAGE(B1772:B1821)</f>
        <v>2086.4754</v>
      </c>
      <c r="D1821" s="7" t="n">
        <f aca="false">AVERAGE(B1622:B1821)</f>
        <v>2004.11205</v>
      </c>
      <c r="E1821" s="7" t="n">
        <f aca="false">B1821/MAX(B1570:B1821)-1</f>
        <v>-0.0115406104597933</v>
      </c>
      <c r="F1821" s="7" t="str">
        <f aca="false">IFERROR(INDEX(02_轉折點45個!B:B,MATCH(A1821,02_轉折點45個!A:A,0)),"")</f>
        <v/>
      </c>
      <c r="G1821" s="7" t="s">
        <v>1994</v>
      </c>
    </row>
    <row r="1822" customFormat="false" ht="15" hidden="false" customHeight="false" outlineLevel="0" collapsed="false">
      <c r="A1822" s="7" t="s">
        <v>654</v>
      </c>
      <c r="B1822" s="7" t="n">
        <v>2135.73</v>
      </c>
      <c r="C1822" s="7" t="n">
        <f aca="false">AVERAGE(B1773:B1822)</f>
        <v>2087.1166</v>
      </c>
      <c r="D1822" s="7" t="n">
        <f aca="false">AVERAGE(B1623:B1822)</f>
        <v>2005.33995</v>
      </c>
      <c r="E1822" s="7" t="n">
        <f aca="false">B1822/MAX(B1571:B1822)-1</f>
        <v>0</v>
      </c>
      <c r="F1822" s="7" t="str">
        <f aca="false">IFERROR(INDEX(02_轉折點45個!B:B,MATCH(A1822,02_轉折點45個!A:A,0)),"")</f>
        <v/>
      </c>
      <c r="G1822" s="7" t="s">
        <v>1994</v>
      </c>
    </row>
    <row r="1823" customFormat="false" ht="15" hidden="false" customHeight="false" outlineLevel="0" collapsed="false">
      <c r="A1823" s="7" t="s">
        <v>655</v>
      </c>
      <c r="B1823" s="7" t="n">
        <v>2138.51</v>
      </c>
      <c r="C1823" s="7" t="n">
        <f aca="false">AVERAGE(B1774:B1823)</f>
        <v>2088.2344</v>
      </c>
      <c r="D1823" s="7" t="n">
        <f aca="false">AVERAGE(B1624:B1823)</f>
        <v>2006.5814</v>
      </c>
      <c r="E1823" s="7" t="n">
        <f aca="false">B1823/MAX(B1572:B1823)-1</f>
        <v>0</v>
      </c>
      <c r="F1823" s="7" t="str">
        <f aca="false">IFERROR(INDEX(02_轉折點45個!B:B,MATCH(A1823,02_轉折點45個!A:A,0)),"")</f>
        <v/>
      </c>
      <c r="G1823" s="7" t="s">
        <v>1994</v>
      </c>
    </row>
    <row r="1824" customFormat="false" ht="15" hidden="false" customHeight="false" outlineLevel="0" collapsed="false">
      <c r="A1824" s="7" t="s">
        <v>3520</v>
      </c>
      <c r="B1824" s="7" t="n">
        <v>2137.57</v>
      </c>
      <c r="C1824" s="7" t="n">
        <f aca="false">AVERAGE(B1775:B1824)</f>
        <v>2088.9284</v>
      </c>
      <c r="D1824" s="7" t="n">
        <f aca="false">AVERAGE(B1625:B1824)</f>
        <v>2007.7913</v>
      </c>
      <c r="E1824" s="7" t="n">
        <f aca="false">B1824/MAX(B1573:B1824)-1</f>
        <v>-0.000439558384108585</v>
      </c>
      <c r="F1824" s="7" t="str">
        <f aca="false">IFERROR(INDEX(02_轉折點45個!B:B,MATCH(A1824,02_轉折點45個!A:A,0)),"")</f>
        <v/>
      </c>
      <c r="G1824" s="7" t="s">
        <v>1994</v>
      </c>
    </row>
    <row r="1825" customFormat="false" ht="15" hidden="false" customHeight="false" outlineLevel="0" collapsed="false">
      <c r="A1825" s="7" t="s">
        <v>3521</v>
      </c>
      <c r="B1825" s="7" t="n">
        <v>2134.78</v>
      </c>
      <c r="C1825" s="7" t="n">
        <f aca="false">AVERAGE(B1776:B1825)</f>
        <v>2090.5552</v>
      </c>
      <c r="D1825" s="7" t="n">
        <f aca="false">AVERAGE(B1626:B1825)</f>
        <v>2008.92225</v>
      </c>
      <c r="E1825" s="7" t="n">
        <f aca="false">B1825/MAX(B1574:B1825)-1</f>
        <v>-0.00174420507736694</v>
      </c>
      <c r="F1825" s="7" t="str">
        <f aca="false">IFERROR(INDEX(02_轉折點45個!B:B,MATCH(A1825,02_轉折點45個!A:A,0)),"")</f>
        <v/>
      </c>
      <c r="G1825" s="7" t="s">
        <v>1994</v>
      </c>
    </row>
    <row r="1826" customFormat="false" ht="15" hidden="false" customHeight="false" outlineLevel="0" collapsed="false">
      <c r="A1826" s="7" t="s">
        <v>656</v>
      </c>
      <c r="B1826" s="7" t="n">
        <v>2142.66</v>
      </c>
      <c r="C1826" s="7" t="n">
        <f aca="false">AVERAGE(B1777:B1826)</f>
        <v>2092.3256</v>
      </c>
      <c r="D1826" s="7" t="n">
        <f aca="false">AVERAGE(B1627:B1826)</f>
        <v>2010.0882</v>
      </c>
      <c r="E1826" s="7" t="n">
        <f aca="false">B1826/MAX(B1575:B1826)-1</f>
        <v>0</v>
      </c>
      <c r="F1826" s="7" t="str">
        <f aca="false">IFERROR(INDEX(02_轉折點45個!B:B,MATCH(A1826,02_轉折點45個!A:A,0)),"")</f>
        <v/>
      </c>
      <c r="G1826" s="7" t="s">
        <v>1994</v>
      </c>
    </row>
    <row r="1827" customFormat="false" ht="15" hidden="false" customHeight="false" outlineLevel="0" collapsed="false">
      <c r="A1827" s="7" t="s">
        <v>657</v>
      </c>
      <c r="B1827" s="7" t="n">
        <v>2155.8</v>
      </c>
      <c r="C1827" s="7" t="n">
        <f aca="false">AVERAGE(B1778:B1827)</f>
        <v>2094.0522</v>
      </c>
      <c r="D1827" s="7" t="n">
        <f aca="false">AVERAGE(B1628:B1827)</f>
        <v>2011.3289</v>
      </c>
      <c r="E1827" s="7" t="n">
        <f aca="false">B1827/MAX(B1576:B1827)-1</f>
        <v>0</v>
      </c>
      <c r="F1827" s="7" t="str">
        <f aca="false">IFERROR(INDEX(02_轉折點45個!B:B,MATCH(A1827,02_轉折點45個!A:A,0)),"")</f>
        <v/>
      </c>
      <c r="G1827" s="7" t="s">
        <v>1994</v>
      </c>
    </row>
    <row r="1828" customFormat="false" ht="15" hidden="false" customHeight="false" outlineLevel="0" collapsed="false">
      <c r="A1828" s="7" t="s">
        <v>658</v>
      </c>
      <c r="B1828" s="7" t="n">
        <v>2157.1</v>
      </c>
      <c r="C1828" s="7" t="n">
        <f aca="false">AVERAGE(B1779:B1828)</f>
        <v>2095.8888</v>
      </c>
      <c r="D1828" s="7" t="n">
        <f aca="false">AVERAGE(B1629:B1828)</f>
        <v>2012.5627</v>
      </c>
      <c r="E1828" s="7" t="n">
        <f aca="false">B1828/MAX(B1577:B1828)-1</f>
        <v>0</v>
      </c>
      <c r="F1828" s="7" t="str">
        <f aca="false">IFERROR(INDEX(02_轉折點45個!B:B,MATCH(A1828,02_轉折點45個!A:A,0)),"")</f>
        <v/>
      </c>
      <c r="G1828" s="7" t="s">
        <v>1994</v>
      </c>
    </row>
    <row r="1829" customFormat="false" ht="15" hidden="false" customHeight="false" outlineLevel="0" collapsed="false">
      <c r="A1829" s="7" t="s">
        <v>3522</v>
      </c>
      <c r="B1829" s="7" t="n">
        <v>2136.86</v>
      </c>
      <c r="C1829" s="7" t="n">
        <f aca="false">AVERAGE(B1780:B1829)</f>
        <v>2096.9122</v>
      </c>
      <c r="D1829" s="7" t="n">
        <f aca="false">AVERAGE(B1630:B1829)</f>
        <v>2013.6909</v>
      </c>
      <c r="E1829" s="7" t="n">
        <f aca="false">B1829/MAX(B1578:B1829)-1</f>
        <v>-0.00938296787353377</v>
      </c>
      <c r="F1829" s="7" t="str">
        <f aca="false">IFERROR(INDEX(02_轉折點45個!B:B,MATCH(A1829,02_轉折點45個!A:A,0)),"")</f>
        <v/>
      </c>
      <c r="G1829" s="7" t="s">
        <v>1994</v>
      </c>
    </row>
    <row r="1830" customFormat="false" ht="15" hidden="false" customHeight="false" outlineLevel="0" collapsed="false">
      <c r="A1830" s="7" t="s">
        <v>3523</v>
      </c>
      <c r="B1830" s="7" t="n">
        <v>2131.61</v>
      </c>
      <c r="C1830" s="7" t="n">
        <f aca="false">AVERAGE(B1781:B1830)</f>
        <v>2097.4428</v>
      </c>
      <c r="D1830" s="7" t="n">
        <f aca="false">AVERAGE(B1631:B1830)</f>
        <v>2014.89045</v>
      </c>
      <c r="E1830" s="7" t="n">
        <f aca="false">B1830/MAX(B1579:B1830)-1</f>
        <v>-0.011816791062074</v>
      </c>
      <c r="F1830" s="7" t="str">
        <f aca="false">IFERROR(INDEX(02_轉折點45個!B:B,MATCH(A1830,02_轉折點45個!A:A,0)),"")</f>
        <v/>
      </c>
      <c r="G1830" s="7" t="s">
        <v>1994</v>
      </c>
    </row>
    <row r="1831" customFormat="false" ht="15" hidden="false" customHeight="false" outlineLevel="0" collapsed="false">
      <c r="A1831" s="7" t="s">
        <v>3524</v>
      </c>
      <c r="B1831" s="7" t="n">
        <v>2110.67</v>
      </c>
      <c r="C1831" s="7" t="n">
        <f aca="false">AVERAGE(B1782:B1831)</f>
        <v>2097.508</v>
      </c>
      <c r="D1831" s="7" t="n">
        <f aca="false">AVERAGE(B1632:B1831)</f>
        <v>2016.06475</v>
      </c>
      <c r="E1831" s="7" t="n">
        <f aca="false">B1831/MAX(B1580:B1831)-1</f>
        <v>-0.02152426869408</v>
      </c>
      <c r="F1831" s="7" t="str">
        <f aca="false">IFERROR(INDEX(02_轉折點45個!B:B,MATCH(A1831,02_轉折點45個!A:A,0)),"")</f>
        <v/>
      </c>
      <c r="G1831" s="7" t="s">
        <v>1994</v>
      </c>
    </row>
    <row r="1832" customFormat="false" ht="15" hidden="false" customHeight="false" outlineLevel="0" collapsed="false">
      <c r="A1832" s="7" t="s">
        <v>659</v>
      </c>
      <c r="B1832" s="7" t="n">
        <v>2114.63</v>
      </c>
      <c r="C1832" s="7" t="n">
        <f aca="false">AVERAGE(B1783:B1832)</f>
        <v>2097.67</v>
      </c>
      <c r="D1832" s="7" t="n">
        <f aca="false">AVERAGE(B1633:B1832)</f>
        <v>2017.2957</v>
      </c>
      <c r="E1832" s="7" t="n">
        <f aca="false">B1832/MAX(B1581:B1832)-1</f>
        <v>-0.0196884706318667</v>
      </c>
      <c r="F1832" s="7" t="str">
        <f aca="false">IFERROR(INDEX(02_轉折點45個!B:B,MATCH(A1832,02_轉折點45個!A:A,0)),"")</f>
        <v/>
      </c>
      <c r="G1832" s="7" t="s">
        <v>1994</v>
      </c>
    </row>
    <row r="1833" customFormat="false" ht="15" hidden="false" customHeight="false" outlineLevel="0" collapsed="false">
      <c r="A1833" s="7" t="s">
        <v>3525</v>
      </c>
      <c r="B1833" s="7" t="n">
        <v>2125.07</v>
      </c>
      <c r="C1833" s="7" t="n">
        <f aca="false">AVERAGE(B1784:B1833)</f>
        <v>2097.9542</v>
      </c>
      <c r="D1833" s="7" t="n">
        <f aca="false">AVERAGE(B1634:B1833)</f>
        <v>2018.4661</v>
      </c>
      <c r="E1833" s="7" t="n">
        <f aca="false">B1833/MAX(B1582:B1833)-1</f>
        <v>-0.0148486393769411</v>
      </c>
      <c r="F1833" s="7" t="str">
        <f aca="false">IFERROR(INDEX(02_轉折點45個!B:B,MATCH(A1833,02_轉折點45個!A:A,0)),"")</f>
        <v/>
      </c>
      <c r="G1833" s="7" t="s">
        <v>1994</v>
      </c>
    </row>
    <row r="1834" customFormat="false" ht="15" hidden="false" customHeight="false" outlineLevel="0" collapsed="false">
      <c r="A1834" s="7" t="s">
        <v>3526</v>
      </c>
      <c r="B1834" s="7" t="n">
        <v>2111.41</v>
      </c>
      <c r="C1834" s="7" t="n">
        <f aca="false">AVERAGE(B1785:B1834)</f>
        <v>2098.4948</v>
      </c>
      <c r="D1834" s="7" t="n">
        <f aca="false">AVERAGE(B1635:B1834)</f>
        <v>2019.57275</v>
      </c>
      <c r="E1834" s="7" t="n">
        <f aca="false">B1834/MAX(B1583:B1834)-1</f>
        <v>-0.0211812155208382</v>
      </c>
      <c r="F1834" s="7" t="str">
        <f aca="false">IFERROR(INDEX(02_轉折點45個!B:B,MATCH(A1834,02_轉折點45個!A:A,0)),"")</f>
        <v/>
      </c>
      <c r="G1834" s="7" t="s">
        <v>1994</v>
      </c>
    </row>
    <row r="1835" customFormat="false" ht="15" hidden="false" customHeight="false" outlineLevel="0" collapsed="false">
      <c r="A1835" s="7" t="s">
        <v>660</v>
      </c>
      <c r="B1835" s="7" t="n">
        <v>2152.5</v>
      </c>
      <c r="C1835" s="7" t="n">
        <f aca="false">AVERAGE(B1786:B1835)</f>
        <v>2100.2042</v>
      </c>
      <c r="D1835" s="7" t="n">
        <f aca="false">AVERAGE(B1636:B1835)</f>
        <v>2020.93935</v>
      </c>
      <c r="E1835" s="7" t="n">
        <f aca="false">B1835/MAX(B1584:B1835)-1</f>
        <v>-0.00213249269853044</v>
      </c>
      <c r="F1835" s="7" t="str">
        <f aca="false">IFERROR(INDEX(02_轉折點45個!B:B,MATCH(A1835,02_轉折點45個!A:A,0)),"")</f>
        <v/>
      </c>
      <c r="G1835" s="7" t="s">
        <v>1994</v>
      </c>
    </row>
    <row r="1836" customFormat="false" ht="15" hidden="false" customHeight="false" outlineLevel="0" collapsed="false">
      <c r="A1836" s="7" t="s">
        <v>3527</v>
      </c>
      <c r="B1836" s="7" t="n">
        <v>2165.97</v>
      </c>
      <c r="C1836" s="7" t="n">
        <f aca="false">AVERAGE(B1787:B1836)</f>
        <v>2102.252</v>
      </c>
      <c r="D1836" s="7" t="n">
        <f aca="false">AVERAGE(B1637:B1836)</f>
        <v>2022.3714</v>
      </c>
      <c r="E1836" s="7" t="n">
        <f aca="false">B1836/MAX(B1585:B1836)-1</f>
        <v>0</v>
      </c>
      <c r="F1836" s="7" t="str">
        <f aca="false">IFERROR(INDEX(02_轉折點45個!B:B,MATCH(A1836,02_轉折點45個!A:A,0)),"")</f>
        <v/>
      </c>
      <c r="G1836" s="7" t="s">
        <v>1994</v>
      </c>
    </row>
    <row r="1837" customFormat="false" ht="15" hidden="false" customHeight="false" outlineLevel="0" collapsed="false">
      <c r="A1837" s="7" t="s">
        <v>661</v>
      </c>
      <c r="B1837" s="7" t="n">
        <v>2158.36</v>
      </c>
      <c r="C1837" s="7" t="n">
        <f aca="false">AVERAGE(B1788:B1837)</f>
        <v>2104.4006</v>
      </c>
      <c r="D1837" s="7" t="n">
        <f aca="false">AVERAGE(B1638:B1837)</f>
        <v>2023.66775</v>
      </c>
      <c r="E1837" s="7" t="n">
        <f aca="false">B1837/MAX(B1586:B1837)-1</f>
        <v>-0.00351343739756305</v>
      </c>
      <c r="F1837" s="7" t="str">
        <f aca="false">IFERROR(INDEX(02_轉折點45個!B:B,MATCH(A1837,02_轉折點45個!A:A,0)),"")</f>
        <v/>
      </c>
      <c r="G1837" s="7" t="s">
        <v>1994</v>
      </c>
    </row>
    <row r="1838" customFormat="false" ht="15" hidden="false" customHeight="false" outlineLevel="0" collapsed="false">
      <c r="A1838" s="7" t="s">
        <v>3528</v>
      </c>
      <c r="B1838" s="7" t="n">
        <v>2140.37</v>
      </c>
      <c r="C1838" s="7" t="n">
        <f aca="false">AVERAGE(B1789:B1838)</f>
        <v>2105.787</v>
      </c>
      <c r="D1838" s="7" t="n">
        <f aca="false">AVERAGE(B1639:B1838)</f>
        <v>2024.9203</v>
      </c>
      <c r="E1838" s="7" t="n">
        <f aca="false">B1838/MAX(B1587:B1838)-1</f>
        <v>-0.0118191849379261</v>
      </c>
      <c r="F1838" s="7" t="str">
        <f aca="false">IFERROR(INDEX(02_轉折點45個!B:B,MATCH(A1838,02_轉折點45個!A:A,0)),"")</f>
        <v/>
      </c>
      <c r="G1838" s="7" t="s">
        <v>1994</v>
      </c>
    </row>
    <row r="1839" customFormat="false" ht="15" hidden="false" customHeight="false" outlineLevel="0" collapsed="false">
      <c r="A1839" s="7" t="s">
        <v>3529</v>
      </c>
      <c r="B1839" s="7" t="n">
        <v>2131.71</v>
      </c>
      <c r="C1839" s="7" t="n">
        <f aca="false">AVERAGE(B1790:B1839)</f>
        <v>2107.2032</v>
      </c>
      <c r="D1839" s="7" t="n">
        <f aca="false">AVERAGE(B1640:B1839)</f>
        <v>2026.0975</v>
      </c>
      <c r="E1839" s="7" t="n">
        <f aca="false">B1839/MAX(B1588:B1839)-1</f>
        <v>-0.015817393592709</v>
      </c>
      <c r="F1839" s="7" t="str">
        <f aca="false">IFERROR(INDEX(02_轉折點45個!B:B,MATCH(A1839,02_轉折點45個!A:A,0)),"")</f>
        <v/>
      </c>
      <c r="G1839" s="7" t="s">
        <v>1994</v>
      </c>
    </row>
    <row r="1840" customFormat="false" ht="15" hidden="false" customHeight="false" outlineLevel="0" collapsed="false">
      <c r="A1840" s="7" t="s">
        <v>3530</v>
      </c>
      <c r="B1840" s="7" t="n">
        <v>2128.9</v>
      </c>
      <c r="C1840" s="7" t="n">
        <f aca="false">AVERAGE(B1791:B1840)</f>
        <v>2108.4534</v>
      </c>
      <c r="D1840" s="7" t="n">
        <f aca="false">AVERAGE(B1641:B1840)</f>
        <v>2027.09065</v>
      </c>
      <c r="E1840" s="7" t="n">
        <f aca="false">B1840/MAX(B1589:B1840)-1</f>
        <v>-0.017114733814411</v>
      </c>
      <c r="F1840" s="7" t="str">
        <f aca="false">IFERROR(INDEX(02_轉折點45個!B:B,MATCH(A1840,02_轉折點45個!A:A,0)),"")</f>
        <v/>
      </c>
      <c r="G1840" s="7" t="s">
        <v>1994</v>
      </c>
    </row>
    <row r="1841" customFormat="false" ht="15" hidden="false" customHeight="false" outlineLevel="0" collapsed="false">
      <c r="A1841" s="7" t="s">
        <v>3531</v>
      </c>
      <c r="B1841" s="7" t="n">
        <v>2131.94</v>
      </c>
      <c r="C1841" s="7" t="n">
        <f aca="false">AVERAGE(B1792:B1841)</f>
        <v>2110.1676</v>
      </c>
      <c r="D1841" s="7" t="n">
        <f aca="false">AVERAGE(B1642:B1841)</f>
        <v>2027.996</v>
      </c>
      <c r="E1841" s="7" t="n">
        <f aca="false">B1841/MAX(B1590:B1841)-1</f>
        <v>-0.0157112056030323</v>
      </c>
      <c r="F1841" s="7" t="str">
        <f aca="false">IFERROR(INDEX(02_轉折點45個!B:B,MATCH(A1841,02_轉折點45個!A:A,0)),"")</f>
        <v/>
      </c>
      <c r="G1841" s="7" t="s">
        <v>1994</v>
      </c>
    </row>
    <row r="1842" customFormat="false" ht="15" hidden="false" customHeight="false" outlineLevel="0" collapsed="false">
      <c r="A1842" s="7" t="s">
        <v>662</v>
      </c>
      <c r="B1842" s="7" t="n">
        <v>2142.28</v>
      </c>
      <c r="C1842" s="7" t="n">
        <f aca="false">AVERAGE(B1793:B1842)</f>
        <v>2111.68</v>
      </c>
      <c r="D1842" s="7" t="n">
        <f aca="false">AVERAGE(B1643:B1842)</f>
        <v>2028.9178</v>
      </c>
      <c r="E1842" s="7" t="n">
        <f aca="false">B1842/MAX(B1591:B1842)-1</f>
        <v>-0.0109373629366979</v>
      </c>
      <c r="F1842" s="7" t="str">
        <f aca="false">IFERROR(INDEX(02_轉折點45個!B:B,MATCH(A1842,02_轉折點45個!A:A,0)),"")</f>
        <v/>
      </c>
      <c r="G1842" s="7" t="s">
        <v>1994</v>
      </c>
    </row>
    <row r="1843" customFormat="false" ht="15" hidden="false" customHeight="false" outlineLevel="0" collapsed="false">
      <c r="A1843" s="7" t="s">
        <v>663</v>
      </c>
      <c r="B1843" s="7" t="n">
        <v>2121.84</v>
      </c>
      <c r="C1843" s="7" t="n">
        <f aca="false">AVERAGE(B1794:B1843)</f>
        <v>2112.5232</v>
      </c>
      <c r="D1843" s="7" t="n">
        <f aca="false">AVERAGE(B1644:B1843)</f>
        <v>2029.733</v>
      </c>
      <c r="E1843" s="7" t="n">
        <f aca="false">B1843/MAX(B1592:B1843)-1</f>
        <v>-0.0203742434105734</v>
      </c>
      <c r="F1843" s="7" t="str">
        <f aca="false">IFERROR(INDEX(02_轉折點45個!B:B,MATCH(A1843,02_轉折點45個!A:A,0)),"")</f>
        <v/>
      </c>
      <c r="G1843" s="7" t="s">
        <v>1994</v>
      </c>
    </row>
    <row r="1844" customFormat="false" ht="15" hidden="false" customHeight="false" outlineLevel="0" collapsed="false">
      <c r="A1844" s="7" t="s">
        <v>3532</v>
      </c>
      <c r="B1844" s="7" t="n">
        <v>2105.59</v>
      </c>
      <c r="C1844" s="7" t="n">
        <f aca="false">AVERAGE(B1795:B1844)</f>
        <v>2112.7088</v>
      </c>
      <c r="D1844" s="7" t="n">
        <f aca="false">AVERAGE(B1645:B1844)</f>
        <v>2030.42715</v>
      </c>
      <c r="E1844" s="7" t="n">
        <f aca="false">B1844/MAX(B1593:B1844)-1</f>
        <v>-0.0278766557246867</v>
      </c>
      <c r="F1844" s="7" t="str">
        <f aca="false">IFERROR(INDEX(02_轉折點45個!B:B,MATCH(A1844,02_轉折點45個!A:A,0)),"")</f>
        <v/>
      </c>
      <c r="G1844" s="7" t="s">
        <v>1994</v>
      </c>
    </row>
    <row r="1845" customFormat="false" ht="15" hidden="false" customHeight="false" outlineLevel="0" collapsed="false">
      <c r="A1845" s="7" t="s">
        <v>3533</v>
      </c>
      <c r="B1845" s="7" t="n">
        <v>2110.21</v>
      </c>
      <c r="C1845" s="7" t="n">
        <f aca="false">AVERAGE(B1796:B1845)</f>
        <v>2113.211</v>
      </c>
      <c r="D1845" s="7" t="n">
        <f aca="false">AVERAGE(B1646:B1845)</f>
        <v>2031.1263</v>
      </c>
      <c r="E1845" s="7" t="n">
        <f aca="false">B1845/MAX(B1594:B1845)-1</f>
        <v>-0.0257436621929203</v>
      </c>
      <c r="F1845" s="7" t="str">
        <f aca="false">IFERROR(INDEX(02_轉折點45個!B:B,MATCH(A1845,02_轉折點45個!A:A,0)),"")</f>
        <v/>
      </c>
      <c r="G1845" s="7" t="s">
        <v>1994</v>
      </c>
    </row>
    <row r="1846" customFormat="false" ht="15" hidden="false" customHeight="false" outlineLevel="0" collapsed="false">
      <c r="A1846" s="7" t="s">
        <v>3534</v>
      </c>
      <c r="B1846" s="7" t="n">
        <v>2104.84</v>
      </c>
      <c r="C1846" s="7" t="n">
        <f aca="false">AVERAGE(B1797:B1846)</f>
        <v>2113.9602</v>
      </c>
      <c r="D1846" s="7" t="n">
        <f aca="false">AVERAGE(B1647:B1846)</f>
        <v>2031.85305</v>
      </c>
      <c r="E1846" s="7" t="n">
        <f aca="false">B1846/MAX(B1595:B1846)-1</f>
        <v>-0.0282229209084151</v>
      </c>
      <c r="F1846" s="7" t="str">
        <f aca="false">IFERROR(INDEX(02_轉折點45個!B:B,MATCH(A1846,02_轉折點45個!A:A,0)),"")</f>
        <v/>
      </c>
      <c r="G1846" s="7" t="s">
        <v>1994</v>
      </c>
    </row>
    <row r="1847" customFormat="false" ht="15" hidden="false" customHeight="false" outlineLevel="0" collapsed="false">
      <c r="A1847" s="7" t="s">
        <v>3535</v>
      </c>
      <c r="B1847" s="7" t="n">
        <v>2123.05</v>
      </c>
      <c r="C1847" s="7" t="n">
        <f aca="false">AVERAGE(B1798:B1847)</f>
        <v>2114.7044</v>
      </c>
      <c r="D1847" s="7" t="n">
        <f aca="false">AVERAGE(B1648:B1847)</f>
        <v>2032.5415</v>
      </c>
      <c r="E1847" s="7" t="n">
        <f aca="false">B1847/MAX(B1596:B1847)-1</f>
        <v>-0.0198156022474917</v>
      </c>
      <c r="F1847" s="7" t="str">
        <f aca="false">IFERROR(INDEX(02_轉折點45個!B:B,MATCH(A1847,02_轉折點45個!A:A,0)),"")</f>
        <v/>
      </c>
      <c r="G1847" s="7" t="s">
        <v>1994</v>
      </c>
    </row>
    <row r="1848" customFormat="false" ht="15" hidden="false" customHeight="false" outlineLevel="0" collapsed="false">
      <c r="A1848" s="7" t="s">
        <v>3536</v>
      </c>
      <c r="B1848" s="7" t="n">
        <v>2140.11</v>
      </c>
      <c r="C1848" s="7" t="n">
        <f aca="false">AVERAGE(B1799:B1848)</f>
        <v>2115.8602</v>
      </c>
      <c r="D1848" s="7" t="n">
        <f aca="false">AVERAGE(B1649:B1848)</f>
        <v>2033.24495</v>
      </c>
      <c r="E1848" s="7" t="n">
        <f aca="false">B1848/MAX(B1597:B1848)-1</f>
        <v>-0.0119392235349518</v>
      </c>
      <c r="F1848" s="7" t="str">
        <f aca="false">IFERROR(INDEX(02_轉折點45個!B:B,MATCH(A1848,02_轉折點45個!A:A,0)),"")</f>
        <v/>
      </c>
      <c r="G1848" s="7" t="s">
        <v>1994</v>
      </c>
    </row>
    <row r="1849" customFormat="false" ht="15" hidden="false" customHeight="false" outlineLevel="0" collapsed="false">
      <c r="A1849" s="7" t="s">
        <v>3537</v>
      </c>
      <c r="B1849" s="7" t="n">
        <v>2142.32</v>
      </c>
      <c r="C1849" s="7" t="n">
        <f aca="false">AVERAGE(B1800:B1849)</f>
        <v>2116.919</v>
      </c>
      <c r="D1849" s="7" t="n">
        <f aca="false">AVERAGE(B1650:B1849)</f>
        <v>2034.005</v>
      </c>
      <c r="E1849" s="7" t="n">
        <f aca="false">B1849/MAX(B1598:B1849)-1</f>
        <v>-0.0109188954602324</v>
      </c>
      <c r="F1849" s="7" t="str">
        <f aca="false">IFERROR(INDEX(02_轉折點45個!B:B,MATCH(A1849,02_轉折點45個!A:A,0)),"")</f>
        <v/>
      </c>
      <c r="G1849" s="7" t="s">
        <v>1994</v>
      </c>
    </row>
    <row r="1850" customFormat="false" ht="15" hidden="false" customHeight="false" outlineLevel="0" collapsed="false">
      <c r="A1850" s="7" t="s">
        <v>664</v>
      </c>
      <c r="B1850" s="7" t="n">
        <v>2136.16</v>
      </c>
      <c r="C1850" s="7" t="n">
        <f aca="false">AVERAGE(B1801:B1850)</f>
        <v>2117.4866</v>
      </c>
      <c r="D1850" s="7" t="n">
        <f aca="false">AVERAGE(B1651:B1850)</f>
        <v>2034.72905</v>
      </c>
      <c r="E1850" s="7" t="n">
        <f aca="false">B1850/MAX(B1599:B1850)-1</f>
        <v>-0.0137628868359211</v>
      </c>
      <c r="F1850" s="7" t="str">
        <f aca="false">IFERROR(INDEX(02_轉折點45個!B:B,MATCH(A1850,02_轉折點45個!A:A,0)),"")</f>
        <v/>
      </c>
      <c r="G1850" s="7" t="s">
        <v>1994</v>
      </c>
    </row>
    <row r="1851" customFormat="false" ht="15" hidden="false" customHeight="false" outlineLevel="0" collapsed="false">
      <c r="A1851" s="7" t="s">
        <v>3538</v>
      </c>
      <c r="B1851" s="7" t="n">
        <v>2120.16</v>
      </c>
      <c r="C1851" s="7" t="n">
        <f aca="false">AVERAGE(B1802:B1851)</f>
        <v>2118.2054</v>
      </c>
      <c r="D1851" s="7" t="n">
        <f aca="false">AVERAGE(B1652:B1851)</f>
        <v>2035.4325</v>
      </c>
      <c r="E1851" s="7" t="n">
        <f aca="false">B1851/MAX(B1600:B1851)-1</f>
        <v>-0.0211498774221249</v>
      </c>
      <c r="F1851" s="7" t="str">
        <f aca="false">IFERROR(INDEX(02_轉折點45個!B:B,MATCH(A1851,02_轉折點45個!A:A,0)),"")</f>
        <v/>
      </c>
      <c r="G1851" s="7" t="s">
        <v>1994</v>
      </c>
    </row>
    <row r="1852" customFormat="false" ht="15" hidden="false" customHeight="false" outlineLevel="0" collapsed="false">
      <c r="A1852" s="7" t="s">
        <v>3539</v>
      </c>
      <c r="B1852" s="7" t="n">
        <v>2076.28</v>
      </c>
      <c r="C1852" s="7" t="n">
        <f aca="false">AVERAGE(B1803:B1852)</f>
        <v>2117.4392</v>
      </c>
      <c r="D1852" s="7" t="n">
        <f aca="false">AVERAGE(B1653:B1852)</f>
        <v>2035.8743</v>
      </c>
      <c r="E1852" s="7" t="n">
        <f aca="false">B1852/MAX(B1601:B1852)-1</f>
        <v>-0.041408699104789</v>
      </c>
      <c r="F1852" s="7" t="str">
        <f aca="false">IFERROR(INDEX(02_轉折點45個!B:B,MATCH(A1852,02_轉折點45個!A:A,0)),"")</f>
        <v/>
      </c>
      <c r="G1852" s="7" t="s">
        <v>1994</v>
      </c>
    </row>
    <row r="1853" customFormat="false" ht="15" hidden="false" customHeight="false" outlineLevel="0" collapsed="false">
      <c r="A1853" s="7" t="s">
        <v>3540</v>
      </c>
      <c r="B1853" s="7" t="n">
        <v>2049.86</v>
      </c>
      <c r="C1853" s="7" t="n">
        <f aca="false">AVERAGE(B1804:B1853)</f>
        <v>2116.209</v>
      </c>
      <c r="D1853" s="7" t="n">
        <f aca="false">AVERAGE(B1654:B1853)</f>
        <v>2036.13725</v>
      </c>
      <c r="E1853" s="7" t="n">
        <f aca="false">B1853/MAX(B1602:B1853)-1</f>
        <v>-0.0536064673102581</v>
      </c>
      <c r="F1853" s="7" t="str">
        <f aca="false">IFERROR(INDEX(02_轉折點45個!B:B,MATCH(A1853,02_轉折點45個!A:A,0)),"")</f>
        <v/>
      </c>
      <c r="G1853" s="7" t="s">
        <v>1994</v>
      </c>
    </row>
    <row r="1854" customFormat="false" ht="15" hidden="false" customHeight="false" outlineLevel="0" collapsed="false">
      <c r="A1854" s="7" t="s">
        <v>3541</v>
      </c>
      <c r="B1854" s="7" t="n">
        <v>2045.05</v>
      </c>
      <c r="C1854" s="7" t="n">
        <f aca="false">AVERAGE(B1805:B1854)</f>
        <v>2115.0382</v>
      </c>
      <c r="D1854" s="7" t="n">
        <f aca="false">AVERAGE(B1655:B1854)</f>
        <v>2036.32035</v>
      </c>
      <c r="E1854" s="7" t="n">
        <f aca="false">B1854/MAX(B1603:B1854)-1</f>
        <v>-0.0558271813552357</v>
      </c>
      <c r="F1854" s="7" t="str">
        <f aca="false">IFERROR(INDEX(02_轉折點45個!B:B,MATCH(A1854,02_轉折點45個!A:A,0)),"")</f>
        <v/>
      </c>
      <c r="G1854" s="7" t="s">
        <v>1994</v>
      </c>
    </row>
    <row r="1855" customFormat="false" ht="15" hidden="false" customHeight="false" outlineLevel="0" collapsed="false">
      <c r="A1855" s="7" t="s">
        <v>665</v>
      </c>
      <c r="B1855" s="7" t="n">
        <v>2036.47</v>
      </c>
      <c r="C1855" s="7" t="n">
        <f aca="false">AVERAGE(B1806:B1855)</f>
        <v>2113.9986</v>
      </c>
      <c r="D1855" s="7" t="n">
        <f aca="false">AVERAGE(B1656:B1855)</f>
        <v>2036.5227</v>
      </c>
      <c r="E1855" s="7" t="n">
        <f aca="false">B1855/MAX(B1604:B1855)-1</f>
        <v>-0.0597884550570875</v>
      </c>
      <c r="F1855" s="7" t="str">
        <f aca="false">IFERROR(INDEX(02_轉折點45個!B:B,MATCH(A1855,02_轉折點45個!A:A,0)),"")</f>
        <v/>
      </c>
      <c r="G1855" s="7" t="s">
        <v>1994</v>
      </c>
    </row>
    <row r="1856" customFormat="false" ht="15" hidden="false" customHeight="false" outlineLevel="0" collapsed="false">
      <c r="A1856" s="7" t="s">
        <v>666</v>
      </c>
      <c r="B1856" s="7" t="n">
        <v>2006.02</v>
      </c>
      <c r="C1856" s="7" t="n">
        <f aca="false">AVERAGE(B1807:B1856)</f>
        <v>2112.6724</v>
      </c>
      <c r="D1856" s="7" t="n">
        <f aca="false">AVERAGE(B1657:B1856)</f>
        <v>2036.5246</v>
      </c>
      <c r="E1856" s="7" t="n">
        <f aca="false">B1856/MAX(B1605:B1856)-1</f>
        <v>-0.0738468215164567</v>
      </c>
      <c r="F1856" s="7" t="str">
        <f aca="false">IFERROR(INDEX(02_轉折點45個!B:B,MATCH(A1856,02_轉折點45個!A:A,0)),"")</f>
        <v/>
      </c>
      <c r="G1856" s="7" t="s">
        <v>1994</v>
      </c>
    </row>
    <row r="1857" customFormat="false" ht="15" hidden="false" customHeight="false" outlineLevel="0" collapsed="false">
      <c r="A1857" s="7" t="s">
        <v>3542</v>
      </c>
      <c r="B1857" s="7" t="n">
        <v>1991.88</v>
      </c>
      <c r="C1857" s="7" t="n">
        <f aca="false">AVERAGE(B1808:B1857)</f>
        <v>2111.0802</v>
      </c>
      <c r="D1857" s="7" t="n">
        <f aca="false">AVERAGE(B1658:B1857)</f>
        <v>2036.3518</v>
      </c>
      <c r="E1857" s="7" t="n">
        <f aca="false">B1857/MAX(B1606:B1857)-1</f>
        <v>-0.0803750744470144</v>
      </c>
      <c r="F1857" s="7" t="str">
        <f aca="false">IFERROR(INDEX(02_轉折點45個!B:B,MATCH(A1857,02_轉折點45個!A:A,0)),"")</f>
        <v/>
      </c>
      <c r="G1857" s="7" t="s">
        <v>1994</v>
      </c>
    </row>
    <row r="1858" customFormat="false" ht="15" hidden="false" customHeight="false" outlineLevel="0" collapsed="false">
      <c r="A1858" s="7" t="s">
        <v>667</v>
      </c>
      <c r="B1858" s="7" t="n">
        <v>2004.27</v>
      </c>
      <c r="C1858" s="7" t="n">
        <f aca="false">AVERAGE(B1809:B1858)</f>
        <v>2110.06</v>
      </c>
      <c r="D1858" s="7" t="n">
        <f aca="false">AVERAGE(B1659:B1858)</f>
        <v>2036.24705</v>
      </c>
      <c r="E1858" s="7" t="n">
        <f aca="false">B1858/MAX(B1607:B1858)-1</f>
        <v>-0.0746547736118228</v>
      </c>
      <c r="F1858" s="7" t="str">
        <f aca="false">IFERROR(INDEX(02_轉折點45個!B:B,MATCH(A1858,02_轉折點45個!A:A,0)),"")</f>
        <v/>
      </c>
      <c r="G1858" s="7" t="s">
        <v>1994</v>
      </c>
    </row>
    <row r="1859" customFormat="false" ht="15" hidden="false" customHeight="false" outlineLevel="0" collapsed="false">
      <c r="A1859" s="7" t="s">
        <v>3543</v>
      </c>
      <c r="B1859" s="7" t="n">
        <v>1985.07</v>
      </c>
      <c r="C1859" s="7" t="n">
        <f aca="false">AVERAGE(B1810:B1859)</f>
        <v>2108.4306</v>
      </c>
      <c r="D1859" s="7" t="n">
        <f aca="false">AVERAGE(B1660:B1859)</f>
        <v>2036.16275</v>
      </c>
      <c r="E1859" s="7" t="n">
        <f aca="false">B1859/MAX(B1608:B1859)-1</f>
        <v>-0.0835191623152675</v>
      </c>
      <c r="F1859" s="7" t="str">
        <f aca="false">IFERROR(INDEX(02_轉折點45個!B:B,MATCH(A1859,02_轉折點45個!A:A,0)),"")</f>
        <v/>
      </c>
      <c r="G1859" s="7" t="s">
        <v>1994</v>
      </c>
    </row>
    <row r="1860" customFormat="false" ht="15" hidden="false" customHeight="false" outlineLevel="0" collapsed="false">
      <c r="A1860" s="7" t="s">
        <v>3544</v>
      </c>
      <c r="B1860" s="7" t="n">
        <v>1972.18</v>
      </c>
      <c r="C1860" s="7" t="n">
        <f aca="false">AVERAGE(B1811:B1860)</f>
        <v>2106.4522</v>
      </c>
      <c r="D1860" s="7" t="n">
        <f aca="false">AVERAGE(B1661:B1860)</f>
        <v>2036.07525</v>
      </c>
      <c r="E1860" s="7" t="n">
        <f aca="false">B1860/MAX(B1609:B1860)-1</f>
        <v>-0.0894703066062779</v>
      </c>
      <c r="F1860" s="7" t="str">
        <f aca="false">IFERROR(INDEX(02_轉折點45個!B:B,MATCH(A1860,02_轉折點45個!A:A,0)),"")</f>
        <v/>
      </c>
      <c r="G1860" s="7" t="s">
        <v>1994</v>
      </c>
    </row>
    <row r="1861" customFormat="false" ht="15" hidden="false" customHeight="false" outlineLevel="0" collapsed="false">
      <c r="A1861" s="7" t="s">
        <v>3545</v>
      </c>
      <c r="B1861" s="7" t="n">
        <v>1981.69</v>
      </c>
      <c r="C1861" s="7" t="n">
        <f aca="false">AVERAGE(B1812:B1861)</f>
        <v>2104.1366</v>
      </c>
      <c r="D1861" s="7" t="n">
        <f aca="false">AVERAGE(B1662:B1861)</f>
        <v>2036.09705</v>
      </c>
      <c r="E1861" s="7" t="n">
        <f aca="false">B1861/MAX(B1610:B1861)-1</f>
        <v>-0.085079664076603</v>
      </c>
      <c r="F1861" s="7" t="str">
        <f aca="false">IFERROR(INDEX(02_轉折點45個!B:B,MATCH(A1861,02_轉折點45個!A:A,0)),"")</f>
        <v/>
      </c>
      <c r="G1861" s="7" t="s">
        <v>1994</v>
      </c>
    </row>
    <row r="1862" customFormat="false" ht="15" hidden="false" customHeight="false" outlineLevel="0" collapsed="false">
      <c r="A1862" s="7" t="s">
        <v>668</v>
      </c>
      <c r="B1862" s="7" t="n">
        <v>2008.25</v>
      </c>
      <c r="C1862" s="7" t="n">
        <f aca="false">AVERAGE(B1813:B1862)</f>
        <v>2102.061</v>
      </c>
      <c r="D1862" s="7" t="n">
        <f aca="false">AVERAGE(B1663:B1862)</f>
        <v>2036.2069</v>
      </c>
      <c r="E1862" s="7" t="n">
        <f aca="false">B1862/MAX(B1611:B1862)-1</f>
        <v>-0.0728172597035046</v>
      </c>
      <c r="F1862" s="7" t="str">
        <f aca="false">IFERROR(INDEX(02_轉折點45個!B:B,MATCH(A1862,02_轉折點45個!A:A,0)),"")</f>
        <v/>
      </c>
      <c r="G1862" s="7" t="s">
        <v>1994</v>
      </c>
    </row>
    <row r="1863" customFormat="false" ht="15" hidden="false" customHeight="false" outlineLevel="0" collapsed="false">
      <c r="A1863" s="7" t="s">
        <v>3546</v>
      </c>
      <c r="B1863" s="7" t="n">
        <v>2019.33</v>
      </c>
      <c r="C1863" s="7" t="n">
        <f aca="false">AVERAGE(B1814:B1863)</f>
        <v>2100.4312</v>
      </c>
      <c r="D1863" s="7" t="n">
        <f aca="false">AVERAGE(B1664:B1863)</f>
        <v>2036.44695</v>
      </c>
      <c r="E1863" s="7" t="n">
        <f aca="false">B1863/MAX(B1612:B1863)-1</f>
        <v>-0.0677017687225584</v>
      </c>
      <c r="F1863" s="7" t="str">
        <f aca="false">IFERROR(INDEX(02_轉折點45個!B:B,MATCH(A1863,02_轉折點45個!A:A,0)),"")</f>
        <v/>
      </c>
      <c r="G1863" s="7" t="s">
        <v>1994</v>
      </c>
    </row>
    <row r="1864" customFormat="false" ht="15" hidden="false" customHeight="false" outlineLevel="0" collapsed="false">
      <c r="A1864" s="7" t="s">
        <v>3547</v>
      </c>
      <c r="B1864" s="7" t="n">
        <v>1977.65</v>
      </c>
      <c r="C1864" s="7" t="n">
        <f aca="false">AVERAGE(B1815:B1864)</f>
        <v>2097.8414</v>
      </c>
      <c r="D1864" s="7" t="n">
        <f aca="false">AVERAGE(B1665:B1864)</f>
        <v>2036.40215</v>
      </c>
      <c r="E1864" s="7" t="n">
        <f aca="false">B1864/MAX(B1613:B1864)-1</f>
        <v>-0.0869448791996195</v>
      </c>
      <c r="F1864" s="7" t="str">
        <f aca="false">IFERROR(INDEX(02_轉折點45個!B:B,MATCH(A1864,02_轉折點45個!A:A,0)),"")</f>
        <v/>
      </c>
      <c r="G1864" s="7" t="s">
        <v>1994</v>
      </c>
    </row>
    <row r="1865" customFormat="false" ht="15" hidden="false" customHeight="false" outlineLevel="0" collapsed="false">
      <c r="A1865" s="7" t="s">
        <v>669</v>
      </c>
      <c r="B1865" s="7" t="n">
        <v>1990.57</v>
      </c>
      <c r="C1865" s="7" t="n">
        <f aca="false">AVERAGE(B1816:B1865)</f>
        <v>2095.3706</v>
      </c>
      <c r="D1865" s="7" t="n">
        <f aca="false">AVERAGE(B1666:B1865)</f>
        <v>2036.5026</v>
      </c>
      <c r="E1865" s="7" t="n">
        <f aca="false">B1865/MAX(B1614:B1865)-1</f>
        <v>-0.0809798843012599</v>
      </c>
      <c r="F1865" s="7" t="str">
        <f aca="false">IFERROR(INDEX(02_轉折點45個!B:B,MATCH(A1865,02_轉折點45個!A:A,0)),"")</f>
        <v/>
      </c>
      <c r="G1865" s="7" t="s">
        <v>1994</v>
      </c>
    </row>
    <row r="1866" customFormat="false" ht="15" hidden="false" customHeight="false" outlineLevel="0" collapsed="false">
      <c r="A1866" s="7" t="s">
        <v>670</v>
      </c>
      <c r="B1866" s="7" t="n">
        <v>2028</v>
      </c>
      <c r="C1866" s="7" t="n">
        <f aca="false">AVERAGE(B1817:B1866)</f>
        <v>2094.0116</v>
      </c>
      <c r="D1866" s="7" t="n">
        <f aca="false">AVERAGE(B1667:B1866)</f>
        <v>2036.74385</v>
      </c>
      <c r="E1866" s="7" t="n">
        <f aca="false">B1866/MAX(B1615:B1866)-1</f>
        <v>-0.0636989431986592</v>
      </c>
      <c r="F1866" s="7" t="str">
        <f aca="false">IFERROR(INDEX(02_轉折點45個!B:B,MATCH(A1866,02_轉折點45個!A:A,0)),"")</f>
        <v/>
      </c>
      <c r="G1866" s="7" t="s">
        <v>1994</v>
      </c>
    </row>
    <row r="1867" customFormat="false" ht="15" hidden="false" customHeight="false" outlineLevel="0" collapsed="false">
      <c r="A1867" s="7" t="s">
        <v>3548</v>
      </c>
      <c r="B1867" s="7" t="n">
        <v>2027.59</v>
      </c>
      <c r="C1867" s="7" t="n">
        <f aca="false">AVERAGE(B1818:B1867)</f>
        <v>2092.4778</v>
      </c>
      <c r="D1867" s="7" t="n">
        <f aca="false">AVERAGE(B1668:B1867)</f>
        <v>2037.12</v>
      </c>
      <c r="E1867" s="7" t="n">
        <f aca="false">B1867/MAX(B1616:B1867)-1</f>
        <v>-0.0638882348324307</v>
      </c>
      <c r="F1867" s="7" t="str">
        <f aca="false">IFERROR(INDEX(02_轉折點45個!B:B,MATCH(A1867,02_轉折點45個!A:A,0)),"")</f>
        <v/>
      </c>
      <c r="G1867" s="7" t="s">
        <v>1994</v>
      </c>
    </row>
    <row r="1868" customFormat="false" ht="15" hidden="false" customHeight="false" outlineLevel="0" collapsed="false">
      <c r="A1868" s="7" t="s">
        <v>3549</v>
      </c>
      <c r="B1868" s="7" t="n">
        <v>1982.11</v>
      </c>
      <c r="C1868" s="7" t="n">
        <f aca="false">AVERAGE(B1819:B1868)</f>
        <v>2090.093</v>
      </c>
      <c r="D1868" s="7" t="n">
        <f aca="false">AVERAGE(B1669:B1868)</f>
        <v>2037.2318</v>
      </c>
      <c r="E1868" s="7" t="n">
        <f aca="false">B1868/MAX(B1617:B1868)-1</f>
        <v>-0.0848857555737153</v>
      </c>
      <c r="F1868" s="7" t="str">
        <f aca="false">IFERROR(INDEX(02_轉折點45個!B:B,MATCH(A1868,02_轉折點45個!A:A,0)),"")</f>
        <v/>
      </c>
      <c r="G1868" s="7" t="s">
        <v>1994</v>
      </c>
    </row>
    <row r="1869" customFormat="false" ht="15" hidden="false" customHeight="false" outlineLevel="0" collapsed="false">
      <c r="A1869" s="7" t="s">
        <v>3550</v>
      </c>
      <c r="B1869" s="7" t="n">
        <v>1975.86</v>
      </c>
      <c r="C1869" s="7" t="n">
        <f aca="false">AVERAGE(B1820:B1869)</f>
        <v>2087.3516</v>
      </c>
      <c r="D1869" s="7" t="n">
        <f aca="false">AVERAGE(B1670:B1869)</f>
        <v>2037.3538</v>
      </c>
      <c r="E1869" s="7" t="n">
        <f aca="false">B1869/MAX(B1618:B1869)-1</f>
        <v>-0.0877712987714511</v>
      </c>
      <c r="F1869" s="7" t="str">
        <f aca="false">IFERROR(INDEX(02_轉折點45個!B:B,MATCH(A1869,02_轉折點45個!A:A,0)),"")</f>
        <v/>
      </c>
      <c r="G1869" s="7" t="s">
        <v>1994</v>
      </c>
    </row>
    <row r="1870" customFormat="false" ht="15" hidden="false" customHeight="false" outlineLevel="0" collapsed="false">
      <c r="A1870" s="7" t="s">
        <v>671</v>
      </c>
      <c r="B1870" s="7" t="n">
        <v>1965.83</v>
      </c>
      <c r="C1870" s="7" t="n">
        <f aca="false">AVERAGE(B1821:B1870)</f>
        <v>2084.3592</v>
      </c>
      <c r="D1870" s="7" t="n">
        <f aca="false">AVERAGE(B1671:B1870)</f>
        <v>2037.428</v>
      </c>
      <c r="E1870" s="7" t="n">
        <f aca="false">B1870/MAX(B1619:B1870)-1</f>
        <v>-0.0924020184951776</v>
      </c>
      <c r="F1870" s="7" t="str">
        <f aca="false">IFERROR(INDEX(02_轉折點45個!B:B,MATCH(A1870,02_轉折點45個!A:A,0)),"")</f>
        <v/>
      </c>
      <c r="G1870" s="7" t="s">
        <v>1994</v>
      </c>
    </row>
    <row r="1871" customFormat="false" ht="15" hidden="false" customHeight="false" outlineLevel="0" collapsed="false">
      <c r="A1871" s="7" t="s">
        <v>672</v>
      </c>
      <c r="B1871" s="7" t="n">
        <v>1959.91</v>
      </c>
      <c r="C1871" s="7" t="n">
        <f aca="false">AVERAGE(B1822:B1871)</f>
        <v>2081.4516</v>
      </c>
      <c r="D1871" s="7" t="n">
        <f aca="false">AVERAGE(B1672:B1871)</f>
        <v>2037.4459</v>
      </c>
      <c r="E1871" s="7" t="n">
        <f aca="false">B1871/MAX(B1620:B1871)-1</f>
        <v>-0.095135205012073</v>
      </c>
      <c r="F1871" s="7" t="str">
        <f aca="false">IFERROR(INDEX(02_轉折點45個!B:B,MATCH(A1871,02_轉折點45個!A:A,0)),"")</f>
        <v/>
      </c>
      <c r="G1871" s="7" t="s">
        <v>1994</v>
      </c>
    </row>
    <row r="1872" customFormat="false" ht="15" hidden="false" customHeight="false" outlineLevel="0" collapsed="false">
      <c r="A1872" s="7" t="s">
        <v>673</v>
      </c>
      <c r="B1872" s="7" t="n">
        <v>1950.53</v>
      </c>
      <c r="C1872" s="7" t="n">
        <f aca="false">AVERAGE(B1823:B1872)</f>
        <v>2077.7476</v>
      </c>
      <c r="D1872" s="7" t="n">
        <f aca="false">AVERAGE(B1673:B1872)</f>
        <v>2037.4359</v>
      </c>
      <c r="E1872" s="7" t="n">
        <f aca="false">B1872/MAX(B1621:B1872)-1</f>
        <v>-0.099465828243235</v>
      </c>
      <c r="F1872" s="7" t="str">
        <f aca="false">IFERROR(INDEX(02_轉折點45個!B:B,MATCH(A1872,02_轉折點45個!A:A,0)),"")</f>
        <v/>
      </c>
      <c r="G1872" s="7" t="s">
        <v>1994</v>
      </c>
    </row>
    <row r="1873" customFormat="false" ht="15" hidden="false" customHeight="false" outlineLevel="0" collapsed="false">
      <c r="A1873" s="7" t="s">
        <v>674</v>
      </c>
      <c r="B1873" s="7" t="n">
        <v>1910.57</v>
      </c>
      <c r="C1873" s="7" t="n">
        <f aca="false">AVERAGE(B1824:B1873)</f>
        <v>2073.1888</v>
      </c>
      <c r="D1873" s="7" t="n">
        <f aca="false">AVERAGE(B1674:B1873)</f>
        <v>2037.2642</v>
      </c>
      <c r="E1873" s="7" t="n">
        <f aca="false">B1873/MAX(B1622:B1873)-1</f>
        <v>-0.117914837232279</v>
      </c>
      <c r="F1873" s="7" t="str">
        <f aca="false">IFERROR(INDEX(02_轉折點45個!B:B,MATCH(A1873,02_轉折點45個!A:A,0)),"")</f>
        <v/>
      </c>
      <c r="G1873" s="7" t="s">
        <v>1994</v>
      </c>
    </row>
    <row r="1874" customFormat="false" ht="15" hidden="false" customHeight="false" outlineLevel="0" collapsed="false">
      <c r="A1874" s="7" t="s">
        <v>3551</v>
      </c>
      <c r="B1874" s="7" t="n">
        <v>1893.35</v>
      </c>
      <c r="C1874" s="7" t="n">
        <f aca="false">AVERAGE(B1825:B1874)</f>
        <v>2068.3044</v>
      </c>
      <c r="D1874" s="7" t="n">
        <f aca="false">AVERAGE(B1675:B1874)</f>
        <v>2036.98145</v>
      </c>
      <c r="E1874" s="7" t="n">
        <f aca="false">B1874/MAX(B1623:B1874)-1</f>
        <v>-0.125865085850681</v>
      </c>
      <c r="F1874" s="7" t="str">
        <f aca="false">IFERROR(INDEX(02_轉折點45個!B:B,MATCH(A1874,02_轉折點45個!A:A,0)),"")</f>
        <v/>
      </c>
      <c r="G1874" s="7" t="s">
        <v>1994</v>
      </c>
    </row>
    <row r="1875" customFormat="false" ht="15" hidden="false" customHeight="false" outlineLevel="0" collapsed="false">
      <c r="A1875" s="7" t="s">
        <v>3552</v>
      </c>
      <c r="B1875" s="7" t="n">
        <v>1905.71</v>
      </c>
      <c r="C1875" s="7" t="n">
        <f aca="false">AVERAGE(B1826:B1875)</f>
        <v>2063.723</v>
      </c>
      <c r="D1875" s="7" t="n">
        <f aca="false">AVERAGE(B1676:B1875)</f>
        <v>2036.8226</v>
      </c>
      <c r="E1875" s="7" t="n">
        <f aca="false">B1875/MAX(B1624:B1875)-1</f>
        <v>-0.120158635622839</v>
      </c>
      <c r="F1875" s="7" t="str">
        <f aca="false">IFERROR(INDEX(02_轉折點45個!B:B,MATCH(A1875,02_轉折點45個!A:A,0)),"")</f>
        <v/>
      </c>
      <c r="G1875" s="7" t="s">
        <v>1994</v>
      </c>
    </row>
    <row r="1876" customFormat="false" ht="15" hidden="false" customHeight="false" outlineLevel="0" collapsed="false">
      <c r="A1876" s="7" t="s">
        <v>3553</v>
      </c>
      <c r="B1876" s="7" t="n">
        <v>1958.84</v>
      </c>
      <c r="C1876" s="7" t="n">
        <f aca="false">AVERAGE(B1827:B1876)</f>
        <v>2060.0466</v>
      </c>
      <c r="D1876" s="7" t="n">
        <f aca="false">AVERAGE(B1677:B1876)</f>
        <v>2036.8523</v>
      </c>
      <c r="E1876" s="7" t="n">
        <f aca="false">B1876/MAX(B1625:B1876)-1</f>
        <v>-0.0956292100075254</v>
      </c>
      <c r="F1876" s="7" t="str">
        <f aca="false">IFERROR(INDEX(02_轉折點45個!B:B,MATCH(A1876,02_轉折點45個!A:A,0)),"")</f>
        <v/>
      </c>
      <c r="G1876" s="7" t="s">
        <v>1994</v>
      </c>
    </row>
    <row r="1877" customFormat="false" ht="15" hidden="false" customHeight="false" outlineLevel="0" collapsed="false">
      <c r="A1877" s="7" t="s">
        <v>3554</v>
      </c>
      <c r="B1877" s="7" t="n">
        <v>1945.86</v>
      </c>
      <c r="C1877" s="7" t="n">
        <f aca="false">AVERAGE(B1828:B1877)</f>
        <v>2055.8478</v>
      </c>
      <c r="D1877" s="7" t="n">
        <f aca="false">AVERAGE(B1678:B1877)</f>
        <v>2036.85315</v>
      </c>
      <c r="E1877" s="7" t="n">
        <f aca="false">B1877/MAX(B1626:B1877)-1</f>
        <v>-0.101621906120583</v>
      </c>
      <c r="F1877" s="7" t="str">
        <f aca="false">IFERROR(INDEX(02_轉折點45個!B:B,MATCH(A1877,02_轉折點45個!A:A,0)),"")</f>
        <v/>
      </c>
      <c r="G1877" s="7" t="s">
        <v>1994</v>
      </c>
    </row>
    <row r="1878" customFormat="false" ht="15" hidden="false" customHeight="false" outlineLevel="0" collapsed="false">
      <c r="A1878" s="7" t="s">
        <v>3555</v>
      </c>
      <c r="B1878" s="7" t="n">
        <v>1928.02</v>
      </c>
      <c r="C1878" s="7" t="n">
        <f aca="false">AVERAGE(B1829:B1878)</f>
        <v>2051.2662</v>
      </c>
      <c r="D1878" s="7" t="n">
        <f aca="false">AVERAGE(B1679:B1878)</f>
        <v>2036.6628</v>
      </c>
      <c r="E1878" s="7" t="n">
        <f aca="false">B1878/MAX(B1627:B1878)-1</f>
        <v>-0.109858400624201</v>
      </c>
      <c r="F1878" s="7" t="str">
        <f aca="false">IFERROR(INDEX(02_轉折點45個!B:B,MATCH(A1878,02_轉折點45個!A:A,0)),"")</f>
        <v/>
      </c>
      <c r="G1878" s="7" t="s">
        <v>1994</v>
      </c>
    </row>
    <row r="1879" customFormat="false" ht="15" hidden="false" customHeight="false" outlineLevel="0" collapsed="false">
      <c r="A1879" s="7" t="s">
        <v>3556</v>
      </c>
      <c r="B1879" s="7" t="n">
        <v>1924.95</v>
      </c>
      <c r="C1879" s="7" t="n">
        <f aca="false">AVERAGE(B1830:B1879)</f>
        <v>2047.028</v>
      </c>
      <c r="D1879" s="7" t="n">
        <f aca="false">AVERAGE(B1680:B1879)</f>
        <v>2036.47625</v>
      </c>
      <c r="E1879" s="7" t="n">
        <f aca="false">B1879/MAX(B1628:B1879)-1</f>
        <v>-0.111275779442928</v>
      </c>
      <c r="F1879" s="7" t="str">
        <f aca="false">IFERROR(INDEX(02_轉折點45個!B:B,MATCH(A1879,02_轉折點45個!A:A,0)),"")</f>
        <v/>
      </c>
      <c r="G1879" s="7" t="s">
        <v>1994</v>
      </c>
    </row>
    <row r="1880" customFormat="false" ht="15" hidden="false" customHeight="false" outlineLevel="0" collapsed="false">
      <c r="A1880" s="7" t="s">
        <v>675</v>
      </c>
      <c r="B1880" s="7" t="n">
        <v>1956.14</v>
      </c>
      <c r="C1880" s="7" t="n">
        <f aca="false">AVERAGE(B1831:B1880)</f>
        <v>2043.5186</v>
      </c>
      <c r="D1880" s="7" t="n">
        <f aca="false">AVERAGE(B1681:B1880)</f>
        <v>2036.47685</v>
      </c>
      <c r="E1880" s="7" t="n">
        <f aca="false">B1880/MAX(B1629:B1880)-1</f>
        <v>-0.0968757646689473</v>
      </c>
      <c r="F1880" s="7" t="str">
        <f aca="false">IFERROR(INDEX(02_轉折點45個!B:B,MATCH(A1880,02_轉折點45個!A:A,0)),"")</f>
        <v/>
      </c>
      <c r="G1880" s="7" t="s">
        <v>1994</v>
      </c>
    </row>
    <row r="1881" customFormat="false" ht="15" hidden="false" customHeight="false" outlineLevel="0" collapsed="false">
      <c r="A1881" s="7" t="s">
        <v>3557</v>
      </c>
      <c r="B1881" s="7" t="n">
        <v>1939.5</v>
      </c>
      <c r="C1881" s="7" t="n">
        <f aca="false">AVERAGE(B1832:B1881)</f>
        <v>2040.0952</v>
      </c>
      <c r="D1881" s="7" t="n">
        <f aca="false">AVERAGE(B1682:B1881)</f>
        <v>2036.27645</v>
      </c>
      <c r="E1881" s="7" t="n">
        <f aca="false">B1881/MAX(B1630:B1881)-1</f>
        <v>-0.104558234878599</v>
      </c>
      <c r="F1881" s="7" t="str">
        <f aca="false">IFERROR(INDEX(02_轉折點45個!B:B,MATCH(A1881,02_轉折點45個!A:A,0)),"")</f>
        <v/>
      </c>
      <c r="G1881" s="7" t="s">
        <v>1994</v>
      </c>
    </row>
    <row r="1882" customFormat="false" ht="15" hidden="false" customHeight="false" outlineLevel="0" collapsed="false">
      <c r="A1882" s="7" t="s">
        <v>676</v>
      </c>
      <c r="B1882" s="7" t="n">
        <v>1938.12</v>
      </c>
      <c r="C1882" s="7" t="n">
        <f aca="false">AVERAGE(B1833:B1882)</f>
        <v>2036.565</v>
      </c>
      <c r="D1882" s="7" t="n">
        <f aca="false">AVERAGE(B1683:B1882)</f>
        <v>2036.0455</v>
      </c>
      <c r="E1882" s="7" t="n">
        <f aca="false">B1882/MAX(B1631:B1882)-1</f>
        <v>-0.10519536281666</v>
      </c>
      <c r="F1882" s="7" t="str">
        <f aca="false">IFERROR(INDEX(02_轉折點45個!B:B,MATCH(A1882,02_轉折點45個!A:A,0)),"")</f>
        <v/>
      </c>
      <c r="G1882" s="7" t="s">
        <v>1994</v>
      </c>
    </row>
    <row r="1883" customFormat="false" ht="15" hidden="false" customHeight="false" outlineLevel="0" collapsed="false">
      <c r="A1883" s="7" t="s">
        <v>3558</v>
      </c>
      <c r="B1883" s="7" t="n">
        <v>1949.26</v>
      </c>
      <c r="C1883" s="7" t="n">
        <f aca="false">AVERAGE(B1834:B1883)</f>
        <v>2033.0488</v>
      </c>
      <c r="D1883" s="7" t="n">
        <f aca="false">AVERAGE(B1684:B1883)</f>
        <v>2035.89765</v>
      </c>
      <c r="E1883" s="7" t="n">
        <f aca="false">B1883/MAX(B1632:B1883)-1</f>
        <v>-0.100052170621015</v>
      </c>
      <c r="F1883" s="7" t="str">
        <f aca="false">IFERROR(INDEX(02_轉折點45個!B:B,MATCH(A1883,02_轉折點45個!A:A,0)),"")</f>
        <v/>
      </c>
      <c r="G1883" s="7" t="s">
        <v>1994</v>
      </c>
    </row>
    <row r="1884" customFormat="false" ht="15" hidden="false" customHeight="false" outlineLevel="0" collapsed="false">
      <c r="A1884" s="7" t="s">
        <v>3559</v>
      </c>
      <c r="B1884" s="7" t="n">
        <v>1918.73</v>
      </c>
      <c r="C1884" s="7" t="n">
        <f aca="false">AVERAGE(B1835:B1884)</f>
        <v>2029.1952</v>
      </c>
      <c r="D1884" s="7" t="n">
        <f aca="false">AVERAGE(B1685:B1884)</f>
        <v>2035.55385</v>
      </c>
      <c r="E1884" s="7" t="n">
        <f aca="false">B1884/MAX(B1633:B1884)-1</f>
        <v>-0.114147472033315</v>
      </c>
      <c r="F1884" s="7" t="str">
        <f aca="false">IFERROR(INDEX(02_轉折點45個!B:B,MATCH(A1884,02_轉折點45個!A:A,0)),"")</f>
        <v/>
      </c>
      <c r="G1884" s="7" t="s">
        <v>1994</v>
      </c>
    </row>
    <row r="1885" customFormat="false" ht="15" hidden="false" customHeight="false" outlineLevel="0" collapsed="false">
      <c r="A1885" s="7" t="s">
        <v>3560</v>
      </c>
      <c r="B1885" s="7" t="n">
        <v>1929.32</v>
      </c>
      <c r="C1885" s="7" t="n">
        <f aca="false">AVERAGE(B1836:B1885)</f>
        <v>2024.7316</v>
      </c>
      <c r="D1885" s="7" t="n">
        <f aca="false">AVERAGE(B1686:B1885)</f>
        <v>2035.2296</v>
      </c>
      <c r="E1885" s="7" t="n">
        <f aca="false">B1885/MAX(B1634:B1885)-1</f>
        <v>-0.109258207639072</v>
      </c>
      <c r="F1885" s="7" t="str">
        <f aca="false">IFERROR(INDEX(02_轉折點45個!B:B,MATCH(A1885,02_轉折點45個!A:A,0)),"")</f>
        <v/>
      </c>
      <c r="G1885" s="7" t="s">
        <v>1994</v>
      </c>
    </row>
    <row r="1886" customFormat="false" ht="15" hidden="false" customHeight="false" outlineLevel="0" collapsed="false">
      <c r="A1886" s="7" t="s">
        <v>677</v>
      </c>
      <c r="B1886" s="7" t="n">
        <v>1986.45</v>
      </c>
      <c r="C1886" s="7" t="n">
        <f aca="false">AVERAGE(B1837:B1886)</f>
        <v>2021.1412</v>
      </c>
      <c r="D1886" s="7" t="n">
        <f aca="false">AVERAGE(B1687:B1886)</f>
        <v>2035.2416</v>
      </c>
      <c r="E1886" s="7" t="n">
        <f aca="false">B1886/MAX(B1635:B1886)-1</f>
        <v>-0.0828820343772073</v>
      </c>
      <c r="F1886" s="7" t="str">
        <f aca="false">IFERROR(INDEX(02_轉折點45個!B:B,MATCH(A1886,02_轉折點45個!A:A,0)),"")</f>
        <v/>
      </c>
      <c r="G1886" s="7" t="s">
        <v>1994</v>
      </c>
    </row>
    <row r="1887" customFormat="false" ht="15" hidden="false" customHeight="false" outlineLevel="0" collapsed="false">
      <c r="A1887" s="7" t="s">
        <v>3561</v>
      </c>
      <c r="B1887" s="7" t="n">
        <v>1984.36</v>
      </c>
      <c r="C1887" s="7" t="n">
        <f aca="false">AVERAGE(B1838:B1887)</f>
        <v>2017.6612</v>
      </c>
      <c r="D1887" s="7" t="n">
        <f aca="false">AVERAGE(B1688:B1887)</f>
        <v>2035.34555</v>
      </c>
      <c r="E1887" s="7" t="n">
        <f aca="false">B1887/MAX(B1636:B1887)-1</f>
        <v>-0.0838469600225303</v>
      </c>
      <c r="F1887" s="7" t="str">
        <f aca="false">IFERROR(INDEX(02_轉折點45個!B:B,MATCH(A1887,02_轉折點45個!A:A,0)),"")</f>
        <v/>
      </c>
      <c r="G1887" s="7" t="s">
        <v>1994</v>
      </c>
    </row>
    <row r="1888" customFormat="false" ht="15" hidden="false" customHeight="false" outlineLevel="0" collapsed="false">
      <c r="A1888" s="7" t="s">
        <v>678</v>
      </c>
      <c r="B1888" s="7" t="n">
        <v>2001.12</v>
      </c>
      <c r="C1888" s="7" t="n">
        <f aca="false">AVERAGE(B1839:B1888)</f>
        <v>2014.8762</v>
      </c>
      <c r="D1888" s="7" t="n">
        <f aca="false">AVERAGE(B1689:B1888)</f>
        <v>2035.54785</v>
      </c>
      <c r="E1888" s="7" t="n">
        <f aca="false">B1888/MAX(B1637:B1888)-1</f>
        <v>-0.0761090873834818</v>
      </c>
      <c r="F1888" s="7" t="str">
        <f aca="false">IFERROR(INDEX(02_轉折點45個!B:B,MATCH(A1888,02_轉折點45個!A:A,0)),"")</f>
        <v/>
      </c>
      <c r="G1888" s="7" t="s">
        <v>1994</v>
      </c>
    </row>
    <row r="1889" customFormat="false" ht="15" hidden="false" customHeight="false" outlineLevel="0" collapsed="false">
      <c r="A1889" s="7" t="s">
        <v>3562</v>
      </c>
      <c r="B1889" s="7" t="n">
        <v>1967.23</v>
      </c>
      <c r="C1889" s="7" t="n">
        <f aca="false">AVERAGE(B1840:B1889)</f>
        <v>2011.5866</v>
      </c>
      <c r="D1889" s="7" t="n">
        <f aca="false">AVERAGE(B1690:B1889)</f>
        <v>2035.5158</v>
      </c>
      <c r="E1889" s="7" t="n">
        <f aca="false">B1889/MAX(B1638:B1889)-1</f>
        <v>-0.0917556568188848</v>
      </c>
      <c r="F1889" s="7" t="str">
        <f aca="false">IFERROR(INDEX(02_轉折點45個!B:B,MATCH(A1889,02_轉折點45個!A:A,0)),"")</f>
        <v/>
      </c>
      <c r="G1889" s="7" t="s">
        <v>1994</v>
      </c>
    </row>
    <row r="1890" customFormat="false" ht="15" hidden="false" customHeight="false" outlineLevel="0" collapsed="false">
      <c r="A1890" s="7" t="s">
        <v>3563</v>
      </c>
      <c r="B1890" s="7" t="n">
        <v>1968.83</v>
      </c>
      <c r="C1890" s="7" t="n">
        <f aca="false">AVERAGE(B1841:B1890)</f>
        <v>2008.3852</v>
      </c>
      <c r="D1890" s="7" t="n">
        <f aca="false">AVERAGE(B1691:B1890)</f>
        <v>2035.5607</v>
      </c>
      <c r="E1890" s="7" t="n">
        <f aca="false">B1890/MAX(B1639:B1890)-1</f>
        <v>-0.0910169577602644</v>
      </c>
      <c r="F1890" s="7" t="str">
        <f aca="false">IFERROR(INDEX(02_轉折點45個!B:B,MATCH(A1890,02_轉折點45個!A:A,0)),"")</f>
        <v/>
      </c>
      <c r="G1890" s="7" t="s">
        <v>1994</v>
      </c>
    </row>
    <row r="1891" customFormat="false" ht="15" hidden="false" customHeight="false" outlineLevel="0" collapsed="false">
      <c r="A1891" s="7" t="s">
        <v>3564</v>
      </c>
      <c r="B1891" s="7" t="n">
        <v>1945.96</v>
      </c>
      <c r="C1891" s="7" t="n">
        <f aca="false">AVERAGE(B1842:B1891)</f>
        <v>2004.6656</v>
      </c>
      <c r="D1891" s="7" t="n">
        <f aca="false">AVERAGE(B1692:B1891)</f>
        <v>2035.5549</v>
      </c>
      <c r="E1891" s="7" t="n">
        <f aca="false">B1891/MAX(B1640:B1891)-1</f>
        <v>-0.10157573742942</v>
      </c>
      <c r="F1891" s="7" t="str">
        <f aca="false">IFERROR(INDEX(02_轉折點45個!B:B,MATCH(A1891,02_轉折點45個!A:A,0)),"")</f>
        <v/>
      </c>
      <c r="G1891" s="7" t="s">
        <v>1994</v>
      </c>
    </row>
    <row r="1892" customFormat="false" ht="15" hidden="false" customHeight="false" outlineLevel="0" collapsed="false">
      <c r="A1892" s="7" t="s">
        <v>3565</v>
      </c>
      <c r="B1892" s="7" t="n">
        <v>1933.97</v>
      </c>
      <c r="C1892" s="7" t="n">
        <f aca="false">AVERAGE(B1843:B1892)</f>
        <v>2000.4994</v>
      </c>
      <c r="D1892" s="7" t="n">
        <f aca="false">AVERAGE(B1693:B1892)</f>
        <v>2035.6019</v>
      </c>
      <c r="E1892" s="7" t="n">
        <f aca="false">B1892/MAX(B1641:B1892)-1</f>
        <v>-0.107111363499956</v>
      </c>
      <c r="F1892" s="7" t="str">
        <f aca="false">IFERROR(INDEX(02_轉折點45個!B:B,MATCH(A1892,02_轉折點45個!A:A,0)),"")</f>
        <v/>
      </c>
      <c r="G1892" s="7" t="s">
        <v>1994</v>
      </c>
    </row>
    <row r="1893" customFormat="false" ht="15" hidden="false" customHeight="false" outlineLevel="0" collapsed="false">
      <c r="A1893" s="7" t="s">
        <v>3566</v>
      </c>
      <c r="B1893" s="7" t="n">
        <v>1944.87</v>
      </c>
      <c r="C1893" s="7" t="n">
        <f aca="false">AVERAGE(B1844:B1893)</f>
        <v>1996.96</v>
      </c>
      <c r="D1893" s="7" t="n">
        <f aca="false">AVERAGE(B1694:B1893)</f>
        <v>2035.6845</v>
      </c>
      <c r="E1893" s="7" t="n">
        <f aca="false">B1893/MAX(B1642:B1893)-1</f>
        <v>-0.102078976163105</v>
      </c>
      <c r="F1893" s="7" t="str">
        <f aca="false">IFERROR(INDEX(02_轉折點45個!B:B,MATCH(A1893,02_轉折點45個!A:A,0)),"")</f>
        <v/>
      </c>
      <c r="G1893" s="7" t="s">
        <v>1994</v>
      </c>
    </row>
    <row r="1894" customFormat="false" ht="15" hidden="false" customHeight="false" outlineLevel="0" collapsed="false">
      <c r="A1894" s="7" t="s">
        <v>3567</v>
      </c>
      <c r="B1894" s="7" t="n">
        <v>1909.59</v>
      </c>
      <c r="C1894" s="7" t="n">
        <f aca="false">AVERAGE(B1845:B1894)</f>
        <v>1993.04</v>
      </c>
      <c r="D1894" s="7" t="n">
        <f aca="false">AVERAGE(B1695:B1894)</f>
        <v>2035.563</v>
      </c>
      <c r="E1894" s="7" t="n">
        <f aca="false">B1894/MAX(B1643:B1894)-1</f>
        <v>-0.118367290405684</v>
      </c>
      <c r="F1894" s="7" t="str">
        <f aca="false">IFERROR(INDEX(02_轉折點45個!B:B,MATCH(A1894,02_轉折點45個!A:A,0)),"")</f>
        <v/>
      </c>
      <c r="G1894" s="7" t="s">
        <v>1994</v>
      </c>
    </row>
    <row r="1895" customFormat="false" ht="15" hidden="false" customHeight="false" outlineLevel="0" collapsed="false">
      <c r="A1895" s="7" t="s">
        <v>679</v>
      </c>
      <c r="B1895" s="7" t="n">
        <v>1876.58</v>
      </c>
      <c r="C1895" s="7" t="n">
        <f aca="false">AVERAGE(B1846:B1895)</f>
        <v>1988.3674</v>
      </c>
      <c r="D1895" s="7" t="n">
        <f aca="false">AVERAGE(B1696:B1895)</f>
        <v>2035.25535</v>
      </c>
      <c r="E1895" s="7" t="n">
        <f aca="false">B1895/MAX(B1644:B1895)-1</f>
        <v>-0.133607575358846</v>
      </c>
      <c r="F1895" s="7" t="str">
        <f aca="false">IFERROR(INDEX(02_轉折點45個!B:B,MATCH(A1895,02_轉折點45個!A:A,0)),"")</f>
        <v/>
      </c>
      <c r="G1895" s="7" t="s">
        <v>1994</v>
      </c>
    </row>
    <row r="1896" customFormat="false" ht="15" hidden="false" customHeight="false" outlineLevel="0" collapsed="false">
      <c r="A1896" s="7" t="s">
        <v>680</v>
      </c>
      <c r="B1896" s="7" t="n">
        <v>1861.27</v>
      </c>
      <c r="C1896" s="7" t="n">
        <f aca="false">AVERAGE(B1847:B1896)</f>
        <v>1983.496</v>
      </c>
      <c r="D1896" s="7" t="n">
        <f aca="false">AVERAGE(B1697:B1896)</f>
        <v>2034.8942</v>
      </c>
      <c r="E1896" s="7" t="n">
        <f aca="false">B1896/MAX(B1645:B1896)-1</f>
        <v>-0.14067600197602</v>
      </c>
      <c r="F1896" s="7" t="str">
        <f aca="false">IFERROR(INDEX(02_轉折點45個!B:B,MATCH(A1896,02_轉折點45個!A:A,0)),"")</f>
        <v/>
      </c>
      <c r="G1896" s="7" t="s">
        <v>1994</v>
      </c>
    </row>
    <row r="1897" customFormat="false" ht="15" hidden="false" customHeight="false" outlineLevel="0" collapsed="false">
      <c r="A1897" s="7" t="s">
        <v>3568</v>
      </c>
      <c r="B1897" s="7" t="n">
        <v>1861.61</v>
      </c>
      <c r="C1897" s="7" t="n">
        <f aca="false">AVERAGE(B1848:B1897)</f>
        <v>1978.2672</v>
      </c>
      <c r="D1897" s="7" t="n">
        <f aca="false">AVERAGE(B1698:B1897)</f>
        <v>2034.5394</v>
      </c>
      <c r="E1897" s="7" t="n">
        <f aca="false">B1897/MAX(B1646:B1897)-1</f>
        <v>-0.140519028426063</v>
      </c>
      <c r="F1897" s="7" t="str">
        <f aca="false">IFERROR(INDEX(02_轉折點45個!B:B,MATCH(A1897,02_轉折點45個!A:A,0)),"")</f>
        <v/>
      </c>
      <c r="G1897" s="7" t="s">
        <v>1994</v>
      </c>
    </row>
    <row r="1898" customFormat="false" ht="15" hidden="false" customHeight="false" outlineLevel="0" collapsed="false">
      <c r="A1898" s="7" t="s">
        <v>3569</v>
      </c>
      <c r="B1898" s="7" t="n">
        <v>1866.63</v>
      </c>
      <c r="C1898" s="7" t="n">
        <f aca="false">AVERAGE(B1849:B1898)</f>
        <v>1972.7976</v>
      </c>
      <c r="D1898" s="7" t="n">
        <f aca="false">AVERAGE(B1699:B1898)</f>
        <v>2034.09175</v>
      </c>
      <c r="E1898" s="7" t="n">
        <f aca="false">B1898/MAX(B1647:B1898)-1</f>
        <v>-0.138201360129642</v>
      </c>
      <c r="F1898" s="7" t="str">
        <f aca="false">IFERROR(INDEX(02_轉折點45個!B:B,MATCH(A1898,02_轉折點45個!A:A,0)),"")</f>
        <v/>
      </c>
      <c r="G1898" s="7" t="s">
        <v>1994</v>
      </c>
    </row>
    <row r="1899" customFormat="false" ht="15" hidden="false" customHeight="false" outlineLevel="0" collapsed="false">
      <c r="A1899" s="7" t="s">
        <v>3570</v>
      </c>
      <c r="B1899" s="7" t="n">
        <v>1900.88</v>
      </c>
      <c r="C1899" s="7" t="n">
        <f aca="false">AVERAGE(B1850:B1899)</f>
        <v>1967.9688</v>
      </c>
      <c r="D1899" s="7" t="n">
        <f aca="false">AVERAGE(B1700:B1899)</f>
        <v>2033.7675</v>
      </c>
      <c r="E1899" s="7" t="n">
        <f aca="false">B1899/MAX(B1648:B1899)-1</f>
        <v>-0.122388583406049</v>
      </c>
      <c r="F1899" s="7" t="str">
        <f aca="false">IFERROR(INDEX(02_轉折點45個!B:B,MATCH(A1899,02_轉折點45個!A:A,0)),"")</f>
        <v/>
      </c>
      <c r="G1899" s="7" t="s">
        <v>1994</v>
      </c>
    </row>
    <row r="1900" customFormat="false" ht="15" hidden="false" customHeight="false" outlineLevel="0" collapsed="false">
      <c r="A1900" s="7" t="s">
        <v>3571</v>
      </c>
      <c r="B1900" s="7" t="n">
        <v>1863.16</v>
      </c>
      <c r="C1900" s="7" t="n">
        <f aca="false">AVERAGE(B1851:B1900)</f>
        <v>1962.5088</v>
      </c>
      <c r="D1900" s="7" t="n">
        <f aca="false">AVERAGE(B1701:B1900)</f>
        <v>2033.2376</v>
      </c>
      <c r="E1900" s="7" t="n">
        <f aca="false">B1900/MAX(B1649:B1900)-1</f>
        <v>-0.139803413713025</v>
      </c>
      <c r="F1900" s="7" t="str">
        <f aca="false">IFERROR(INDEX(02_轉折點45個!B:B,MATCH(A1900,02_轉折點45個!A:A,0)),"")</f>
        <v/>
      </c>
      <c r="G1900" s="7" t="s">
        <v>1994</v>
      </c>
    </row>
    <row r="1901" customFormat="false" ht="15" hidden="false" customHeight="false" outlineLevel="0" collapsed="false">
      <c r="A1901" s="7" t="s">
        <v>681</v>
      </c>
      <c r="B1901" s="7" t="n">
        <v>1845.77</v>
      </c>
      <c r="C1901" s="7" t="n">
        <f aca="false">AVERAGE(B1852:B1901)</f>
        <v>1957.021</v>
      </c>
      <c r="D1901" s="7" t="n">
        <f aca="false">AVERAGE(B1702:B1901)</f>
        <v>2032.69415</v>
      </c>
      <c r="E1901" s="7" t="n">
        <f aca="false">B1901/MAX(B1650:B1901)-1</f>
        <v>-0.147832149106405</v>
      </c>
      <c r="F1901" s="7" t="str">
        <f aca="false">IFERROR(INDEX(02_轉折點45個!B:B,MATCH(A1901,02_轉折點45個!A:A,0)),"")</f>
        <v/>
      </c>
      <c r="G1901" s="7" t="s">
        <v>1994</v>
      </c>
    </row>
    <row r="1902" customFormat="false" ht="15" hidden="false" customHeight="false" outlineLevel="0" collapsed="false">
      <c r="A1902" s="7" t="s">
        <v>3572</v>
      </c>
      <c r="B1902" s="7" t="n">
        <v>1883.64</v>
      </c>
      <c r="C1902" s="7" t="n">
        <f aca="false">AVERAGE(B1853:B1902)</f>
        <v>1953.1682</v>
      </c>
      <c r="D1902" s="7" t="n">
        <f aca="false">AVERAGE(B1703:B1902)</f>
        <v>2032.50605</v>
      </c>
      <c r="E1902" s="7" t="n">
        <f aca="false">B1902/MAX(B1651:B1902)-1</f>
        <v>-0.130348065762684</v>
      </c>
      <c r="F1902" s="7" t="str">
        <f aca="false">IFERROR(INDEX(02_轉折點45個!B:B,MATCH(A1902,02_轉折點45個!A:A,0)),"")</f>
        <v/>
      </c>
      <c r="G1902" s="7" t="s">
        <v>1994</v>
      </c>
    </row>
    <row r="1903" customFormat="false" ht="15" hidden="false" customHeight="false" outlineLevel="0" collapsed="false">
      <c r="A1903" s="7" t="s">
        <v>682</v>
      </c>
      <c r="B1903" s="7" t="n">
        <v>1894.66</v>
      </c>
      <c r="C1903" s="7" t="n">
        <f aca="false">AVERAGE(B1854:B1903)</f>
        <v>1950.0642</v>
      </c>
      <c r="D1903" s="7" t="n">
        <f aca="false">AVERAGE(B1704:B1903)</f>
        <v>2032.45955</v>
      </c>
      <c r="E1903" s="7" t="n">
        <f aca="false">B1903/MAX(B1652:B1903)-1</f>
        <v>-0.125260275996436</v>
      </c>
      <c r="F1903" s="7" t="str">
        <f aca="false">IFERROR(INDEX(02_轉折點45個!B:B,MATCH(A1903,02_轉折點45個!A:A,0)),"")</f>
        <v/>
      </c>
      <c r="G1903" s="7" t="s">
        <v>1994</v>
      </c>
    </row>
    <row r="1904" customFormat="false" ht="15" hidden="false" customHeight="false" outlineLevel="0" collapsed="false">
      <c r="A1904" s="7" t="s">
        <v>3573</v>
      </c>
      <c r="B1904" s="7" t="n">
        <v>1891.52</v>
      </c>
      <c r="C1904" s="7" t="n">
        <f aca="false">AVERAGE(B1855:B1904)</f>
        <v>1946.9936</v>
      </c>
      <c r="D1904" s="7" t="n">
        <f aca="false">AVERAGE(B1705:B1904)</f>
        <v>2032.3687</v>
      </c>
      <c r="E1904" s="7" t="n">
        <f aca="false">B1904/MAX(B1653:B1904)-1</f>
        <v>-0.126709972898978</v>
      </c>
      <c r="F1904" s="7" t="str">
        <f aca="false">IFERROR(INDEX(02_轉折點45個!B:B,MATCH(A1904,02_轉折點45個!A:A,0)),"")</f>
        <v/>
      </c>
      <c r="G1904" s="7" t="s">
        <v>1994</v>
      </c>
    </row>
    <row r="1905" customFormat="false" ht="15" hidden="false" customHeight="false" outlineLevel="0" collapsed="false">
      <c r="A1905" s="7" t="s">
        <v>3574</v>
      </c>
      <c r="B1905" s="7" t="n">
        <v>1876.91</v>
      </c>
      <c r="C1905" s="7" t="n">
        <f aca="false">AVERAGE(B1856:B1905)</f>
        <v>1943.8024</v>
      </c>
      <c r="D1905" s="7" t="n">
        <f aca="false">AVERAGE(B1706:B1905)</f>
        <v>2032.25705</v>
      </c>
      <c r="E1905" s="7" t="n">
        <f aca="false">B1905/MAX(B1654:B1905)-1</f>
        <v>-0.133455218678006</v>
      </c>
      <c r="F1905" s="7" t="str">
        <f aca="false">IFERROR(INDEX(02_轉折點45個!B:B,MATCH(A1905,02_轉折點45個!A:A,0)),"")</f>
        <v/>
      </c>
      <c r="G1905" s="7" t="s">
        <v>1994</v>
      </c>
    </row>
    <row r="1906" customFormat="false" ht="15" hidden="false" customHeight="false" outlineLevel="0" collapsed="false">
      <c r="A1906" s="7" t="s">
        <v>3575</v>
      </c>
      <c r="B1906" s="7" t="n">
        <v>1913.15</v>
      </c>
      <c r="C1906" s="7" t="n">
        <f aca="false">AVERAGE(B1857:B1906)</f>
        <v>1941.945</v>
      </c>
      <c r="D1906" s="7" t="n">
        <f aca="false">AVERAGE(B1707:B1906)</f>
        <v>2032.408</v>
      </c>
      <c r="E1906" s="7" t="n">
        <f aca="false">B1906/MAX(B1655:B1906)-1</f>
        <v>-0.116723685000254</v>
      </c>
      <c r="F1906" s="7" t="str">
        <f aca="false">IFERROR(INDEX(02_轉折點45個!B:B,MATCH(A1906,02_轉折點45個!A:A,0)),"")</f>
        <v/>
      </c>
      <c r="G1906" s="7" t="s">
        <v>1994</v>
      </c>
    </row>
    <row r="1907" customFormat="false" ht="15" hidden="false" customHeight="false" outlineLevel="0" collapsed="false">
      <c r="A1907" s="7" t="s">
        <v>683</v>
      </c>
      <c r="B1907" s="7" t="n">
        <v>1910.71</v>
      </c>
      <c r="C1907" s="7" t="n">
        <f aca="false">AVERAGE(B1858:B1907)</f>
        <v>1940.3216</v>
      </c>
      <c r="D1907" s="7" t="n">
        <f aca="false">AVERAGE(B1708:B1907)</f>
        <v>2032.65465</v>
      </c>
      <c r="E1907" s="7" t="n">
        <f aca="false">B1907/MAX(B1656:B1907)-1</f>
        <v>-0.11785020106465</v>
      </c>
      <c r="F1907" s="7" t="str">
        <f aca="false">IFERROR(INDEX(02_轉折點45個!B:B,MATCH(A1907,02_轉折點45個!A:A,0)),"")</f>
        <v/>
      </c>
      <c r="G1907" s="7" t="s">
        <v>1994</v>
      </c>
    </row>
    <row r="1908" customFormat="false" ht="15" hidden="false" customHeight="false" outlineLevel="0" collapsed="false">
      <c r="A1908" s="7" t="s">
        <v>3576</v>
      </c>
      <c r="B1908" s="7" t="n">
        <v>1883.78</v>
      </c>
      <c r="C1908" s="7" t="n">
        <f aca="false">AVERAGE(B1859:B1908)</f>
        <v>1937.9118</v>
      </c>
      <c r="D1908" s="7" t="n">
        <f aca="false">AVERAGE(B1709:B1908)</f>
        <v>2032.72215</v>
      </c>
      <c r="E1908" s="7" t="n">
        <f aca="false">B1908/MAX(B1657:B1908)-1</f>
        <v>-0.130283429595054</v>
      </c>
      <c r="F1908" s="7" t="str">
        <f aca="false">IFERROR(INDEX(02_轉折點45個!B:B,MATCH(A1908,02_轉折點45個!A:A,0)),"")</f>
        <v/>
      </c>
      <c r="G1908" s="7" t="s">
        <v>1994</v>
      </c>
    </row>
    <row r="1909" customFormat="false" ht="15" hidden="false" customHeight="false" outlineLevel="0" collapsed="false">
      <c r="A1909" s="7" t="s">
        <v>3577</v>
      </c>
      <c r="B1909" s="7" t="n">
        <v>1899.14</v>
      </c>
      <c r="C1909" s="7" t="n">
        <f aca="false">AVERAGE(B1860:B1909)</f>
        <v>1936.1932</v>
      </c>
      <c r="D1909" s="7" t="n">
        <f aca="false">AVERAGE(B1710:B1909)</f>
        <v>2032.786</v>
      </c>
      <c r="E1909" s="7" t="n">
        <f aca="false">B1909/MAX(B1658:B1909)-1</f>
        <v>-0.123191918632299</v>
      </c>
      <c r="F1909" s="7" t="str">
        <f aca="false">IFERROR(INDEX(02_轉折點45個!B:B,MATCH(A1909,02_轉折點45個!A:A,0)),"")</f>
        <v/>
      </c>
      <c r="G1909" s="7" t="s">
        <v>1994</v>
      </c>
    </row>
    <row r="1910" customFormat="false" ht="15" hidden="false" customHeight="false" outlineLevel="0" collapsed="false">
      <c r="A1910" s="7" t="s">
        <v>3578</v>
      </c>
      <c r="B1910" s="7" t="n">
        <v>1911.5</v>
      </c>
      <c r="C1910" s="7" t="n">
        <f aca="false">AVERAGE(B1861:B1910)</f>
        <v>1934.9796</v>
      </c>
      <c r="D1910" s="7" t="n">
        <f aca="false">AVERAGE(B1711:B1910)</f>
        <v>2032.88665</v>
      </c>
      <c r="E1910" s="7" t="n">
        <f aca="false">B1910/MAX(B1659:B1910)-1</f>
        <v>-0.117485468404456</v>
      </c>
      <c r="F1910" s="7" t="str">
        <f aca="false">IFERROR(INDEX(02_轉折點45個!B:B,MATCH(A1910,02_轉折點45個!A:A,0)),"")</f>
        <v/>
      </c>
      <c r="G1910" s="7" t="s">
        <v>1994</v>
      </c>
    </row>
    <row r="1911" customFormat="false" ht="15" hidden="false" customHeight="false" outlineLevel="0" collapsed="false">
      <c r="A1911" s="7" t="s">
        <v>3579</v>
      </c>
      <c r="B1911" s="7" t="n">
        <v>1904.84</v>
      </c>
      <c r="C1911" s="7" t="n">
        <f aca="false">AVERAGE(B1862:B1911)</f>
        <v>1933.4426</v>
      </c>
      <c r="D1911" s="7" t="n">
        <f aca="false">AVERAGE(B1712:B1911)</f>
        <v>2033.0193</v>
      </c>
      <c r="E1911" s="7" t="n">
        <f aca="false">B1911/MAX(B1660:B1911)-1</f>
        <v>-0.120560303235964</v>
      </c>
      <c r="F1911" s="7" t="str">
        <f aca="false">IFERROR(INDEX(02_轉折點45個!B:B,MATCH(A1911,02_轉折點45個!A:A,0)),"")</f>
        <v/>
      </c>
      <c r="G1911" s="7" t="s">
        <v>1994</v>
      </c>
    </row>
    <row r="1912" customFormat="false" ht="15" hidden="false" customHeight="false" outlineLevel="0" collapsed="false">
      <c r="A1912" s="7" t="s">
        <v>3580</v>
      </c>
      <c r="B1912" s="7" t="n">
        <v>1893.38</v>
      </c>
      <c r="C1912" s="7" t="n">
        <f aca="false">AVERAGE(B1863:B1912)</f>
        <v>1931.1452</v>
      </c>
      <c r="D1912" s="7" t="n">
        <f aca="false">AVERAGE(B1713:B1912)</f>
        <v>2032.9337</v>
      </c>
      <c r="E1912" s="7" t="n">
        <f aca="false">B1912/MAX(B1661:B1912)-1</f>
        <v>-0.125851235243332</v>
      </c>
      <c r="F1912" s="7" t="str">
        <f aca="false">IFERROR(INDEX(02_轉折點45個!B:B,MATCH(A1912,02_轉折點45個!A:A,0)),"")</f>
        <v/>
      </c>
      <c r="G1912" s="7" t="s">
        <v>1994</v>
      </c>
    </row>
    <row r="1913" customFormat="false" ht="15" hidden="false" customHeight="false" outlineLevel="0" collapsed="false">
      <c r="A1913" s="7" t="s">
        <v>3581</v>
      </c>
      <c r="B1913" s="7" t="n">
        <v>1882.74</v>
      </c>
      <c r="C1913" s="7" t="n">
        <f aca="false">AVERAGE(B1864:B1913)</f>
        <v>1928.4134</v>
      </c>
      <c r="D1913" s="7" t="n">
        <f aca="false">AVERAGE(B1714:B1913)</f>
        <v>2032.90055</v>
      </c>
      <c r="E1913" s="7" t="n">
        <f aca="false">B1913/MAX(B1662:B1913)-1</f>
        <v>-0.130763583983158</v>
      </c>
      <c r="F1913" s="7" t="str">
        <f aca="false">IFERROR(INDEX(02_轉折點45個!B:B,MATCH(A1913,02_轉折點45個!A:A,0)),"")</f>
        <v/>
      </c>
      <c r="G1913" s="7" t="s">
        <v>1994</v>
      </c>
    </row>
    <row r="1914" customFormat="false" ht="15" hidden="false" customHeight="false" outlineLevel="0" collapsed="false">
      <c r="A1914" s="7" t="s">
        <v>3582</v>
      </c>
      <c r="B1914" s="7" t="n">
        <v>1882.22</v>
      </c>
      <c r="C1914" s="7" t="n">
        <f aca="false">AVERAGE(B1865:B1914)</f>
        <v>1926.5048</v>
      </c>
      <c r="D1914" s="7" t="n">
        <f aca="false">AVERAGE(B1715:B1914)</f>
        <v>2032.8004</v>
      </c>
      <c r="E1914" s="7" t="n">
        <f aca="false">B1914/MAX(B1663:B1914)-1</f>
        <v>-0.131003661177209</v>
      </c>
      <c r="F1914" s="7" t="str">
        <f aca="false">IFERROR(INDEX(02_轉折點45個!B:B,MATCH(A1914,02_轉折點45個!A:A,0)),"")</f>
        <v/>
      </c>
      <c r="G1914" s="7" t="s">
        <v>1994</v>
      </c>
    </row>
    <row r="1915" customFormat="false" ht="15" hidden="false" customHeight="false" outlineLevel="0" collapsed="false">
      <c r="A1915" s="7" t="s">
        <v>3583</v>
      </c>
      <c r="B1915" s="7" t="n">
        <v>1892.68</v>
      </c>
      <c r="C1915" s="7" t="n">
        <f aca="false">AVERAGE(B1866:B1915)</f>
        <v>1924.547</v>
      </c>
      <c r="D1915" s="7" t="n">
        <f aca="false">AVERAGE(B1716:B1915)</f>
        <v>2032.599</v>
      </c>
      <c r="E1915" s="7" t="n">
        <f aca="false">B1915/MAX(B1664:B1915)-1</f>
        <v>-0.126174416081478</v>
      </c>
      <c r="F1915" s="7" t="str">
        <f aca="false">IFERROR(INDEX(02_轉折點45個!B:B,MATCH(A1915,02_轉折點45個!A:A,0)),"")</f>
        <v/>
      </c>
      <c r="G1915" s="7" t="s">
        <v>1994</v>
      </c>
    </row>
    <row r="1916" customFormat="false" ht="15" hidden="false" customHeight="false" outlineLevel="0" collapsed="false">
      <c r="A1916" s="7" t="s">
        <v>3584</v>
      </c>
      <c r="B1916" s="7" t="n">
        <v>1879.87</v>
      </c>
      <c r="C1916" s="7" t="n">
        <f aca="false">AVERAGE(B1867:B1916)</f>
        <v>1921.5844</v>
      </c>
      <c r="D1916" s="7" t="n">
        <f aca="false">AVERAGE(B1717:B1916)</f>
        <v>2032.36265</v>
      </c>
      <c r="E1916" s="7" t="n">
        <f aca="false">B1916/MAX(B1665:B1916)-1</f>
        <v>-0.132088625419558</v>
      </c>
      <c r="F1916" s="7" t="str">
        <f aca="false">IFERROR(INDEX(02_轉折點45個!B:B,MATCH(A1916,02_轉折點45個!A:A,0)),"")</f>
        <v/>
      </c>
      <c r="G1916" s="7" t="s">
        <v>1994</v>
      </c>
    </row>
    <row r="1917" customFormat="false" ht="15" hidden="false" customHeight="false" outlineLevel="0" collapsed="false">
      <c r="A1917" s="7" t="s">
        <v>3585</v>
      </c>
      <c r="B1917" s="7" t="n">
        <v>1890.22</v>
      </c>
      <c r="C1917" s="7" t="n">
        <f aca="false">AVERAGE(B1868:B1917)</f>
        <v>1918.837</v>
      </c>
      <c r="D1917" s="7" t="n">
        <f aca="false">AVERAGE(B1718:B1917)</f>
        <v>2032.221</v>
      </c>
      <c r="E1917" s="7" t="n">
        <f aca="false">B1917/MAX(B1666:B1917)-1</f>
        <v>-0.127310165884107</v>
      </c>
      <c r="F1917" s="7" t="str">
        <f aca="false">IFERROR(INDEX(02_轉折點45個!B:B,MATCH(A1917,02_轉折點45個!A:A,0)),"")</f>
        <v/>
      </c>
      <c r="G1917" s="7" t="s">
        <v>1994</v>
      </c>
    </row>
    <row r="1918" customFormat="false" ht="15" hidden="false" customHeight="false" outlineLevel="0" collapsed="false">
      <c r="A1918" s="7" t="s">
        <v>3586</v>
      </c>
      <c r="B1918" s="7" t="n">
        <v>1932.22</v>
      </c>
      <c r="C1918" s="7" t="n">
        <f aca="false">AVERAGE(B1869:B1918)</f>
        <v>1917.8392</v>
      </c>
      <c r="D1918" s="7" t="n">
        <f aca="false">AVERAGE(B1719:B1918)</f>
        <v>2032.4549</v>
      </c>
      <c r="E1918" s="7" t="n">
        <f aca="false">B1918/MAX(B1667:B1918)-1</f>
        <v>-0.107919315595322</v>
      </c>
      <c r="F1918" s="7" t="str">
        <f aca="false">IFERROR(INDEX(02_轉折點45個!B:B,MATCH(A1918,02_轉折點45個!A:A,0)),"")</f>
        <v/>
      </c>
      <c r="G1918" s="7" t="s">
        <v>1994</v>
      </c>
    </row>
    <row r="1919" customFormat="false" ht="15" hidden="false" customHeight="false" outlineLevel="0" collapsed="false">
      <c r="A1919" s="7" t="s">
        <v>684</v>
      </c>
      <c r="B1919" s="7" t="n">
        <v>1963.76</v>
      </c>
      <c r="C1919" s="7" t="n">
        <f aca="false">AVERAGE(B1870:B1919)</f>
        <v>1917.5972</v>
      </c>
      <c r="D1919" s="7" t="n">
        <f aca="false">AVERAGE(B1720:B1919)</f>
        <v>2032.7274</v>
      </c>
      <c r="E1919" s="7" t="n">
        <f aca="false">B1919/MAX(B1668:B1919)-1</f>
        <v>-0.0933577104022677</v>
      </c>
      <c r="F1919" s="7" t="str">
        <f aca="false">IFERROR(INDEX(02_轉折點45個!B:B,MATCH(A1919,02_轉折點45個!A:A,0)),"")</f>
        <v/>
      </c>
      <c r="G1919" s="7" t="s">
        <v>1994</v>
      </c>
    </row>
    <row r="1920" customFormat="false" ht="15" hidden="false" customHeight="false" outlineLevel="0" collapsed="false">
      <c r="A1920" s="7" t="s">
        <v>3587</v>
      </c>
      <c r="B1920" s="7" t="n">
        <v>1971.13</v>
      </c>
      <c r="C1920" s="7" t="n">
        <f aca="false">AVERAGE(B1871:B1920)</f>
        <v>1917.7032</v>
      </c>
      <c r="D1920" s="7" t="n">
        <f aca="false">AVERAGE(B1721:B1920)</f>
        <v>2032.8978</v>
      </c>
      <c r="E1920" s="7" t="n">
        <f aca="false">B1920/MAX(B1669:B1920)-1</f>
        <v>-0.0899550778634976</v>
      </c>
      <c r="F1920" s="7" t="str">
        <f aca="false">IFERROR(INDEX(02_轉折點45個!B:B,MATCH(A1920,02_轉折點45個!A:A,0)),"")</f>
        <v/>
      </c>
      <c r="G1920" s="7" t="s">
        <v>1994</v>
      </c>
    </row>
    <row r="1921" customFormat="false" ht="15" hidden="false" customHeight="false" outlineLevel="0" collapsed="false">
      <c r="A1921" s="7" t="s">
        <v>3588</v>
      </c>
      <c r="B1921" s="7" t="n">
        <v>1976.93</v>
      </c>
      <c r="C1921" s="7" t="n">
        <f aca="false">AVERAGE(B1872:B1921)</f>
        <v>1918.0436</v>
      </c>
      <c r="D1921" s="7" t="n">
        <f aca="false">AVERAGE(B1722:B1921)</f>
        <v>2033.12575</v>
      </c>
      <c r="E1921" s="7" t="n">
        <f aca="false">B1921/MAX(B1670:B1921)-1</f>
        <v>-0.0872772937759986</v>
      </c>
      <c r="F1921" s="7" t="str">
        <f aca="false">IFERROR(INDEX(02_轉折點45個!B:B,MATCH(A1921,02_轉折點45個!A:A,0)),"")</f>
        <v/>
      </c>
      <c r="G1921" s="7" t="s">
        <v>1994</v>
      </c>
    </row>
    <row r="1922" customFormat="false" ht="15" hidden="false" customHeight="false" outlineLevel="0" collapsed="false">
      <c r="A1922" s="7" t="s">
        <v>3589</v>
      </c>
      <c r="B1922" s="7" t="n">
        <v>1962.13</v>
      </c>
      <c r="C1922" s="7" t="n">
        <f aca="false">AVERAGE(B1873:B1922)</f>
        <v>1918.2756</v>
      </c>
      <c r="D1922" s="7" t="n">
        <f aca="false">AVERAGE(B1723:B1922)</f>
        <v>2033.1415</v>
      </c>
      <c r="E1922" s="7" t="n">
        <f aca="false">B1922/MAX(B1671:B1922)-1</f>
        <v>-0.0941102600682372</v>
      </c>
      <c r="F1922" s="7" t="str">
        <f aca="false">IFERROR(INDEX(02_轉折點45個!B:B,MATCH(A1922,02_轉折點45個!A:A,0)),"")</f>
        <v/>
      </c>
      <c r="G1922" s="7" t="s">
        <v>1994</v>
      </c>
    </row>
    <row r="1923" customFormat="false" ht="15" hidden="false" customHeight="false" outlineLevel="0" collapsed="false">
      <c r="A1923" s="7" t="s">
        <v>3590</v>
      </c>
      <c r="B1923" s="7" t="n">
        <v>1964.2</v>
      </c>
      <c r="C1923" s="7" t="n">
        <f aca="false">AVERAGE(B1874:B1923)</f>
        <v>1919.3482</v>
      </c>
      <c r="D1923" s="7" t="n">
        <f aca="false">AVERAGE(B1724:B1923)</f>
        <v>2033.0949</v>
      </c>
      <c r="E1923" s="7" t="n">
        <f aca="false">B1923/MAX(B1672:B1923)-1</f>
        <v>-0.0931545681611471</v>
      </c>
      <c r="F1923" s="7" t="str">
        <f aca="false">IFERROR(INDEX(02_轉折點45個!B:B,MATCH(A1923,02_轉折點45個!A:A,0)),"")</f>
        <v/>
      </c>
      <c r="G1923" s="7" t="s">
        <v>1994</v>
      </c>
    </row>
    <row r="1924" customFormat="false" ht="15" hidden="false" customHeight="false" outlineLevel="0" collapsed="false">
      <c r="A1924" s="7" t="s">
        <v>3591</v>
      </c>
      <c r="B1924" s="7" t="n">
        <v>1950.17</v>
      </c>
      <c r="C1924" s="7" t="n">
        <f aca="false">AVERAGE(B1875:B1924)</f>
        <v>1920.4846</v>
      </c>
      <c r="D1924" s="7" t="n">
        <f aca="false">AVERAGE(B1725:B1924)</f>
        <v>2032.9361</v>
      </c>
      <c r="E1924" s="7" t="n">
        <f aca="false">B1924/MAX(B1673:B1924)-1</f>
        <v>-0.0996320355314246</v>
      </c>
      <c r="F1924" s="7" t="str">
        <f aca="false">IFERROR(INDEX(02_轉折點45個!B:B,MATCH(A1924,02_轉折點45個!A:A,0)),"")</f>
        <v/>
      </c>
      <c r="G1924" s="7" t="s">
        <v>1994</v>
      </c>
    </row>
    <row r="1925" customFormat="false" ht="15" hidden="false" customHeight="false" outlineLevel="0" collapsed="false">
      <c r="A1925" s="7" t="s">
        <v>3592</v>
      </c>
      <c r="B1925" s="7" t="n">
        <v>1952.41</v>
      </c>
      <c r="C1925" s="7" t="n">
        <f aca="false">AVERAGE(B1876:B1925)</f>
        <v>1921.4186</v>
      </c>
      <c r="D1925" s="7" t="n">
        <f aca="false">AVERAGE(B1726:B1925)</f>
        <v>2032.74825</v>
      </c>
      <c r="E1925" s="7" t="n">
        <f aca="false">B1925/MAX(B1674:B1925)-1</f>
        <v>-0.0985978568493561</v>
      </c>
      <c r="F1925" s="7" t="str">
        <f aca="false">IFERROR(INDEX(02_轉折點45個!B:B,MATCH(A1925,02_轉折點45個!A:A,0)),"")</f>
        <v/>
      </c>
      <c r="G1925" s="7" t="s">
        <v>1994</v>
      </c>
    </row>
    <row r="1926" customFormat="false" ht="15" hidden="false" customHeight="false" outlineLevel="0" collapsed="false">
      <c r="A1926" s="7" t="s">
        <v>3593</v>
      </c>
      <c r="B1926" s="7" t="n">
        <v>1955.31</v>
      </c>
      <c r="C1926" s="7" t="n">
        <f aca="false">AVERAGE(B1877:B1926)</f>
        <v>1921.348</v>
      </c>
      <c r="D1926" s="7" t="n">
        <f aca="false">AVERAGE(B1727:B1926)</f>
        <v>2032.6031</v>
      </c>
      <c r="E1926" s="7" t="n">
        <f aca="false">B1926/MAX(B1675:B1926)-1</f>
        <v>-0.0972589648056067</v>
      </c>
      <c r="F1926" s="7" t="str">
        <f aca="false">IFERROR(INDEX(02_轉折點45個!B:B,MATCH(A1926,02_轉折點45個!A:A,0)),"")</f>
        <v/>
      </c>
      <c r="G1926" s="7" t="s">
        <v>1994</v>
      </c>
    </row>
    <row r="1927" customFormat="false" ht="15" hidden="false" customHeight="false" outlineLevel="0" collapsed="false">
      <c r="A1927" s="7" t="s">
        <v>685</v>
      </c>
      <c r="B1927" s="7" t="n">
        <v>1973.96</v>
      </c>
      <c r="C1927" s="7" t="n">
        <f aca="false">AVERAGE(B1878:B1927)</f>
        <v>1921.91</v>
      </c>
      <c r="D1927" s="7" t="n">
        <f aca="false">AVERAGE(B1728:B1927)</f>
        <v>2032.5341</v>
      </c>
      <c r="E1927" s="7" t="n">
        <f aca="false">B1927/MAX(B1676:B1927)-1</f>
        <v>-0.0886485039035627</v>
      </c>
      <c r="F1927" s="7" t="str">
        <f aca="false">IFERROR(INDEX(02_轉折點45個!B:B,MATCH(A1927,02_轉折點45個!A:A,0)),"")</f>
        <v/>
      </c>
      <c r="G1927" s="7" t="s">
        <v>1994</v>
      </c>
    </row>
    <row r="1928" customFormat="false" ht="15" hidden="false" customHeight="false" outlineLevel="0" collapsed="false">
      <c r="A1928" s="7" t="s">
        <v>3594</v>
      </c>
      <c r="B1928" s="7" t="n">
        <v>1984.55</v>
      </c>
      <c r="C1928" s="7" t="n">
        <f aca="false">AVERAGE(B1879:B1928)</f>
        <v>1923.0406</v>
      </c>
      <c r="D1928" s="7" t="n">
        <f aca="false">AVERAGE(B1729:B1928)</f>
        <v>2032.4227</v>
      </c>
      <c r="E1928" s="7" t="n">
        <f aca="false">B1928/MAX(B1677:B1928)-1</f>
        <v>-0.0837592395093191</v>
      </c>
      <c r="F1928" s="7" t="str">
        <f aca="false">IFERROR(INDEX(02_轉折點45個!B:B,MATCH(A1928,02_轉折點45個!A:A,0)),"")</f>
        <v/>
      </c>
      <c r="G1928" s="7" t="s">
        <v>1994</v>
      </c>
    </row>
    <row r="1929" customFormat="false" ht="15" hidden="false" customHeight="false" outlineLevel="0" collapsed="false">
      <c r="A1929" s="7" t="s">
        <v>686</v>
      </c>
      <c r="B1929" s="7" t="n">
        <v>1996.82</v>
      </c>
      <c r="C1929" s="7" t="n">
        <f aca="false">AVERAGE(B1880:B1929)</f>
        <v>1924.478</v>
      </c>
      <c r="D1929" s="7" t="n">
        <f aca="false">AVERAGE(B1730:B1929)</f>
        <v>2032.3462</v>
      </c>
      <c r="E1929" s="7" t="n">
        <f aca="false">B1929/MAX(B1678:B1929)-1</f>
        <v>-0.078094341103524</v>
      </c>
      <c r="F1929" s="7" t="str">
        <f aca="false">IFERROR(INDEX(02_轉折點45個!B:B,MATCH(A1929,02_轉折點45個!A:A,0)),"")</f>
        <v/>
      </c>
      <c r="G1929" s="7" t="s">
        <v>1994</v>
      </c>
    </row>
    <row r="1930" customFormat="false" ht="15" hidden="false" customHeight="false" outlineLevel="0" collapsed="false">
      <c r="A1930" s="7" t="s">
        <v>3595</v>
      </c>
      <c r="B1930" s="7" t="n">
        <v>1995.01</v>
      </c>
      <c r="C1930" s="7" t="n">
        <f aca="false">AVERAGE(B1881:B1930)</f>
        <v>1925.2554</v>
      </c>
      <c r="D1930" s="7" t="n">
        <f aca="false">AVERAGE(B1731:B1930)</f>
        <v>2032.2676</v>
      </c>
      <c r="E1930" s="7" t="n">
        <f aca="false">B1930/MAX(B1679:B1930)-1</f>
        <v>-0.0789299944135883</v>
      </c>
      <c r="F1930" s="7" t="str">
        <f aca="false">IFERROR(INDEX(02_轉折點45個!B:B,MATCH(A1930,02_轉折點45個!A:A,0)),"")</f>
        <v/>
      </c>
      <c r="G1930" s="7" t="s">
        <v>1994</v>
      </c>
    </row>
    <row r="1931" customFormat="false" ht="15" hidden="false" customHeight="false" outlineLevel="0" collapsed="false">
      <c r="A1931" s="7" t="s">
        <v>687</v>
      </c>
      <c r="B1931" s="7" t="n">
        <v>2003.61</v>
      </c>
      <c r="C1931" s="7" t="n">
        <f aca="false">AVERAGE(B1882:B1931)</f>
        <v>1926.5376</v>
      </c>
      <c r="D1931" s="7" t="n">
        <f aca="false">AVERAGE(B1732:B1931)</f>
        <v>2032.2969</v>
      </c>
      <c r="E1931" s="7" t="n">
        <f aca="false">B1931/MAX(B1680:B1931)-1</f>
        <v>-0.0749594869735037</v>
      </c>
      <c r="F1931" s="7" t="str">
        <f aca="false">IFERROR(INDEX(02_轉折點45個!B:B,MATCH(A1931,02_轉折點45個!A:A,0)),"")</f>
        <v/>
      </c>
      <c r="G1931" s="7" t="s">
        <v>1994</v>
      </c>
    </row>
    <row r="1932" customFormat="false" ht="15" hidden="false" customHeight="false" outlineLevel="0" collapsed="false">
      <c r="A1932" s="7" t="s">
        <v>3596</v>
      </c>
      <c r="B1932" s="7" t="n">
        <v>2015.07</v>
      </c>
      <c r="C1932" s="7" t="n">
        <f aca="false">AVERAGE(B1883:B1932)</f>
        <v>1928.0766</v>
      </c>
      <c r="D1932" s="7" t="n">
        <f aca="false">AVERAGE(B1733:B1932)</f>
        <v>2032.3781</v>
      </c>
      <c r="E1932" s="7" t="n">
        <f aca="false">B1932/MAX(B1681:B1932)-1</f>
        <v>-0.0696685549661352</v>
      </c>
      <c r="F1932" s="7" t="str">
        <f aca="false">IFERROR(INDEX(02_轉折點45個!B:B,MATCH(A1932,02_轉折點45個!A:A,0)),"")</f>
        <v/>
      </c>
      <c r="G1932" s="7" t="s">
        <v>1994</v>
      </c>
    </row>
    <row r="1933" customFormat="false" ht="15" hidden="false" customHeight="false" outlineLevel="0" collapsed="false">
      <c r="A1933" s="7" t="s">
        <v>3597</v>
      </c>
      <c r="B1933" s="7" t="n">
        <v>1980.48</v>
      </c>
      <c r="C1933" s="7" t="n">
        <f aca="false">AVERAGE(B1884:B1933)</f>
        <v>1928.701</v>
      </c>
      <c r="D1933" s="7" t="n">
        <f aca="false">AVERAGE(B1734:B1933)</f>
        <v>2032.13775</v>
      </c>
      <c r="E1933" s="7" t="n">
        <f aca="false">B1933/MAX(B1682:B1933)-1</f>
        <v>-0.0856383052396846</v>
      </c>
      <c r="F1933" s="7" t="str">
        <f aca="false">IFERROR(INDEX(02_轉折點45個!B:B,MATCH(A1933,02_轉折點45個!A:A,0)),"")</f>
        <v/>
      </c>
      <c r="G1933" s="7" t="s">
        <v>1994</v>
      </c>
    </row>
    <row r="1934" customFormat="false" ht="15" hidden="false" customHeight="false" outlineLevel="0" collapsed="false">
      <c r="A1934" s="7" t="s">
        <v>3598</v>
      </c>
      <c r="B1934" s="7" t="n">
        <v>1969.01</v>
      </c>
      <c r="C1934" s="7" t="n">
        <f aca="false">AVERAGE(B1885:B1934)</f>
        <v>1929.7066</v>
      </c>
      <c r="D1934" s="7" t="n">
        <f aca="false">AVERAGE(B1735:B1934)</f>
        <v>2031.80985</v>
      </c>
      <c r="E1934" s="7" t="n">
        <f aca="false">B1934/MAX(B1683:B1934)-1</f>
        <v>-0.0909338541161696</v>
      </c>
      <c r="F1934" s="7" t="str">
        <f aca="false">IFERROR(INDEX(02_轉折點45個!B:B,MATCH(A1934,02_轉折點45個!A:A,0)),"")</f>
        <v/>
      </c>
      <c r="G1934" s="7" t="s">
        <v>1994</v>
      </c>
    </row>
    <row r="1935" customFormat="false" ht="15" hidden="false" customHeight="false" outlineLevel="0" collapsed="false">
      <c r="A1935" s="7" t="s">
        <v>3599</v>
      </c>
      <c r="B1935" s="7" t="n">
        <v>1978.61</v>
      </c>
      <c r="C1935" s="7" t="n">
        <f aca="false">AVERAGE(B1886:B1935)</f>
        <v>1930.6924</v>
      </c>
      <c r="D1935" s="7" t="n">
        <f aca="false">AVERAGE(B1736:B1935)</f>
        <v>2031.46325</v>
      </c>
      <c r="E1935" s="7" t="n">
        <f aca="false">B1935/MAX(B1684:B1935)-1</f>
        <v>-0.0865016597644474</v>
      </c>
      <c r="F1935" s="7" t="str">
        <f aca="false">IFERROR(INDEX(02_轉折點45個!B:B,MATCH(A1935,02_轉折點45個!A:A,0)),"")</f>
        <v/>
      </c>
      <c r="G1935" s="7" t="s">
        <v>1994</v>
      </c>
    </row>
    <row r="1936" customFormat="false" ht="15" hidden="false" customHeight="false" outlineLevel="0" collapsed="false">
      <c r="A1936" s="7" t="s">
        <v>3600</v>
      </c>
      <c r="B1936" s="7" t="n">
        <v>1985.42</v>
      </c>
      <c r="C1936" s="7" t="n">
        <f aca="false">AVERAGE(B1887:B1936)</f>
        <v>1930.6718</v>
      </c>
      <c r="D1936" s="7" t="n">
        <f aca="false">AVERAGE(B1737:B1936)</f>
        <v>2031.0964</v>
      </c>
      <c r="E1936" s="7" t="n">
        <f aca="false">B1936/MAX(B1685:B1936)-1</f>
        <v>-0.0833575718961942</v>
      </c>
      <c r="F1936" s="7" t="str">
        <f aca="false">IFERROR(INDEX(02_轉折點45個!B:B,MATCH(A1936,02_轉折點45個!A:A,0)),"")</f>
        <v/>
      </c>
      <c r="G1936" s="7" t="s">
        <v>1994</v>
      </c>
    </row>
    <row r="1937" customFormat="false" ht="15" hidden="false" customHeight="false" outlineLevel="0" collapsed="false">
      <c r="A1937" s="7" t="s">
        <v>3601</v>
      </c>
      <c r="B1937" s="7" t="n">
        <v>2024.31</v>
      </c>
      <c r="C1937" s="7" t="n">
        <f aca="false">AVERAGE(B1888:B1937)</f>
        <v>1931.4708</v>
      </c>
      <c r="D1937" s="7" t="n">
        <f aca="false">AVERAGE(B1738:B1937)</f>
        <v>2030.89465</v>
      </c>
      <c r="E1937" s="7" t="n">
        <f aca="false">B1937/MAX(B1686:B1937)-1</f>
        <v>-0.0654025679026025</v>
      </c>
      <c r="F1937" s="7" t="str">
        <f aca="false">IFERROR(INDEX(02_轉折點45個!B:B,MATCH(A1937,02_轉折點45個!A:A,0)),"")</f>
        <v/>
      </c>
      <c r="G1937" s="7" t="s">
        <v>1994</v>
      </c>
    </row>
    <row r="1938" customFormat="false" ht="15" hidden="false" customHeight="false" outlineLevel="0" collapsed="false">
      <c r="A1938" s="7" t="s">
        <v>688</v>
      </c>
      <c r="B1938" s="7" t="n">
        <v>2035.14</v>
      </c>
      <c r="C1938" s="7" t="n">
        <f aca="false">AVERAGE(B1889:B1938)</f>
        <v>1932.1512</v>
      </c>
      <c r="D1938" s="7" t="n">
        <f aca="false">AVERAGE(B1739:B1938)</f>
        <v>2030.73325</v>
      </c>
      <c r="E1938" s="7" t="n">
        <f aca="false">B1938/MAX(B1687:B1938)-1</f>
        <v>-0.0604024986495657</v>
      </c>
      <c r="F1938" s="7" t="str">
        <f aca="false">IFERROR(INDEX(02_轉折點45個!B:B,MATCH(A1938,02_轉折點45個!A:A,0)),"")</f>
        <v/>
      </c>
      <c r="G1938" s="7" t="s">
        <v>1994</v>
      </c>
    </row>
    <row r="1939" customFormat="false" ht="15" hidden="false" customHeight="false" outlineLevel="0" collapsed="false">
      <c r="A1939" s="7" t="s">
        <v>3602</v>
      </c>
      <c r="B1939" s="7" t="n">
        <v>2036.11</v>
      </c>
      <c r="C1939" s="7" t="n">
        <f aca="false">AVERAGE(B1890:B1939)</f>
        <v>1933.5288</v>
      </c>
      <c r="D1939" s="7" t="n">
        <f aca="false">AVERAGE(B1740:B1939)</f>
        <v>2030.68465</v>
      </c>
      <c r="E1939" s="7" t="n">
        <f aca="false">B1939/MAX(B1688:B1939)-1</f>
        <v>-0.0599546623452771</v>
      </c>
      <c r="F1939" s="7" t="str">
        <f aca="false">IFERROR(INDEX(02_轉折點45個!B:B,MATCH(A1939,02_轉折點45個!A:A,0)),"")</f>
        <v/>
      </c>
      <c r="G1939" s="7" t="s">
        <v>1994</v>
      </c>
    </row>
    <row r="1940" customFormat="false" ht="15" hidden="false" customHeight="false" outlineLevel="0" collapsed="false">
      <c r="A1940" s="7" t="s">
        <v>3603</v>
      </c>
      <c r="B1940" s="7" t="n">
        <v>2042.37</v>
      </c>
      <c r="C1940" s="7" t="n">
        <f aca="false">AVERAGE(B1891:B1940)</f>
        <v>1934.9996</v>
      </c>
      <c r="D1940" s="7" t="n">
        <f aca="false">AVERAGE(B1741:B1940)</f>
        <v>2030.6978</v>
      </c>
      <c r="E1940" s="7" t="n">
        <f aca="false">B1940/MAX(B1689:B1940)-1</f>
        <v>-0.0570645022784249</v>
      </c>
      <c r="F1940" s="7" t="str">
        <f aca="false">IFERROR(INDEX(02_轉折點45個!B:B,MATCH(A1940,02_轉折點45個!A:A,0)),"")</f>
        <v/>
      </c>
      <c r="G1940" s="7" t="s">
        <v>1994</v>
      </c>
    </row>
    <row r="1941" customFormat="false" ht="15" hidden="false" customHeight="false" outlineLevel="0" collapsed="false">
      <c r="A1941" s="7" t="s">
        <v>3604</v>
      </c>
      <c r="B1941" s="7" t="n">
        <v>2042.52</v>
      </c>
      <c r="C1941" s="7" t="n">
        <f aca="false">AVERAGE(B1892:B1941)</f>
        <v>1936.9308</v>
      </c>
      <c r="D1941" s="7" t="n">
        <f aca="false">AVERAGE(B1742:B1941)</f>
        <v>2030.7112</v>
      </c>
      <c r="E1941" s="7" t="n">
        <f aca="false">B1941/MAX(B1690:B1941)-1</f>
        <v>-0.0569952492416792</v>
      </c>
      <c r="F1941" s="7" t="str">
        <f aca="false">IFERROR(INDEX(02_轉折點45個!B:B,MATCH(A1941,02_轉折點45個!A:A,0)),"")</f>
        <v/>
      </c>
      <c r="G1941" s="7" t="s">
        <v>1994</v>
      </c>
    </row>
    <row r="1942" customFormat="false" ht="15" hidden="false" customHeight="false" outlineLevel="0" collapsed="false">
      <c r="A1942" s="7" t="s">
        <v>689</v>
      </c>
      <c r="B1942" s="7" t="n">
        <v>2030.3</v>
      </c>
      <c r="C1942" s="7" t="n">
        <f aca="false">AVERAGE(B1893:B1942)</f>
        <v>1938.8574</v>
      </c>
      <c r="D1942" s="7" t="n">
        <f aca="false">AVERAGE(B1743:B1942)</f>
        <v>2030.5066</v>
      </c>
      <c r="E1942" s="7" t="n">
        <f aca="false">B1942/MAX(B1691:B1942)-1</f>
        <v>-0.0626370633018923</v>
      </c>
      <c r="F1942" s="7" t="str">
        <f aca="false">IFERROR(INDEX(02_轉折點45個!B:B,MATCH(A1942,02_轉折點45個!A:A,0)),"")</f>
        <v/>
      </c>
      <c r="G1942" s="7" t="s">
        <v>1994</v>
      </c>
    </row>
    <row r="1943" customFormat="false" ht="15" hidden="false" customHeight="false" outlineLevel="0" collapsed="false">
      <c r="A1943" s="7" t="s">
        <v>690</v>
      </c>
      <c r="B1943" s="7" t="n">
        <v>2058.18</v>
      </c>
      <c r="C1943" s="7" t="n">
        <f aca="false">AVERAGE(B1894:B1943)</f>
        <v>1941.1236</v>
      </c>
      <c r="D1943" s="7" t="n">
        <f aca="false">AVERAGE(B1744:B1943)</f>
        <v>2030.41305</v>
      </c>
      <c r="E1943" s="7" t="n">
        <f aca="false">B1943/MAX(B1692:B1943)-1</f>
        <v>-0.0497652322054322</v>
      </c>
      <c r="F1943" s="7" t="str">
        <f aca="false">IFERROR(INDEX(02_轉折點45個!B:B,MATCH(A1943,02_轉折點45個!A:A,0)),"")</f>
        <v/>
      </c>
      <c r="G1943" s="7" t="s">
        <v>1994</v>
      </c>
    </row>
    <row r="1944" customFormat="false" ht="15" hidden="false" customHeight="false" outlineLevel="0" collapsed="false">
      <c r="A1944" s="7" t="s">
        <v>3605</v>
      </c>
      <c r="B1944" s="7" t="n">
        <v>2044.35</v>
      </c>
      <c r="C1944" s="7" t="n">
        <f aca="false">AVERAGE(B1895:B1944)</f>
        <v>1943.8188</v>
      </c>
      <c r="D1944" s="7" t="n">
        <f aca="false">AVERAGE(B1745:B1944)</f>
        <v>2030.3222</v>
      </c>
      <c r="E1944" s="7" t="n">
        <f aca="false">B1944/MAX(B1693:B1944)-1</f>
        <v>-0.0561503621933821</v>
      </c>
      <c r="F1944" s="7" t="str">
        <f aca="false">IFERROR(INDEX(02_轉折點45個!B:B,MATCH(A1944,02_轉折點45個!A:A,0)),"")</f>
        <v/>
      </c>
      <c r="G1944" s="7" t="s">
        <v>1994</v>
      </c>
    </row>
    <row r="1945" customFormat="false" ht="15" hidden="false" customHeight="false" outlineLevel="0" collapsed="false">
      <c r="A1945" s="7" t="s">
        <v>691</v>
      </c>
      <c r="B1945" s="7" t="n">
        <v>2027.15</v>
      </c>
      <c r="C1945" s="7" t="n">
        <f aca="false">AVERAGE(B1896:B1945)</f>
        <v>1946.8302</v>
      </c>
      <c r="D1945" s="7" t="n">
        <f aca="false">AVERAGE(B1746:B1945)</f>
        <v>2030.1311</v>
      </c>
      <c r="E1945" s="7" t="n">
        <f aca="false">B1945/MAX(B1694:B1945)-1</f>
        <v>-0.0640913770735512</v>
      </c>
      <c r="F1945" s="7" t="str">
        <f aca="false">IFERROR(INDEX(02_轉折點45個!B:B,MATCH(A1945,02_轉折點45個!A:A,0)),"")</f>
        <v/>
      </c>
      <c r="G1945" s="7" t="s">
        <v>1994</v>
      </c>
    </row>
    <row r="1946" customFormat="false" ht="15" hidden="false" customHeight="false" outlineLevel="0" collapsed="false">
      <c r="A1946" s="7" t="s">
        <v>692</v>
      </c>
      <c r="B1946" s="7" t="n">
        <v>2054.69</v>
      </c>
      <c r="C1946" s="7" t="n">
        <f aca="false">AVERAGE(B1897:B1946)</f>
        <v>1950.6986</v>
      </c>
      <c r="D1946" s="7" t="n">
        <f aca="false">AVERAGE(B1747:B1946)</f>
        <v>2030.1177</v>
      </c>
      <c r="E1946" s="7" t="n">
        <f aca="false">B1946/MAX(B1695:B1946)-1</f>
        <v>-0.0513765195270478</v>
      </c>
      <c r="F1946" s="7" t="str">
        <f aca="false">IFERROR(INDEX(02_轉折點45個!B:B,MATCH(A1946,02_轉折點45個!A:A,0)),"")</f>
        <v/>
      </c>
      <c r="G1946" s="7" t="s">
        <v>1994</v>
      </c>
    </row>
    <row r="1947" customFormat="false" ht="15" hidden="false" customHeight="false" outlineLevel="0" collapsed="false">
      <c r="A1947" s="7" t="s">
        <v>3606</v>
      </c>
      <c r="B1947" s="7" t="n">
        <v>2065.9</v>
      </c>
      <c r="C1947" s="7" t="n">
        <f aca="false">AVERAGE(B1898:B1947)</f>
        <v>1954.7844</v>
      </c>
      <c r="D1947" s="7" t="n">
        <f aca="false">AVERAGE(B1748:B1947)</f>
        <v>2030.1857</v>
      </c>
      <c r="E1947" s="7" t="n">
        <f aca="false">B1947/MAX(B1696:B1947)-1</f>
        <v>-0.0462010092475887</v>
      </c>
      <c r="F1947" s="7" t="str">
        <f aca="false">IFERROR(INDEX(02_轉折點45個!B:B,MATCH(A1947,02_轉折點45個!A:A,0)),"")</f>
        <v/>
      </c>
      <c r="G1947" s="7" t="s">
        <v>1994</v>
      </c>
    </row>
    <row r="1948" customFormat="false" ht="15" hidden="false" customHeight="false" outlineLevel="0" collapsed="false">
      <c r="A1948" s="7" t="s">
        <v>3607</v>
      </c>
      <c r="B1948" s="7" t="n">
        <v>2067.77</v>
      </c>
      <c r="C1948" s="7" t="n">
        <f aca="false">AVERAGE(B1899:B1948)</f>
        <v>1958.8072</v>
      </c>
      <c r="D1948" s="7" t="n">
        <f aca="false">AVERAGE(B1749:B1948)</f>
        <v>2030.2161</v>
      </c>
      <c r="E1948" s="7" t="n">
        <f aca="false">B1948/MAX(B1697:B1948)-1</f>
        <v>-0.0453376547228261</v>
      </c>
      <c r="F1948" s="7" t="str">
        <f aca="false">IFERROR(INDEX(02_轉折點45個!B:B,MATCH(A1948,02_轉折點45個!A:A,0)),"")</f>
        <v/>
      </c>
      <c r="G1948" s="7" t="s">
        <v>1994</v>
      </c>
    </row>
    <row r="1949" customFormat="false" ht="15" hidden="false" customHeight="false" outlineLevel="0" collapsed="false">
      <c r="A1949" s="7" t="s">
        <v>3608</v>
      </c>
      <c r="B1949" s="7" t="n">
        <v>2073.83</v>
      </c>
      <c r="C1949" s="7" t="n">
        <f aca="false">AVERAGE(B1900:B1949)</f>
        <v>1962.2662</v>
      </c>
      <c r="D1949" s="7" t="n">
        <f aca="false">AVERAGE(B1750:B1949)</f>
        <v>2030.25755</v>
      </c>
      <c r="E1949" s="7" t="n">
        <f aca="false">B1949/MAX(B1698:B1949)-1</f>
        <v>-0.0425398320383015</v>
      </c>
      <c r="F1949" s="7" t="str">
        <f aca="false">IFERROR(INDEX(02_轉折點45個!B:B,MATCH(A1949,02_轉折點45個!A:A,0)),"")</f>
        <v/>
      </c>
      <c r="G1949" s="7" t="s">
        <v>1994</v>
      </c>
    </row>
    <row r="1950" customFormat="false" ht="15" hidden="false" customHeight="false" outlineLevel="0" collapsed="false">
      <c r="A1950" s="7" t="s">
        <v>3609</v>
      </c>
      <c r="B1950" s="7" t="n">
        <v>2063.24</v>
      </c>
      <c r="C1950" s="7" t="n">
        <f aca="false">AVERAGE(B1901:B1950)</f>
        <v>1966.2678</v>
      </c>
      <c r="D1950" s="7" t="n">
        <f aca="false">AVERAGE(B1751:B1950)</f>
        <v>2030.22755</v>
      </c>
      <c r="E1950" s="7" t="n">
        <f aca="false">B1950/MAX(B1699:B1950)-1</f>
        <v>-0.0474290964325452</v>
      </c>
      <c r="F1950" s="7" t="str">
        <f aca="false">IFERROR(INDEX(02_轉折點45個!B:B,MATCH(A1950,02_轉折點45個!A:A,0)),"")</f>
        <v/>
      </c>
      <c r="G1950" s="7" t="s">
        <v>1994</v>
      </c>
    </row>
    <row r="1951" customFormat="false" ht="15" hidden="false" customHeight="false" outlineLevel="0" collapsed="false">
      <c r="A1951" s="7" t="s">
        <v>3610</v>
      </c>
      <c r="B1951" s="7" t="n">
        <v>2044.21</v>
      </c>
      <c r="C1951" s="7" t="n">
        <f aca="false">AVERAGE(B1902:B1951)</f>
        <v>1970.2366</v>
      </c>
      <c r="D1951" s="7" t="n">
        <f aca="false">AVERAGE(B1752:B1951)</f>
        <v>2030.1134</v>
      </c>
      <c r="E1951" s="7" t="n">
        <f aca="false">B1951/MAX(B1700:B1951)-1</f>
        <v>-0.0562149983610114</v>
      </c>
      <c r="F1951" s="7" t="str">
        <f aca="false">IFERROR(INDEX(02_轉折點45個!B:B,MATCH(A1951,02_轉折點45個!A:A,0)),"")</f>
        <v/>
      </c>
      <c r="G1951" s="7" t="s">
        <v>1994</v>
      </c>
    </row>
    <row r="1952" customFormat="false" ht="15" hidden="false" customHeight="false" outlineLevel="0" collapsed="false">
      <c r="A1952" s="7" t="s">
        <v>3611</v>
      </c>
      <c r="B1952" s="7" t="n">
        <v>2049.74</v>
      </c>
      <c r="C1952" s="7" t="n">
        <f aca="false">AVERAGE(B1903:B1952)</f>
        <v>1973.5586</v>
      </c>
      <c r="D1952" s="7" t="n">
        <f aca="false">AVERAGE(B1753:B1952)</f>
        <v>2030.03585</v>
      </c>
      <c r="E1952" s="7" t="n">
        <f aca="false">B1952/MAX(B1701:B1952)-1</f>
        <v>-0.0536618697396548</v>
      </c>
      <c r="F1952" s="7" t="str">
        <f aca="false">IFERROR(INDEX(02_轉折點45個!B:B,MATCH(A1952,02_轉折點45個!A:A,0)),"")</f>
        <v/>
      </c>
      <c r="G1952" s="7" t="s">
        <v>1994</v>
      </c>
    </row>
    <row r="1953" customFormat="false" ht="15" hidden="false" customHeight="false" outlineLevel="0" collapsed="false">
      <c r="A1953" s="7" t="s">
        <v>693</v>
      </c>
      <c r="B1953" s="7" t="n">
        <v>2092.95</v>
      </c>
      <c r="C1953" s="7" t="n">
        <f aca="false">AVERAGE(B1904:B1953)</f>
        <v>1977.5244</v>
      </c>
      <c r="D1953" s="7" t="n">
        <f aca="false">AVERAGE(B1754:B1953)</f>
        <v>2030.2116</v>
      </c>
      <c r="E1953" s="7" t="n">
        <f aca="false">B1953/MAX(B1702:B1953)-1</f>
        <v>-0.033712378287788</v>
      </c>
      <c r="F1953" s="7" t="str">
        <f aca="false">IFERROR(INDEX(02_轉折點45個!B:B,MATCH(A1953,02_轉折點45個!A:A,0)),"")</f>
        <v/>
      </c>
      <c r="G1953" s="7" t="s">
        <v>1994</v>
      </c>
    </row>
    <row r="1954" customFormat="false" ht="15" hidden="false" customHeight="false" outlineLevel="0" collapsed="false">
      <c r="A1954" s="7" t="s">
        <v>3612</v>
      </c>
      <c r="B1954" s="7" t="n">
        <v>2107.01</v>
      </c>
      <c r="C1954" s="7" t="n">
        <f aca="false">AVERAGE(B1905:B1954)</f>
        <v>1981.8342</v>
      </c>
      <c r="D1954" s="7" t="n">
        <f aca="false">AVERAGE(B1755:B1954)</f>
        <v>2030.5935</v>
      </c>
      <c r="E1954" s="7" t="n">
        <f aca="false">B1954/MAX(B1703:B1954)-1</f>
        <v>-0.027221060310161</v>
      </c>
      <c r="F1954" s="7" t="str">
        <f aca="false">IFERROR(INDEX(02_轉折點45個!B:B,MATCH(A1954,02_轉折點45個!A:A,0)),"")</f>
        <v/>
      </c>
      <c r="G1954" s="7" t="s">
        <v>1994</v>
      </c>
    </row>
    <row r="1955" customFormat="false" ht="15" hidden="false" customHeight="false" outlineLevel="0" collapsed="false">
      <c r="A1955" s="7" t="s">
        <v>3613</v>
      </c>
      <c r="B1955" s="7" t="n">
        <v>2101.21</v>
      </c>
      <c r="C1955" s="7" t="n">
        <f aca="false">AVERAGE(B1906:B1955)</f>
        <v>1986.3202</v>
      </c>
      <c r="D1955" s="7" t="n">
        <f aca="false">AVERAGE(B1756:B1955)</f>
        <v>2030.94785</v>
      </c>
      <c r="E1955" s="7" t="n">
        <f aca="false">B1955/MAX(B1704:B1955)-1</f>
        <v>-0.0298988443976601</v>
      </c>
      <c r="F1955" s="7" t="str">
        <f aca="false">IFERROR(INDEX(02_轉折點45個!B:B,MATCH(A1955,02_轉折點45個!A:A,0)),"")</f>
        <v/>
      </c>
      <c r="G1955" s="7" t="s">
        <v>1994</v>
      </c>
    </row>
    <row r="1956" customFormat="false" ht="15" hidden="false" customHeight="false" outlineLevel="0" collapsed="false">
      <c r="A1956" s="7" t="s">
        <v>694</v>
      </c>
      <c r="B1956" s="7" t="n">
        <v>2111.97</v>
      </c>
      <c r="C1956" s="7" t="n">
        <f aca="false">AVERAGE(B1907:B1956)</f>
        <v>1990.2966</v>
      </c>
      <c r="D1956" s="7" t="n">
        <f aca="false">AVERAGE(B1757:B1956)</f>
        <v>2031.3138</v>
      </c>
      <c r="E1956" s="7" t="n">
        <f aca="false">B1956/MAX(B1705:B1956)-1</f>
        <v>-0.0249310932284381</v>
      </c>
      <c r="F1956" s="7" t="str">
        <f aca="false">IFERROR(INDEX(02_轉折點45個!B:B,MATCH(A1956,02_轉折點45個!A:A,0)),"")</f>
        <v/>
      </c>
      <c r="G1956" s="7" t="s">
        <v>1994</v>
      </c>
    </row>
    <row r="1957" customFormat="false" ht="15" hidden="false" customHeight="false" outlineLevel="0" collapsed="false">
      <c r="A1957" s="7" t="s">
        <v>3614</v>
      </c>
      <c r="B1957" s="7" t="n">
        <v>2115.31</v>
      </c>
      <c r="C1957" s="7" t="n">
        <f aca="false">AVERAGE(B1908:B1957)</f>
        <v>1994.3886</v>
      </c>
      <c r="D1957" s="7" t="n">
        <f aca="false">AVERAGE(B1758:B1957)</f>
        <v>2031.6287</v>
      </c>
      <c r="E1957" s="7" t="n">
        <f aca="false">B1957/MAX(B1706:B1957)-1</f>
        <v>-0.0233890589435679</v>
      </c>
      <c r="F1957" s="7" t="str">
        <f aca="false">IFERROR(INDEX(02_轉折點45個!B:B,MATCH(A1957,02_轉折點45個!A:A,0)),"")</f>
        <v/>
      </c>
      <c r="G1957" s="7" t="s">
        <v>1994</v>
      </c>
    </row>
    <row r="1958" customFormat="false" ht="15" hidden="false" customHeight="false" outlineLevel="0" collapsed="false">
      <c r="A1958" s="7" t="s">
        <v>3615</v>
      </c>
      <c r="B1958" s="7" t="n">
        <v>2108.77</v>
      </c>
      <c r="C1958" s="7" t="n">
        <f aca="false">AVERAGE(B1909:B1958)</f>
        <v>1998.8884</v>
      </c>
      <c r="D1958" s="7" t="n">
        <f aca="false">AVERAGE(B1759:B1958)</f>
        <v>2031.8975</v>
      </c>
      <c r="E1958" s="7" t="n">
        <f aca="false">B1958/MAX(B1707:B1958)-1</f>
        <v>-0.0264084913456788</v>
      </c>
      <c r="F1958" s="7" t="str">
        <f aca="false">IFERROR(INDEX(02_轉折點45個!B:B,MATCH(A1958,02_轉折點45個!A:A,0)),"")</f>
        <v/>
      </c>
      <c r="G1958" s="7" t="s">
        <v>1994</v>
      </c>
    </row>
    <row r="1959" customFormat="false" ht="15" hidden="false" customHeight="false" outlineLevel="0" collapsed="false">
      <c r="A1959" s="7" t="s">
        <v>3616</v>
      </c>
      <c r="B1959" s="7" t="n">
        <v>2143.41</v>
      </c>
      <c r="C1959" s="7" t="n">
        <f aca="false">AVERAGE(B1910:B1959)</f>
        <v>2003.7738</v>
      </c>
      <c r="D1959" s="7" t="n">
        <f aca="false">AVERAGE(B1760:B1959)</f>
        <v>2032.4424</v>
      </c>
      <c r="E1959" s="7" t="n">
        <f aca="false">B1959/MAX(B1708:B1959)-1</f>
        <v>-0.0104156567265474</v>
      </c>
      <c r="F1959" s="7" t="str">
        <f aca="false">IFERROR(INDEX(02_轉折點45個!B:B,MATCH(A1959,02_轉折點45個!A:A,0)),"")</f>
        <v/>
      </c>
      <c r="G1959" s="7" t="s">
        <v>1994</v>
      </c>
    </row>
    <row r="1960" customFormat="false" ht="15" hidden="false" customHeight="false" outlineLevel="0" collapsed="false">
      <c r="A1960" s="7" t="s">
        <v>3617</v>
      </c>
      <c r="B1960" s="7" t="n">
        <v>2153.56</v>
      </c>
      <c r="C1960" s="7" t="n">
        <f aca="false">AVERAGE(B1911:B1960)</f>
        <v>2008.615</v>
      </c>
      <c r="D1960" s="7" t="n">
        <f aca="false">AVERAGE(B1761:B1960)</f>
        <v>2033.0287</v>
      </c>
      <c r="E1960" s="7" t="n">
        <f aca="false">B1960/MAX(B1709:B1960)-1</f>
        <v>-0.00572953457342429</v>
      </c>
      <c r="F1960" s="7" t="str">
        <f aca="false">IFERROR(INDEX(02_轉折點45個!B:B,MATCH(A1960,02_轉折點45個!A:A,0)),"")</f>
        <v/>
      </c>
      <c r="G1960" s="7" t="s">
        <v>1994</v>
      </c>
    </row>
    <row r="1961" customFormat="false" ht="15" hidden="false" customHeight="false" outlineLevel="0" collapsed="false">
      <c r="A1961" s="7" t="s">
        <v>3618</v>
      </c>
      <c r="B1961" s="7" t="n">
        <v>2159.54</v>
      </c>
      <c r="C1961" s="7" t="n">
        <f aca="false">AVERAGE(B1912:B1961)</f>
        <v>2013.709</v>
      </c>
      <c r="D1961" s="7" t="n">
        <f aca="false">AVERAGE(B1762:B1961)</f>
        <v>2033.69415</v>
      </c>
      <c r="E1961" s="7" t="n">
        <f aca="false">B1961/MAX(B1710:B1961)-1</f>
        <v>-0.00296864684183062</v>
      </c>
      <c r="F1961" s="7" t="str">
        <f aca="false">IFERROR(INDEX(02_轉折點45個!B:B,MATCH(A1961,02_轉折點45個!A:A,0)),"")</f>
        <v/>
      </c>
      <c r="G1961" s="7" t="s">
        <v>1994</v>
      </c>
    </row>
    <row r="1962" customFormat="false" ht="15" hidden="false" customHeight="false" outlineLevel="0" collapsed="false">
      <c r="A1962" s="7" t="s">
        <v>3619</v>
      </c>
      <c r="B1962" s="7" t="n">
        <v>2142.28</v>
      </c>
      <c r="C1962" s="7" t="n">
        <f aca="false">AVERAGE(B1913:B1962)</f>
        <v>2018.687</v>
      </c>
      <c r="D1962" s="7" t="n">
        <f aca="false">AVERAGE(B1763:B1962)</f>
        <v>2034.33195</v>
      </c>
      <c r="E1962" s="7" t="n">
        <f aca="false">B1962/MAX(B1711:B1962)-1</f>
        <v>-0.0109373629366979</v>
      </c>
      <c r="F1962" s="7" t="str">
        <f aca="false">IFERROR(INDEX(02_轉折點45個!B:B,MATCH(A1962,02_轉折點45個!A:A,0)),"")</f>
        <v/>
      </c>
      <c r="G1962" s="7" t="s">
        <v>1994</v>
      </c>
    </row>
    <row r="1963" customFormat="false" ht="15" hidden="false" customHeight="false" outlineLevel="0" collapsed="false">
      <c r="A1963" s="7" t="s">
        <v>3620</v>
      </c>
      <c r="B1963" s="7" t="n">
        <v>2135.16</v>
      </c>
      <c r="C1963" s="7" t="n">
        <f aca="false">AVERAGE(B1914:B1963)</f>
        <v>2023.7354</v>
      </c>
      <c r="D1963" s="7" t="n">
        <f aca="false">AVERAGE(B1764:B1963)</f>
        <v>2034.75865</v>
      </c>
      <c r="E1963" s="7" t="n">
        <f aca="false">B1963/MAX(B1712:B1963)-1</f>
        <v>-0.0142245737475588</v>
      </c>
      <c r="F1963" s="7" t="str">
        <f aca="false">IFERROR(INDEX(02_轉折點45個!B:B,MATCH(A1963,02_轉折點45個!A:A,0)),"")</f>
        <v/>
      </c>
      <c r="G1963" s="7" t="s">
        <v>1994</v>
      </c>
    </row>
    <row r="1964" customFormat="false" ht="15" hidden="false" customHeight="false" outlineLevel="0" collapsed="false">
      <c r="A1964" s="7" t="s">
        <v>3621</v>
      </c>
      <c r="B1964" s="7" t="n">
        <v>2138.62</v>
      </c>
      <c r="C1964" s="7" t="n">
        <f aca="false">AVERAGE(B1915:B1964)</f>
        <v>2028.8634</v>
      </c>
      <c r="D1964" s="7" t="n">
        <f aca="false">AVERAGE(B1765:B1964)</f>
        <v>2035.11255</v>
      </c>
      <c r="E1964" s="7" t="n">
        <f aca="false">B1964/MAX(B1713:B1964)-1</f>
        <v>-0.0126271370332922</v>
      </c>
      <c r="F1964" s="7" t="str">
        <f aca="false">IFERROR(INDEX(02_轉折點45個!B:B,MATCH(A1964,02_轉折點45個!A:A,0)),"")</f>
        <v/>
      </c>
      <c r="G1964" s="7" t="s">
        <v>1994</v>
      </c>
    </row>
    <row r="1965" customFormat="false" ht="15" hidden="false" customHeight="false" outlineLevel="0" collapsed="false">
      <c r="A1965" s="7" t="s">
        <v>695</v>
      </c>
      <c r="B1965" s="7" t="n">
        <v>2139.86</v>
      </c>
      <c r="C1965" s="7" t="n">
        <f aca="false">AVERAGE(B1916:B1965)</f>
        <v>2033.807</v>
      </c>
      <c r="D1965" s="7" t="n">
        <f aca="false">AVERAGE(B1766:B1965)</f>
        <v>2035.4114</v>
      </c>
      <c r="E1965" s="7" t="n">
        <f aca="false">B1965/MAX(B1714:B1965)-1</f>
        <v>-0.0120546452628613</v>
      </c>
      <c r="F1965" s="7" t="str">
        <f aca="false">IFERROR(INDEX(02_轉折點45個!B:B,MATCH(A1965,02_轉折點45個!A:A,0)),"")</f>
        <v/>
      </c>
      <c r="G1965" s="7" t="s">
        <v>1994</v>
      </c>
    </row>
    <row r="1966" customFormat="false" ht="15" hidden="false" customHeight="false" outlineLevel="0" collapsed="false">
      <c r="A1966" s="7" t="s">
        <v>3622</v>
      </c>
      <c r="B1966" s="7" t="n">
        <v>2151.98</v>
      </c>
      <c r="C1966" s="7" t="n">
        <f aca="false">AVERAGE(B1917:B1966)</f>
        <v>2039.2492</v>
      </c>
      <c r="D1966" s="7" t="n">
        <f aca="false">AVERAGE(B1767:B1966)</f>
        <v>2035.63955</v>
      </c>
      <c r="E1966" s="7" t="n">
        <f aca="false">B1966/MAX(B1715:B1966)-1</f>
        <v>-0.00645899989381193</v>
      </c>
      <c r="F1966" s="7" t="str">
        <f aca="false">IFERROR(INDEX(02_轉折點45個!B:B,MATCH(A1966,02_轉折點45個!A:A,0)),"")</f>
        <v/>
      </c>
      <c r="G1966" s="7" t="s">
        <v>1994</v>
      </c>
    </row>
    <row r="1967" customFormat="false" ht="15" hidden="false" customHeight="false" outlineLevel="0" collapsed="false">
      <c r="A1967" s="7" t="s">
        <v>3623</v>
      </c>
      <c r="B1967" s="7" t="n">
        <v>2142.18</v>
      </c>
      <c r="C1967" s="7" t="n">
        <f aca="false">AVERAGE(B1918:B1967)</f>
        <v>2044.2884</v>
      </c>
      <c r="D1967" s="7" t="n">
        <f aca="false">AVERAGE(B1768:B1967)</f>
        <v>2035.759</v>
      </c>
      <c r="E1967" s="7" t="n">
        <f aca="false">B1967/MAX(B1716:B1967)-1</f>
        <v>-0.0109835316278619</v>
      </c>
      <c r="F1967" s="7" t="str">
        <f aca="false">IFERROR(INDEX(02_轉折點45個!B:B,MATCH(A1967,02_轉折點45個!A:A,0)),"")</f>
        <v/>
      </c>
      <c r="G1967" s="7" t="s">
        <v>1994</v>
      </c>
    </row>
    <row r="1968" customFormat="false" ht="15" hidden="false" customHeight="false" outlineLevel="0" collapsed="false">
      <c r="A1968" s="7" t="s">
        <v>696</v>
      </c>
      <c r="B1968" s="7" t="n">
        <v>2152.92</v>
      </c>
      <c r="C1968" s="7" t="n">
        <f aca="false">AVERAGE(B1919:B1968)</f>
        <v>2048.7024</v>
      </c>
      <c r="D1968" s="7" t="n">
        <f aca="false">AVERAGE(B1769:B1968)</f>
        <v>2035.9247</v>
      </c>
      <c r="E1968" s="7" t="n">
        <f aca="false">B1968/MAX(B1717:B1968)-1</f>
        <v>-0.0060250141968724</v>
      </c>
      <c r="F1968" s="7" t="str">
        <f aca="false">IFERROR(INDEX(02_轉折點45個!B:B,MATCH(A1968,02_轉折點45個!A:A,0)),"")</f>
        <v/>
      </c>
      <c r="G1968" s="7" t="s">
        <v>1994</v>
      </c>
    </row>
    <row r="1969" customFormat="false" ht="15" hidden="false" customHeight="false" outlineLevel="0" collapsed="false">
      <c r="A1969" s="7" t="s">
        <v>3624</v>
      </c>
      <c r="B1969" s="7" t="n">
        <v>2173.48</v>
      </c>
      <c r="C1969" s="7" t="n">
        <f aca="false">AVERAGE(B1920:B1969)</f>
        <v>2052.8968</v>
      </c>
      <c r="D1969" s="7" t="n">
        <f aca="false">AVERAGE(B1770:B1969)</f>
        <v>2036.14275</v>
      </c>
      <c r="E1969" s="7" t="n">
        <f aca="false">B1969/MAX(B1718:B1969)-1</f>
        <v>0</v>
      </c>
      <c r="F1969" s="7" t="str">
        <f aca="false">IFERROR(INDEX(02_轉折點45個!B:B,MATCH(A1969,02_轉折點45個!A:A,0)),"")</f>
        <v/>
      </c>
      <c r="G1969" s="7" t="s">
        <v>1994</v>
      </c>
    </row>
    <row r="1970" customFormat="false" ht="15" hidden="false" customHeight="false" outlineLevel="0" collapsed="false">
      <c r="A1970" s="7" t="s">
        <v>3625</v>
      </c>
      <c r="B1970" s="7" t="n">
        <v>2147.46</v>
      </c>
      <c r="C1970" s="7" t="n">
        <f aca="false">AVERAGE(B1921:B1970)</f>
        <v>2056.4234</v>
      </c>
      <c r="D1970" s="7" t="n">
        <f aca="false">AVERAGE(B1771:B1970)</f>
        <v>2036.29775</v>
      </c>
      <c r="E1970" s="7" t="n">
        <f aca="false">B1970/MAX(B1719:B1970)-1</f>
        <v>-0.0119715847396802</v>
      </c>
      <c r="F1970" s="7" t="str">
        <f aca="false">IFERROR(INDEX(02_轉折點45個!B:B,MATCH(A1970,02_轉折點45個!A:A,0)),"")</f>
        <v/>
      </c>
      <c r="G1970" s="7" t="s">
        <v>1994</v>
      </c>
    </row>
    <row r="1971" customFormat="false" ht="15" hidden="false" customHeight="false" outlineLevel="0" collapsed="false">
      <c r="A1971" s="7" t="s">
        <v>3626</v>
      </c>
      <c r="B1971" s="7" t="n">
        <v>2159.48</v>
      </c>
      <c r="C1971" s="7" t="n">
        <f aca="false">AVERAGE(B1922:B1971)</f>
        <v>2060.0744</v>
      </c>
      <c r="D1971" s="7" t="n">
        <f aca="false">AVERAGE(B1772:B1971)</f>
        <v>2036.51125</v>
      </c>
      <c r="E1971" s="7" t="n">
        <f aca="false">B1971/MAX(B1720:B1971)-1</f>
        <v>-0.00644128310359426</v>
      </c>
      <c r="F1971" s="7" t="str">
        <f aca="false">IFERROR(INDEX(02_轉折點45個!B:B,MATCH(A1971,02_轉折點45個!A:A,0)),"")</f>
        <v/>
      </c>
      <c r="G1971" s="7" t="s">
        <v>1994</v>
      </c>
    </row>
    <row r="1972" customFormat="false" ht="15" hidden="false" customHeight="false" outlineLevel="0" collapsed="false">
      <c r="A1972" s="7" t="s">
        <v>3627</v>
      </c>
      <c r="B1972" s="7" t="n">
        <v>2162.16</v>
      </c>
      <c r="C1972" s="7" t="n">
        <f aca="false">AVERAGE(B1923:B1972)</f>
        <v>2064.075</v>
      </c>
      <c r="D1972" s="7" t="n">
        <f aca="false">AVERAGE(B1773:B1972)</f>
        <v>2036.8037</v>
      </c>
      <c r="E1972" s="7" t="n">
        <f aca="false">B1972/MAX(B1721:B1972)-1</f>
        <v>-0.00520823748090626</v>
      </c>
      <c r="F1972" s="7" t="str">
        <f aca="false">IFERROR(INDEX(02_轉折點45個!B:B,MATCH(A1972,02_轉折點45個!A:A,0)),"")</f>
        <v/>
      </c>
      <c r="G1972" s="7" t="s">
        <v>1994</v>
      </c>
    </row>
    <row r="1973" customFormat="false" ht="15" hidden="false" customHeight="false" outlineLevel="0" collapsed="false">
      <c r="A1973" s="7" t="s">
        <v>697</v>
      </c>
      <c r="B1973" s="7" t="n">
        <v>2132.6</v>
      </c>
      <c r="C1973" s="7" t="n">
        <f aca="false">AVERAGE(B1924:B1973)</f>
        <v>2067.443</v>
      </c>
      <c r="D1973" s="7" t="n">
        <f aca="false">AVERAGE(B1774:B1973)</f>
        <v>2037.0536</v>
      </c>
      <c r="E1973" s="7" t="n">
        <f aca="false">B1973/MAX(B1722:B1973)-1</f>
        <v>-0.0188085466624952</v>
      </c>
      <c r="F1973" s="7" t="str">
        <f aca="false">IFERROR(INDEX(02_轉折點45個!B:B,MATCH(A1973,02_轉折點45個!A:A,0)),"")</f>
        <v/>
      </c>
      <c r="G1973" s="7" t="s">
        <v>1994</v>
      </c>
    </row>
    <row r="1974" customFormat="false" ht="15" hidden="false" customHeight="false" outlineLevel="0" collapsed="false">
      <c r="A1974" s="7" t="s">
        <v>698</v>
      </c>
      <c r="B1974" s="7" t="n">
        <v>2132.3</v>
      </c>
      <c r="C1974" s="7" t="n">
        <f aca="false">AVERAGE(B1925:B1974)</f>
        <v>2071.0856</v>
      </c>
      <c r="D1974" s="7" t="n">
        <f aca="false">AVERAGE(B1775:B1974)</f>
        <v>2037.20075</v>
      </c>
      <c r="E1974" s="7" t="n">
        <f aca="false">B1974/MAX(B1723:B1974)-1</f>
        <v>-0.0189465741575721</v>
      </c>
      <c r="F1974" s="7" t="str">
        <f aca="false">IFERROR(INDEX(02_轉折點45個!B:B,MATCH(A1974,02_轉折點45個!A:A,0)),"")</f>
        <v/>
      </c>
      <c r="G1974" s="7" t="s">
        <v>1994</v>
      </c>
    </row>
    <row r="1975" customFormat="false" ht="15" hidden="false" customHeight="false" outlineLevel="0" collapsed="false">
      <c r="A1975" s="7" t="s">
        <v>3628</v>
      </c>
      <c r="B1975" s="7" t="n">
        <v>2129.35</v>
      </c>
      <c r="C1975" s="7" t="n">
        <f aca="false">AVERAGE(B1926:B1975)</f>
        <v>2074.6244</v>
      </c>
      <c r="D1975" s="7" t="n">
        <f aca="false">AVERAGE(B1776:B1975)</f>
        <v>2037.5803</v>
      </c>
      <c r="E1975" s="7" t="n">
        <f aca="false">B1975/MAX(B1724:B1975)-1</f>
        <v>-0.0203038445258296</v>
      </c>
      <c r="F1975" s="7" t="str">
        <f aca="false">IFERROR(INDEX(02_轉折點45個!B:B,MATCH(A1975,02_轉折點45個!A:A,0)),"")</f>
        <v/>
      </c>
      <c r="G1975" s="7" t="s">
        <v>1994</v>
      </c>
    </row>
    <row r="1976" customFormat="false" ht="15" hidden="false" customHeight="false" outlineLevel="0" collapsed="false">
      <c r="A1976" s="7" t="s">
        <v>3629</v>
      </c>
      <c r="B1976" s="7" t="n">
        <v>2161.47</v>
      </c>
      <c r="C1976" s="7" t="n">
        <f aca="false">AVERAGE(B1927:B1976)</f>
        <v>2078.7476</v>
      </c>
      <c r="D1976" s="7" t="n">
        <f aca="false">AVERAGE(B1777:B1976)</f>
        <v>2038.11695</v>
      </c>
      <c r="E1976" s="7" t="n">
        <f aca="false">B1976/MAX(B1725:B1976)-1</f>
        <v>-0.00552570071958347</v>
      </c>
      <c r="F1976" s="7" t="str">
        <f aca="false">IFERROR(INDEX(02_轉折點45個!B:B,MATCH(A1976,02_轉折點45個!A:A,0)),"")</f>
        <v/>
      </c>
      <c r="G1976" s="7" t="s">
        <v>1994</v>
      </c>
    </row>
    <row r="1977" customFormat="false" ht="15" hidden="false" customHeight="false" outlineLevel="0" collapsed="false">
      <c r="A1977" s="7" t="s">
        <v>3630</v>
      </c>
      <c r="B1977" s="7" t="n">
        <v>2170.54</v>
      </c>
      <c r="C1977" s="7" t="n">
        <f aca="false">AVERAGE(B1928:B1977)</f>
        <v>2082.6792</v>
      </c>
      <c r="D1977" s="7" t="n">
        <f aca="false">AVERAGE(B1778:B1977)</f>
        <v>2038.6223</v>
      </c>
      <c r="E1977" s="7" t="n">
        <f aca="false">B1977/MAX(B1726:B1977)-1</f>
        <v>-0.00135266945175483</v>
      </c>
      <c r="F1977" s="7" t="str">
        <f aca="false">IFERROR(INDEX(02_轉折點45個!B:B,MATCH(A1977,02_轉折點45個!A:A,0)),"")</f>
        <v/>
      </c>
      <c r="G1977" s="7" t="s">
        <v>1994</v>
      </c>
    </row>
    <row r="1978" customFormat="false" ht="15" hidden="false" customHeight="false" outlineLevel="0" collapsed="false">
      <c r="A1978" s="7" t="s">
        <v>699</v>
      </c>
      <c r="B1978" s="7" t="n">
        <v>2178.82</v>
      </c>
      <c r="C1978" s="7" t="n">
        <f aca="false">AVERAGE(B1929:B1978)</f>
        <v>2086.5646</v>
      </c>
      <c r="D1978" s="7" t="n">
        <f aca="false">AVERAGE(B1779:B1978)</f>
        <v>2039.19005</v>
      </c>
      <c r="E1978" s="7" t="n">
        <f aca="false">B1978/MAX(B1727:B1978)-1</f>
        <v>0</v>
      </c>
      <c r="F1978" s="7" t="str">
        <f aca="false">IFERROR(INDEX(02_轉折點45個!B:B,MATCH(A1978,02_轉折點45個!A:A,0)),"")</f>
        <v/>
      </c>
      <c r="G1978" s="7" t="s">
        <v>1994</v>
      </c>
    </row>
    <row r="1979" customFormat="false" ht="15" hidden="false" customHeight="false" outlineLevel="0" collapsed="false">
      <c r="A1979" s="7" t="s">
        <v>700</v>
      </c>
      <c r="B1979" s="7" t="n">
        <v>2170.66</v>
      </c>
      <c r="C1979" s="7" t="n">
        <f aca="false">AVERAGE(B1930:B1979)</f>
        <v>2090.0414</v>
      </c>
      <c r="D1979" s="7" t="n">
        <f aca="false">AVERAGE(B1780:B1979)</f>
        <v>2039.6149</v>
      </c>
      <c r="E1979" s="7" t="n">
        <f aca="false">B1979/MAX(B1728:B1979)-1</f>
        <v>-0.00374514645542101</v>
      </c>
      <c r="F1979" s="7" t="str">
        <f aca="false">IFERROR(INDEX(02_轉折點45個!B:B,MATCH(A1979,02_轉折點45個!A:A,0)),"")</f>
        <v/>
      </c>
      <c r="G1979" s="7" t="s">
        <v>1994</v>
      </c>
    </row>
    <row r="1980" customFormat="false" ht="15" hidden="false" customHeight="false" outlineLevel="0" collapsed="false">
      <c r="A1980" s="7" t="s">
        <v>701</v>
      </c>
      <c r="B1980" s="7" t="n">
        <v>2183.18</v>
      </c>
      <c r="C1980" s="7" t="n">
        <f aca="false">AVERAGE(B1931:B1980)</f>
        <v>2093.8048</v>
      </c>
      <c r="D1980" s="7" t="n">
        <f aca="false">AVERAGE(B1781:B1980)</f>
        <v>2040.0054</v>
      </c>
      <c r="E1980" s="7" t="n">
        <f aca="false">B1980/MAX(B1729:B1980)-1</f>
        <v>0</v>
      </c>
      <c r="F1980" s="7" t="str">
        <f aca="false">IFERROR(INDEX(02_轉折點45個!B:B,MATCH(A1980,02_轉折點45個!A:A,0)),"")</f>
        <v/>
      </c>
      <c r="G1980" s="7" t="s">
        <v>1994</v>
      </c>
    </row>
    <row r="1981" customFormat="false" ht="15" hidden="false" customHeight="false" outlineLevel="0" collapsed="false">
      <c r="A1981" s="7" t="s">
        <v>702</v>
      </c>
      <c r="B1981" s="7" t="n">
        <v>2198.4</v>
      </c>
      <c r="C1981" s="7" t="n">
        <f aca="false">AVERAGE(B1932:B1981)</f>
        <v>2097.7006</v>
      </c>
      <c r="D1981" s="7" t="n">
        <f aca="false">AVERAGE(B1782:B1981)</f>
        <v>2040.46035</v>
      </c>
      <c r="E1981" s="7" t="n">
        <f aca="false">B1981/MAX(B1730:B1981)-1</f>
        <v>0</v>
      </c>
      <c r="F1981" s="7" t="str">
        <f aca="false">IFERROR(INDEX(02_轉折點45個!B:B,MATCH(A1981,02_轉折點45個!A:A,0)),"")</f>
        <v/>
      </c>
      <c r="G1981" s="7" t="s">
        <v>1994</v>
      </c>
    </row>
    <row r="1982" customFormat="false" ht="15" hidden="false" customHeight="false" outlineLevel="0" collapsed="false">
      <c r="A1982" s="7" t="s">
        <v>3631</v>
      </c>
      <c r="B1982" s="7" t="n">
        <v>2220.58</v>
      </c>
      <c r="C1982" s="7" t="n">
        <f aca="false">AVERAGE(B1933:B1982)</f>
        <v>2101.8108</v>
      </c>
      <c r="D1982" s="7" t="n">
        <f aca="false">AVERAGE(B1783:B1982)</f>
        <v>2041.0306</v>
      </c>
      <c r="E1982" s="7" t="n">
        <f aca="false">B1982/MAX(B1731:B1982)-1</f>
        <v>0</v>
      </c>
      <c r="F1982" s="7" t="str">
        <f aca="false">IFERROR(INDEX(02_轉折點45個!B:B,MATCH(A1982,02_轉折點45個!A:A,0)),"")</f>
        <v/>
      </c>
      <c r="G1982" s="7" t="s">
        <v>1994</v>
      </c>
    </row>
    <row r="1983" customFormat="false" ht="15" hidden="false" customHeight="false" outlineLevel="0" collapsed="false">
      <c r="A1983" s="7" t="s">
        <v>3632</v>
      </c>
      <c r="B1983" s="7" t="n">
        <v>2231.63</v>
      </c>
      <c r="C1983" s="7" t="n">
        <f aca="false">AVERAGE(B1934:B1983)</f>
        <v>2106.8338</v>
      </c>
      <c r="D1983" s="7" t="n">
        <f aca="false">AVERAGE(B1784:B1983)</f>
        <v>2041.63445</v>
      </c>
      <c r="E1983" s="7" t="n">
        <f aca="false">B1983/MAX(B1732:B1983)-1</f>
        <v>0</v>
      </c>
      <c r="F1983" s="7" t="str">
        <f aca="false">IFERROR(INDEX(02_轉折點45個!B:B,MATCH(A1983,02_轉折點45個!A:A,0)),"")</f>
        <v/>
      </c>
      <c r="G1983" s="7" t="s">
        <v>1994</v>
      </c>
    </row>
    <row r="1984" customFormat="false" ht="15" hidden="false" customHeight="false" outlineLevel="0" collapsed="false">
      <c r="A1984" s="7" t="s">
        <v>3633</v>
      </c>
      <c r="B1984" s="7" t="n">
        <v>2237.39</v>
      </c>
      <c r="C1984" s="7" t="n">
        <f aca="false">AVERAGE(B1935:B1984)</f>
        <v>2112.2014</v>
      </c>
      <c r="D1984" s="7" t="n">
        <f aca="false">AVERAGE(B1785:B1984)</f>
        <v>2042.3995</v>
      </c>
      <c r="E1984" s="7" t="n">
        <f aca="false">B1984/MAX(B1733:B1984)-1</f>
        <v>0</v>
      </c>
      <c r="F1984" s="7" t="str">
        <f aca="false">IFERROR(INDEX(02_轉折點45個!B:B,MATCH(A1984,02_轉折點45個!A:A,0)),"")</f>
        <v/>
      </c>
      <c r="G1984" s="7" t="s">
        <v>1994</v>
      </c>
    </row>
    <row r="1985" customFormat="false" ht="15" hidden="false" customHeight="false" outlineLevel="0" collapsed="false">
      <c r="A1985" s="7" t="s">
        <v>3634</v>
      </c>
      <c r="B1985" s="7" t="n">
        <v>2234.47</v>
      </c>
      <c r="C1985" s="7" t="n">
        <f aca="false">AVERAGE(B1936:B1985)</f>
        <v>2117.3186</v>
      </c>
      <c r="D1985" s="7" t="n">
        <f aca="false">AVERAGE(B1786:B1985)</f>
        <v>2043.2367</v>
      </c>
      <c r="E1985" s="7" t="n">
        <f aca="false">B1985/MAX(B1734:B1985)-1</f>
        <v>-0.00130509209391305</v>
      </c>
      <c r="F1985" s="7" t="str">
        <f aca="false">IFERROR(INDEX(02_轉折點45個!B:B,MATCH(A1985,02_轉折點45個!A:A,0)),"")</f>
        <v/>
      </c>
      <c r="G1985" s="7" t="s">
        <v>1994</v>
      </c>
    </row>
    <row r="1986" customFormat="false" ht="15" hidden="false" customHeight="false" outlineLevel="0" collapsed="false">
      <c r="A1986" s="7" t="s">
        <v>3635</v>
      </c>
      <c r="B1986" s="7" t="n">
        <v>2240.74</v>
      </c>
      <c r="C1986" s="7" t="n">
        <f aca="false">AVERAGE(B1937:B1986)</f>
        <v>2122.425</v>
      </c>
      <c r="D1986" s="7" t="n">
        <f aca="false">AVERAGE(B1787:B1986)</f>
        <v>2044.1225</v>
      </c>
      <c r="E1986" s="7" t="n">
        <f aca="false">B1986/MAX(B1735:B1986)-1</f>
        <v>0</v>
      </c>
      <c r="F1986" s="7" t="str">
        <f aca="false">IFERROR(INDEX(02_轉折點45個!B:B,MATCH(A1986,02_轉折點45個!A:A,0)),"")</f>
        <v/>
      </c>
      <c r="G1986" s="7" t="s">
        <v>1994</v>
      </c>
    </row>
    <row r="1987" customFormat="false" ht="15" hidden="false" customHeight="false" outlineLevel="0" collapsed="false">
      <c r="A1987" s="7" t="s">
        <v>3636</v>
      </c>
      <c r="B1987" s="7" t="n">
        <v>2242.67</v>
      </c>
      <c r="C1987" s="7" t="n">
        <f aca="false">AVERAGE(B1938:B1987)</f>
        <v>2126.7922</v>
      </c>
      <c r="D1987" s="7" t="n">
        <f aca="false">AVERAGE(B1788:B1987)</f>
        <v>2045.0812</v>
      </c>
      <c r="E1987" s="7" t="n">
        <f aca="false">B1987/MAX(B1736:B1987)-1</f>
        <v>0</v>
      </c>
      <c r="F1987" s="7" t="str">
        <f aca="false">IFERROR(INDEX(02_轉折點45個!B:B,MATCH(A1987,02_轉折點45個!A:A,0)),"")</f>
        <v/>
      </c>
      <c r="G1987" s="7" t="s">
        <v>1994</v>
      </c>
    </row>
    <row r="1988" customFormat="false" ht="15" hidden="false" customHeight="false" outlineLevel="0" collapsed="false">
      <c r="A1988" s="7" t="s">
        <v>703</v>
      </c>
      <c r="B1988" s="7" t="n">
        <v>2252.85</v>
      </c>
      <c r="C1988" s="7" t="n">
        <f aca="false">AVERAGE(B1939:B1988)</f>
        <v>2131.1464</v>
      </c>
      <c r="D1988" s="7" t="n">
        <f aca="false">AVERAGE(B1789:B1988)</f>
        <v>2045.9902</v>
      </c>
      <c r="E1988" s="7" t="n">
        <f aca="false">B1988/MAX(B1737:B1988)-1</f>
        <v>0</v>
      </c>
      <c r="F1988" s="7" t="str">
        <f aca="false">IFERROR(INDEX(02_轉折點45個!B:B,MATCH(A1988,02_轉折點45個!A:A,0)),"")</f>
        <v/>
      </c>
      <c r="G1988" s="7" t="s">
        <v>1994</v>
      </c>
    </row>
    <row r="1989" customFormat="false" ht="15" hidden="false" customHeight="false" outlineLevel="0" collapsed="false">
      <c r="A1989" s="7" t="s">
        <v>3637</v>
      </c>
      <c r="B1989" s="7" t="n">
        <v>2247.63</v>
      </c>
      <c r="C1989" s="7" t="n">
        <f aca="false">AVERAGE(B1940:B1989)</f>
        <v>2135.3768</v>
      </c>
      <c r="D1989" s="7" t="n">
        <f aca="false">AVERAGE(B1790:B1989)</f>
        <v>2046.92385</v>
      </c>
      <c r="E1989" s="7" t="n">
        <f aca="false">B1989/MAX(B1738:B1989)-1</f>
        <v>-0.00231706505093543</v>
      </c>
      <c r="F1989" s="7" t="str">
        <f aca="false">IFERROR(INDEX(02_轉折點45個!B:B,MATCH(A1989,02_轉折點45個!A:A,0)),"")</f>
        <v/>
      </c>
      <c r="G1989" s="7" t="s">
        <v>1994</v>
      </c>
    </row>
    <row r="1990" customFormat="false" ht="15" hidden="false" customHeight="false" outlineLevel="0" collapsed="false">
      <c r="A1990" s="7" t="s">
        <v>3638</v>
      </c>
      <c r="B1990" s="7" t="n">
        <v>2197.98</v>
      </c>
      <c r="C1990" s="7" t="n">
        <f aca="false">AVERAGE(B1941:B1990)</f>
        <v>2138.489</v>
      </c>
      <c r="D1990" s="7" t="n">
        <f aca="false">AVERAGE(B1791:B1990)</f>
        <v>2047.5818</v>
      </c>
      <c r="E1990" s="7" t="n">
        <f aca="false">B1990/MAX(B1739:B1990)-1</f>
        <v>-0.0243558159664424</v>
      </c>
      <c r="F1990" s="7" t="str">
        <f aca="false">IFERROR(INDEX(02_轉折點45個!B:B,MATCH(A1990,02_轉折點45個!A:A,0)),"")</f>
        <v/>
      </c>
      <c r="G1990" s="7" t="s">
        <v>1994</v>
      </c>
    </row>
    <row r="1991" customFormat="false" ht="15" hidden="false" customHeight="false" outlineLevel="0" collapsed="false">
      <c r="A1991" s="7" t="s">
        <v>704</v>
      </c>
      <c r="B1991" s="7" t="n">
        <v>2204.09</v>
      </c>
      <c r="C1991" s="7" t="n">
        <f aca="false">AVERAGE(B1942:B1991)</f>
        <v>2141.7204</v>
      </c>
      <c r="D1991" s="7" t="n">
        <f aca="false">AVERAGE(B1792:B1991)</f>
        <v>2048.3711</v>
      </c>
      <c r="E1991" s="7" t="n">
        <f aca="false">B1991/MAX(B1740:B1991)-1</f>
        <v>-0.0216436957631444</v>
      </c>
      <c r="F1991" s="7" t="str">
        <f aca="false">IFERROR(INDEX(02_轉折點45個!B:B,MATCH(A1991,02_轉折點45個!A:A,0)),"")</f>
        <v/>
      </c>
      <c r="G1991" s="7" t="s">
        <v>1994</v>
      </c>
    </row>
    <row r="1992" customFormat="false" ht="15" hidden="false" customHeight="false" outlineLevel="0" collapsed="false">
      <c r="A1992" s="7" t="s">
        <v>3639</v>
      </c>
      <c r="B1992" s="7" t="n">
        <v>2222.02</v>
      </c>
      <c r="C1992" s="7" t="n">
        <f aca="false">AVERAGE(B1943:B1992)</f>
        <v>2145.5548</v>
      </c>
      <c r="D1992" s="7" t="n">
        <f aca="false">AVERAGE(B1793:B1992)</f>
        <v>2049.1479</v>
      </c>
      <c r="E1992" s="7" t="n">
        <f aca="false">B1992/MAX(B1741:B1992)-1</f>
        <v>-0.0136848880307167</v>
      </c>
      <c r="F1992" s="7" t="str">
        <f aca="false">IFERROR(INDEX(02_轉折點45個!B:B,MATCH(A1992,02_轉折點45個!A:A,0)),"")</f>
        <v/>
      </c>
      <c r="G1992" s="7" t="s">
        <v>1994</v>
      </c>
    </row>
    <row r="1993" customFormat="false" ht="15" hidden="false" customHeight="false" outlineLevel="0" collapsed="false">
      <c r="A1993" s="7" t="s">
        <v>3640</v>
      </c>
      <c r="B1993" s="7" t="n">
        <v>2221.6</v>
      </c>
      <c r="C1993" s="7" t="n">
        <f aca="false">AVERAGE(B1944:B1993)</f>
        <v>2148.8232</v>
      </c>
      <c r="D1993" s="7" t="n">
        <f aca="false">AVERAGE(B1794:B1993)</f>
        <v>2049.8575</v>
      </c>
      <c r="E1993" s="7" t="n">
        <f aca="false">B1993/MAX(B1742:B1993)-1</f>
        <v>-0.0138713185520563</v>
      </c>
      <c r="F1993" s="7" t="str">
        <f aca="false">IFERROR(INDEX(02_轉折點45個!B:B,MATCH(A1993,02_轉折點45個!A:A,0)),"")</f>
        <v/>
      </c>
      <c r="G1993" s="7" t="s">
        <v>1994</v>
      </c>
    </row>
    <row r="1994" customFormat="false" ht="15" hidden="false" customHeight="false" outlineLevel="0" collapsed="false">
      <c r="A1994" s="7" t="s">
        <v>3641</v>
      </c>
      <c r="B1994" s="7" t="n">
        <v>2204.64</v>
      </c>
      <c r="C1994" s="7" t="n">
        <f aca="false">AVERAGE(B1945:B1994)</f>
        <v>2152.029</v>
      </c>
      <c r="D1994" s="7" t="n">
        <f aca="false">AVERAGE(B1795:B1994)</f>
        <v>2050.39915</v>
      </c>
      <c r="E1994" s="7" t="n">
        <f aca="false">B1994/MAX(B1743:B1994)-1</f>
        <v>-0.0213995605566283</v>
      </c>
      <c r="F1994" s="7" t="str">
        <f aca="false">IFERROR(INDEX(02_轉折點45個!B:B,MATCH(A1994,02_轉折點45個!A:A,0)),"")</f>
        <v/>
      </c>
      <c r="G1994" s="7" t="s">
        <v>1994</v>
      </c>
    </row>
    <row r="1995" customFormat="false" ht="15" hidden="false" customHeight="false" outlineLevel="0" collapsed="false">
      <c r="A1995" s="7" t="s">
        <v>3642</v>
      </c>
      <c r="B1995" s="7" t="n">
        <v>2236.78</v>
      </c>
      <c r="C1995" s="7" t="n">
        <f aca="false">AVERAGE(B1946:B1995)</f>
        <v>2156.2216</v>
      </c>
      <c r="D1995" s="7" t="n">
        <f aca="false">AVERAGE(B1796:B1995)</f>
        <v>2051.15755</v>
      </c>
      <c r="E1995" s="7" t="n">
        <f aca="false">B1995/MAX(B1744:B1995)-1</f>
        <v>-0.00713318685220932</v>
      </c>
      <c r="F1995" s="7" t="str">
        <f aca="false">IFERROR(INDEX(02_轉折點45個!B:B,MATCH(A1995,02_轉折點45個!A:A,0)),"")</f>
        <v/>
      </c>
      <c r="G1995" s="7" t="s">
        <v>1994</v>
      </c>
    </row>
    <row r="1996" customFormat="false" ht="15" hidden="false" customHeight="false" outlineLevel="0" collapsed="false">
      <c r="A1996" s="7" t="s">
        <v>3643</v>
      </c>
      <c r="B1996" s="7" t="n">
        <v>2240.43</v>
      </c>
      <c r="C1996" s="7" t="n">
        <f aca="false">AVERAGE(B1947:B1996)</f>
        <v>2159.9364</v>
      </c>
      <c r="D1996" s="7" t="n">
        <f aca="false">AVERAGE(B1797:B1996)</f>
        <v>2052.0228</v>
      </c>
      <c r="E1996" s="7" t="n">
        <f aca="false">B1996/MAX(B1745:B1996)-1</f>
        <v>-0.00551301684532923</v>
      </c>
      <c r="F1996" s="7" t="str">
        <f aca="false">IFERROR(INDEX(02_轉折點45個!B:B,MATCH(A1996,02_轉折點45個!A:A,0)),"")</f>
        <v/>
      </c>
      <c r="G1996" s="7" t="s">
        <v>1994</v>
      </c>
    </row>
    <row r="1997" customFormat="false" ht="15" hidden="false" customHeight="false" outlineLevel="0" collapsed="false">
      <c r="A1997" s="7" t="s">
        <v>3644</v>
      </c>
      <c r="B1997" s="7" t="n">
        <v>2234.47</v>
      </c>
      <c r="C1997" s="7" t="n">
        <f aca="false">AVERAGE(B1948:B1997)</f>
        <v>2163.3078</v>
      </c>
      <c r="D1997" s="7" t="n">
        <f aca="false">AVERAGE(B1798:B1997)</f>
        <v>2052.76595</v>
      </c>
      <c r="E1997" s="7" t="n">
        <f aca="false">B1997/MAX(B1746:B1997)-1</f>
        <v>-0.00815855471957749</v>
      </c>
      <c r="F1997" s="7" t="str">
        <f aca="false">IFERROR(INDEX(02_轉折點45個!B:B,MATCH(A1997,02_轉折點45個!A:A,0)),"")</f>
        <v/>
      </c>
      <c r="G1997" s="7" t="s">
        <v>1994</v>
      </c>
    </row>
    <row r="1998" customFormat="false" ht="15" hidden="false" customHeight="false" outlineLevel="0" collapsed="false">
      <c r="A1998" s="7" t="s">
        <v>3645</v>
      </c>
      <c r="B1998" s="7" t="n">
        <v>2217.87</v>
      </c>
      <c r="C1998" s="7" t="n">
        <f aca="false">AVERAGE(B1949:B1998)</f>
        <v>2166.3098</v>
      </c>
      <c r="D1998" s="7" t="n">
        <f aca="false">AVERAGE(B1799:B1998)</f>
        <v>2053.4437</v>
      </c>
      <c r="E1998" s="7" t="n">
        <f aca="false">B1998/MAX(B1747:B1998)-1</f>
        <v>-0.0155269991344298</v>
      </c>
      <c r="F1998" s="7" t="str">
        <f aca="false">IFERROR(INDEX(02_轉折點45個!B:B,MATCH(A1998,02_轉折點45個!A:A,0)),"")</f>
        <v/>
      </c>
      <c r="G1998" s="7" t="s">
        <v>1994</v>
      </c>
    </row>
    <row r="1999" customFormat="false" ht="15" hidden="false" customHeight="false" outlineLevel="0" collapsed="false">
      <c r="A1999" s="7" t="s">
        <v>3646</v>
      </c>
      <c r="B1999" s="7" t="n">
        <v>2226.71</v>
      </c>
      <c r="C1999" s="7" t="n">
        <f aca="false">AVERAGE(B1950:B1999)</f>
        <v>2169.3674</v>
      </c>
      <c r="D1999" s="7" t="n">
        <f aca="false">AVERAGE(B1800:B1999)</f>
        <v>2054.13035</v>
      </c>
      <c r="E1999" s="7" t="n">
        <f aca="false">B1999/MAX(B1748:B1999)-1</f>
        <v>-0.011603080542424</v>
      </c>
      <c r="F1999" s="7" t="str">
        <f aca="false">IFERROR(INDEX(02_轉折點45個!B:B,MATCH(A1999,02_轉折點45個!A:A,0)),"")</f>
        <v/>
      </c>
      <c r="G1999" s="7" t="s">
        <v>1994</v>
      </c>
    </row>
    <row r="2000" customFormat="false" ht="15" hidden="false" customHeight="false" outlineLevel="0" collapsed="false">
      <c r="A2000" s="7" t="s">
        <v>3647</v>
      </c>
      <c r="B2000" s="7" t="n">
        <v>2231.73</v>
      </c>
      <c r="C2000" s="7" t="n">
        <f aca="false">AVERAGE(B1951:B2000)</f>
        <v>2172.7372</v>
      </c>
      <c r="D2000" s="7" t="n">
        <f aca="false">AVERAGE(B1801:B2000)</f>
        <v>2054.7501</v>
      </c>
      <c r="E2000" s="7" t="n">
        <f aca="false">B2000/MAX(B1749:B2000)-1</f>
        <v>-0.00937479193022173</v>
      </c>
      <c r="F2000" s="7" t="str">
        <f aca="false">IFERROR(INDEX(02_轉折點45個!B:B,MATCH(A2000,02_轉折點45個!A:A,0)),"")</f>
        <v/>
      </c>
      <c r="G2000" s="7" t="s">
        <v>1994</v>
      </c>
    </row>
    <row r="2001" customFormat="false" ht="15" hidden="false" customHeight="false" outlineLevel="0" collapsed="false">
      <c r="A2001" s="7" t="s">
        <v>3648</v>
      </c>
      <c r="B2001" s="7" t="n">
        <v>2221.44</v>
      </c>
      <c r="C2001" s="7" t="n">
        <f aca="false">AVERAGE(B1952:B2001)</f>
        <v>2176.2818</v>
      </c>
      <c r="D2001" s="7" t="n">
        <f aca="false">AVERAGE(B1802:B2001)</f>
        <v>2055.4362</v>
      </c>
      <c r="E2001" s="7" t="n">
        <f aca="false">B2001/MAX(B1750:B2001)-1</f>
        <v>-0.0139423397030427</v>
      </c>
      <c r="F2001" s="7" t="str">
        <f aca="false">IFERROR(INDEX(02_轉折點45個!B:B,MATCH(A2001,02_轉折點45個!A:A,0)),"")</f>
        <v/>
      </c>
      <c r="G2001" s="7" t="s">
        <v>1994</v>
      </c>
    </row>
    <row r="2002" customFormat="false" ht="15" hidden="false" customHeight="false" outlineLevel="0" collapsed="false">
      <c r="A2002" s="7" t="s">
        <v>705</v>
      </c>
      <c r="B2002" s="7" t="n">
        <v>2222.18</v>
      </c>
      <c r="C2002" s="7" t="n">
        <f aca="false">AVERAGE(B1953:B2002)</f>
        <v>2179.7306</v>
      </c>
      <c r="D2002" s="7" t="n">
        <f aca="false">AVERAGE(B1803:B2002)</f>
        <v>2055.97415</v>
      </c>
      <c r="E2002" s="7" t="n">
        <f aca="false">B2002/MAX(B1751:B2002)-1</f>
        <v>-0.0136138668797302</v>
      </c>
      <c r="F2002" s="7" t="str">
        <f aca="false">IFERROR(INDEX(02_轉折點45個!B:B,MATCH(A2002,02_轉折點45個!A:A,0)),"")</f>
        <v/>
      </c>
      <c r="G2002" s="7" t="s">
        <v>1994</v>
      </c>
    </row>
    <row r="2003" customFormat="false" ht="15" hidden="false" customHeight="false" outlineLevel="0" collapsed="false">
      <c r="A2003" s="7" t="s">
        <v>3649</v>
      </c>
      <c r="B2003" s="7" t="n">
        <v>2241.77</v>
      </c>
      <c r="C2003" s="7" t="n">
        <f aca="false">AVERAGE(B1954:B2003)</f>
        <v>2182.707</v>
      </c>
      <c r="D2003" s="7" t="n">
        <f aca="false">AVERAGE(B1804:B2003)</f>
        <v>2056.62615</v>
      </c>
      <c r="E2003" s="7" t="n">
        <f aca="false">B2003/MAX(B1752:B2003)-1</f>
        <v>-0.00491821470581699</v>
      </c>
      <c r="F2003" s="7" t="str">
        <f aca="false">IFERROR(INDEX(02_轉折點45個!B:B,MATCH(A2003,02_轉折點45個!A:A,0)),"")</f>
        <v/>
      </c>
      <c r="G2003" s="7" t="s">
        <v>1994</v>
      </c>
    </row>
    <row r="2004" customFormat="false" ht="15" hidden="false" customHeight="false" outlineLevel="0" collapsed="false">
      <c r="A2004" s="7" t="s">
        <v>3650</v>
      </c>
      <c r="B2004" s="7" t="n">
        <v>2244.83</v>
      </c>
      <c r="C2004" s="7" t="n">
        <f aca="false">AVERAGE(B1955:B2004)</f>
        <v>2185.4634</v>
      </c>
      <c r="D2004" s="7" t="n">
        <f aca="false">AVERAGE(B1805:B2004)</f>
        <v>2057.33235</v>
      </c>
      <c r="E2004" s="7" t="n">
        <f aca="false">B2004/MAX(B1753:B2004)-1</f>
        <v>-0.00355993519319975</v>
      </c>
      <c r="F2004" s="7" t="str">
        <f aca="false">IFERROR(INDEX(02_轉折點45個!B:B,MATCH(A2004,02_轉折點45個!A:A,0)),"")</f>
        <v/>
      </c>
      <c r="G2004" s="7" t="s">
        <v>1994</v>
      </c>
    </row>
    <row r="2005" customFormat="false" ht="15" hidden="false" customHeight="false" outlineLevel="0" collapsed="false">
      <c r="A2005" s="7" t="s">
        <v>3651</v>
      </c>
      <c r="B2005" s="7" t="n">
        <v>2225.07</v>
      </c>
      <c r="C2005" s="7" t="n">
        <f aca="false">AVERAGE(B1956:B2005)</f>
        <v>2187.9406</v>
      </c>
      <c r="D2005" s="7" t="n">
        <f aca="false">AVERAGE(B1806:B2005)</f>
        <v>2058.01545</v>
      </c>
      <c r="E2005" s="7" t="n">
        <f aca="false">B2005/MAX(B1754:B2005)-1</f>
        <v>-0.0123310473400359</v>
      </c>
      <c r="F2005" s="7" t="str">
        <f aca="false">IFERROR(INDEX(02_轉折點45個!B:B,MATCH(A2005,02_轉折點45個!A:A,0)),"")</f>
        <v/>
      </c>
      <c r="G2005" s="7" t="s">
        <v>1994</v>
      </c>
    </row>
    <row r="2006" customFormat="false" ht="15" hidden="false" customHeight="false" outlineLevel="0" collapsed="false">
      <c r="A2006" s="7" t="s">
        <v>3652</v>
      </c>
      <c r="B2006" s="7" t="n">
        <v>2219.57</v>
      </c>
      <c r="C2006" s="7" t="n">
        <f aca="false">AVERAGE(B1957:B2006)</f>
        <v>2190.0926</v>
      </c>
      <c r="D2006" s="7" t="n">
        <f aca="false">AVERAGE(B1807:B2006)</f>
        <v>2058.75165</v>
      </c>
      <c r="E2006" s="7" t="n">
        <f aca="false">B2006/MAX(B1755:B2006)-1</f>
        <v>-0.0147723994051977</v>
      </c>
      <c r="F2006" s="7" t="str">
        <f aca="false">IFERROR(INDEX(02_轉折點45個!B:B,MATCH(A2006,02_轉折點45個!A:A,0)),"")</f>
        <v/>
      </c>
      <c r="G2006" s="7" t="s">
        <v>1994</v>
      </c>
    </row>
    <row r="2007" customFormat="false" ht="15" hidden="false" customHeight="false" outlineLevel="0" collapsed="false">
      <c r="A2007" s="7" t="s">
        <v>3653</v>
      </c>
      <c r="B2007" s="7" t="n">
        <v>2217.8</v>
      </c>
      <c r="C2007" s="7" t="n">
        <f aca="false">AVERAGE(B1958:B2007)</f>
        <v>2192.1424</v>
      </c>
      <c r="D2007" s="7" t="n">
        <f aca="false">AVERAGE(B1808:B2007)</f>
        <v>2059.4832</v>
      </c>
      <c r="E2007" s="7" t="n">
        <f aca="false">B2007/MAX(B1756:B2007)-1</f>
        <v>-0.0155580708879862</v>
      </c>
      <c r="F2007" s="7" t="str">
        <f aca="false">IFERROR(INDEX(02_轉折點45個!B:B,MATCH(A2007,02_轉折點45個!A:A,0)),"")</f>
        <v/>
      </c>
      <c r="G2007" s="7" t="s">
        <v>1994</v>
      </c>
    </row>
    <row r="2008" customFormat="false" ht="15" hidden="false" customHeight="false" outlineLevel="0" collapsed="false">
      <c r="A2008" s="7" t="s">
        <v>706</v>
      </c>
      <c r="B2008" s="7" t="n">
        <v>2207.05</v>
      </c>
      <c r="C2008" s="7" t="n">
        <f aca="false">AVERAGE(B1959:B2008)</f>
        <v>2194.108</v>
      </c>
      <c r="D2008" s="7" t="n">
        <f aca="false">AVERAGE(B1809:B2008)</f>
        <v>2060.24205</v>
      </c>
      <c r="E2008" s="7" t="n">
        <f aca="false">B2008/MAX(B1757:B2008)-1</f>
        <v>-0.0203298044698935</v>
      </c>
      <c r="F2008" s="7" t="str">
        <f aca="false">IFERROR(INDEX(02_轉折點45個!B:B,MATCH(A2008,02_轉折點45個!A:A,0)),"")</f>
        <v/>
      </c>
      <c r="G2008" s="7" t="s">
        <v>1994</v>
      </c>
    </row>
    <row r="2009" customFormat="false" ht="15" hidden="false" customHeight="false" outlineLevel="0" collapsed="false">
      <c r="A2009" s="7" t="s">
        <v>3654</v>
      </c>
      <c r="B2009" s="7" t="n">
        <v>2193.65</v>
      </c>
      <c r="C2009" s="7" t="n">
        <f aca="false">AVERAGE(B1960:B2009)</f>
        <v>2195.1128</v>
      </c>
      <c r="D2009" s="7" t="n">
        <f aca="false">AVERAGE(B1810:B2009)</f>
        <v>2060.8776</v>
      </c>
      <c r="E2009" s="7" t="n">
        <f aca="false">B2009/MAX(B1758:B2009)-1</f>
        <v>-0.0262778258650154</v>
      </c>
      <c r="F2009" s="7" t="str">
        <f aca="false">IFERROR(INDEX(02_轉折點45個!B:B,MATCH(A2009,02_轉折點45個!A:A,0)),"")</f>
        <v/>
      </c>
      <c r="G2009" s="7" t="s">
        <v>1994</v>
      </c>
    </row>
    <row r="2010" customFormat="false" ht="15" hidden="false" customHeight="false" outlineLevel="0" collapsed="false">
      <c r="A2010" s="7" t="s">
        <v>3655</v>
      </c>
      <c r="B2010" s="7" t="n">
        <v>2204.92</v>
      </c>
      <c r="C2010" s="7" t="n">
        <f aca="false">AVERAGE(B1961:B2010)</f>
        <v>2196.14</v>
      </c>
      <c r="D2010" s="7" t="n">
        <f aca="false">AVERAGE(B1811:B2010)</f>
        <v>2061.5467</v>
      </c>
      <c r="E2010" s="7" t="n">
        <f aca="false">B2010/MAX(B1759:B2010)-1</f>
        <v>-0.0212752735424018</v>
      </c>
      <c r="F2010" s="7" t="str">
        <f aca="false">IFERROR(INDEX(02_轉折點45個!B:B,MATCH(A2010,02_轉折點45個!A:A,0)),"")</f>
        <v/>
      </c>
      <c r="G2010" s="7" t="s">
        <v>1994</v>
      </c>
    </row>
    <row r="2011" customFormat="false" ht="15" hidden="false" customHeight="false" outlineLevel="0" collapsed="false">
      <c r="A2011" s="7" t="s">
        <v>3656</v>
      </c>
      <c r="B2011" s="7" t="n">
        <v>2221.1</v>
      </c>
      <c r="C2011" s="7" t="n">
        <f aca="false">AVERAGE(B1962:B2011)</f>
        <v>2197.3712</v>
      </c>
      <c r="D2011" s="7" t="n">
        <f aca="false">AVERAGE(B1812:B2011)</f>
        <v>2062.16485</v>
      </c>
      <c r="E2011" s="7" t="n">
        <f aca="false">B2011/MAX(B1760:B2011)-1</f>
        <v>-0.0140932596488892</v>
      </c>
      <c r="F2011" s="7" t="str">
        <f aca="false">IFERROR(INDEX(02_轉折點45個!B:B,MATCH(A2011,02_轉折點45個!A:A,0)),"")</f>
        <v/>
      </c>
      <c r="G2011" s="7" t="s">
        <v>1994</v>
      </c>
    </row>
    <row r="2012" customFormat="false" ht="15" hidden="false" customHeight="false" outlineLevel="0" collapsed="false">
      <c r="A2012" s="7" t="s">
        <v>3657</v>
      </c>
      <c r="B2012" s="7" t="n">
        <v>2215.93</v>
      </c>
      <c r="C2012" s="7" t="n">
        <f aca="false">AVERAGE(B1963:B2012)</f>
        <v>2198.8442</v>
      </c>
      <c r="D2012" s="7" t="n">
        <f aca="false">AVERAGE(B1813:B2012)</f>
        <v>2062.68435</v>
      </c>
      <c r="E2012" s="7" t="n">
        <f aca="false">B2012/MAX(B1761:B2012)-1</f>
        <v>-0.0163881305901414</v>
      </c>
      <c r="F2012" s="7" t="str">
        <f aca="false">IFERROR(INDEX(02_轉折點45個!B:B,MATCH(A2012,02_轉折點45個!A:A,0)),"")</f>
        <v/>
      </c>
      <c r="G2012" s="7" t="s">
        <v>1994</v>
      </c>
    </row>
    <row r="2013" customFormat="false" ht="15" hidden="false" customHeight="false" outlineLevel="0" collapsed="false">
      <c r="A2013" s="7" t="s">
        <v>707</v>
      </c>
      <c r="B2013" s="7" t="n">
        <v>2206.54</v>
      </c>
      <c r="C2013" s="7" t="n">
        <f aca="false">AVERAGE(B1964:B2013)</f>
        <v>2200.2718</v>
      </c>
      <c r="D2013" s="7" t="n">
        <f aca="false">AVERAGE(B1814:B2013)</f>
        <v>2063.21295</v>
      </c>
      <c r="E2013" s="7" t="n">
        <f aca="false">B2013/MAX(B1762:B2013)-1</f>
        <v>-0.0205561843886632</v>
      </c>
      <c r="F2013" s="7" t="str">
        <f aca="false">IFERROR(INDEX(02_轉折點45個!B:B,MATCH(A2013,02_轉折點45個!A:A,0)),"")</f>
        <v/>
      </c>
      <c r="G2013" s="7" t="s">
        <v>1994</v>
      </c>
    </row>
    <row r="2014" customFormat="false" ht="15" hidden="false" customHeight="false" outlineLevel="0" collapsed="false">
      <c r="A2014" s="7" t="s">
        <v>3658</v>
      </c>
      <c r="B2014" s="7" t="n">
        <v>2213.73</v>
      </c>
      <c r="C2014" s="7" t="n">
        <f aca="false">AVERAGE(B1965:B2014)</f>
        <v>2201.774</v>
      </c>
      <c r="D2014" s="7" t="n">
        <f aca="false">AVERAGE(B1815:B2014)</f>
        <v>2063.7459</v>
      </c>
      <c r="E2014" s="7" t="n">
        <f aca="false">B2014/MAX(B1763:B2014)-1</f>
        <v>-0.0173646714162061</v>
      </c>
      <c r="F2014" s="7" t="str">
        <f aca="false">IFERROR(INDEX(02_轉折點45個!B:B,MATCH(A2014,02_轉折點45個!A:A,0)),"")</f>
        <v/>
      </c>
      <c r="G2014" s="7" t="s">
        <v>1994</v>
      </c>
    </row>
    <row r="2015" customFormat="false" ht="15" hidden="false" customHeight="false" outlineLevel="0" collapsed="false">
      <c r="A2015" s="7" t="s">
        <v>3659</v>
      </c>
      <c r="B2015" s="7" t="n">
        <v>2241.39</v>
      </c>
      <c r="C2015" s="7" t="n">
        <f aca="false">AVERAGE(B1966:B2015)</f>
        <v>2203.8046</v>
      </c>
      <c r="D2015" s="7" t="n">
        <f aca="false">AVERAGE(B1816:B2015)</f>
        <v>2064.3823</v>
      </c>
      <c r="E2015" s="7" t="n">
        <f aca="false">B2015/MAX(B1764:B2015)-1</f>
        <v>-0.00508688993941009</v>
      </c>
      <c r="F2015" s="7" t="str">
        <f aca="false">IFERROR(INDEX(02_轉折點45個!B:B,MATCH(A2015,02_轉折點45個!A:A,0)),"")</f>
        <v/>
      </c>
      <c r="G2015" s="7" t="s">
        <v>1994</v>
      </c>
    </row>
    <row r="2016" customFormat="false" ht="15" hidden="false" customHeight="false" outlineLevel="0" collapsed="false">
      <c r="A2016" s="7" t="s">
        <v>3660</v>
      </c>
      <c r="B2016" s="7" t="n">
        <v>2223.86</v>
      </c>
      <c r="C2016" s="7" t="n">
        <f aca="false">AVERAGE(B1967:B2016)</f>
        <v>2205.2422</v>
      </c>
      <c r="D2016" s="7" t="n">
        <f aca="false">AVERAGE(B1817:B2016)</f>
        <v>2065.02185</v>
      </c>
      <c r="E2016" s="7" t="n">
        <f aca="false">B2016/MAX(B1765:B2016)-1</f>
        <v>-0.0128681447943715</v>
      </c>
      <c r="F2016" s="7" t="str">
        <f aca="false">IFERROR(INDEX(02_轉折點45個!B:B,MATCH(A2016,02_轉折點45個!A:A,0)),"")</f>
        <v/>
      </c>
      <c r="G2016" s="7" t="s">
        <v>1994</v>
      </c>
    </row>
    <row r="2017" customFormat="false" ht="15" hidden="false" customHeight="false" outlineLevel="0" collapsed="false">
      <c r="A2017" s="7" t="s">
        <v>3661</v>
      </c>
      <c r="B2017" s="7" t="n">
        <v>2227.47</v>
      </c>
      <c r="C2017" s="7" t="n">
        <f aca="false">AVERAGE(B1968:B2017)</f>
        <v>2206.948</v>
      </c>
      <c r="D2017" s="7" t="n">
        <f aca="false">AVERAGE(B1818:B2017)</f>
        <v>2065.6378</v>
      </c>
      <c r="E2017" s="7" t="n">
        <f aca="false">B2017/MAX(B1766:B2017)-1</f>
        <v>-0.0112657300752381</v>
      </c>
      <c r="F2017" s="7" t="str">
        <f aca="false">IFERROR(INDEX(02_轉折點45個!B:B,MATCH(A2017,02_轉折點45個!A:A,0)),"")</f>
        <v/>
      </c>
      <c r="G2017" s="7" t="s">
        <v>1994</v>
      </c>
    </row>
    <row r="2018" customFormat="false" ht="15" hidden="false" customHeight="false" outlineLevel="0" collapsed="false">
      <c r="A2018" s="7" t="s">
        <v>3662</v>
      </c>
      <c r="B2018" s="7" t="n">
        <v>2232.62</v>
      </c>
      <c r="C2018" s="7" t="n">
        <f aca="false">AVERAGE(B1969:B2018)</f>
        <v>2208.542</v>
      </c>
      <c r="D2018" s="7" t="n">
        <f aca="false">AVERAGE(B1819:B2018)</f>
        <v>2066.29415</v>
      </c>
      <c r="E2018" s="7" t="n">
        <f aca="false">B2018/MAX(B1767:B2018)-1</f>
        <v>-0.00897973677785913</v>
      </c>
      <c r="F2018" s="7" t="str">
        <f aca="false">IFERROR(INDEX(02_轉折點45個!B:B,MATCH(A2018,02_轉折點45個!A:A,0)),"")</f>
        <v/>
      </c>
      <c r="G2018" s="7" t="s">
        <v>1994</v>
      </c>
    </row>
    <row r="2019" customFormat="false" ht="15" hidden="false" customHeight="false" outlineLevel="0" collapsed="false">
      <c r="A2019" s="7" t="s">
        <v>3663</v>
      </c>
      <c r="B2019" s="7" t="n">
        <v>2246.78</v>
      </c>
      <c r="C2019" s="7" t="n">
        <f aca="false">AVERAGE(B1970:B2019)</f>
        <v>2210.008</v>
      </c>
      <c r="D2019" s="7" t="n">
        <f aca="false">AVERAGE(B1820:B2019)</f>
        <v>2066.9634</v>
      </c>
      <c r="E2019" s="7" t="n">
        <f aca="false">B2019/MAX(B1768:B2019)-1</f>
        <v>-0.00269436491555131</v>
      </c>
      <c r="F2019" s="7" t="str">
        <f aca="false">IFERROR(INDEX(02_轉折點45個!B:B,MATCH(A2019,02_轉折點45個!A:A,0)),"")</f>
        <v/>
      </c>
      <c r="G2019" s="7" t="s">
        <v>1994</v>
      </c>
    </row>
    <row r="2020" customFormat="false" ht="15" hidden="false" customHeight="false" outlineLevel="0" collapsed="false">
      <c r="A2020" s="7" t="s">
        <v>708</v>
      </c>
      <c r="B2020" s="7" t="n">
        <v>2270.09</v>
      </c>
      <c r="C2020" s="7" t="n">
        <f aca="false">AVERAGE(B1971:B2020)</f>
        <v>2212.4606</v>
      </c>
      <c r="D2020" s="7" t="n">
        <f aca="false">AVERAGE(B1821:B2020)</f>
        <v>2067.7366</v>
      </c>
      <c r="E2020" s="7" t="n">
        <f aca="false">B2020/MAX(B1769:B2020)-1</f>
        <v>0</v>
      </c>
      <c r="F2020" s="7" t="str">
        <f aca="false">IFERROR(INDEX(02_轉折點45個!B:B,MATCH(A2020,02_轉折點45個!A:A,0)),"")</f>
        <v/>
      </c>
      <c r="G2020" s="7" t="s">
        <v>1994</v>
      </c>
    </row>
    <row r="2021" customFormat="false" ht="15" hidden="false" customHeight="false" outlineLevel="0" collapsed="false">
      <c r="A2021" s="7" t="s">
        <v>709</v>
      </c>
      <c r="B2021" s="7" t="n">
        <v>2286.51</v>
      </c>
      <c r="C2021" s="7" t="n">
        <f aca="false">AVERAGE(B1972:B2021)</f>
        <v>2215.0012</v>
      </c>
      <c r="D2021" s="7" t="n">
        <f aca="false">AVERAGE(B1822:B2021)</f>
        <v>2068.6427</v>
      </c>
      <c r="E2021" s="7" t="n">
        <f aca="false">B2021/MAX(B1770:B2021)-1</f>
        <v>0</v>
      </c>
      <c r="F2021" s="7" t="str">
        <f aca="false">IFERROR(INDEX(02_轉折點45個!B:B,MATCH(A2021,02_轉折點45個!A:A,0)),"")</f>
        <v/>
      </c>
      <c r="G2021" s="7" t="s">
        <v>1994</v>
      </c>
    </row>
    <row r="2022" customFormat="false" ht="15" hidden="false" customHeight="false" outlineLevel="0" collapsed="false">
      <c r="A2022" s="7" t="s">
        <v>3664</v>
      </c>
      <c r="B2022" s="7" t="n">
        <v>2281.9</v>
      </c>
      <c r="C2022" s="7" t="n">
        <f aca="false">AVERAGE(B1973:B2022)</f>
        <v>2217.396</v>
      </c>
      <c r="D2022" s="7" t="n">
        <f aca="false">AVERAGE(B1823:B2022)</f>
        <v>2069.37355</v>
      </c>
      <c r="E2022" s="7" t="n">
        <f aca="false">B2022/MAX(B1771:B2022)-1</f>
        <v>-0.00201617311973279</v>
      </c>
      <c r="F2022" s="7" t="str">
        <f aca="false">IFERROR(INDEX(02_轉折點45個!B:B,MATCH(A2022,02_轉折點45個!A:A,0)),"")</f>
        <v/>
      </c>
      <c r="G2022" s="7" t="s">
        <v>1994</v>
      </c>
    </row>
    <row r="2023" customFormat="false" ht="15" hidden="false" customHeight="false" outlineLevel="0" collapsed="false">
      <c r="A2023" s="7" t="s">
        <v>3665</v>
      </c>
      <c r="B2023" s="7" t="n">
        <v>2265.13</v>
      </c>
      <c r="C2023" s="7" t="n">
        <f aca="false">AVERAGE(B1974:B2023)</f>
        <v>2220.0466</v>
      </c>
      <c r="D2023" s="7" t="n">
        <f aca="false">AVERAGE(B1824:B2023)</f>
        <v>2070.00665</v>
      </c>
      <c r="E2023" s="7" t="n">
        <f aca="false">B2023/MAX(B1772:B2023)-1</f>
        <v>-0.00935049485897732</v>
      </c>
      <c r="F2023" s="7" t="str">
        <f aca="false">IFERROR(INDEX(02_轉折點45個!B:B,MATCH(A2023,02_轉折點45個!A:A,0)),"")</f>
        <v/>
      </c>
      <c r="G2023" s="7" t="s">
        <v>1994</v>
      </c>
    </row>
    <row r="2024" customFormat="false" ht="15" hidden="false" customHeight="false" outlineLevel="0" collapsed="false">
      <c r="A2024" s="7" t="s">
        <v>710</v>
      </c>
      <c r="B2024" s="7" t="n">
        <v>2232.05</v>
      </c>
      <c r="C2024" s="7" t="n">
        <f aca="false">AVERAGE(B1975:B2024)</f>
        <v>2222.0416</v>
      </c>
      <c r="D2024" s="7" t="n">
        <f aca="false">AVERAGE(B1825:B2024)</f>
        <v>2070.47905</v>
      </c>
      <c r="E2024" s="7" t="n">
        <f aca="false">B2024/MAX(B1773:B2024)-1</f>
        <v>-0.0238179583732413</v>
      </c>
      <c r="F2024" s="7" t="str">
        <f aca="false">IFERROR(INDEX(02_轉折點45個!B:B,MATCH(A2024,02_轉折點45個!A:A,0)),"")</f>
        <v/>
      </c>
      <c r="G2024" s="7" t="s">
        <v>1994</v>
      </c>
    </row>
    <row r="2025" customFormat="false" ht="15" hidden="false" customHeight="false" outlineLevel="0" collapsed="false">
      <c r="A2025" s="7" t="s">
        <v>3666</v>
      </c>
      <c r="B2025" s="7" t="n">
        <v>2239.45</v>
      </c>
      <c r="C2025" s="7" t="n">
        <f aca="false">AVERAGE(B1976:B2025)</f>
        <v>2224.2436</v>
      </c>
      <c r="D2025" s="7" t="n">
        <f aca="false">AVERAGE(B1826:B2025)</f>
        <v>2071.0024</v>
      </c>
      <c r="E2025" s="7" t="n">
        <f aca="false">B2025/MAX(B1774:B2025)-1</f>
        <v>-0.0205815850357096</v>
      </c>
      <c r="F2025" s="7" t="str">
        <f aca="false">IFERROR(INDEX(02_轉折點45個!B:B,MATCH(A2025,02_轉折點45個!A:A,0)),"")</f>
        <v/>
      </c>
      <c r="G2025" s="7" t="s">
        <v>1994</v>
      </c>
    </row>
    <row r="2026" customFormat="false" ht="15" hidden="false" customHeight="false" outlineLevel="0" collapsed="false">
      <c r="A2026" s="7" t="s">
        <v>711</v>
      </c>
      <c r="B2026" s="7" t="n">
        <v>2220.96</v>
      </c>
      <c r="C2026" s="7" t="n">
        <f aca="false">AVERAGE(B1977:B2026)</f>
        <v>2225.4334</v>
      </c>
      <c r="D2026" s="7" t="n">
        <f aca="false">AVERAGE(B1827:B2026)</f>
        <v>2071.3939</v>
      </c>
      <c r="E2026" s="7" t="n">
        <f aca="false">B2026/MAX(B1775:B2026)-1</f>
        <v>-0.028668144902056</v>
      </c>
      <c r="F2026" s="7" t="str">
        <f aca="false">IFERROR(INDEX(02_轉折點45個!B:B,MATCH(A2026,02_轉折點45個!A:A,0)),"")</f>
        <v/>
      </c>
      <c r="G2026" s="7" t="s">
        <v>1994</v>
      </c>
    </row>
    <row r="2027" customFormat="false" ht="15" hidden="false" customHeight="false" outlineLevel="0" collapsed="false">
      <c r="A2027" s="7" t="s">
        <v>3667</v>
      </c>
      <c r="B2027" s="7" t="n">
        <v>2221.27</v>
      </c>
      <c r="C2027" s="7" t="n">
        <f aca="false">AVERAGE(B1978:B2027)</f>
        <v>2226.448</v>
      </c>
      <c r="D2027" s="7" t="n">
        <f aca="false">AVERAGE(B1828:B2027)</f>
        <v>2071.72125</v>
      </c>
      <c r="E2027" s="7" t="n">
        <f aca="false">B2027/MAX(B1776:B2027)-1</f>
        <v>-0.0285325671000783</v>
      </c>
      <c r="F2027" s="7" t="str">
        <f aca="false">IFERROR(INDEX(02_轉折點45個!B:B,MATCH(A2027,02_轉折點45個!A:A,0)),"")</f>
        <v/>
      </c>
      <c r="G2027" s="7" t="s">
        <v>1994</v>
      </c>
    </row>
    <row r="2028" customFormat="false" ht="15" hidden="false" customHeight="false" outlineLevel="0" collapsed="false">
      <c r="A2028" s="7" t="s">
        <v>3668</v>
      </c>
      <c r="B2028" s="7" t="n">
        <v>2253.13</v>
      </c>
      <c r="C2028" s="7" t="n">
        <f aca="false">AVERAGE(B1979:B2028)</f>
        <v>2227.9342</v>
      </c>
      <c r="D2028" s="7" t="n">
        <f aca="false">AVERAGE(B1829:B2028)</f>
        <v>2072.2014</v>
      </c>
      <c r="E2028" s="7" t="n">
        <f aca="false">B2028/MAX(B1777:B2028)-1</f>
        <v>-0.0145986678387586</v>
      </c>
      <c r="F2028" s="7" t="str">
        <f aca="false">IFERROR(INDEX(02_轉折點45個!B:B,MATCH(A2028,02_轉折點45個!A:A,0)),"")</f>
        <v/>
      </c>
      <c r="G2028" s="7" t="s">
        <v>1994</v>
      </c>
    </row>
    <row r="2029" customFormat="false" ht="15" hidden="false" customHeight="false" outlineLevel="0" collapsed="false">
      <c r="A2029" s="7" t="s">
        <v>712</v>
      </c>
      <c r="B2029" s="7" t="n">
        <v>2223.86</v>
      </c>
      <c r="C2029" s="7" t="n">
        <f aca="false">AVERAGE(B1980:B2029)</f>
        <v>2228.9982</v>
      </c>
      <c r="D2029" s="7" t="n">
        <f aca="false">AVERAGE(B1830:B2029)</f>
        <v>2072.6364</v>
      </c>
      <c r="E2029" s="7" t="n">
        <f aca="false">B2029/MAX(B1778:B2029)-1</f>
        <v>-0.0273998364319422</v>
      </c>
      <c r="F2029" s="7" t="str">
        <f aca="false">IFERROR(INDEX(02_轉折點45個!B:B,MATCH(A2029,02_轉折點45個!A:A,0)),"")</f>
        <v/>
      </c>
      <c r="G2029" s="7" t="s">
        <v>1994</v>
      </c>
    </row>
    <row r="2030" customFormat="false" ht="15" hidden="false" customHeight="false" outlineLevel="0" collapsed="false">
      <c r="A2030" s="7" t="s">
        <v>3669</v>
      </c>
      <c r="B2030" s="7" t="n">
        <v>2225</v>
      </c>
      <c r="C2030" s="7" t="n">
        <f aca="false">AVERAGE(B1981:B2030)</f>
        <v>2229.8346</v>
      </c>
      <c r="D2030" s="7" t="n">
        <f aca="false">AVERAGE(B1831:B2030)</f>
        <v>2073.10335</v>
      </c>
      <c r="E2030" s="7" t="n">
        <f aca="false">B2030/MAX(B1779:B2030)-1</f>
        <v>-0.0269012599988629</v>
      </c>
      <c r="F2030" s="7" t="str">
        <f aca="false">IFERROR(INDEX(02_轉折點45個!B:B,MATCH(A2030,02_轉折點45個!A:A,0)),"")</f>
        <v/>
      </c>
      <c r="G2030" s="7" t="s">
        <v>1994</v>
      </c>
    </row>
    <row r="2031" customFormat="false" ht="15" hidden="false" customHeight="false" outlineLevel="0" collapsed="false">
      <c r="A2031" s="7" t="s">
        <v>3670</v>
      </c>
      <c r="B2031" s="7" t="n">
        <v>2230.11</v>
      </c>
      <c r="C2031" s="7" t="n">
        <f aca="false">AVERAGE(B1982:B2031)</f>
        <v>2230.4688</v>
      </c>
      <c r="D2031" s="7" t="n">
        <f aca="false">AVERAGE(B1832:B2031)</f>
        <v>2073.70055</v>
      </c>
      <c r="E2031" s="7" t="n">
        <f aca="false">B2031/MAX(B1780:B2031)-1</f>
        <v>-0.0246664130049726</v>
      </c>
      <c r="F2031" s="7" t="str">
        <f aca="false">IFERROR(INDEX(02_轉折點45個!B:B,MATCH(A2031,02_轉折點45個!A:A,0)),"")</f>
        <v/>
      </c>
      <c r="G2031" s="7" t="s">
        <v>1994</v>
      </c>
    </row>
    <row r="2032" customFormat="false" ht="15" hidden="false" customHeight="false" outlineLevel="0" collapsed="false">
      <c r="A2032" s="7" t="s">
        <v>3671</v>
      </c>
      <c r="B2032" s="7" t="n">
        <v>2237.01</v>
      </c>
      <c r="C2032" s="7" t="n">
        <f aca="false">AVERAGE(B1983:B2032)</f>
        <v>2230.7974</v>
      </c>
      <c r="D2032" s="7" t="n">
        <f aca="false">AVERAGE(B1833:B2032)</f>
        <v>2074.31245</v>
      </c>
      <c r="E2032" s="7" t="n">
        <f aca="false">B2032/MAX(B1781:B2032)-1</f>
        <v>-0.0216487135415984</v>
      </c>
      <c r="F2032" s="7" t="str">
        <f aca="false">IFERROR(INDEX(02_轉折點45個!B:B,MATCH(A2032,02_轉折點45個!A:A,0)),"")</f>
        <v/>
      </c>
      <c r="G2032" s="7" t="s">
        <v>1994</v>
      </c>
    </row>
    <row r="2033" customFormat="false" ht="15" hidden="false" customHeight="false" outlineLevel="0" collapsed="false">
      <c r="A2033" s="7" t="s">
        <v>3672</v>
      </c>
      <c r="B2033" s="7" t="n">
        <v>2250.98</v>
      </c>
      <c r="C2033" s="7" t="n">
        <f aca="false">AVERAGE(B1984:B2033)</f>
        <v>2231.1844</v>
      </c>
      <c r="D2033" s="7" t="n">
        <f aca="false">AVERAGE(B1834:B2033)</f>
        <v>2074.942</v>
      </c>
      <c r="E2033" s="7" t="n">
        <f aca="false">B2033/MAX(B1782:B2033)-1</f>
        <v>-0.0155389654976362</v>
      </c>
      <c r="F2033" s="7" t="str">
        <f aca="false">IFERROR(INDEX(02_轉折點45個!B:B,MATCH(A2033,02_轉折點45個!A:A,0)),"")</f>
        <v/>
      </c>
      <c r="G2033" s="7" t="s">
        <v>1994</v>
      </c>
    </row>
    <row r="2034" customFormat="false" ht="15" hidden="false" customHeight="false" outlineLevel="0" collapsed="false">
      <c r="A2034" s="7" t="s">
        <v>3673</v>
      </c>
      <c r="B2034" s="7" t="n">
        <v>2255.04</v>
      </c>
      <c r="C2034" s="7" t="n">
        <f aca="false">AVERAGE(B1985:B2034)</f>
        <v>2231.5374</v>
      </c>
      <c r="D2034" s="7" t="n">
        <f aca="false">AVERAGE(B1835:B2034)</f>
        <v>2075.66015</v>
      </c>
      <c r="E2034" s="7" t="n">
        <f aca="false">B2034/MAX(B1783:B2034)-1</f>
        <v>-0.0137633336394769</v>
      </c>
      <c r="F2034" s="7" t="str">
        <f aca="false">IFERROR(INDEX(02_轉折點45個!B:B,MATCH(A2034,02_轉折點45個!A:A,0)),"")</f>
        <v/>
      </c>
      <c r="G2034" s="7" t="s">
        <v>1994</v>
      </c>
    </row>
    <row r="2035" customFormat="false" ht="15" hidden="false" customHeight="false" outlineLevel="0" collapsed="false">
      <c r="A2035" s="7" t="s">
        <v>3674</v>
      </c>
      <c r="B2035" s="7" t="n">
        <v>2261.9</v>
      </c>
      <c r="C2035" s="7" t="n">
        <f aca="false">AVERAGE(B1986:B2035)</f>
        <v>2232.086</v>
      </c>
      <c r="D2035" s="7" t="n">
        <f aca="false">AVERAGE(B1836:B2035)</f>
        <v>2076.20715</v>
      </c>
      <c r="E2035" s="7" t="n">
        <f aca="false">B2035/MAX(B1784:B2035)-1</f>
        <v>-0.0107631280860351</v>
      </c>
      <c r="F2035" s="7" t="str">
        <f aca="false">IFERROR(INDEX(02_轉折點45個!B:B,MATCH(A2035,02_轉折點45個!A:A,0)),"")</f>
        <v/>
      </c>
      <c r="G2035" s="7" t="s">
        <v>1994</v>
      </c>
    </row>
    <row r="2036" customFormat="false" ht="15" hidden="false" customHeight="false" outlineLevel="0" collapsed="false">
      <c r="A2036" s="7" t="s">
        <v>3675</v>
      </c>
      <c r="B2036" s="7" t="n">
        <v>2257.07</v>
      </c>
      <c r="C2036" s="7" t="n">
        <f aca="false">AVERAGE(B1987:B2036)</f>
        <v>2232.4126</v>
      </c>
      <c r="D2036" s="7" t="n">
        <f aca="false">AVERAGE(B1837:B2036)</f>
        <v>2076.66265</v>
      </c>
      <c r="E2036" s="7" t="n">
        <f aca="false">B2036/MAX(B1785:B2036)-1</f>
        <v>-0.0128755177103971</v>
      </c>
      <c r="F2036" s="7" t="str">
        <f aca="false">IFERROR(INDEX(02_轉折點45個!B:B,MATCH(A2036,02_轉折點45個!A:A,0)),"")</f>
        <v/>
      </c>
      <c r="G2036" s="7" t="s">
        <v>1994</v>
      </c>
    </row>
    <row r="2037" customFormat="false" ht="15" hidden="false" customHeight="false" outlineLevel="0" collapsed="false">
      <c r="A2037" s="7" t="s">
        <v>3676</v>
      </c>
      <c r="B2037" s="7" t="n">
        <v>2257.89</v>
      </c>
      <c r="C2037" s="7" t="n">
        <f aca="false">AVERAGE(B1988:B2037)</f>
        <v>2232.717</v>
      </c>
      <c r="D2037" s="7" t="n">
        <f aca="false">AVERAGE(B1838:B2037)</f>
        <v>2077.1603</v>
      </c>
      <c r="E2037" s="7" t="n">
        <f aca="false">B2037/MAX(B1786:B2037)-1</f>
        <v>-0.0125168925567788</v>
      </c>
      <c r="F2037" s="7" t="str">
        <f aca="false">IFERROR(INDEX(02_轉折點45個!B:B,MATCH(A2037,02_轉折點45個!A:A,0)),"")</f>
        <v/>
      </c>
      <c r="G2037" s="7" t="s">
        <v>1994</v>
      </c>
    </row>
    <row r="2038" customFormat="false" ht="15" hidden="false" customHeight="false" outlineLevel="0" collapsed="false">
      <c r="A2038" s="7" t="s">
        <v>3677</v>
      </c>
      <c r="B2038" s="7" t="n">
        <v>2275.25</v>
      </c>
      <c r="C2038" s="7" t="n">
        <f aca="false">AVERAGE(B1989:B2038)</f>
        <v>2233.165</v>
      </c>
      <c r="D2038" s="7" t="n">
        <f aca="false">AVERAGE(B1839:B2038)</f>
        <v>2077.8347</v>
      </c>
      <c r="E2038" s="7" t="n">
        <f aca="false">B2038/MAX(B1787:B2038)-1</f>
        <v>-0.00492453564602835</v>
      </c>
      <c r="F2038" s="7" t="str">
        <f aca="false">IFERROR(INDEX(02_轉折點45個!B:B,MATCH(A2038,02_轉折點45個!A:A,0)),"")</f>
        <v/>
      </c>
      <c r="G2038" s="7" t="s">
        <v>1994</v>
      </c>
    </row>
    <row r="2039" customFormat="false" ht="15" hidden="false" customHeight="false" outlineLevel="0" collapsed="false">
      <c r="A2039" s="7" t="s">
        <v>3678</v>
      </c>
      <c r="B2039" s="7" t="n">
        <v>2273.58</v>
      </c>
      <c r="C2039" s="7" t="n">
        <f aca="false">AVERAGE(B1990:B2039)</f>
        <v>2233.684</v>
      </c>
      <c r="D2039" s="7" t="n">
        <f aca="false">AVERAGE(B1840:B2039)</f>
        <v>2078.54405</v>
      </c>
      <c r="E2039" s="7" t="n">
        <f aca="false">B2039/MAX(B1788:B2039)-1</f>
        <v>-0.00565490638571464</v>
      </c>
      <c r="F2039" s="7" t="str">
        <f aca="false">IFERROR(INDEX(02_轉折點45個!B:B,MATCH(A2039,02_轉折點45個!A:A,0)),"")</f>
        <v/>
      </c>
      <c r="G2039" s="7" t="s">
        <v>1994</v>
      </c>
    </row>
    <row r="2040" customFormat="false" ht="15" hidden="false" customHeight="false" outlineLevel="0" collapsed="false">
      <c r="A2040" s="7" t="s">
        <v>713</v>
      </c>
      <c r="B2040" s="7" t="n">
        <v>2247.22</v>
      </c>
      <c r="C2040" s="7" t="n">
        <f aca="false">AVERAGE(B1991:B2040)</f>
        <v>2234.6688</v>
      </c>
      <c r="D2040" s="7" t="n">
        <f aca="false">AVERAGE(B1841:B2040)</f>
        <v>2079.13565</v>
      </c>
      <c r="E2040" s="7" t="n">
        <f aca="false">B2040/MAX(B1789:B2040)-1</f>
        <v>-0.0171833930313011</v>
      </c>
      <c r="F2040" s="7" t="str">
        <f aca="false">IFERROR(INDEX(02_轉折點45個!B:B,MATCH(A2040,02_轉折點45個!A:A,0)),"")</f>
        <v/>
      </c>
      <c r="G2040" s="7" t="s">
        <v>1994</v>
      </c>
    </row>
    <row r="2041" customFormat="false" ht="15" hidden="false" customHeight="false" outlineLevel="0" collapsed="false">
      <c r="A2041" s="7" t="s">
        <v>3679</v>
      </c>
      <c r="B2041" s="7" t="n">
        <v>2238.6</v>
      </c>
      <c r="C2041" s="7" t="n">
        <f aca="false">AVERAGE(B1992:B2041)</f>
        <v>2235.359</v>
      </c>
      <c r="D2041" s="7" t="n">
        <f aca="false">AVERAGE(B1842:B2041)</f>
        <v>2079.66895</v>
      </c>
      <c r="E2041" s="7" t="n">
        <f aca="false">B2041/MAX(B1790:B2041)-1</f>
        <v>-0.0209533306217774</v>
      </c>
      <c r="F2041" s="7" t="str">
        <f aca="false">IFERROR(INDEX(02_轉折點45個!B:B,MATCH(A2041,02_轉折點45個!A:A,0)),"")</f>
        <v/>
      </c>
      <c r="G2041" s="7" t="s">
        <v>1994</v>
      </c>
    </row>
    <row r="2042" customFormat="false" ht="15" hidden="false" customHeight="false" outlineLevel="0" collapsed="false">
      <c r="A2042" s="7" t="s">
        <v>714</v>
      </c>
      <c r="B2042" s="7" t="n">
        <v>2247.28</v>
      </c>
      <c r="C2042" s="7" t="n">
        <f aca="false">AVERAGE(B1993:B2042)</f>
        <v>2235.8642</v>
      </c>
      <c r="D2042" s="7" t="n">
        <f aca="false">AVERAGE(B1843:B2042)</f>
        <v>2080.19395</v>
      </c>
      <c r="E2042" s="7" t="n">
        <f aca="false">B2042/MAX(B1791:B2042)-1</f>
        <v>-0.0171571521664021</v>
      </c>
      <c r="F2042" s="7" t="str">
        <f aca="false">IFERROR(INDEX(02_轉折點45個!B:B,MATCH(A2042,02_轉折點45個!A:A,0)),"")</f>
        <v/>
      </c>
      <c r="G2042" s="7" t="s">
        <v>1994</v>
      </c>
    </row>
    <row r="2043" customFormat="false" ht="15" hidden="false" customHeight="false" outlineLevel="0" collapsed="false">
      <c r="A2043" s="7" t="s">
        <v>3680</v>
      </c>
      <c r="B2043" s="7" t="n">
        <v>2273.32</v>
      </c>
      <c r="C2043" s="7" t="n">
        <f aca="false">AVERAGE(B1994:B2043)</f>
        <v>2236.8986</v>
      </c>
      <c r="D2043" s="7" t="n">
        <f aca="false">AVERAGE(B1844:B2043)</f>
        <v>2080.95135</v>
      </c>
      <c r="E2043" s="7" t="n">
        <f aca="false">B2043/MAX(B1792:B2043)-1</f>
        <v>-0.00576861680027641</v>
      </c>
      <c r="F2043" s="7" t="str">
        <f aca="false">IFERROR(INDEX(02_轉折點45個!B:B,MATCH(A2043,02_轉折點45個!A:A,0)),"")</f>
        <v/>
      </c>
      <c r="G2043" s="7" t="s">
        <v>1994</v>
      </c>
    </row>
    <row r="2044" customFormat="false" ht="15" hidden="false" customHeight="false" outlineLevel="0" collapsed="false">
      <c r="A2044" s="7" t="s">
        <v>3681</v>
      </c>
      <c r="B2044" s="7" t="n">
        <v>2281.28</v>
      </c>
      <c r="C2044" s="7" t="n">
        <f aca="false">AVERAGE(B1995:B2044)</f>
        <v>2238.4314</v>
      </c>
      <c r="D2044" s="7" t="n">
        <f aca="false">AVERAGE(B1845:B2044)</f>
        <v>2081.8298</v>
      </c>
      <c r="E2044" s="7" t="n">
        <f aca="false">B2044/MAX(B1793:B2044)-1</f>
        <v>-0.00228732872368809</v>
      </c>
      <c r="F2044" s="7" t="str">
        <f aca="false">IFERROR(INDEX(02_轉折點45個!B:B,MATCH(A2044,02_轉折點45個!A:A,0)),"")</f>
        <v/>
      </c>
      <c r="G2044" s="7" t="s">
        <v>1994</v>
      </c>
    </row>
    <row r="2045" customFormat="false" ht="15" hidden="false" customHeight="false" outlineLevel="0" collapsed="false">
      <c r="A2045" s="7" t="s">
        <v>3682</v>
      </c>
      <c r="B2045" s="7" t="n">
        <v>2280.56</v>
      </c>
      <c r="C2045" s="7" t="n">
        <f aca="false">AVERAGE(B1996:B2045)</f>
        <v>2239.307</v>
      </c>
      <c r="D2045" s="7" t="n">
        <f aca="false">AVERAGE(B1846:B2045)</f>
        <v>2082.68155</v>
      </c>
      <c r="E2045" s="7" t="n">
        <f aca="false">B2045/MAX(B1794:B2045)-1</f>
        <v>-0.00260221910247505</v>
      </c>
      <c r="F2045" s="7" t="str">
        <f aca="false">IFERROR(INDEX(02_轉折點45個!B:B,MATCH(A2045,02_轉折點45個!A:A,0)),"")</f>
        <v/>
      </c>
      <c r="G2045" s="7" t="s">
        <v>1994</v>
      </c>
    </row>
    <row r="2046" customFormat="false" ht="15" hidden="false" customHeight="false" outlineLevel="0" collapsed="false">
      <c r="A2046" s="7" t="s">
        <v>715</v>
      </c>
      <c r="B2046" s="7" t="n">
        <v>2295.84</v>
      </c>
      <c r="C2046" s="7" t="n">
        <f aca="false">AVERAGE(B1997:B2046)</f>
        <v>2240.4152</v>
      </c>
      <c r="D2046" s="7" t="n">
        <f aca="false">AVERAGE(B1847:B2046)</f>
        <v>2083.63655</v>
      </c>
      <c r="E2046" s="7" t="n">
        <f aca="false">B2046/MAX(B1795:B2046)-1</f>
        <v>0</v>
      </c>
      <c r="F2046" s="7" t="str">
        <f aca="false">IFERROR(INDEX(02_轉折點45個!B:B,MATCH(A2046,02_轉折點45個!A:A,0)),"")</f>
        <v/>
      </c>
      <c r="G2046" s="7" t="s">
        <v>1994</v>
      </c>
    </row>
    <row r="2047" customFormat="false" ht="15" hidden="false" customHeight="false" outlineLevel="0" collapsed="false">
      <c r="A2047" s="7" t="s">
        <v>716</v>
      </c>
      <c r="B2047" s="7" t="n">
        <v>2300.76</v>
      </c>
      <c r="C2047" s="7" t="n">
        <f aca="false">AVERAGE(B1998:B2047)</f>
        <v>2241.741</v>
      </c>
      <c r="D2047" s="7" t="n">
        <f aca="false">AVERAGE(B1848:B2047)</f>
        <v>2084.5251</v>
      </c>
      <c r="E2047" s="7" t="n">
        <f aca="false">B2047/MAX(B1796:B2047)-1</f>
        <v>0</v>
      </c>
      <c r="F2047" s="7" t="str">
        <f aca="false">IFERROR(INDEX(02_轉折點45個!B:B,MATCH(A2047,02_轉折點45個!A:A,0)),"")</f>
        <v/>
      </c>
      <c r="G2047" s="7" t="s">
        <v>1994</v>
      </c>
    </row>
    <row r="2048" customFormat="false" ht="15" hidden="false" customHeight="false" outlineLevel="0" collapsed="false">
      <c r="A2048" s="7" t="s">
        <v>3683</v>
      </c>
      <c r="B2048" s="7" t="n">
        <v>2306.72</v>
      </c>
      <c r="C2048" s="7" t="n">
        <f aca="false">AVERAGE(B1999:B2048)</f>
        <v>2243.518</v>
      </c>
      <c r="D2048" s="7" t="n">
        <f aca="false">AVERAGE(B1849:B2048)</f>
        <v>2085.35815</v>
      </c>
      <c r="E2048" s="7" t="n">
        <f aca="false">B2048/MAX(B1797:B2048)-1</f>
        <v>0</v>
      </c>
      <c r="F2048" s="7" t="str">
        <f aca="false">IFERROR(INDEX(02_轉折點45個!B:B,MATCH(A2048,02_轉折點45個!A:A,0)),"")</f>
        <v/>
      </c>
      <c r="G2048" s="7" t="s">
        <v>1994</v>
      </c>
    </row>
    <row r="2049" customFormat="false" ht="15" hidden="false" customHeight="false" outlineLevel="0" collapsed="false">
      <c r="A2049" s="7" t="s">
        <v>3684</v>
      </c>
      <c r="B2049" s="7" t="n">
        <v>2297.73</v>
      </c>
      <c r="C2049" s="7" t="n">
        <f aca="false">AVERAGE(B2000:B2049)</f>
        <v>2244.9384</v>
      </c>
      <c r="D2049" s="7" t="n">
        <f aca="false">AVERAGE(B1850:B2049)</f>
        <v>2086.1352</v>
      </c>
      <c r="E2049" s="7" t="n">
        <f aca="false">B2049/MAX(B1798:B2049)-1</f>
        <v>-0.00389730873274596</v>
      </c>
      <c r="F2049" s="7" t="str">
        <f aca="false">IFERROR(INDEX(02_轉折點45個!B:B,MATCH(A2049,02_轉折點45個!A:A,0)),"")</f>
        <v/>
      </c>
      <c r="G2049" s="7" t="s">
        <v>1994</v>
      </c>
    </row>
    <row r="2050" customFormat="false" ht="15" hidden="false" customHeight="false" outlineLevel="0" collapsed="false">
      <c r="A2050" s="7" t="s">
        <v>3685</v>
      </c>
      <c r="B2050" s="7" t="n">
        <v>2288.06</v>
      </c>
      <c r="C2050" s="7" t="n">
        <f aca="false">AVERAGE(B2001:B2050)</f>
        <v>2246.065</v>
      </c>
      <c r="D2050" s="7" t="n">
        <f aca="false">AVERAGE(B1851:B2050)</f>
        <v>2086.8947</v>
      </c>
      <c r="E2050" s="7" t="n">
        <f aca="false">B2050/MAX(B1799:B2050)-1</f>
        <v>-0.00808940833737937</v>
      </c>
      <c r="F2050" s="7" t="str">
        <f aca="false">IFERROR(INDEX(02_轉折點45個!B:B,MATCH(A2050,02_轉折點45個!A:A,0)),"")</f>
        <v/>
      </c>
      <c r="G2050" s="7" t="s">
        <v>1994</v>
      </c>
    </row>
    <row r="2051" customFormat="false" ht="15" hidden="false" customHeight="false" outlineLevel="0" collapsed="false">
      <c r="A2051" s="7" t="s">
        <v>717</v>
      </c>
      <c r="B2051" s="7" t="n">
        <v>2199.76</v>
      </c>
      <c r="C2051" s="7" t="n">
        <f aca="false">AVERAGE(B2002:B2051)</f>
        <v>2245.6314</v>
      </c>
      <c r="D2051" s="7" t="n">
        <f aca="false">AVERAGE(B1852:B2051)</f>
        <v>2087.2927</v>
      </c>
      <c r="E2051" s="7" t="n">
        <f aca="false">B2051/MAX(B1800:B2051)-1</f>
        <v>-0.0463688700839285</v>
      </c>
      <c r="F2051" s="7" t="str">
        <f aca="false">IFERROR(INDEX(02_轉折點45個!B:B,MATCH(A2051,02_轉折點45個!A:A,0)),"")</f>
        <v/>
      </c>
      <c r="G2051" s="7" t="s">
        <v>1994</v>
      </c>
    </row>
    <row r="2052" customFormat="false" ht="15" hidden="false" customHeight="false" outlineLevel="0" collapsed="false">
      <c r="A2052" s="7" t="s">
        <v>718</v>
      </c>
      <c r="B2052" s="7" t="n">
        <v>2207.33</v>
      </c>
      <c r="C2052" s="7" t="n">
        <f aca="false">AVERAGE(B2003:B2052)</f>
        <v>2245.3344</v>
      </c>
      <c r="D2052" s="7" t="n">
        <f aca="false">AVERAGE(B1853:B2052)</f>
        <v>2087.94795</v>
      </c>
      <c r="E2052" s="7" t="n">
        <f aca="false">B2052/MAX(B1801:B2052)-1</f>
        <v>-0.0430871540542415</v>
      </c>
      <c r="F2052" s="7" t="str">
        <f aca="false">IFERROR(INDEX(02_轉折點45個!B:B,MATCH(A2052,02_轉折點45個!A:A,0)),"")</f>
        <v/>
      </c>
      <c r="G2052" s="7" t="s">
        <v>1994</v>
      </c>
    </row>
    <row r="2053" customFormat="false" ht="15" hidden="false" customHeight="false" outlineLevel="0" collapsed="false">
      <c r="A2053" s="7" t="s">
        <v>3686</v>
      </c>
      <c r="B2053" s="7" t="n">
        <v>2196.42</v>
      </c>
      <c r="C2053" s="7" t="n">
        <f aca="false">AVERAGE(B2004:B2053)</f>
        <v>2244.4274</v>
      </c>
      <c r="D2053" s="7" t="n">
        <f aca="false">AVERAGE(B1854:B2053)</f>
        <v>2088.68075</v>
      </c>
      <c r="E2053" s="7" t="n">
        <f aca="false">B2053/MAX(B1802:B2053)-1</f>
        <v>-0.0478168134840812</v>
      </c>
      <c r="F2053" s="7" t="str">
        <f aca="false">IFERROR(INDEX(02_轉折點45個!B:B,MATCH(A2053,02_轉折點45個!A:A,0)),"")</f>
        <v/>
      </c>
      <c r="G2053" s="7" t="s">
        <v>1994</v>
      </c>
    </row>
    <row r="2054" customFormat="false" ht="15" hidden="false" customHeight="false" outlineLevel="0" collapsed="false">
      <c r="A2054" s="7" t="s">
        <v>719</v>
      </c>
      <c r="B2054" s="7" t="n">
        <v>2163.34</v>
      </c>
      <c r="C2054" s="7" t="n">
        <f aca="false">AVERAGE(B2005:B2054)</f>
        <v>2242.7976</v>
      </c>
      <c r="D2054" s="7" t="n">
        <f aca="false">AVERAGE(B1855:B2054)</f>
        <v>2089.2722</v>
      </c>
      <c r="E2054" s="7" t="n">
        <f aca="false">B2054/MAX(B1803:B2054)-1</f>
        <v>-0.0621575223694248</v>
      </c>
      <c r="F2054" s="7" t="str">
        <f aca="false">IFERROR(INDEX(02_轉折點45個!B:B,MATCH(A2054,02_轉折點45個!A:A,0)),"")</f>
        <v/>
      </c>
      <c r="G2054" s="7" t="s">
        <v>1994</v>
      </c>
    </row>
    <row r="2055" customFormat="false" ht="15" hidden="false" customHeight="false" outlineLevel="0" collapsed="false">
      <c r="A2055" s="7" t="s">
        <v>3687</v>
      </c>
      <c r="B2055" s="7" t="n">
        <v>2138.38</v>
      </c>
      <c r="C2055" s="7" t="n">
        <f aca="false">AVERAGE(B2006:B2055)</f>
        <v>2241.0638</v>
      </c>
      <c r="D2055" s="7" t="n">
        <f aca="false">AVERAGE(B1856:B2055)</f>
        <v>2089.78175</v>
      </c>
      <c r="E2055" s="7" t="n">
        <f aca="false">B2055/MAX(B1804:B2055)-1</f>
        <v>-0.0729780814316431</v>
      </c>
      <c r="F2055" s="7" t="str">
        <f aca="false">IFERROR(INDEX(02_轉折點45個!B:B,MATCH(A2055,02_轉折點45個!A:A,0)),"")</f>
        <v/>
      </c>
      <c r="G2055" s="7" t="s">
        <v>1994</v>
      </c>
    </row>
    <row r="2056" customFormat="false" ht="15" hidden="false" customHeight="false" outlineLevel="0" collapsed="false">
      <c r="A2056" s="7" t="s">
        <v>3688</v>
      </c>
      <c r="B2056" s="7" t="n">
        <v>2179</v>
      </c>
      <c r="C2056" s="7" t="n">
        <f aca="false">AVERAGE(B2007:B2056)</f>
        <v>2240.2524</v>
      </c>
      <c r="D2056" s="7" t="n">
        <f aca="false">AVERAGE(B1857:B2056)</f>
        <v>2090.64665</v>
      </c>
      <c r="E2056" s="7" t="n">
        <f aca="false">B2056/MAX(B1805:B2056)-1</f>
        <v>-0.0553686619962543</v>
      </c>
      <c r="F2056" s="7" t="str">
        <f aca="false">IFERROR(INDEX(02_轉折點45個!B:B,MATCH(A2056,02_轉折點45個!A:A,0)),"")</f>
        <v/>
      </c>
      <c r="G2056" s="7" t="s">
        <v>1994</v>
      </c>
    </row>
    <row r="2057" customFormat="false" ht="15" hidden="false" customHeight="false" outlineLevel="0" collapsed="false">
      <c r="A2057" s="7" t="s">
        <v>3689</v>
      </c>
      <c r="B2057" s="7" t="n">
        <v>2169.41</v>
      </c>
      <c r="C2057" s="7" t="n">
        <f aca="false">AVERAGE(B2008:B2057)</f>
        <v>2239.2846</v>
      </c>
      <c r="D2057" s="7" t="n">
        <f aca="false">AVERAGE(B1858:B2057)</f>
        <v>2091.5343</v>
      </c>
      <c r="E2057" s="7" t="n">
        <f aca="false">B2057/MAX(B1806:B2057)-1</f>
        <v>-0.0595260803218423</v>
      </c>
      <c r="F2057" s="7" t="str">
        <f aca="false">IFERROR(INDEX(02_轉折點45個!B:B,MATCH(A2057,02_轉折點45個!A:A,0)),"")</f>
        <v/>
      </c>
      <c r="G2057" s="7" t="s">
        <v>1994</v>
      </c>
    </row>
    <row r="2058" customFormat="false" ht="15" hidden="false" customHeight="false" outlineLevel="0" collapsed="false">
      <c r="A2058" s="7" t="s">
        <v>3690</v>
      </c>
      <c r="B2058" s="7" t="n">
        <v>2181.36</v>
      </c>
      <c r="C2058" s="7" t="n">
        <f aca="false">AVERAGE(B2009:B2058)</f>
        <v>2238.7708</v>
      </c>
      <c r="D2058" s="7" t="n">
        <f aca="false">AVERAGE(B1859:B2058)</f>
        <v>2092.41975</v>
      </c>
      <c r="E2058" s="7" t="n">
        <f aca="false">B2058/MAX(B1807:B2058)-1</f>
        <v>-0.05434556426441</v>
      </c>
      <c r="F2058" s="7" t="str">
        <f aca="false">IFERROR(INDEX(02_轉折點45個!B:B,MATCH(A2058,02_轉折點45個!A:A,0)),"")</f>
        <v/>
      </c>
      <c r="G2058" s="7" t="s">
        <v>1994</v>
      </c>
    </row>
    <row r="2059" customFormat="false" ht="15" hidden="false" customHeight="false" outlineLevel="0" collapsed="false">
      <c r="A2059" s="7" t="s">
        <v>3691</v>
      </c>
      <c r="B2059" s="7" t="n">
        <v>2181.2</v>
      </c>
      <c r="C2059" s="7" t="n">
        <f aca="false">AVERAGE(B2010:B2059)</f>
        <v>2238.5218</v>
      </c>
      <c r="D2059" s="7" t="n">
        <f aca="false">AVERAGE(B1860:B2059)</f>
        <v>2093.4004</v>
      </c>
      <c r="E2059" s="7" t="n">
        <f aca="false">B2059/MAX(B1808:B2059)-1</f>
        <v>-0.0544149268225013</v>
      </c>
      <c r="F2059" s="7" t="str">
        <f aca="false">IFERROR(INDEX(02_轉折點45個!B:B,MATCH(A2059,02_轉折點45個!A:A,0)),"")</f>
        <v/>
      </c>
      <c r="G2059" s="7" t="s">
        <v>1994</v>
      </c>
    </row>
    <row r="2060" customFormat="false" ht="15" hidden="false" customHeight="false" outlineLevel="0" collapsed="false">
      <c r="A2060" s="7" t="s">
        <v>720</v>
      </c>
      <c r="B2060" s="7" t="n">
        <v>2194.67</v>
      </c>
      <c r="C2060" s="7" t="n">
        <f aca="false">AVERAGE(B2011:B2060)</f>
        <v>2238.3168</v>
      </c>
      <c r="D2060" s="7" t="n">
        <f aca="false">AVERAGE(B1861:B2060)</f>
        <v>2094.51285</v>
      </c>
      <c r="E2060" s="7" t="n">
        <f aca="false">B2060/MAX(B1809:B2060)-1</f>
        <v>-0.0485754664632031</v>
      </c>
      <c r="F2060" s="7" t="str">
        <f aca="false">IFERROR(INDEX(02_轉折點45個!B:B,MATCH(A2060,02_轉折點45個!A:A,0)),"")</f>
        <v/>
      </c>
      <c r="G2060" s="7" t="s">
        <v>1994</v>
      </c>
    </row>
    <row r="2061" customFormat="false" ht="15" hidden="false" customHeight="false" outlineLevel="0" collapsed="false">
      <c r="A2061" s="7" t="s">
        <v>721</v>
      </c>
      <c r="B2061" s="7" t="n">
        <v>2147.42</v>
      </c>
      <c r="C2061" s="7" t="n">
        <f aca="false">AVERAGE(B2012:B2061)</f>
        <v>2236.8432</v>
      </c>
      <c r="D2061" s="7" t="n">
        <f aca="false">AVERAGE(B1862:B2061)</f>
        <v>2095.3415</v>
      </c>
      <c r="E2061" s="7" t="n">
        <f aca="false">B2061/MAX(B1810:B2061)-1</f>
        <v>-0.0690590968994935</v>
      </c>
      <c r="F2061" s="7" t="str">
        <f aca="false">IFERROR(INDEX(02_轉折點45個!B:B,MATCH(A2061,02_轉折點45個!A:A,0)),"")</f>
        <v/>
      </c>
      <c r="G2061" s="7" t="s">
        <v>1994</v>
      </c>
    </row>
    <row r="2062" customFormat="false" ht="15" hidden="false" customHeight="false" outlineLevel="0" collapsed="false">
      <c r="A2062" s="7" t="s">
        <v>3692</v>
      </c>
      <c r="B2062" s="7" t="n">
        <v>2166.76</v>
      </c>
      <c r="C2062" s="7" t="n">
        <f aca="false">AVERAGE(B2013:B2062)</f>
        <v>2235.8598</v>
      </c>
      <c r="D2062" s="7" t="n">
        <f aca="false">AVERAGE(B1863:B2062)</f>
        <v>2096.13405</v>
      </c>
      <c r="E2062" s="7" t="n">
        <f aca="false">B2062/MAX(B1811:B2062)-1</f>
        <v>-0.0606748976902266</v>
      </c>
      <c r="F2062" s="7" t="str">
        <f aca="false">IFERROR(INDEX(02_轉折點45個!B:B,MATCH(A2062,02_轉折點45個!A:A,0)),"")</f>
        <v/>
      </c>
      <c r="G2062" s="7" t="s">
        <v>1994</v>
      </c>
    </row>
    <row r="2063" customFormat="false" ht="15" hidden="false" customHeight="false" outlineLevel="0" collapsed="false">
      <c r="A2063" s="7" t="s">
        <v>3693</v>
      </c>
      <c r="B2063" s="7" t="n">
        <v>2173.12</v>
      </c>
      <c r="C2063" s="7" t="n">
        <f aca="false">AVERAGE(B2014:B2063)</f>
        <v>2235.1914</v>
      </c>
      <c r="D2063" s="7" t="n">
        <f aca="false">AVERAGE(B1864:B2063)</f>
        <v>2096.903</v>
      </c>
      <c r="E2063" s="7" t="n">
        <f aca="false">B2063/MAX(B1812:B2063)-1</f>
        <v>-0.0579177360061038</v>
      </c>
      <c r="F2063" s="7" t="str">
        <f aca="false">IFERROR(INDEX(02_轉折點45個!B:B,MATCH(A2063,02_轉折點45個!A:A,0)),"")</f>
        <v/>
      </c>
      <c r="G2063" s="7" t="s">
        <v>1994</v>
      </c>
    </row>
    <row r="2064" customFormat="false" ht="15" hidden="false" customHeight="false" outlineLevel="0" collapsed="false">
      <c r="A2064" s="7" t="s">
        <v>722</v>
      </c>
      <c r="B2064" s="7" t="n">
        <v>2167.6</v>
      </c>
      <c r="C2064" s="7" t="n">
        <f aca="false">AVERAGE(B2015:B2064)</f>
        <v>2234.2688</v>
      </c>
      <c r="D2064" s="7" t="n">
        <f aca="false">AVERAGE(B1865:B2064)</f>
        <v>2097.85275</v>
      </c>
      <c r="E2064" s="7" t="n">
        <f aca="false">B2064/MAX(B1813:B2064)-1</f>
        <v>-0.0603107442602483</v>
      </c>
      <c r="F2064" s="7" t="str">
        <f aca="false">IFERROR(INDEX(02_轉折點45個!B:B,MATCH(A2064,02_轉折點45個!A:A,0)),"")</f>
        <v/>
      </c>
      <c r="G2064" s="7" t="s">
        <v>1994</v>
      </c>
    </row>
    <row r="2065" customFormat="false" ht="15" hidden="false" customHeight="false" outlineLevel="0" collapsed="false">
      <c r="A2065" s="7" t="s">
        <v>3694</v>
      </c>
      <c r="B2065" s="7" t="n">
        <v>2187.47</v>
      </c>
      <c r="C2065" s="7" t="n">
        <f aca="false">AVERAGE(B2016:B2065)</f>
        <v>2233.1904</v>
      </c>
      <c r="D2065" s="7" t="n">
        <f aca="false">AVERAGE(B1866:B2065)</f>
        <v>2098.83725</v>
      </c>
      <c r="E2065" s="7" t="n">
        <f aca="false">B2065/MAX(B1814:B2065)-1</f>
        <v>-0.0516967815773046</v>
      </c>
      <c r="F2065" s="7" t="str">
        <f aca="false">IFERROR(INDEX(02_轉折點45個!B:B,MATCH(A2065,02_轉折點45個!A:A,0)),"")</f>
        <v/>
      </c>
      <c r="G2065" s="7" t="s">
        <v>1994</v>
      </c>
    </row>
    <row r="2066" customFormat="false" ht="15" hidden="false" customHeight="false" outlineLevel="0" collapsed="false">
      <c r="A2066" s="7" t="s">
        <v>723</v>
      </c>
      <c r="B2066" s="7" t="n">
        <v>2200.07</v>
      </c>
      <c r="C2066" s="7" t="n">
        <f aca="false">AVERAGE(B2017:B2066)</f>
        <v>2232.7146</v>
      </c>
      <c r="D2066" s="7" t="n">
        <f aca="false">AVERAGE(B1867:B2066)</f>
        <v>2099.6976</v>
      </c>
      <c r="E2066" s="7" t="n">
        <f aca="false">B2066/MAX(B1815:B2066)-1</f>
        <v>-0.046234480127627</v>
      </c>
      <c r="F2066" s="7" t="str">
        <f aca="false">IFERROR(INDEX(02_轉折點45個!B:B,MATCH(A2066,02_轉折點45個!A:A,0)),"")</f>
        <v/>
      </c>
      <c r="G2066" s="7" t="s">
        <v>1994</v>
      </c>
    </row>
    <row r="2067" customFormat="false" ht="15" hidden="false" customHeight="false" outlineLevel="0" collapsed="false">
      <c r="A2067" s="7" t="s">
        <v>3695</v>
      </c>
      <c r="B2067" s="7" t="n">
        <v>2243.66</v>
      </c>
      <c r="C2067" s="7" t="n">
        <f aca="false">AVERAGE(B2018:B2067)</f>
        <v>2233.0384</v>
      </c>
      <c r="D2067" s="7" t="n">
        <f aca="false">AVERAGE(B1868:B2067)</f>
        <v>2100.77795</v>
      </c>
      <c r="E2067" s="7" t="n">
        <f aca="false">B2067/MAX(B1816:B2067)-1</f>
        <v>-0.0273375182076715</v>
      </c>
      <c r="F2067" s="7" t="str">
        <f aca="false">IFERROR(INDEX(02_轉折點45個!B:B,MATCH(A2067,02_轉折點45個!A:A,0)),"")</f>
        <v/>
      </c>
      <c r="G2067" s="7" t="s">
        <v>1994</v>
      </c>
    </row>
    <row r="2068" customFormat="false" ht="15" hidden="false" customHeight="false" outlineLevel="0" collapsed="false">
      <c r="A2068" s="7" t="s">
        <v>3696</v>
      </c>
      <c r="B2068" s="7" t="n">
        <v>2239.84</v>
      </c>
      <c r="C2068" s="7" t="n">
        <f aca="false">AVERAGE(B2019:B2068)</f>
        <v>2233.1828</v>
      </c>
      <c r="D2068" s="7" t="n">
        <f aca="false">AVERAGE(B1869:B2068)</f>
        <v>2102.0666</v>
      </c>
      <c r="E2068" s="7" t="n">
        <f aca="false">B2068/MAX(B1817:B2068)-1</f>
        <v>-0.0289935492820974</v>
      </c>
      <c r="F2068" s="7" t="str">
        <f aca="false">IFERROR(INDEX(02_轉折點45個!B:B,MATCH(A2068,02_轉折點45個!A:A,0)),"")</f>
        <v/>
      </c>
      <c r="G2068" s="7" t="s">
        <v>1994</v>
      </c>
    </row>
    <row r="2069" customFormat="false" ht="15" hidden="false" customHeight="false" outlineLevel="0" collapsed="false">
      <c r="A2069" s="7" t="s">
        <v>3697</v>
      </c>
      <c r="B2069" s="7" t="n">
        <v>2237.28</v>
      </c>
      <c r="C2069" s="7" t="n">
        <f aca="false">AVERAGE(B2020:B2069)</f>
        <v>2232.9928</v>
      </c>
      <c r="D2069" s="7" t="n">
        <f aca="false">AVERAGE(B1870:B2069)</f>
        <v>2103.3737</v>
      </c>
      <c r="E2069" s="7" t="n">
        <f aca="false">B2069/MAX(B1818:B2069)-1</f>
        <v>-0.0301033502115556</v>
      </c>
      <c r="F2069" s="7" t="str">
        <f aca="false">IFERROR(INDEX(02_轉折點45個!B:B,MATCH(A2069,02_轉折點45個!A:A,0)),"")</f>
        <v/>
      </c>
      <c r="G2069" s="7" t="s">
        <v>1994</v>
      </c>
    </row>
    <row r="2070" customFormat="false" ht="15" hidden="false" customHeight="false" outlineLevel="0" collapsed="false">
      <c r="A2070" s="7" t="s">
        <v>3698</v>
      </c>
      <c r="B2070" s="7" t="n">
        <v>2243.4</v>
      </c>
      <c r="C2070" s="7" t="n">
        <f aca="false">AVERAGE(B2021:B2070)</f>
        <v>2232.459</v>
      </c>
      <c r="D2070" s="7" t="n">
        <f aca="false">AVERAGE(B1871:B2070)</f>
        <v>2104.76155</v>
      </c>
      <c r="E2070" s="7" t="n">
        <f aca="false">B2070/MAX(B1819:B2070)-1</f>
        <v>-0.0274502323645695</v>
      </c>
      <c r="F2070" s="7" t="str">
        <f aca="false">IFERROR(INDEX(02_轉折點45個!B:B,MATCH(A2070,02_轉折點45個!A:A,0)),"")</f>
        <v/>
      </c>
      <c r="G2070" s="7" t="s">
        <v>1994</v>
      </c>
    </row>
    <row r="2071" customFormat="false" ht="15" hidden="false" customHeight="false" outlineLevel="0" collapsed="false">
      <c r="A2071" s="7" t="s">
        <v>3699</v>
      </c>
      <c r="B2071" s="7" t="n">
        <v>2226.77</v>
      </c>
      <c r="C2071" s="7" t="n">
        <f aca="false">AVERAGE(B2022:B2071)</f>
        <v>2231.2642</v>
      </c>
      <c r="D2071" s="7" t="n">
        <f aca="false">AVERAGE(B1872:B2071)</f>
        <v>2106.09585</v>
      </c>
      <c r="E2071" s="7" t="n">
        <f aca="false">B2071/MAX(B1820:B2071)-1</f>
        <v>-0.0346596032461677</v>
      </c>
      <c r="F2071" s="7" t="str">
        <f aca="false">IFERROR(INDEX(02_轉折點45個!B:B,MATCH(A2071,02_轉折點45個!A:A,0)),"")</f>
        <v/>
      </c>
      <c r="G2071" s="7" t="s">
        <v>1994</v>
      </c>
    </row>
    <row r="2072" customFormat="false" ht="15" hidden="false" customHeight="false" outlineLevel="0" collapsed="false">
      <c r="A2072" s="7" t="s">
        <v>724</v>
      </c>
      <c r="B2072" s="7" t="n">
        <v>2208.2</v>
      </c>
      <c r="C2072" s="7" t="n">
        <f aca="false">AVERAGE(B2023:B2072)</f>
        <v>2229.7902</v>
      </c>
      <c r="D2072" s="7" t="n">
        <f aca="false">AVERAGE(B1873:B2072)</f>
        <v>2107.3842</v>
      </c>
      <c r="E2072" s="7" t="n">
        <f aca="false">B2072/MAX(B1821:B2072)-1</f>
        <v>-0.0427099951446209</v>
      </c>
      <c r="F2072" s="7" t="str">
        <f aca="false">IFERROR(INDEX(02_轉折點45個!B:B,MATCH(A2072,02_轉折點45個!A:A,0)),"")</f>
        <v/>
      </c>
      <c r="G2072" s="7" t="s">
        <v>1994</v>
      </c>
    </row>
    <row r="2073" customFormat="false" ht="15" hidden="false" customHeight="false" outlineLevel="0" collapsed="false">
      <c r="A2073" s="7" t="s">
        <v>3700</v>
      </c>
      <c r="B2073" s="7" t="n">
        <v>2208.91</v>
      </c>
      <c r="C2073" s="7" t="n">
        <f aca="false">AVERAGE(B2024:B2073)</f>
        <v>2228.6658</v>
      </c>
      <c r="D2073" s="7" t="n">
        <f aca="false">AVERAGE(B1874:B2073)</f>
        <v>2108.8759</v>
      </c>
      <c r="E2073" s="7" t="n">
        <f aca="false">B2073/MAX(B1822:B2073)-1</f>
        <v>-0.0424021987930915</v>
      </c>
      <c r="F2073" s="7" t="str">
        <f aca="false">IFERROR(INDEX(02_轉折點45個!B:B,MATCH(A2073,02_轉折點45個!A:A,0)),"")</f>
        <v/>
      </c>
      <c r="G2073" s="7" t="s">
        <v>1994</v>
      </c>
    </row>
    <row r="2074" customFormat="false" ht="15" hidden="false" customHeight="false" outlineLevel="0" collapsed="false">
      <c r="A2074" s="7" t="s">
        <v>725</v>
      </c>
      <c r="B2074" s="7" t="n">
        <v>2212.34</v>
      </c>
      <c r="C2074" s="7" t="n">
        <f aca="false">AVERAGE(B2025:B2074)</f>
        <v>2228.2716</v>
      </c>
      <c r="D2074" s="7" t="n">
        <f aca="false">AVERAGE(B1875:B2074)</f>
        <v>2110.47085</v>
      </c>
      <c r="E2074" s="7" t="n">
        <f aca="false">B2074/MAX(B1823:B2074)-1</f>
        <v>-0.0409152389540125</v>
      </c>
      <c r="F2074" s="7" t="str">
        <f aca="false">IFERROR(INDEX(02_轉折點45個!B:B,MATCH(A2074,02_轉折點45個!A:A,0)),"")</f>
        <v/>
      </c>
      <c r="G2074" s="7" t="s">
        <v>1994</v>
      </c>
    </row>
    <row r="2075" customFormat="false" ht="15" hidden="false" customHeight="false" outlineLevel="0" collapsed="false">
      <c r="A2075" s="7" t="s">
        <v>3701</v>
      </c>
      <c r="B2075" s="7" t="n">
        <v>2212.91</v>
      </c>
      <c r="C2075" s="7" t="n">
        <f aca="false">AVERAGE(B2026:B2075)</f>
        <v>2227.7408</v>
      </c>
      <c r="D2075" s="7" t="n">
        <f aca="false">AVERAGE(B1876:B2075)</f>
        <v>2112.00685</v>
      </c>
      <c r="E2075" s="7" t="n">
        <f aca="false">B2075/MAX(B1824:B2075)-1</f>
        <v>-0.0406681348408129</v>
      </c>
      <c r="F2075" s="7" t="str">
        <f aca="false">IFERROR(INDEX(02_轉折點45個!B:B,MATCH(A2075,02_轉折點45個!A:A,0)),"")</f>
        <v/>
      </c>
      <c r="G2075" s="7" t="s">
        <v>1994</v>
      </c>
    </row>
    <row r="2076" customFormat="false" ht="15" hidden="false" customHeight="false" outlineLevel="0" collapsed="false">
      <c r="A2076" s="7" t="s">
        <v>3702</v>
      </c>
      <c r="B2076" s="7" t="n">
        <v>2238.55</v>
      </c>
      <c r="C2076" s="7" t="n">
        <f aca="false">AVERAGE(B2027:B2076)</f>
        <v>2228.0926</v>
      </c>
      <c r="D2076" s="7" t="n">
        <f aca="false">AVERAGE(B1877:B2076)</f>
        <v>2113.4054</v>
      </c>
      <c r="E2076" s="7" t="n">
        <f aca="false">B2076/MAX(B1825:B2076)-1</f>
        <v>-0.0295527849067072</v>
      </c>
      <c r="F2076" s="7" t="str">
        <f aca="false">IFERROR(INDEX(02_轉折點45個!B:B,MATCH(A2076,02_轉折點45個!A:A,0)),"")</f>
        <v/>
      </c>
      <c r="G2076" s="7" t="s">
        <v>1994</v>
      </c>
    </row>
    <row r="2077" customFormat="false" ht="15" hidden="false" customHeight="false" outlineLevel="0" collapsed="false">
      <c r="A2077" s="7" t="s">
        <v>3703</v>
      </c>
      <c r="B2077" s="7" t="n">
        <v>2246.19</v>
      </c>
      <c r="C2077" s="7" t="n">
        <f aca="false">AVERAGE(B2028:B2077)</f>
        <v>2228.591</v>
      </c>
      <c r="D2077" s="7" t="n">
        <f aca="false">AVERAGE(B1878:B2077)</f>
        <v>2114.90705</v>
      </c>
      <c r="E2077" s="7" t="n">
        <f aca="false">B2077/MAX(B1826:B2077)-1</f>
        <v>-0.0262407227578552</v>
      </c>
      <c r="F2077" s="7" t="str">
        <f aca="false">IFERROR(INDEX(02_轉折點45個!B:B,MATCH(A2077,02_轉折點45個!A:A,0)),"")</f>
        <v/>
      </c>
      <c r="G2077" s="7" t="s">
        <v>1994</v>
      </c>
    </row>
    <row r="2078" customFormat="false" ht="15" hidden="false" customHeight="false" outlineLevel="0" collapsed="false">
      <c r="A2078" s="7" t="s">
        <v>3704</v>
      </c>
      <c r="B2078" s="7" t="n">
        <v>2257.75</v>
      </c>
      <c r="C2078" s="7" t="n">
        <f aca="false">AVERAGE(B2029:B2078)</f>
        <v>2228.6834</v>
      </c>
      <c r="D2078" s="7" t="n">
        <f aca="false">AVERAGE(B1879:B2078)</f>
        <v>2116.5557</v>
      </c>
      <c r="E2078" s="7" t="n">
        <f aca="false">B2078/MAX(B1827:B2078)-1</f>
        <v>-0.0212292779357702</v>
      </c>
      <c r="F2078" s="7" t="str">
        <f aca="false">IFERROR(INDEX(02_轉折點45個!B:B,MATCH(A2078,02_轉折點45個!A:A,0)),"")</f>
        <v/>
      </c>
      <c r="G2078" s="7" t="s">
        <v>1994</v>
      </c>
    </row>
    <row r="2079" customFormat="false" ht="15" hidden="false" customHeight="false" outlineLevel="0" collapsed="false">
      <c r="A2079" s="7" t="s">
        <v>3705</v>
      </c>
      <c r="B2079" s="7" t="n">
        <v>2255.78</v>
      </c>
      <c r="C2079" s="7" t="n">
        <f aca="false">AVERAGE(B2030:B2079)</f>
        <v>2229.3218</v>
      </c>
      <c r="D2079" s="7" t="n">
        <f aca="false">AVERAGE(B1880:B2079)</f>
        <v>2118.20985</v>
      </c>
      <c r="E2079" s="7" t="n">
        <f aca="false">B2079/MAX(B1828:B2079)-1</f>
        <v>-0.0220833044322672</v>
      </c>
      <c r="F2079" s="7" t="str">
        <f aca="false">IFERROR(INDEX(02_轉折點45個!B:B,MATCH(A2079,02_轉折點45個!A:A,0)),"")</f>
        <v/>
      </c>
      <c r="G2079" s="7" t="s">
        <v>1994</v>
      </c>
    </row>
    <row r="2080" customFormat="false" ht="15" hidden="false" customHeight="false" outlineLevel="0" collapsed="false">
      <c r="A2080" s="7" t="s">
        <v>3706</v>
      </c>
      <c r="B2080" s="7" t="n">
        <v>2263.48</v>
      </c>
      <c r="C2080" s="7" t="n">
        <f aca="false">AVERAGE(B2031:B2080)</f>
        <v>2230.0914</v>
      </c>
      <c r="D2080" s="7" t="n">
        <f aca="false">AVERAGE(B1881:B2080)</f>
        <v>2119.74655</v>
      </c>
      <c r="E2080" s="7" t="n">
        <f aca="false">B2080/MAX(B1829:B2080)-1</f>
        <v>-0.0187452313241312</v>
      </c>
      <c r="F2080" s="7" t="str">
        <f aca="false">IFERROR(INDEX(02_轉折點45個!B:B,MATCH(A2080,02_轉折點45個!A:A,0)),"")</f>
        <v/>
      </c>
      <c r="G2080" s="7" t="s">
        <v>1994</v>
      </c>
    </row>
    <row r="2081" customFormat="false" ht="15" hidden="false" customHeight="false" outlineLevel="0" collapsed="false">
      <c r="A2081" s="7" t="s">
        <v>3707</v>
      </c>
      <c r="B2081" s="7" t="n">
        <v>2246.76</v>
      </c>
      <c r="C2081" s="7" t="n">
        <f aca="false">AVERAGE(B2032:B2081)</f>
        <v>2230.4244</v>
      </c>
      <c r="D2081" s="7" t="n">
        <f aca="false">AVERAGE(B1882:B2081)</f>
        <v>2121.28285</v>
      </c>
      <c r="E2081" s="7" t="n">
        <f aca="false">B2081/MAX(B1830:B2081)-1</f>
        <v>-0.0259936186446554</v>
      </c>
      <c r="F2081" s="7" t="str">
        <f aca="false">IFERROR(INDEX(02_轉折點45個!B:B,MATCH(A2081,02_轉折點45個!A:A,0)),"")</f>
        <v/>
      </c>
      <c r="G2081" s="7" t="s">
        <v>1994</v>
      </c>
    </row>
    <row r="2082" customFormat="false" ht="15" hidden="false" customHeight="false" outlineLevel="0" collapsed="false">
      <c r="A2082" s="7" t="s">
        <v>3708</v>
      </c>
      <c r="B2082" s="7" t="n">
        <v>2265.95</v>
      </c>
      <c r="C2082" s="7" t="n">
        <f aca="false">AVERAGE(B2033:B2082)</f>
        <v>2231.0032</v>
      </c>
      <c r="D2082" s="7" t="n">
        <f aca="false">AVERAGE(B1883:B2082)</f>
        <v>2122.922</v>
      </c>
      <c r="E2082" s="7" t="n">
        <f aca="false">B2082/MAX(B1831:B2082)-1</f>
        <v>-0.0176744468335992</v>
      </c>
      <c r="F2082" s="7" t="str">
        <f aca="false">IFERROR(INDEX(02_轉折點45個!B:B,MATCH(A2082,02_轉折點45個!A:A,0)),"")</f>
        <v/>
      </c>
      <c r="G2082" s="7" t="s">
        <v>1994</v>
      </c>
    </row>
    <row r="2083" customFormat="false" ht="15" hidden="false" customHeight="false" outlineLevel="0" collapsed="false">
      <c r="A2083" s="7" t="s">
        <v>3709</v>
      </c>
      <c r="B2083" s="7" t="n">
        <v>2276.57</v>
      </c>
      <c r="C2083" s="7" t="n">
        <f aca="false">AVERAGE(B2034:B2083)</f>
        <v>2231.515</v>
      </c>
      <c r="D2083" s="7" t="n">
        <f aca="false">AVERAGE(B1884:B2083)</f>
        <v>2124.55855</v>
      </c>
      <c r="E2083" s="7" t="n">
        <f aca="false">B2083/MAX(B1832:B2083)-1</f>
        <v>-0.0130705070402994</v>
      </c>
      <c r="F2083" s="7" t="str">
        <f aca="false">IFERROR(INDEX(02_轉折點45個!B:B,MATCH(A2083,02_轉折點45個!A:A,0)),"")</f>
        <v/>
      </c>
      <c r="G2083" s="7" t="s">
        <v>1994</v>
      </c>
    </row>
    <row r="2084" customFormat="false" ht="15" hidden="false" customHeight="false" outlineLevel="0" collapsed="false">
      <c r="A2084" s="7" t="s">
        <v>3710</v>
      </c>
      <c r="B2084" s="7" t="n">
        <v>2300.68</v>
      </c>
      <c r="C2084" s="7" t="n">
        <f aca="false">AVERAGE(B2035:B2084)</f>
        <v>2232.4278</v>
      </c>
      <c r="D2084" s="7" t="n">
        <f aca="false">AVERAGE(B1885:B2084)</f>
        <v>2126.4683</v>
      </c>
      <c r="E2084" s="7" t="n">
        <f aca="false">B2084/MAX(B1833:B2084)-1</f>
        <v>-0.00261843656794059</v>
      </c>
      <c r="F2084" s="7" t="str">
        <f aca="false">IFERROR(INDEX(02_轉折點45個!B:B,MATCH(A2084,02_轉折點45個!A:A,0)),"")</f>
        <v/>
      </c>
      <c r="G2084" s="7" t="s">
        <v>1994</v>
      </c>
    </row>
    <row r="2085" customFormat="false" ht="15" hidden="false" customHeight="false" outlineLevel="0" collapsed="false">
      <c r="A2085" s="7" t="s">
        <v>3711</v>
      </c>
      <c r="B2085" s="7" t="n">
        <v>2299.42</v>
      </c>
      <c r="C2085" s="7" t="n">
        <f aca="false">AVERAGE(B2036:B2085)</f>
        <v>2233.1782</v>
      </c>
      <c r="D2085" s="7" t="n">
        <f aca="false">AVERAGE(B1886:B2085)</f>
        <v>2128.3188</v>
      </c>
      <c r="E2085" s="7" t="n">
        <f aca="false">B2085/MAX(B1834:B2085)-1</f>
        <v>-0.00316466671290827</v>
      </c>
      <c r="F2085" s="7" t="str">
        <f aca="false">IFERROR(INDEX(02_轉折點45個!B:B,MATCH(A2085,02_轉折點45個!A:A,0)),"")</f>
        <v/>
      </c>
      <c r="G2085" s="7" t="s">
        <v>1994</v>
      </c>
    </row>
    <row r="2086" customFormat="false" ht="15" hidden="false" customHeight="false" outlineLevel="0" collapsed="false">
      <c r="A2086" s="7" t="s">
        <v>3712</v>
      </c>
      <c r="B2086" s="7" t="n">
        <v>2293.52</v>
      </c>
      <c r="C2086" s="7" t="n">
        <f aca="false">AVERAGE(B2037:B2086)</f>
        <v>2233.9072</v>
      </c>
      <c r="D2086" s="7" t="n">
        <f aca="false">AVERAGE(B1887:B2086)</f>
        <v>2129.85415</v>
      </c>
      <c r="E2086" s="7" t="n">
        <f aca="false">B2086/MAX(B1835:B2086)-1</f>
        <v>-0.00572241104251914</v>
      </c>
      <c r="F2086" s="7" t="str">
        <f aca="false">IFERROR(INDEX(02_轉折點45個!B:B,MATCH(A2086,02_轉折點45個!A:A,0)),"")</f>
        <v/>
      </c>
      <c r="G2086" s="7" t="s">
        <v>1994</v>
      </c>
    </row>
    <row r="2087" customFormat="false" ht="15" hidden="false" customHeight="false" outlineLevel="0" collapsed="false">
      <c r="A2087" s="7" t="s">
        <v>3713</v>
      </c>
      <c r="B2087" s="7" t="n">
        <v>2288.82</v>
      </c>
      <c r="C2087" s="7" t="n">
        <f aca="false">AVERAGE(B2038:B2087)</f>
        <v>2234.5258</v>
      </c>
      <c r="D2087" s="7" t="n">
        <f aca="false">AVERAGE(B1888:B2087)</f>
        <v>2131.37645</v>
      </c>
      <c r="E2087" s="7" t="n">
        <f aca="false">B2087/MAX(B1836:B2087)-1</f>
        <v>-0.00775993618644644</v>
      </c>
      <c r="F2087" s="7" t="str">
        <f aca="false">IFERROR(INDEX(02_轉折點45個!B:B,MATCH(A2087,02_轉折點45個!A:A,0)),"")</f>
        <v/>
      </c>
      <c r="G2087" s="7" t="s">
        <v>1994</v>
      </c>
    </row>
    <row r="2088" customFormat="false" ht="15" hidden="false" customHeight="false" outlineLevel="0" collapsed="false">
      <c r="A2088" s="7" t="s">
        <v>3714</v>
      </c>
      <c r="B2088" s="7" t="n">
        <v>2308.04</v>
      </c>
      <c r="C2088" s="7" t="n">
        <f aca="false">AVERAGE(B2039:B2088)</f>
        <v>2235.1816</v>
      </c>
      <c r="D2088" s="7" t="n">
        <f aca="false">AVERAGE(B1889:B2088)</f>
        <v>2132.91105</v>
      </c>
      <c r="E2088" s="7" t="n">
        <f aca="false">B2088/MAX(B1837:B2088)-1</f>
        <v>0</v>
      </c>
      <c r="F2088" s="7" t="str">
        <f aca="false">IFERROR(INDEX(02_轉折點45個!B:B,MATCH(A2088,02_轉折點45個!A:A,0)),"")</f>
        <v/>
      </c>
      <c r="G2088" s="7" t="s">
        <v>1994</v>
      </c>
    </row>
    <row r="2089" customFormat="false" ht="15" hidden="false" customHeight="false" outlineLevel="0" collapsed="false">
      <c r="A2089" s="7" t="s">
        <v>3715</v>
      </c>
      <c r="B2089" s="7" t="n">
        <v>2305.56</v>
      </c>
      <c r="C2089" s="7" t="n">
        <f aca="false">AVERAGE(B2040:B2089)</f>
        <v>2235.8212</v>
      </c>
      <c r="D2089" s="7" t="n">
        <f aca="false">AVERAGE(B1890:B2089)</f>
        <v>2134.6027</v>
      </c>
      <c r="E2089" s="7" t="n">
        <f aca="false">B2089/MAX(B1838:B2089)-1</f>
        <v>-0.00107450477461402</v>
      </c>
      <c r="F2089" s="7" t="str">
        <f aca="false">IFERROR(INDEX(02_轉折點45個!B:B,MATCH(A2089,02_轉折點45個!A:A,0)),"")</f>
        <v/>
      </c>
      <c r="G2089" s="7" t="s">
        <v>1994</v>
      </c>
    </row>
    <row r="2090" customFormat="false" ht="15" hidden="false" customHeight="false" outlineLevel="0" collapsed="false">
      <c r="A2090" s="7" t="s">
        <v>3716</v>
      </c>
      <c r="B2090" s="7" t="n">
        <v>2306.35</v>
      </c>
      <c r="C2090" s="7" t="n">
        <f aca="false">AVERAGE(B2041:B2090)</f>
        <v>2237.0038</v>
      </c>
      <c r="D2090" s="7" t="n">
        <f aca="false">AVERAGE(B1891:B2090)</f>
        <v>2136.2903</v>
      </c>
      <c r="E2090" s="7" t="n">
        <f aca="false">B2090/MAX(B1839:B2090)-1</f>
        <v>-0.000732223011732924</v>
      </c>
      <c r="F2090" s="7" t="str">
        <f aca="false">IFERROR(INDEX(02_轉折點45個!B:B,MATCH(A2090,02_轉折點45個!A:A,0)),"")</f>
        <v/>
      </c>
      <c r="G2090" s="7" t="s">
        <v>1994</v>
      </c>
    </row>
    <row r="2091" customFormat="false" ht="15" hidden="false" customHeight="false" outlineLevel="0" collapsed="false">
      <c r="A2091" s="7" t="s">
        <v>3717</v>
      </c>
      <c r="B2091" s="7" t="n">
        <v>2327.68</v>
      </c>
      <c r="C2091" s="7" t="n">
        <f aca="false">AVERAGE(B2042:B2091)</f>
        <v>2238.7854</v>
      </c>
      <c r="D2091" s="7" t="n">
        <f aca="false">AVERAGE(B1892:B2091)</f>
        <v>2138.1989</v>
      </c>
      <c r="E2091" s="7" t="n">
        <f aca="false">B2091/MAX(B1840:B2091)-1</f>
        <v>0</v>
      </c>
      <c r="F2091" s="7" t="str">
        <f aca="false">IFERROR(INDEX(02_轉折點45個!B:B,MATCH(A2091,02_轉折點45個!A:A,0)),"")</f>
        <v/>
      </c>
      <c r="G2091" s="7" t="s">
        <v>1994</v>
      </c>
    </row>
    <row r="2092" customFormat="false" ht="15" hidden="false" customHeight="false" outlineLevel="0" collapsed="false">
      <c r="A2092" s="7" t="s">
        <v>3718</v>
      </c>
      <c r="B2092" s="7" t="n">
        <v>2333.68</v>
      </c>
      <c r="C2092" s="7" t="n">
        <f aca="false">AVERAGE(B2043:B2092)</f>
        <v>2240.5134</v>
      </c>
      <c r="D2092" s="7" t="n">
        <f aca="false">AVERAGE(B1893:B2092)</f>
        <v>2140.19745</v>
      </c>
      <c r="E2092" s="7" t="n">
        <f aca="false">B2092/MAX(B1841:B2092)-1</f>
        <v>0</v>
      </c>
      <c r="F2092" s="7" t="str">
        <f aca="false">IFERROR(INDEX(02_轉折點45個!B:B,MATCH(A2092,02_轉折點45個!A:A,0)),"")</f>
        <v/>
      </c>
      <c r="G2092" s="7" t="s">
        <v>1994</v>
      </c>
    </row>
    <row r="2093" customFormat="false" ht="15" hidden="false" customHeight="false" outlineLevel="0" collapsed="false">
      <c r="A2093" s="7" t="s">
        <v>3719</v>
      </c>
      <c r="B2093" s="7" t="n">
        <v>2336.2</v>
      </c>
      <c r="C2093" s="7" t="n">
        <f aca="false">AVERAGE(B2044:B2093)</f>
        <v>2241.771</v>
      </c>
      <c r="D2093" s="7" t="n">
        <f aca="false">AVERAGE(B1894:B2093)</f>
        <v>2142.1541</v>
      </c>
      <c r="E2093" s="7" t="n">
        <f aca="false">B2093/MAX(B1842:B2093)-1</f>
        <v>0</v>
      </c>
      <c r="F2093" s="7" t="str">
        <f aca="false">IFERROR(INDEX(02_轉折點45個!B:B,MATCH(A2093,02_轉折點45個!A:A,0)),"")</f>
        <v/>
      </c>
      <c r="G2093" s="7" t="s">
        <v>1994</v>
      </c>
    </row>
    <row r="2094" customFormat="false" ht="15" hidden="false" customHeight="false" outlineLevel="0" collapsed="false">
      <c r="A2094" s="7" t="s">
        <v>3720</v>
      </c>
      <c r="B2094" s="7" t="n">
        <v>2306.85</v>
      </c>
      <c r="C2094" s="7" t="n">
        <f aca="false">AVERAGE(B2045:B2094)</f>
        <v>2242.2824</v>
      </c>
      <c r="D2094" s="7" t="n">
        <f aca="false">AVERAGE(B1895:B2094)</f>
        <v>2144.1404</v>
      </c>
      <c r="E2094" s="7" t="n">
        <f aca="false">B2094/MAX(B1843:B2094)-1</f>
        <v>-0.0125631367177468</v>
      </c>
      <c r="F2094" s="7" t="str">
        <f aca="false">IFERROR(INDEX(02_轉折點45個!B:B,MATCH(A2094,02_轉折點45個!A:A,0)),"")</f>
        <v/>
      </c>
      <c r="G2094" s="7" t="s">
        <v>1994</v>
      </c>
    </row>
    <row r="2095" customFormat="false" ht="15" hidden="false" customHeight="false" outlineLevel="0" collapsed="false">
      <c r="A2095" s="7" t="s">
        <v>3721</v>
      </c>
      <c r="B2095" s="7" t="n">
        <v>2312.74</v>
      </c>
      <c r="C2095" s="7" t="n">
        <f aca="false">AVERAGE(B2046:B2095)</f>
        <v>2242.926</v>
      </c>
      <c r="D2095" s="7" t="n">
        <f aca="false">AVERAGE(B1896:B2095)</f>
        <v>2146.3212</v>
      </c>
      <c r="E2095" s="7" t="n">
        <f aca="false">B2095/MAX(B1844:B2095)-1</f>
        <v>-0.0100419484633165</v>
      </c>
      <c r="F2095" s="7" t="str">
        <f aca="false">IFERROR(INDEX(02_轉折點45個!B:B,MATCH(A2095,02_轉折點45個!A:A,0)),"")</f>
        <v/>
      </c>
      <c r="G2095" s="7" t="s">
        <v>1994</v>
      </c>
    </row>
    <row r="2096" customFormat="false" ht="15" hidden="false" customHeight="false" outlineLevel="0" collapsed="false">
      <c r="A2096" s="7" t="s">
        <v>3722</v>
      </c>
      <c r="B2096" s="7" t="n">
        <v>2336.77</v>
      </c>
      <c r="C2096" s="7" t="n">
        <f aca="false">AVERAGE(B2047:B2096)</f>
        <v>2243.7446</v>
      </c>
      <c r="D2096" s="7" t="n">
        <f aca="false">AVERAGE(B1897:B2096)</f>
        <v>2148.6987</v>
      </c>
      <c r="E2096" s="7" t="n">
        <f aca="false">B2096/MAX(B1845:B2096)-1</f>
        <v>0</v>
      </c>
      <c r="F2096" s="7" t="str">
        <f aca="false">IFERROR(INDEX(02_轉折點45個!B:B,MATCH(A2096,02_轉折點45個!A:A,0)),"")</f>
        <v/>
      </c>
      <c r="G2096" s="7" t="s">
        <v>1994</v>
      </c>
    </row>
    <row r="2097" customFormat="false" ht="15" hidden="false" customHeight="false" outlineLevel="0" collapsed="false">
      <c r="A2097" s="7" t="s">
        <v>3723</v>
      </c>
      <c r="B2097" s="7" t="n">
        <v>2343.73</v>
      </c>
      <c r="C2097" s="7" t="n">
        <f aca="false">AVERAGE(B2048:B2097)</f>
        <v>2244.604</v>
      </c>
      <c r="D2097" s="7" t="n">
        <f aca="false">AVERAGE(B1898:B2097)</f>
        <v>2151.1093</v>
      </c>
      <c r="E2097" s="7" t="n">
        <f aca="false">B2097/MAX(B1846:B2097)-1</f>
        <v>0</v>
      </c>
      <c r="F2097" s="7" t="str">
        <f aca="false">IFERROR(INDEX(02_轉折點45個!B:B,MATCH(A2097,02_轉折點45個!A:A,0)),"")</f>
        <v/>
      </c>
      <c r="G2097" s="7" t="s">
        <v>1994</v>
      </c>
    </row>
    <row r="2098" customFormat="false" ht="15" hidden="false" customHeight="false" outlineLevel="0" collapsed="false">
      <c r="A2098" s="7" t="s">
        <v>3724</v>
      </c>
      <c r="B2098" s="7" t="n">
        <v>2349.85</v>
      </c>
      <c r="C2098" s="7" t="n">
        <f aca="false">AVERAGE(B2049:B2098)</f>
        <v>2245.4666</v>
      </c>
      <c r="D2098" s="7" t="n">
        <f aca="false">AVERAGE(B1899:B2098)</f>
        <v>2153.5254</v>
      </c>
      <c r="E2098" s="7" t="n">
        <f aca="false">B2098/MAX(B1847:B2098)-1</f>
        <v>0</v>
      </c>
      <c r="F2098" s="7" t="str">
        <f aca="false">IFERROR(INDEX(02_轉折點45個!B:B,MATCH(A2098,02_轉折點45個!A:A,0)),"")</f>
        <v/>
      </c>
      <c r="G2098" s="7" t="s">
        <v>1994</v>
      </c>
    </row>
    <row r="2099" customFormat="false" ht="15" hidden="false" customHeight="false" outlineLevel="0" collapsed="false">
      <c r="A2099" s="7" t="s">
        <v>3725</v>
      </c>
      <c r="B2099" s="7" t="n">
        <v>2348.75</v>
      </c>
      <c r="C2099" s="7" t="n">
        <f aca="false">AVERAGE(B2050:B2099)</f>
        <v>2246.487</v>
      </c>
      <c r="D2099" s="7" t="n">
        <f aca="false">AVERAGE(B1900:B2099)</f>
        <v>2155.76475</v>
      </c>
      <c r="E2099" s="7" t="n">
        <f aca="false">B2099/MAX(B1848:B2099)-1</f>
        <v>-0.000468114986062917</v>
      </c>
      <c r="F2099" s="7" t="str">
        <f aca="false">IFERROR(INDEX(02_轉折點45個!B:B,MATCH(A2099,02_轉折點45個!A:A,0)),"")</f>
        <v/>
      </c>
      <c r="G2099" s="7" t="s">
        <v>1994</v>
      </c>
    </row>
    <row r="2100" customFormat="false" ht="15" hidden="false" customHeight="false" outlineLevel="0" collapsed="false">
      <c r="A2100" s="7" t="s">
        <v>3726</v>
      </c>
      <c r="B2100" s="7" t="n">
        <v>2349.48</v>
      </c>
      <c r="C2100" s="7" t="n">
        <f aca="false">AVERAGE(B2051:B2100)</f>
        <v>2247.7154</v>
      </c>
      <c r="D2100" s="7" t="n">
        <f aca="false">AVERAGE(B1901:B2100)</f>
        <v>2158.19635</v>
      </c>
      <c r="E2100" s="7" t="n">
        <f aca="false">B2100/MAX(B1849:B2100)-1</f>
        <v>-0.000157456858948413</v>
      </c>
      <c r="F2100" s="7" t="str">
        <f aca="false">IFERROR(INDEX(02_轉折點45個!B:B,MATCH(A2100,02_轉折點45個!A:A,0)),"")</f>
        <v/>
      </c>
      <c r="G2100" s="7" t="s">
        <v>1994</v>
      </c>
    </row>
    <row r="2101" customFormat="false" ht="15" hidden="false" customHeight="false" outlineLevel="0" collapsed="false">
      <c r="A2101" s="7" t="s">
        <v>3727</v>
      </c>
      <c r="B2101" s="7" t="n">
        <v>2353.67</v>
      </c>
      <c r="C2101" s="7" t="n">
        <f aca="false">AVERAGE(B2052:B2101)</f>
        <v>2250.7936</v>
      </c>
      <c r="D2101" s="7" t="n">
        <f aca="false">AVERAGE(B1902:B2101)</f>
        <v>2160.73585</v>
      </c>
      <c r="E2101" s="7" t="n">
        <f aca="false">B2101/MAX(B1850:B2101)-1</f>
        <v>0</v>
      </c>
      <c r="F2101" s="7" t="str">
        <f aca="false">IFERROR(INDEX(02_轉折點45個!B:B,MATCH(A2101,02_轉折點45個!A:A,0)),"")</f>
        <v/>
      </c>
      <c r="G2101" s="7" t="s">
        <v>1994</v>
      </c>
    </row>
    <row r="2102" customFormat="false" ht="15" hidden="false" customHeight="false" outlineLevel="0" collapsed="false">
      <c r="A2102" s="7" t="s">
        <v>727</v>
      </c>
      <c r="B2102" s="7" t="n">
        <v>2314.76</v>
      </c>
      <c r="C2102" s="7" t="n">
        <f aca="false">AVERAGE(B2053:B2102)</f>
        <v>2252.9422</v>
      </c>
      <c r="D2102" s="7" t="n">
        <f aca="false">AVERAGE(B1903:B2102)</f>
        <v>2162.89145</v>
      </c>
      <c r="E2102" s="7" t="n">
        <f aca="false">B2102/MAX(B1851:B2102)-1</f>
        <v>-0.0165316293278156</v>
      </c>
      <c r="F2102" s="7" t="str">
        <f aca="false">IFERROR(INDEX(02_轉折點45個!B:B,MATCH(A2102,02_轉折點45個!A:A,0)),"")</f>
        <v/>
      </c>
      <c r="G2102" s="7" t="s">
        <v>1994</v>
      </c>
    </row>
    <row r="2103" customFormat="false" ht="15" hidden="false" customHeight="false" outlineLevel="0" collapsed="false">
      <c r="A2103" s="7" t="s">
        <v>3728</v>
      </c>
      <c r="B2103" s="7" t="n">
        <v>2340.77</v>
      </c>
      <c r="C2103" s="7" t="n">
        <f aca="false">AVERAGE(B2054:B2103)</f>
        <v>2255.8292</v>
      </c>
      <c r="D2103" s="7" t="n">
        <f aca="false">AVERAGE(B1904:B2103)</f>
        <v>2165.122</v>
      </c>
      <c r="E2103" s="7" t="n">
        <f aca="false">B2103/MAX(B1852:B2103)-1</f>
        <v>-0.00548080232148096</v>
      </c>
      <c r="F2103" s="7" t="str">
        <f aca="false">IFERROR(INDEX(02_轉折點45個!B:B,MATCH(A2103,02_轉折點45個!A:A,0)),"")</f>
        <v/>
      </c>
      <c r="G2103" s="7" t="s">
        <v>1994</v>
      </c>
    </row>
    <row r="2104" customFormat="false" ht="15" hidden="false" customHeight="false" outlineLevel="0" collapsed="false">
      <c r="A2104" s="7" t="s">
        <v>728</v>
      </c>
      <c r="B2104" s="7" t="n">
        <v>2326.36</v>
      </c>
      <c r="C2104" s="7" t="n">
        <f aca="false">AVERAGE(B2055:B2104)</f>
        <v>2259.0896</v>
      </c>
      <c r="D2104" s="7" t="n">
        <f aca="false">AVERAGE(B1905:B2104)</f>
        <v>2167.2962</v>
      </c>
      <c r="E2104" s="7" t="n">
        <f aca="false">B2104/MAX(B1853:B2104)-1</f>
        <v>-0.011603155922453</v>
      </c>
      <c r="F2104" s="7" t="str">
        <f aca="false">IFERROR(INDEX(02_轉折點45個!B:B,MATCH(A2104,02_轉折點45個!A:A,0)),"")</f>
        <v/>
      </c>
      <c r="G2104" s="7" t="s">
        <v>1994</v>
      </c>
    </row>
    <row r="2105" customFormat="false" ht="15" hidden="false" customHeight="false" outlineLevel="0" collapsed="false">
      <c r="A2105" s="7" t="s">
        <v>3729</v>
      </c>
      <c r="B2105" s="7" t="n">
        <v>2307.04</v>
      </c>
      <c r="C2105" s="7" t="n">
        <f aca="false">AVERAGE(B2056:B2105)</f>
        <v>2262.4628</v>
      </c>
      <c r="D2105" s="7" t="n">
        <f aca="false">AVERAGE(B1906:B2105)</f>
        <v>2169.44685</v>
      </c>
      <c r="E2105" s="7" t="n">
        <f aca="false">B2105/MAX(B1854:B2105)-1</f>
        <v>-0.019811613352764</v>
      </c>
      <c r="F2105" s="7" t="str">
        <f aca="false">IFERROR(INDEX(02_轉折點45個!B:B,MATCH(A2105,02_轉折點45個!A:A,0)),"")</f>
        <v/>
      </c>
      <c r="G2105" s="7" t="s">
        <v>1994</v>
      </c>
    </row>
    <row r="2106" customFormat="false" ht="15" hidden="false" customHeight="false" outlineLevel="0" collapsed="false">
      <c r="A2106" s="7" t="s">
        <v>3730</v>
      </c>
      <c r="B2106" s="7" t="n">
        <v>2327.25</v>
      </c>
      <c r="C2106" s="7" t="n">
        <f aca="false">AVERAGE(B2057:B2106)</f>
        <v>2265.4278</v>
      </c>
      <c r="D2106" s="7" t="n">
        <f aca="false">AVERAGE(B1907:B2106)</f>
        <v>2171.51735</v>
      </c>
      <c r="E2106" s="7" t="n">
        <f aca="false">B2106/MAX(B1855:B2106)-1</f>
        <v>-0.0112250230491106</v>
      </c>
      <c r="F2106" s="7" t="str">
        <f aca="false">IFERROR(INDEX(02_轉折點45個!B:B,MATCH(A2106,02_轉折點45個!A:A,0)),"")</f>
        <v/>
      </c>
      <c r="G2106" s="7" t="s">
        <v>1994</v>
      </c>
    </row>
    <row r="2107" customFormat="false" ht="15" hidden="false" customHeight="false" outlineLevel="0" collapsed="false">
      <c r="A2107" s="7" t="s">
        <v>3731</v>
      </c>
      <c r="B2107" s="7" t="n">
        <v>2319.91</v>
      </c>
      <c r="C2107" s="7" t="n">
        <f aca="false">AVERAGE(B2058:B2107)</f>
        <v>2268.4378</v>
      </c>
      <c r="D2107" s="7" t="n">
        <f aca="false">AVERAGE(B1908:B2107)</f>
        <v>2173.56335</v>
      </c>
      <c r="E2107" s="7" t="n">
        <f aca="false">B2107/MAX(B1856:B2107)-1</f>
        <v>-0.0143435570831936</v>
      </c>
      <c r="F2107" s="7" t="str">
        <f aca="false">IFERROR(INDEX(02_轉折點45個!B:B,MATCH(A2107,02_轉折點45個!A:A,0)),"")</f>
        <v/>
      </c>
      <c r="G2107" s="7" t="s">
        <v>1994</v>
      </c>
    </row>
    <row r="2108" customFormat="false" ht="15" hidden="false" customHeight="false" outlineLevel="0" collapsed="false">
      <c r="A2108" s="7" t="s">
        <v>3732</v>
      </c>
      <c r="B2108" s="7" t="n">
        <v>2337.33</v>
      </c>
      <c r="C2108" s="7" t="n">
        <f aca="false">AVERAGE(B2059:B2108)</f>
        <v>2271.5572</v>
      </c>
      <c r="D2108" s="7" t="n">
        <f aca="false">AVERAGE(B1909:B2108)</f>
        <v>2175.8311</v>
      </c>
      <c r="E2108" s="7" t="n">
        <f aca="false">B2108/MAX(B1857:B2108)-1</f>
        <v>-0.00694234960720919</v>
      </c>
      <c r="F2108" s="7" t="str">
        <f aca="false">IFERROR(INDEX(02_轉折點45個!B:B,MATCH(A2108,02_轉折點45個!A:A,0)),"")</f>
        <v/>
      </c>
      <c r="G2108" s="7" t="s">
        <v>1994</v>
      </c>
    </row>
    <row r="2109" customFormat="false" ht="15" hidden="false" customHeight="false" outlineLevel="0" collapsed="false">
      <c r="A2109" s="7" t="s">
        <v>729</v>
      </c>
      <c r="B2109" s="7" t="n">
        <v>2355.91</v>
      </c>
      <c r="C2109" s="7" t="n">
        <f aca="false">AVERAGE(B2060:B2109)</f>
        <v>2275.0514</v>
      </c>
      <c r="D2109" s="7" t="n">
        <f aca="false">AVERAGE(B1910:B2109)</f>
        <v>2178.11495</v>
      </c>
      <c r="E2109" s="7" t="n">
        <f aca="false">B2109/MAX(B1858:B2109)-1</f>
        <v>0</v>
      </c>
      <c r="F2109" s="7" t="str">
        <f aca="false">IFERROR(INDEX(02_轉折點45個!B:B,MATCH(A2109,02_轉折點45個!A:A,0)),"")</f>
        <v/>
      </c>
      <c r="G2109" s="7" t="s">
        <v>1994</v>
      </c>
    </row>
    <row r="2110" customFormat="false" ht="15" hidden="false" customHeight="false" outlineLevel="0" collapsed="false">
      <c r="A2110" s="7" t="s">
        <v>730</v>
      </c>
      <c r="B2110" s="7" t="n">
        <v>2364.34</v>
      </c>
      <c r="C2110" s="7" t="n">
        <f aca="false">AVERAGE(B2061:B2110)</f>
        <v>2278.4448</v>
      </c>
      <c r="D2110" s="7" t="n">
        <f aca="false">AVERAGE(B1911:B2110)</f>
        <v>2180.37915</v>
      </c>
      <c r="E2110" s="7" t="n">
        <f aca="false">B2110/MAX(B1859:B2110)-1</f>
        <v>0</v>
      </c>
      <c r="F2110" s="7" t="str">
        <f aca="false">IFERROR(INDEX(02_轉折點45個!B:B,MATCH(A2110,02_轉折點45個!A:A,0)),"")</f>
        <v/>
      </c>
      <c r="G2110" s="7" t="s">
        <v>1994</v>
      </c>
    </row>
    <row r="2111" customFormat="false" ht="15" hidden="false" customHeight="false" outlineLevel="0" collapsed="false">
      <c r="A2111" s="7" t="s">
        <v>3733</v>
      </c>
      <c r="B2111" s="7" t="n">
        <v>2354.32</v>
      </c>
      <c r="C2111" s="7" t="n">
        <f aca="false">AVERAGE(B2062:B2111)</f>
        <v>2282.5828</v>
      </c>
      <c r="D2111" s="7" t="n">
        <f aca="false">AVERAGE(B1912:B2111)</f>
        <v>2182.62655</v>
      </c>
      <c r="E2111" s="7" t="n">
        <f aca="false">B2111/MAX(B1860:B2111)-1</f>
        <v>-0.00423796915841201</v>
      </c>
      <c r="F2111" s="7" t="str">
        <f aca="false">IFERROR(INDEX(02_轉折點45個!B:B,MATCH(A2111,02_轉折點45個!A:A,0)),"")</f>
        <v/>
      </c>
      <c r="G2111" s="7" t="s">
        <v>1994</v>
      </c>
    </row>
    <row r="2112" customFormat="false" ht="15" hidden="false" customHeight="false" outlineLevel="0" collapsed="false">
      <c r="A2112" s="7" t="s">
        <v>3734</v>
      </c>
      <c r="B2112" s="7" t="n">
        <v>2318.57</v>
      </c>
      <c r="C2112" s="7" t="n">
        <f aca="false">AVERAGE(B2063:B2112)</f>
        <v>2285.619</v>
      </c>
      <c r="D2112" s="7" t="n">
        <f aca="false">AVERAGE(B1913:B2112)</f>
        <v>2184.7525</v>
      </c>
      <c r="E2112" s="7" t="n">
        <f aca="false">B2112/MAX(B1861:B2112)-1</f>
        <v>-0.0193584679022476</v>
      </c>
      <c r="F2112" s="7" t="str">
        <f aca="false">IFERROR(INDEX(02_轉折點45個!B:B,MATCH(A2112,02_轉折點45個!A:A,0)),"")</f>
        <v/>
      </c>
      <c r="G2112" s="7" t="s">
        <v>1994</v>
      </c>
    </row>
    <row r="2113" customFormat="false" ht="15" hidden="false" customHeight="false" outlineLevel="0" collapsed="false">
      <c r="A2113" s="7" t="s">
        <v>3735</v>
      </c>
      <c r="B2113" s="7" t="n">
        <v>2336.18</v>
      </c>
      <c r="C2113" s="7" t="n">
        <f aca="false">AVERAGE(B2064:B2113)</f>
        <v>2288.8802</v>
      </c>
      <c r="D2113" s="7" t="n">
        <f aca="false">AVERAGE(B1914:B2113)</f>
        <v>2187.0197</v>
      </c>
      <c r="E2113" s="7" t="n">
        <f aca="false">B2113/MAX(B1862:B2113)-1</f>
        <v>-0.0119103005489906</v>
      </c>
      <c r="F2113" s="7" t="str">
        <f aca="false">IFERROR(INDEX(02_轉折點45個!B:B,MATCH(A2113,02_轉折點45個!A:A,0)),"")</f>
        <v/>
      </c>
      <c r="G2113" s="7" t="s">
        <v>1994</v>
      </c>
    </row>
    <row r="2114" customFormat="false" ht="15" hidden="false" customHeight="false" outlineLevel="0" collapsed="false">
      <c r="A2114" s="7" t="s">
        <v>3736</v>
      </c>
      <c r="B2114" s="7" t="n">
        <v>2349.76</v>
      </c>
      <c r="C2114" s="7" t="n">
        <f aca="false">AVERAGE(B2065:B2114)</f>
        <v>2292.5234</v>
      </c>
      <c r="D2114" s="7" t="n">
        <f aca="false">AVERAGE(B1915:B2114)</f>
        <v>2189.3574</v>
      </c>
      <c r="E2114" s="7" t="n">
        <f aca="false">B2114/MAX(B1863:B2114)-1</f>
        <v>-0.00616662578140192</v>
      </c>
      <c r="F2114" s="7" t="str">
        <f aca="false">IFERROR(INDEX(02_轉折點45個!B:B,MATCH(A2114,02_轉折點45個!A:A,0)),"")</f>
        <v/>
      </c>
      <c r="G2114" s="7" t="s">
        <v>1994</v>
      </c>
    </row>
    <row r="2115" customFormat="false" ht="15" hidden="false" customHeight="false" outlineLevel="0" collapsed="false">
      <c r="A2115" s="7" t="s">
        <v>731</v>
      </c>
      <c r="B2115" s="7" t="n">
        <v>2368.52</v>
      </c>
      <c r="C2115" s="7" t="n">
        <f aca="false">AVERAGE(B2066:B2115)</f>
        <v>2296.1444</v>
      </c>
      <c r="D2115" s="7" t="n">
        <f aca="false">AVERAGE(B1916:B2115)</f>
        <v>2191.7366</v>
      </c>
      <c r="E2115" s="7" t="n">
        <f aca="false">B2115/MAX(B1864:B2115)-1</f>
        <v>0</v>
      </c>
      <c r="F2115" s="7" t="str">
        <f aca="false">IFERROR(INDEX(02_轉折點45個!B:B,MATCH(A2115,02_轉折點45個!A:A,0)),"")</f>
        <v/>
      </c>
      <c r="G2115" s="7" t="s">
        <v>1994</v>
      </c>
    </row>
    <row r="2116" customFormat="false" ht="15" hidden="false" customHeight="false" outlineLevel="0" collapsed="false">
      <c r="A2116" s="7" t="s">
        <v>732</v>
      </c>
      <c r="B2116" s="7" t="n">
        <v>2379.42</v>
      </c>
      <c r="C2116" s="7" t="n">
        <f aca="false">AVERAGE(B2067:B2116)</f>
        <v>2299.7314</v>
      </c>
      <c r="D2116" s="7" t="n">
        <f aca="false">AVERAGE(B1917:B2116)</f>
        <v>2194.23435</v>
      </c>
      <c r="E2116" s="7" t="n">
        <f aca="false">B2116/MAX(B1865:B2116)-1</f>
        <v>0</v>
      </c>
      <c r="F2116" s="7" t="str">
        <f aca="false">IFERROR(INDEX(02_轉折點45個!B:B,MATCH(A2116,02_轉折點45個!A:A,0)),"")</f>
        <v/>
      </c>
      <c r="G2116" s="7" t="s">
        <v>1994</v>
      </c>
    </row>
    <row r="2117" customFormat="false" ht="15" hidden="false" customHeight="false" outlineLevel="0" collapsed="false">
      <c r="A2117" s="7" t="s">
        <v>733</v>
      </c>
      <c r="B2117" s="7" t="n">
        <v>2388.01</v>
      </c>
      <c r="C2117" s="7" t="n">
        <f aca="false">AVERAGE(B2068:B2117)</f>
        <v>2302.6184</v>
      </c>
      <c r="D2117" s="7" t="n">
        <f aca="false">AVERAGE(B1918:B2117)</f>
        <v>2196.7233</v>
      </c>
      <c r="E2117" s="7" t="n">
        <f aca="false">B2117/MAX(B1866:B2117)-1</f>
        <v>0</v>
      </c>
      <c r="F2117" s="7" t="str">
        <f aca="false">IFERROR(INDEX(02_轉折點45個!B:B,MATCH(A2117,02_轉折點45個!A:A,0)),"")</f>
        <v/>
      </c>
      <c r="G2117" s="7" t="s">
        <v>1994</v>
      </c>
    </row>
    <row r="2118" customFormat="false" ht="15" hidden="false" customHeight="false" outlineLevel="0" collapsed="false">
      <c r="A2118" s="7" t="s">
        <v>734</v>
      </c>
      <c r="B2118" s="7" t="n">
        <v>2392</v>
      </c>
      <c r="C2118" s="7" t="n">
        <f aca="false">AVERAGE(B2069:B2118)</f>
        <v>2305.6616</v>
      </c>
      <c r="D2118" s="7" t="n">
        <f aca="false">AVERAGE(B1919:B2118)</f>
        <v>2199.0222</v>
      </c>
      <c r="E2118" s="7" t="n">
        <f aca="false">B2118/MAX(B1867:B2118)-1</f>
        <v>0</v>
      </c>
      <c r="F2118" s="7" t="str">
        <f aca="false">IFERROR(INDEX(02_轉折點45個!B:B,MATCH(A2118,02_轉折點45個!A:A,0)),"")</f>
        <v/>
      </c>
      <c r="G2118" s="7" t="s">
        <v>1994</v>
      </c>
    </row>
    <row r="2119" customFormat="false" ht="15" hidden="false" customHeight="false" outlineLevel="0" collapsed="false">
      <c r="A2119" s="7" t="s">
        <v>3737</v>
      </c>
      <c r="B2119" s="7" t="n">
        <v>2385.55</v>
      </c>
      <c r="C2119" s="7" t="n">
        <f aca="false">AVERAGE(B2070:B2119)</f>
        <v>2308.627</v>
      </c>
      <c r="D2119" s="7" t="n">
        <f aca="false">AVERAGE(B1920:B2119)</f>
        <v>2201.13115</v>
      </c>
      <c r="E2119" s="7" t="n">
        <f aca="false">B2119/MAX(B1868:B2119)-1</f>
        <v>-0.00269648829431435</v>
      </c>
      <c r="F2119" s="7" t="str">
        <f aca="false">IFERROR(INDEX(02_轉折點45個!B:B,MATCH(A2119,02_轉折點45個!A:A,0)),"")</f>
        <v/>
      </c>
      <c r="G2119" s="7" t="s">
        <v>1994</v>
      </c>
    </row>
    <row r="2120" customFormat="false" ht="15" hidden="false" customHeight="false" outlineLevel="0" collapsed="false">
      <c r="A2120" s="7" t="s">
        <v>3738</v>
      </c>
      <c r="B2120" s="7" t="n">
        <v>2363.58</v>
      </c>
      <c r="C2120" s="7" t="n">
        <f aca="false">AVERAGE(B2071:B2120)</f>
        <v>2311.0306</v>
      </c>
      <c r="D2120" s="7" t="n">
        <f aca="false">AVERAGE(B1921:B2120)</f>
        <v>2203.0934</v>
      </c>
      <c r="E2120" s="7" t="n">
        <f aca="false">B2120/MAX(B1869:B2120)-1</f>
        <v>-0.0118812709030101</v>
      </c>
      <c r="F2120" s="7" t="str">
        <f aca="false">IFERROR(INDEX(02_轉折點45個!B:B,MATCH(A2120,02_轉折點45個!A:A,0)),"")</f>
        <v/>
      </c>
      <c r="G2120" s="7" t="s">
        <v>1994</v>
      </c>
    </row>
    <row r="2121" customFormat="false" ht="15" hidden="false" customHeight="false" outlineLevel="0" collapsed="false">
      <c r="A2121" s="7" t="s">
        <v>3739</v>
      </c>
      <c r="B2121" s="7" t="n">
        <v>2321.74</v>
      </c>
      <c r="C2121" s="7" t="n">
        <f aca="false">AVERAGE(B2072:B2121)</f>
        <v>2312.93</v>
      </c>
      <c r="D2121" s="7" t="n">
        <f aca="false">AVERAGE(B1922:B2121)</f>
        <v>2204.81745</v>
      </c>
      <c r="E2121" s="7" t="n">
        <f aca="false">B2121/MAX(B1870:B2121)-1</f>
        <v>-0.0293729096989968</v>
      </c>
      <c r="F2121" s="7" t="str">
        <f aca="false">IFERROR(INDEX(02_轉折點45個!B:B,MATCH(A2121,02_轉折點45個!A:A,0)),"")</f>
        <v/>
      </c>
      <c r="G2121" s="7" t="s">
        <v>1994</v>
      </c>
    </row>
    <row r="2122" customFormat="false" ht="15" hidden="false" customHeight="false" outlineLevel="0" collapsed="false">
      <c r="A2122" s="7" t="s">
        <v>735</v>
      </c>
      <c r="B2122" s="7" t="n">
        <v>2351.12</v>
      </c>
      <c r="C2122" s="7" t="n">
        <f aca="false">AVERAGE(B2073:B2122)</f>
        <v>2315.7884</v>
      </c>
      <c r="D2122" s="7" t="n">
        <f aca="false">AVERAGE(B1923:B2122)</f>
        <v>2206.7624</v>
      </c>
      <c r="E2122" s="7" t="n">
        <f aca="false">B2122/MAX(B1871:B2122)-1</f>
        <v>-0.0170903010033445</v>
      </c>
      <c r="F2122" s="7" t="str">
        <f aca="false">IFERROR(INDEX(02_轉折點45個!B:B,MATCH(A2122,02_轉折點45個!A:A,0)),"")</f>
        <v/>
      </c>
      <c r="G2122" s="7" t="s">
        <v>1994</v>
      </c>
    </row>
    <row r="2123" customFormat="false" ht="15" hidden="false" customHeight="false" outlineLevel="0" collapsed="false">
      <c r="A2123" s="7" t="s">
        <v>3740</v>
      </c>
      <c r="B2123" s="7" t="n">
        <v>2349.85</v>
      </c>
      <c r="C2123" s="7" t="n">
        <f aca="false">AVERAGE(B2074:B2123)</f>
        <v>2318.6072</v>
      </c>
      <c r="D2123" s="7" t="n">
        <f aca="false">AVERAGE(B1924:B2123)</f>
        <v>2208.69065</v>
      </c>
      <c r="E2123" s="7" t="n">
        <f aca="false">B2123/MAX(B1872:B2123)-1</f>
        <v>-0.017621237458194</v>
      </c>
      <c r="F2123" s="7" t="str">
        <f aca="false">IFERROR(INDEX(02_轉折點45個!B:B,MATCH(A2123,02_轉折點45個!A:A,0)),"")</f>
        <v/>
      </c>
      <c r="G2123" s="7" t="s">
        <v>1994</v>
      </c>
    </row>
    <row r="2124" customFormat="false" ht="15" hidden="false" customHeight="false" outlineLevel="0" collapsed="false">
      <c r="A2124" s="7" t="s">
        <v>3741</v>
      </c>
      <c r="B2124" s="7" t="n">
        <v>2329.4</v>
      </c>
      <c r="C2124" s="7" t="n">
        <f aca="false">AVERAGE(B2075:B2124)</f>
        <v>2320.9484</v>
      </c>
      <c r="D2124" s="7" t="n">
        <f aca="false">AVERAGE(B1925:B2124)</f>
        <v>2210.5868</v>
      </c>
      <c r="E2124" s="7" t="n">
        <f aca="false">B2124/MAX(B1873:B2124)-1</f>
        <v>-0.0261705685618728</v>
      </c>
      <c r="F2124" s="7" t="str">
        <f aca="false">IFERROR(INDEX(02_轉折點45個!B:B,MATCH(A2124,02_轉折點45個!A:A,0)),"")</f>
        <v/>
      </c>
      <c r="G2124" s="7" t="s">
        <v>1994</v>
      </c>
    </row>
    <row r="2125" customFormat="false" ht="15" hidden="false" customHeight="false" outlineLevel="0" collapsed="false">
      <c r="A2125" s="7" t="s">
        <v>3742</v>
      </c>
      <c r="B2125" s="7" t="n">
        <v>2359.13</v>
      </c>
      <c r="C2125" s="7" t="n">
        <f aca="false">AVERAGE(B2076:B2125)</f>
        <v>2323.8728</v>
      </c>
      <c r="D2125" s="7" t="n">
        <f aca="false">AVERAGE(B1926:B2125)</f>
        <v>2212.6204</v>
      </c>
      <c r="E2125" s="7" t="n">
        <f aca="false">B2125/MAX(B1874:B2125)-1</f>
        <v>-0.0137416387959866</v>
      </c>
      <c r="F2125" s="7" t="str">
        <f aca="false">IFERROR(INDEX(02_轉折點45個!B:B,MATCH(A2125,02_轉折點45個!A:A,0)),"")</f>
        <v/>
      </c>
      <c r="G2125" s="7" t="s">
        <v>1994</v>
      </c>
    </row>
    <row r="2126" customFormat="false" ht="15" hidden="false" customHeight="false" outlineLevel="0" collapsed="false">
      <c r="A2126" s="7" t="s">
        <v>3743</v>
      </c>
      <c r="B2126" s="7" t="n">
        <v>2374.75</v>
      </c>
      <c r="C2126" s="7" t="n">
        <f aca="false">AVERAGE(B2077:B2126)</f>
        <v>2326.5968</v>
      </c>
      <c r="D2126" s="7" t="n">
        <f aca="false">AVERAGE(B1927:B2126)</f>
        <v>2214.7176</v>
      </c>
      <c r="E2126" s="7" t="n">
        <f aca="false">B2126/MAX(B1875:B2126)-1</f>
        <v>-0.00721153846153844</v>
      </c>
      <c r="F2126" s="7" t="str">
        <f aca="false">IFERROR(INDEX(02_轉折點45個!B:B,MATCH(A2126,02_轉折點45個!A:A,0)),"")</f>
        <v/>
      </c>
      <c r="G2126" s="7" t="s">
        <v>1994</v>
      </c>
    </row>
    <row r="2127" customFormat="false" ht="15" hidden="false" customHeight="false" outlineLevel="0" collapsed="false">
      <c r="A2127" s="7" t="s">
        <v>736</v>
      </c>
      <c r="B2127" s="7" t="n">
        <v>2399.69</v>
      </c>
      <c r="C2127" s="7" t="n">
        <f aca="false">AVERAGE(B2078:B2127)</f>
        <v>2329.6668</v>
      </c>
      <c r="D2127" s="7" t="n">
        <f aca="false">AVERAGE(B1928:B2127)</f>
        <v>2216.84625</v>
      </c>
      <c r="E2127" s="7" t="n">
        <f aca="false">B2127/MAX(B1876:B2127)-1</f>
        <v>0</v>
      </c>
      <c r="F2127" s="7" t="str">
        <f aca="false">IFERROR(INDEX(02_轉折點45個!B:B,MATCH(A2127,02_轉折點45個!A:A,0)),"")</f>
        <v/>
      </c>
      <c r="G2127" s="7" t="s">
        <v>1994</v>
      </c>
    </row>
    <row r="2128" customFormat="false" ht="15" hidden="false" customHeight="false" outlineLevel="0" collapsed="false">
      <c r="A2128" s="7" t="s">
        <v>3744</v>
      </c>
      <c r="B2128" s="7" t="n">
        <v>2399.59</v>
      </c>
      <c r="C2128" s="7" t="n">
        <f aca="false">AVERAGE(B2079:B2128)</f>
        <v>2332.5036</v>
      </c>
      <c r="D2128" s="7" t="n">
        <f aca="false">AVERAGE(B1929:B2128)</f>
        <v>2218.92145</v>
      </c>
      <c r="E2128" s="7" t="n">
        <f aca="false">B2128/MAX(B1877:B2128)-1</f>
        <v>-4.16720493063849E-005</v>
      </c>
      <c r="F2128" s="7" t="str">
        <f aca="false">IFERROR(INDEX(02_轉折點45個!B:B,MATCH(A2128,02_轉折點45個!A:A,0)),"")</f>
        <v/>
      </c>
      <c r="G2128" s="7" t="s">
        <v>1994</v>
      </c>
    </row>
    <row r="2129" customFormat="false" ht="15" hidden="false" customHeight="false" outlineLevel="0" collapsed="false">
      <c r="A2129" s="7" t="s">
        <v>737</v>
      </c>
      <c r="B2129" s="7" t="n">
        <v>2399.74</v>
      </c>
      <c r="C2129" s="7" t="n">
        <f aca="false">AVERAGE(B2080:B2129)</f>
        <v>2335.3828</v>
      </c>
      <c r="D2129" s="7" t="n">
        <f aca="false">AVERAGE(B1930:B2129)</f>
        <v>2220.93605</v>
      </c>
      <c r="E2129" s="7" t="n">
        <f aca="false">B2129/MAX(B1878:B2129)-1</f>
        <v>0</v>
      </c>
      <c r="F2129" s="7" t="str">
        <f aca="false">IFERROR(INDEX(02_轉折點45個!B:B,MATCH(A2129,02_轉折點45個!A:A,0)),"")</f>
        <v/>
      </c>
      <c r="G2129" s="7" t="s">
        <v>1994</v>
      </c>
    </row>
    <row r="2130" customFormat="false" ht="15" hidden="false" customHeight="false" outlineLevel="0" collapsed="false">
      <c r="A2130" s="7" t="s">
        <v>3745</v>
      </c>
      <c r="B2130" s="7" t="n">
        <v>2375.25</v>
      </c>
      <c r="C2130" s="7" t="n">
        <f aca="false">AVERAGE(B2081:B2130)</f>
        <v>2337.6182</v>
      </c>
      <c r="D2130" s="7" t="n">
        <f aca="false">AVERAGE(B1931:B2130)</f>
        <v>2222.83725</v>
      </c>
      <c r="E2130" s="7" t="n">
        <f aca="false">B2130/MAX(B1879:B2130)-1</f>
        <v>-0.0102052722378256</v>
      </c>
      <c r="F2130" s="7" t="str">
        <f aca="false">IFERROR(INDEX(02_轉折點45個!B:B,MATCH(A2130,02_轉折點45個!A:A,0)),"")</f>
        <v/>
      </c>
      <c r="G2130" s="7" t="s">
        <v>1994</v>
      </c>
    </row>
    <row r="2131" customFormat="false" ht="15" hidden="false" customHeight="false" outlineLevel="0" collapsed="false">
      <c r="A2131" s="7" t="s">
        <v>3746</v>
      </c>
      <c r="B2131" s="7" t="n">
        <v>2390.78</v>
      </c>
      <c r="C2131" s="7" t="n">
        <f aca="false">AVERAGE(B2082:B2131)</f>
        <v>2340.4986</v>
      </c>
      <c r="D2131" s="7" t="n">
        <f aca="false">AVERAGE(B1932:B2131)</f>
        <v>2224.7731</v>
      </c>
      <c r="E2131" s="7" t="n">
        <f aca="false">B2131/MAX(B1880:B2131)-1</f>
        <v>-0.00373373782159714</v>
      </c>
      <c r="F2131" s="7" t="str">
        <f aca="false">IFERROR(INDEX(02_轉折點45個!B:B,MATCH(A2131,02_轉折點45個!A:A,0)),"")</f>
        <v/>
      </c>
      <c r="G2131" s="7" t="s">
        <v>1994</v>
      </c>
    </row>
    <row r="2132" customFormat="false" ht="15" hidden="false" customHeight="false" outlineLevel="0" collapsed="false">
      <c r="A2132" s="7" t="s">
        <v>3747</v>
      </c>
      <c r="B2132" s="7" t="n">
        <v>2365.2</v>
      </c>
      <c r="C2132" s="7" t="n">
        <f aca="false">AVERAGE(B2083:B2132)</f>
        <v>2342.4836</v>
      </c>
      <c r="D2132" s="7" t="n">
        <f aca="false">AVERAGE(B1933:B2132)</f>
        <v>2226.52375</v>
      </c>
      <c r="E2132" s="7" t="n">
        <f aca="false">B2132/MAX(B1881:B2132)-1</f>
        <v>-0.0143932259328093</v>
      </c>
      <c r="F2132" s="7" t="str">
        <f aca="false">IFERROR(INDEX(02_轉折點45個!B:B,MATCH(A2132,02_轉折點45個!A:A,0)),"")</f>
        <v/>
      </c>
      <c r="G2132" s="7" t="s">
        <v>1994</v>
      </c>
    </row>
    <row r="2133" customFormat="false" ht="15" hidden="false" customHeight="false" outlineLevel="0" collapsed="false">
      <c r="A2133" s="7" t="s">
        <v>3748</v>
      </c>
      <c r="B2133" s="7" t="n">
        <v>2354.35</v>
      </c>
      <c r="C2133" s="7" t="n">
        <f aca="false">AVERAGE(B2084:B2133)</f>
        <v>2344.0392</v>
      </c>
      <c r="D2133" s="7" t="n">
        <f aca="false">AVERAGE(B1934:B2133)</f>
        <v>2228.3931</v>
      </c>
      <c r="E2133" s="7" t="n">
        <f aca="false">B2133/MAX(B1882:B2133)-1</f>
        <v>-0.0189145490761499</v>
      </c>
      <c r="F2133" s="7" t="str">
        <f aca="false">IFERROR(INDEX(02_轉折點45個!B:B,MATCH(A2133,02_轉折點45個!A:A,0)),"")</f>
        <v/>
      </c>
      <c r="G2133" s="7" t="s">
        <v>1994</v>
      </c>
    </row>
    <row r="2134" customFormat="false" ht="15" hidden="false" customHeight="false" outlineLevel="0" collapsed="false">
      <c r="A2134" s="7" t="s">
        <v>738</v>
      </c>
      <c r="B2134" s="7" t="n">
        <v>2351.68</v>
      </c>
      <c r="C2134" s="7" t="n">
        <f aca="false">AVERAGE(B2085:B2134)</f>
        <v>2345.0592</v>
      </c>
      <c r="D2134" s="7" t="n">
        <f aca="false">AVERAGE(B1935:B2134)</f>
        <v>2230.30645</v>
      </c>
      <c r="E2134" s="7" t="n">
        <f aca="false">B2134/MAX(B1883:B2134)-1</f>
        <v>-0.020027169610041</v>
      </c>
      <c r="F2134" s="7" t="str">
        <f aca="false">IFERROR(INDEX(02_轉折點45個!B:B,MATCH(A2134,02_轉折點45個!A:A,0)),"")</f>
        <v/>
      </c>
      <c r="G2134" s="7" t="s">
        <v>1994</v>
      </c>
    </row>
    <row r="2135" customFormat="false" ht="15" hidden="false" customHeight="false" outlineLevel="0" collapsed="false">
      <c r="A2135" s="7" t="s">
        <v>3749</v>
      </c>
      <c r="B2135" s="7" t="n">
        <v>2380.18</v>
      </c>
      <c r="C2135" s="7" t="n">
        <f aca="false">AVERAGE(B2086:B2135)</f>
        <v>2346.6744</v>
      </c>
      <c r="D2135" s="7" t="n">
        <f aca="false">AVERAGE(B1936:B2135)</f>
        <v>2232.3143</v>
      </c>
      <c r="E2135" s="7" t="n">
        <f aca="false">B2135/MAX(B1884:B2135)-1</f>
        <v>-0.00815088301232636</v>
      </c>
      <c r="F2135" s="7" t="str">
        <f aca="false">IFERROR(INDEX(02_轉折點45個!B:B,MATCH(A2135,02_轉折點45個!A:A,0)),"")</f>
        <v/>
      </c>
      <c r="G2135" s="7" t="s">
        <v>1994</v>
      </c>
    </row>
    <row r="2136" customFormat="false" ht="15" hidden="false" customHeight="false" outlineLevel="0" collapsed="false">
      <c r="A2136" s="7" t="s">
        <v>3750</v>
      </c>
      <c r="B2136" s="7" t="n">
        <v>2382.94</v>
      </c>
      <c r="C2136" s="7" t="n">
        <f aca="false">AVERAGE(B2087:B2136)</f>
        <v>2348.4628</v>
      </c>
      <c r="D2136" s="7" t="n">
        <f aca="false">AVERAGE(B1937:B2136)</f>
        <v>2234.3019</v>
      </c>
      <c r="E2136" s="7" t="n">
        <f aca="false">B2136/MAX(B1885:B2136)-1</f>
        <v>-0.00700075841549486</v>
      </c>
      <c r="F2136" s="7" t="str">
        <f aca="false">IFERROR(INDEX(02_轉折點45個!B:B,MATCH(A2136,02_轉折點45個!A:A,0)),"")</f>
        <v/>
      </c>
      <c r="G2136" s="7" t="s">
        <v>1994</v>
      </c>
    </row>
    <row r="2137" customFormat="false" ht="15" hidden="false" customHeight="false" outlineLevel="0" collapsed="false">
      <c r="A2137" s="7" t="s">
        <v>3751</v>
      </c>
      <c r="B2137" s="7" t="n">
        <v>2378.24</v>
      </c>
      <c r="C2137" s="7" t="n">
        <f aca="false">AVERAGE(B2088:B2137)</f>
        <v>2350.2512</v>
      </c>
      <c r="D2137" s="7" t="n">
        <f aca="false">AVERAGE(B1938:B2137)</f>
        <v>2236.07155</v>
      </c>
      <c r="E2137" s="7" t="n">
        <f aca="false">B2137/MAX(B1886:B2137)-1</f>
        <v>-0.00895930392459188</v>
      </c>
      <c r="F2137" s="7" t="str">
        <f aca="false">IFERROR(INDEX(02_轉折點45個!B:B,MATCH(A2137,02_轉折點45個!A:A,0)),"")</f>
        <v/>
      </c>
      <c r="G2137" s="7" t="s">
        <v>1994</v>
      </c>
    </row>
    <row r="2138" customFormat="false" ht="15" hidden="false" customHeight="false" outlineLevel="0" collapsed="false">
      <c r="A2138" s="7" t="s">
        <v>739</v>
      </c>
      <c r="B2138" s="7" t="n">
        <v>2404.8</v>
      </c>
      <c r="C2138" s="7" t="n">
        <f aca="false">AVERAGE(B2089:B2138)</f>
        <v>2352.1864</v>
      </c>
      <c r="D2138" s="7" t="n">
        <f aca="false">AVERAGE(B1939:B2138)</f>
        <v>2237.91985</v>
      </c>
      <c r="E2138" s="7" t="n">
        <f aca="false">B2138/MAX(B1887:B2138)-1</f>
        <v>0</v>
      </c>
      <c r="F2138" s="7" t="str">
        <f aca="false">IFERROR(INDEX(02_轉折點45個!B:B,MATCH(A2138,02_轉折點45個!A:A,0)),"")</f>
        <v/>
      </c>
      <c r="G2138" s="7" t="s">
        <v>1994</v>
      </c>
    </row>
    <row r="2139" customFormat="false" ht="15" hidden="false" customHeight="false" outlineLevel="0" collapsed="false">
      <c r="A2139" s="7" t="s">
        <v>740</v>
      </c>
      <c r="B2139" s="7" t="n">
        <v>2416.35</v>
      </c>
      <c r="C2139" s="7" t="n">
        <f aca="false">AVERAGE(B2090:B2139)</f>
        <v>2354.4022</v>
      </c>
      <c r="D2139" s="7" t="n">
        <f aca="false">AVERAGE(B1940:B2139)</f>
        <v>2239.82105</v>
      </c>
      <c r="E2139" s="7" t="n">
        <f aca="false">B2139/MAX(B1888:B2139)-1</f>
        <v>0</v>
      </c>
      <c r="F2139" s="7" t="str">
        <f aca="false">IFERROR(INDEX(02_轉折點45個!B:B,MATCH(A2139,02_轉折點45個!A:A,0)),"")</f>
        <v/>
      </c>
      <c r="G2139" s="7" t="s">
        <v>1994</v>
      </c>
    </row>
    <row r="2140" customFormat="false" ht="15" hidden="false" customHeight="false" outlineLevel="0" collapsed="false">
      <c r="A2140" s="7" t="s">
        <v>3752</v>
      </c>
      <c r="B2140" s="7" t="n">
        <v>2427.04</v>
      </c>
      <c r="C2140" s="7" t="n">
        <f aca="false">AVERAGE(B2091:B2140)</f>
        <v>2356.816</v>
      </c>
      <c r="D2140" s="7" t="n">
        <f aca="false">AVERAGE(B1941:B2140)</f>
        <v>2241.7444</v>
      </c>
      <c r="E2140" s="7" t="n">
        <f aca="false">B2140/MAX(B1889:B2140)-1</f>
        <v>0</v>
      </c>
      <c r="F2140" s="7" t="str">
        <f aca="false">IFERROR(INDEX(02_轉折點45個!B:B,MATCH(A2140,02_轉折點45個!A:A,0)),"")</f>
        <v/>
      </c>
      <c r="G2140" s="7" t="s">
        <v>1994</v>
      </c>
    </row>
    <row r="2141" customFormat="false" ht="15" hidden="false" customHeight="false" outlineLevel="0" collapsed="false">
      <c r="A2141" s="7" t="s">
        <v>3753</v>
      </c>
      <c r="B2141" s="7" t="n">
        <v>2436.05</v>
      </c>
      <c r="C2141" s="7" t="n">
        <f aca="false">AVERAGE(B2092:B2141)</f>
        <v>2358.9834</v>
      </c>
      <c r="D2141" s="7" t="n">
        <f aca="false">AVERAGE(B1942:B2141)</f>
        <v>2243.71205</v>
      </c>
      <c r="E2141" s="7" t="n">
        <f aca="false">B2141/MAX(B1890:B2141)-1</f>
        <v>0</v>
      </c>
      <c r="F2141" s="7" t="str">
        <f aca="false">IFERROR(INDEX(02_轉折點45個!B:B,MATCH(A2141,02_轉折點45個!A:A,0)),"")</f>
        <v/>
      </c>
      <c r="G2141" s="7" t="s">
        <v>1994</v>
      </c>
    </row>
    <row r="2142" customFormat="false" ht="15" hidden="false" customHeight="false" outlineLevel="0" collapsed="false">
      <c r="A2142" s="7" t="s">
        <v>3754</v>
      </c>
      <c r="B2142" s="7" t="n">
        <v>2439.26</v>
      </c>
      <c r="C2142" s="7" t="n">
        <f aca="false">AVERAGE(B2093:B2142)</f>
        <v>2361.095</v>
      </c>
      <c r="D2142" s="7" t="n">
        <f aca="false">AVERAGE(B1943:B2142)</f>
        <v>2245.75685</v>
      </c>
      <c r="E2142" s="7" t="n">
        <f aca="false">B2142/MAX(B1891:B2142)-1</f>
        <v>0</v>
      </c>
      <c r="F2142" s="7" t="str">
        <f aca="false">IFERROR(INDEX(02_轉折點45個!B:B,MATCH(A2142,02_轉折點45個!A:A,0)),"")</f>
        <v/>
      </c>
      <c r="G2142" s="7" t="s">
        <v>1994</v>
      </c>
    </row>
    <row r="2143" customFormat="false" ht="15" hidden="false" customHeight="false" outlineLevel="0" collapsed="false">
      <c r="A2143" s="7" t="s">
        <v>741</v>
      </c>
      <c r="B2143" s="7" t="n">
        <v>2411.06</v>
      </c>
      <c r="C2143" s="7" t="n">
        <f aca="false">AVERAGE(B2094:B2143)</f>
        <v>2362.5922</v>
      </c>
      <c r="D2143" s="7" t="n">
        <f aca="false">AVERAGE(B1944:B2143)</f>
        <v>2247.52125</v>
      </c>
      <c r="E2143" s="7" t="n">
        <f aca="false">B2143/MAX(B1892:B2143)-1</f>
        <v>-0.0115608832186812</v>
      </c>
      <c r="F2143" s="7" t="str">
        <f aca="false">IFERROR(INDEX(02_轉折點45個!B:B,MATCH(A2143,02_轉折點45個!A:A,0)),"")</f>
        <v/>
      </c>
      <c r="G2143" s="7" t="s">
        <v>1994</v>
      </c>
    </row>
    <row r="2144" customFormat="false" ht="15" hidden="false" customHeight="false" outlineLevel="0" collapsed="false">
      <c r="A2144" s="7" t="s">
        <v>3755</v>
      </c>
      <c r="B2144" s="7" t="n">
        <v>2422.6</v>
      </c>
      <c r="C2144" s="7" t="n">
        <f aca="false">AVERAGE(B2095:B2144)</f>
        <v>2364.9072</v>
      </c>
      <c r="D2144" s="7" t="n">
        <f aca="false">AVERAGE(B1945:B2144)</f>
        <v>2249.4125</v>
      </c>
      <c r="E2144" s="7" t="n">
        <f aca="false">B2144/MAX(B1893:B2144)-1</f>
        <v>-0.00682994022777417</v>
      </c>
      <c r="F2144" s="7" t="str">
        <f aca="false">IFERROR(INDEX(02_轉折點45個!B:B,MATCH(A2144,02_轉折點45個!A:A,0)),"")</f>
        <v/>
      </c>
      <c r="G2144" s="7" t="s">
        <v>1994</v>
      </c>
    </row>
    <row r="2145" customFormat="false" ht="15" hidden="false" customHeight="false" outlineLevel="0" collapsed="false">
      <c r="A2145" s="7" t="s">
        <v>3756</v>
      </c>
      <c r="B2145" s="7" t="n">
        <v>2468.23</v>
      </c>
      <c r="C2145" s="7" t="n">
        <f aca="false">AVERAGE(B2096:B2145)</f>
        <v>2368.017</v>
      </c>
      <c r="D2145" s="7" t="n">
        <f aca="false">AVERAGE(B1946:B2145)</f>
        <v>2251.6179</v>
      </c>
      <c r="E2145" s="7" t="n">
        <f aca="false">B2145/MAX(B1894:B2145)-1</f>
        <v>0</v>
      </c>
      <c r="F2145" s="7" t="str">
        <f aca="false">IFERROR(INDEX(02_轉折點45個!B:B,MATCH(A2145,02_轉折點45個!A:A,0)),"")</f>
        <v/>
      </c>
      <c r="G2145" s="7" t="s">
        <v>1994</v>
      </c>
    </row>
    <row r="2146" customFormat="false" ht="15" hidden="false" customHeight="false" outlineLevel="0" collapsed="false">
      <c r="A2146" s="7" t="s">
        <v>3757</v>
      </c>
      <c r="B2146" s="7" t="n">
        <v>2473.04</v>
      </c>
      <c r="C2146" s="7" t="n">
        <f aca="false">AVERAGE(B2097:B2146)</f>
        <v>2370.7424</v>
      </c>
      <c r="D2146" s="7" t="n">
        <f aca="false">AVERAGE(B1947:B2146)</f>
        <v>2253.70965</v>
      </c>
      <c r="E2146" s="7" t="n">
        <f aca="false">B2146/MAX(B1895:B2146)-1</f>
        <v>0</v>
      </c>
      <c r="F2146" s="7" t="str">
        <f aca="false">IFERROR(INDEX(02_轉折點45個!B:B,MATCH(A2146,02_轉折點45個!A:A,0)),"")</f>
        <v/>
      </c>
      <c r="G2146" s="7" t="s">
        <v>1994</v>
      </c>
    </row>
    <row r="2147" customFormat="false" ht="15" hidden="false" customHeight="false" outlineLevel="0" collapsed="false">
      <c r="A2147" s="7" t="s">
        <v>3758</v>
      </c>
      <c r="B2147" s="7" t="n">
        <v>2464.21</v>
      </c>
      <c r="C2147" s="7" t="n">
        <f aca="false">AVERAGE(B2098:B2147)</f>
        <v>2373.152</v>
      </c>
      <c r="D2147" s="7" t="n">
        <f aca="false">AVERAGE(B1948:B2147)</f>
        <v>2255.7012</v>
      </c>
      <c r="E2147" s="7" t="n">
        <f aca="false">B2147/MAX(B1896:B2147)-1</f>
        <v>-0.00357050431857142</v>
      </c>
      <c r="F2147" s="7" t="str">
        <f aca="false">IFERROR(INDEX(02_轉折點45個!B:B,MATCH(A2147,02_轉折點45個!A:A,0)),"")</f>
        <v/>
      </c>
      <c r="G2147" s="7" t="s">
        <v>1994</v>
      </c>
    </row>
    <row r="2148" customFormat="false" ht="15" hidden="false" customHeight="false" outlineLevel="0" collapsed="false">
      <c r="A2148" s="7" t="s">
        <v>3759</v>
      </c>
      <c r="B2148" s="7" t="n">
        <v>2477.87</v>
      </c>
      <c r="C2148" s="7" t="n">
        <f aca="false">AVERAGE(B2099:B2148)</f>
        <v>2375.7124</v>
      </c>
      <c r="D2148" s="7" t="n">
        <f aca="false">AVERAGE(B1949:B2148)</f>
        <v>2257.7517</v>
      </c>
      <c r="E2148" s="7" t="n">
        <f aca="false">B2148/MAX(B1897:B2148)-1</f>
        <v>0</v>
      </c>
      <c r="F2148" s="7" t="str">
        <f aca="false">IFERROR(INDEX(02_轉折點45個!B:B,MATCH(A2148,02_轉折點45個!A:A,0)),"")</f>
        <v/>
      </c>
      <c r="G2148" s="7" t="s">
        <v>1994</v>
      </c>
    </row>
    <row r="2149" customFormat="false" ht="15" hidden="false" customHeight="false" outlineLevel="0" collapsed="false">
      <c r="A2149" s="7" t="s">
        <v>3760</v>
      </c>
      <c r="B2149" s="7" t="n">
        <v>2466.18</v>
      </c>
      <c r="C2149" s="7" t="n">
        <f aca="false">AVERAGE(B2100:B2149)</f>
        <v>2378.061</v>
      </c>
      <c r="D2149" s="7" t="n">
        <f aca="false">AVERAGE(B1950:B2149)</f>
        <v>2259.71345</v>
      </c>
      <c r="E2149" s="7" t="n">
        <f aca="false">B2149/MAX(B1898:B2149)-1</f>
        <v>-0.00471776162591264</v>
      </c>
      <c r="F2149" s="7" t="str">
        <f aca="false">IFERROR(INDEX(02_轉折點45個!B:B,MATCH(A2149,02_轉折點45個!A:A,0)),"")</f>
        <v/>
      </c>
      <c r="G2149" s="7" t="s">
        <v>1994</v>
      </c>
    </row>
    <row r="2150" customFormat="false" ht="15" hidden="false" customHeight="false" outlineLevel="0" collapsed="false">
      <c r="A2150" s="7" t="s">
        <v>3761</v>
      </c>
      <c r="B2150" s="7" t="n">
        <v>2484.95</v>
      </c>
      <c r="C2150" s="7" t="n">
        <f aca="false">AVERAGE(B2101:B2150)</f>
        <v>2380.7704</v>
      </c>
      <c r="D2150" s="7" t="n">
        <f aca="false">AVERAGE(B1951:B2150)</f>
        <v>2261.822</v>
      </c>
      <c r="E2150" s="7" t="n">
        <f aca="false">B2150/MAX(B1899:B2150)-1</f>
        <v>0</v>
      </c>
      <c r="F2150" s="7" t="str">
        <f aca="false">IFERROR(INDEX(02_轉折點45個!B:B,MATCH(A2150,02_轉折點45個!A:A,0)),"")</f>
        <v/>
      </c>
      <c r="G2150" s="7" t="s">
        <v>1994</v>
      </c>
    </row>
    <row r="2151" customFormat="false" ht="15" hidden="false" customHeight="false" outlineLevel="0" collapsed="false">
      <c r="A2151" s="7" t="s">
        <v>742</v>
      </c>
      <c r="B2151" s="7" t="n">
        <v>2455.32</v>
      </c>
      <c r="C2151" s="7" t="n">
        <f aca="false">AVERAGE(B2102:B2151)</f>
        <v>2382.8034</v>
      </c>
      <c r="D2151" s="7" t="n">
        <f aca="false">AVERAGE(B1952:B2151)</f>
        <v>2263.87755</v>
      </c>
      <c r="E2151" s="7" t="n">
        <f aca="false">B2151/MAX(B1900:B2151)-1</f>
        <v>-0.0119237811625987</v>
      </c>
      <c r="F2151" s="7" t="str">
        <f aca="false">IFERROR(INDEX(02_轉折點45個!B:B,MATCH(A2151,02_轉折點45個!A:A,0)),"")</f>
        <v/>
      </c>
      <c r="G2151" s="7" t="s">
        <v>1994</v>
      </c>
    </row>
    <row r="2152" customFormat="false" ht="15" hidden="false" customHeight="false" outlineLevel="0" collapsed="false">
      <c r="A2152" s="7" t="s">
        <v>3762</v>
      </c>
      <c r="B2152" s="7" t="n">
        <v>2458.04</v>
      </c>
      <c r="C2152" s="7" t="n">
        <f aca="false">AVERAGE(B2103:B2152)</f>
        <v>2385.669</v>
      </c>
      <c r="D2152" s="7" t="n">
        <f aca="false">AVERAGE(B1953:B2152)</f>
        <v>2265.91905</v>
      </c>
      <c r="E2152" s="7" t="n">
        <f aca="false">B2152/MAX(B1901:B2152)-1</f>
        <v>-0.01082919173424</v>
      </c>
      <c r="F2152" s="7" t="str">
        <f aca="false">IFERROR(INDEX(02_轉折點45個!B:B,MATCH(A2152,02_轉折點45個!A:A,0)),"")</f>
        <v/>
      </c>
      <c r="G2152" s="7" t="s">
        <v>1994</v>
      </c>
    </row>
    <row r="2153" customFormat="false" ht="15" hidden="false" customHeight="false" outlineLevel="0" collapsed="false">
      <c r="A2153" s="7" t="s">
        <v>743</v>
      </c>
      <c r="B2153" s="7" t="n">
        <v>2411.7</v>
      </c>
      <c r="C2153" s="7" t="n">
        <f aca="false">AVERAGE(B2104:B2153)</f>
        <v>2387.0876</v>
      </c>
      <c r="D2153" s="7" t="n">
        <f aca="false">AVERAGE(B1954:B2153)</f>
        <v>2267.5128</v>
      </c>
      <c r="E2153" s="7" t="n">
        <f aca="false">B2153/MAX(B1902:B2153)-1</f>
        <v>-0.0294774542747339</v>
      </c>
      <c r="F2153" s="7" t="str">
        <f aca="false">IFERROR(INDEX(02_轉折點45個!B:B,MATCH(A2153,02_轉折點45個!A:A,0)),"")</f>
        <v/>
      </c>
      <c r="G2153" s="7" t="s">
        <v>1994</v>
      </c>
    </row>
    <row r="2154" customFormat="false" ht="15" hidden="false" customHeight="false" outlineLevel="0" collapsed="false">
      <c r="A2154" s="7" t="s">
        <v>3763</v>
      </c>
      <c r="B2154" s="7" t="n">
        <v>2419.3</v>
      </c>
      <c r="C2154" s="7" t="n">
        <f aca="false">AVERAGE(B2105:B2154)</f>
        <v>2388.9464</v>
      </c>
      <c r="D2154" s="7" t="n">
        <f aca="false">AVERAGE(B1955:B2154)</f>
        <v>2269.07425</v>
      </c>
      <c r="E2154" s="7" t="n">
        <f aca="false">B2154/MAX(B1903:B2154)-1</f>
        <v>-0.0264190426366726</v>
      </c>
      <c r="F2154" s="7" t="str">
        <f aca="false">IFERROR(INDEX(02_轉折點45個!B:B,MATCH(A2154,02_轉折點45個!A:A,0)),"")</f>
        <v/>
      </c>
      <c r="G2154" s="7" t="s">
        <v>1994</v>
      </c>
    </row>
    <row r="2155" customFormat="false" ht="15" hidden="false" customHeight="false" outlineLevel="0" collapsed="false">
      <c r="A2155" s="7" t="s">
        <v>3764</v>
      </c>
      <c r="B2155" s="7" t="n">
        <v>2374.69</v>
      </c>
      <c r="C2155" s="7" t="n">
        <f aca="false">AVERAGE(B2106:B2155)</f>
        <v>2390.2994</v>
      </c>
      <c r="D2155" s="7" t="n">
        <f aca="false">AVERAGE(B1956:B2155)</f>
        <v>2270.44165</v>
      </c>
      <c r="E2155" s="7" t="n">
        <f aca="false">B2155/MAX(B1904:B2155)-1</f>
        <v>-0.0443711141069236</v>
      </c>
      <c r="F2155" s="7" t="str">
        <f aca="false">IFERROR(INDEX(02_轉折點45個!B:B,MATCH(A2155,02_轉折點45個!A:A,0)),"")</f>
        <v/>
      </c>
      <c r="G2155" s="7" t="s">
        <v>1994</v>
      </c>
    </row>
    <row r="2156" customFormat="false" ht="15" hidden="false" customHeight="false" outlineLevel="0" collapsed="false">
      <c r="A2156" s="7" t="s">
        <v>744</v>
      </c>
      <c r="B2156" s="7" t="n">
        <v>2340.79</v>
      </c>
      <c r="C2156" s="7" t="n">
        <f aca="false">AVERAGE(B2107:B2156)</f>
        <v>2390.5702</v>
      </c>
      <c r="D2156" s="7" t="n">
        <f aca="false">AVERAGE(B1957:B2156)</f>
        <v>2271.58575</v>
      </c>
      <c r="E2156" s="7" t="n">
        <f aca="false">B2156/MAX(B1905:B2156)-1</f>
        <v>-0.0580132397030121</v>
      </c>
      <c r="F2156" s="7" t="str">
        <f aca="false">IFERROR(INDEX(02_轉折點45個!B:B,MATCH(A2156,02_轉折點45個!A:A,0)),"")</f>
        <v/>
      </c>
      <c r="G2156" s="7" t="s">
        <v>1994</v>
      </c>
    </row>
    <row r="2157" customFormat="false" ht="15" hidden="false" customHeight="false" outlineLevel="0" collapsed="false">
      <c r="A2157" s="7" t="s">
        <v>3765</v>
      </c>
      <c r="B2157" s="7" t="n">
        <v>2360.01</v>
      </c>
      <c r="C2157" s="7" t="n">
        <f aca="false">AVERAGE(B2108:B2157)</f>
        <v>2391.3722</v>
      </c>
      <c r="D2157" s="7" t="n">
        <f aca="false">AVERAGE(B1958:B2157)</f>
        <v>2272.80925</v>
      </c>
      <c r="E2157" s="7" t="n">
        <f aca="false">B2157/MAX(B1906:B2157)-1</f>
        <v>-0.050278677639389</v>
      </c>
      <c r="F2157" s="7" t="str">
        <f aca="false">IFERROR(INDEX(02_轉折點45個!B:B,MATCH(A2157,02_轉折點45個!A:A,0)),"")</f>
        <v/>
      </c>
      <c r="G2157" s="7" t="s">
        <v>1994</v>
      </c>
    </row>
    <row r="2158" customFormat="false" ht="15" hidden="false" customHeight="false" outlineLevel="0" collapsed="false">
      <c r="A2158" s="7" t="s">
        <v>745</v>
      </c>
      <c r="B2158" s="7" t="n">
        <v>2326.2</v>
      </c>
      <c r="C2158" s="7" t="n">
        <f aca="false">AVERAGE(B2109:B2158)</f>
        <v>2391.1496</v>
      </c>
      <c r="D2158" s="7" t="n">
        <f aca="false">AVERAGE(B1959:B2158)</f>
        <v>2273.8964</v>
      </c>
      <c r="E2158" s="7" t="n">
        <f aca="false">B2158/MAX(B1907:B2158)-1</f>
        <v>-0.0638845852029216</v>
      </c>
      <c r="F2158" s="7" t="str">
        <f aca="false">IFERROR(INDEX(02_轉折點45個!B:B,MATCH(A2158,02_轉折點45個!A:A,0)),"")</f>
        <v/>
      </c>
      <c r="G2158" s="7" t="s">
        <v>1994</v>
      </c>
    </row>
    <row r="2159" customFormat="false" ht="15" hidden="false" customHeight="false" outlineLevel="0" collapsed="false">
      <c r="A2159" s="7" t="s">
        <v>3766</v>
      </c>
      <c r="B2159" s="7" t="n">
        <v>2333.15</v>
      </c>
      <c r="C2159" s="7" t="n">
        <f aca="false">AVERAGE(B2110:B2159)</f>
        <v>2390.6944</v>
      </c>
      <c r="D2159" s="7" t="n">
        <f aca="false">AVERAGE(B1960:B2159)</f>
        <v>2274.8451</v>
      </c>
      <c r="E2159" s="7" t="n">
        <f aca="false">B2159/MAX(B1908:B2159)-1</f>
        <v>-0.0610877482444314</v>
      </c>
      <c r="F2159" s="7" t="str">
        <f aca="false">IFERROR(INDEX(02_轉折點45個!B:B,MATCH(A2159,02_轉折點45個!A:A,0)),"")</f>
        <v/>
      </c>
      <c r="G2159" s="7" t="s">
        <v>1994</v>
      </c>
    </row>
    <row r="2160" customFormat="false" ht="15" hidden="false" customHeight="false" outlineLevel="0" collapsed="false">
      <c r="A2160" s="7" t="s">
        <v>3767</v>
      </c>
      <c r="B2160" s="7" t="n">
        <v>2353.34</v>
      </c>
      <c r="C2160" s="7" t="n">
        <f aca="false">AVERAGE(B2111:B2160)</f>
        <v>2390.4744</v>
      </c>
      <c r="D2160" s="7" t="n">
        <f aca="false">AVERAGE(B1961:B2160)</f>
        <v>2275.844</v>
      </c>
      <c r="E2160" s="7" t="n">
        <f aca="false">B2160/MAX(B1909:B2160)-1</f>
        <v>-0.0529628362743716</v>
      </c>
      <c r="F2160" s="7" t="str">
        <f aca="false">IFERROR(INDEX(02_轉折點45個!B:B,MATCH(A2160,02_轉折點45個!A:A,0)),"")</f>
        <v/>
      </c>
      <c r="G2160" s="7" t="s">
        <v>1994</v>
      </c>
    </row>
    <row r="2161" customFormat="false" ht="15" hidden="false" customHeight="false" outlineLevel="0" collapsed="false">
      <c r="A2161" s="7" t="s">
        <v>746</v>
      </c>
      <c r="B2161" s="7" t="n">
        <v>2294.21</v>
      </c>
      <c r="C2161" s="7" t="n">
        <f aca="false">AVERAGE(B2112:B2161)</f>
        <v>2389.2722</v>
      </c>
      <c r="D2161" s="7" t="n">
        <f aca="false">AVERAGE(B1962:B2161)</f>
        <v>2276.51735</v>
      </c>
      <c r="E2161" s="7" t="n">
        <f aca="false">B2161/MAX(B1910:B2161)-1</f>
        <v>-0.0767580836636551</v>
      </c>
      <c r="F2161" s="7" t="str">
        <f aca="false">IFERROR(INDEX(02_轉折點45個!B:B,MATCH(A2161,02_轉折點45個!A:A,0)),"")</f>
        <v/>
      </c>
      <c r="G2161" s="7" t="s">
        <v>1994</v>
      </c>
    </row>
    <row r="2162" customFormat="false" ht="15" hidden="false" customHeight="false" outlineLevel="0" collapsed="false">
      <c r="A2162" s="7" t="s">
        <v>3768</v>
      </c>
      <c r="B2162" s="7" t="n">
        <v>2327.17</v>
      </c>
      <c r="C2162" s="7" t="n">
        <f aca="false">AVERAGE(B2113:B2162)</f>
        <v>2389.4442</v>
      </c>
      <c r="D2162" s="7" t="n">
        <f aca="false">AVERAGE(B1963:B2162)</f>
        <v>2277.4418</v>
      </c>
      <c r="E2162" s="7" t="n">
        <f aca="false">B2162/MAX(B1911:B2162)-1</f>
        <v>-0.0634942352964848</v>
      </c>
      <c r="F2162" s="7" t="str">
        <f aca="false">IFERROR(INDEX(02_轉折點45個!B:B,MATCH(A2162,02_轉折點45個!A:A,0)),"")</f>
        <v/>
      </c>
      <c r="G2162" s="7" t="s">
        <v>1994</v>
      </c>
    </row>
    <row r="2163" customFormat="false" ht="15" hidden="false" customHeight="false" outlineLevel="0" collapsed="false">
      <c r="A2163" s="7" t="s">
        <v>3769</v>
      </c>
      <c r="B2163" s="7" t="n">
        <v>2340.21</v>
      </c>
      <c r="C2163" s="7" t="n">
        <f aca="false">AVERAGE(B2114:B2163)</f>
        <v>2389.5248</v>
      </c>
      <c r="D2163" s="7" t="n">
        <f aca="false">AVERAGE(B1964:B2163)</f>
        <v>2278.46705</v>
      </c>
      <c r="E2163" s="7" t="n">
        <f aca="false">B2163/MAX(B1912:B2163)-1</f>
        <v>-0.0582466448017062</v>
      </c>
      <c r="F2163" s="7" t="str">
        <f aca="false">IFERROR(INDEX(02_轉折點45個!B:B,MATCH(A2163,02_轉折點45個!A:A,0)),"")</f>
        <v/>
      </c>
      <c r="G2163" s="7" t="s">
        <v>1994</v>
      </c>
    </row>
    <row r="2164" customFormat="false" ht="15" hidden="false" customHeight="false" outlineLevel="0" collapsed="false">
      <c r="A2164" s="7" t="s">
        <v>747</v>
      </c>
      <c r="B2164" s="7" t="n">
        <v>2387.15</v>
      </c>
      <c r="C2164" s="7" t="n">
        <f aca="false">AVERAGE(B2115:B2164)</f>
        <v>2390.2726</v>
      </c>
      <c r="D2164" s="7" t="n">
        <f aca="false">AVERAGE(B1965:B2164)</f>
        <v>2279.7097</v>
      </c>
      <c r="E2164" s="7" t="n">
        <f aca="false">B2164/MAX(B1913:B2164)-1</f>
        <v>-0.0393569287108392</v>
      </c>
      <c r="F2164" s="7" t="str">
        <f aca="false">IFERROR(INDEX(02_轉折點45個!B:B,MATCH(A2164,02_轉折點45個!A:A,0)),"")</f>
        <v/>
      </c>
      <c r="G2164" s="7" t="s">
        <v>1994</v>
      </c>
    </row>
    <row r="2165" customFormat="false" ht="15" hidden="false" customHeight="false" outlineLevel="0" collapsed="false">
      <c r="A2165" s="7" t="s">
        <v>748</v>
      </c>
      <c r="B2165" s="7" t="n">
        <v>2335.54</v>
      </c>
      <c r="C2165" s="7" t="n">
        <f aca="false">AVERAGE(B2116:B2165)</f>
        <v>2389.613</v>
      </c>
      <c r="D2165" s="7" t="n">
        <f aca="false">AVERAGE(B1966:B2165)</f>
        <v>2280.6881</v>
      </c>
      <c r="E2165" s="7" t="n">
        <f aca="false">B2165/MAX(B1914:B2165)-1</f>
        <v>-0.060125958268778</v>
      </c>
      <c r="F2165" s="7" t="str">
        <f aca="false">IFERROR(INDEX(02_轉折點45個!B:B,MATCH(A2165,02_轉折點45個!A:A,0)),"")</f>
        <v/>
      </c>
      <c r="G2165" s="7" t="s">
        <v>1994</v>
      </c>
    </row>
    <row r="2166" customFormat="false" ht="15" hidden="false" customHeight="false" outlineLevel="0" collapsed="false">
      <c r="A2166" s="7" t="s">
        <v>3770</v>
      </c>
      <c r="B2166" s="7" t="n">
        <v>2324.94</v>
      </c>
      <c r="C2166" s="7" t="n">
        <f aca="false">AVERAGE(B2117:B2166)</f>
        <v>2388.5234</v>
      </c>
      <c r="D2166" s="7" t="n">
        <f aca="false">AVERAGE(B1967:B2166)</f>
        <v>2281.5529</v>
      </c>
      <c r="E2166" s="7" t="n">
        <f aca="false">B2166/MAX(B1915:B2166)-1</f>
        <v>-0.0643916376587054</v>
      </c>
      <c r="F2166" s="7" t="str">
        <f aca="false">IFERROR(INDEX(02_轉折點45個!B:B,MATCH(A2166,02_轉折點45個!A:A,0)),"")</f>
        <v/>
      </c>
      <c r="G2166" s="7" t="s">
        <v>1994</v>
      </c>
    </row>
    <row r="2167" customFormat="false" ht="15" hidden="false" customHeight="false" outlineLevel="0" collapsed="false">
      <c r="A2167" s="7" t="s">
        <v>3771</v>
      </c>
      <c r="B2167" s="7" t="n">
        <v>2322.52</v>
      </c>
      <c r="C2167" s="7" t="n">
        <f aca="false">AVERAGE(B2118:B2167)</f>
        <v>2387.2136</v>
      </c>
      <c r="D2167" s="7" t="n">
        <f aca="false">AVERAGE(B1968:B2167)</f>
        <v>2282.4546</v>
      </c>
      <c r="E2167" s="7" t="n">
        <f aca="false">B2167/MAX(B1916:B2167)-1</f>
        <v>-0.0653655003118775</v>
      </c>
      <c r="F2167" s="7" t="str">
        <f aca="false">IFERROR(INDEX(02_轉折點45個!B:B,MATCH(A2167,02_轉折點45個!A:A,0)),"")</f>
        <v/>
      </c>
      <c r="G2167" s="7" t="s">
        <v>1994</v>
      </c>
    </row>
    <row r="2168" customFormat="false" ht="15" hidden="false" customHeight="false" outlineLevel="0" collapsed="false">
      <c r="A2168" s="7" t="s">
        <v>3772</v>
      </c>
      <c r="B2168" s="7" t="n">
        <v>2283.13</v>
      </c>
      <c r="C2168" s="7" t="n">
        <f aca="false">AVERAGE(B2119:B2168)</f>
        <v>2385.0362</v>
      </c>
      <c r="D2168" s="7" t="n">
        <f aca="false">AVERAGE(B1969:B2168)</f>
        <v>2283.10565</v>
      </c>
      <c r="E2168" s="7" t="n">
        <f aca="false">B2168/MAX(B1917:B2168)-1</f>
        <v>-0.0812169258938811</v>
      </c>
      <c r="F2168" s="7" t="str">
        <f aca="false">IFERROR(INDEX(02_轉折點45個!B:B,MATCH(A2168,02_轉折點45個!A:A,0)),"")</f>
        <v/>
      </c>
      <c r="G2168" s="7" t="s">
        <v>1994</v>
      </c>
    </row>
    <row r="2169" customFormat="false" ht="15" hidden="false" customHeight="false" outlineLevel="0" collapsed="false">
      <c r="A2169" s="7" t="s">
        <v>749</v>
      </c>
      <c r="B2169" s="7" t="n">
        <v>2246.32</v>
      </c>
      <c r="C2169" s="7" t="n">
        <f aca="false">AVERAGE(B2120:B2169)</f>
        <v>2382.2516</v>
      </c>
      <c r="D2169" s="7" t="n">
        <f aca="false">AVERAGE(B1970:B2169)</f>
        <v>2283.46985</v>
      </c>
      <c r="E2169" s="7" t="n">
        <f aca="false">B2169/MAX(B1918:B2169)-1</f>
        <v>-0.0960301012092797</v>
      </c>
      <c r="F2169" s="7" t="str">
        <f aca="false">IFERROR(INDEX(02_轉折點45個!B:B,MATCH(A2169,02_轉折點45個!A:A,0)),"")</f>
        <v/>
      </c>
      <c r="G2169" s="7" t="s">
        <v>1994</v>
      </c>
    </row>
    <row r="2170" customFormat="false" ht="15" hidden="false" customHeight="false" outlineLevel="0" collapsed="false">
      <c r="A2170" s="7" t="s">
        <v>3773</v>
      </c>
      <c r="B2170" s="7" t="n">
        <v>2239.23</v>
      </c>
      <c r="C2170" s="7" t="n">
        <f aca="false">AVERAGE(B2121:B2170)</f>
        <v>2379.7646</v>
      </c>
      <c r="D2170" s="7" t="n">
        <f aca="false">AVERAGE(B1971:B2170)</f>
        <v>2283.9287</v>
      </c>
      <c r="E2170" s="7" t="n">
        <f aca="false">B2170/MAX(B1919:B2170)-1</f>
        <v>-0.0988832773295236</v>
      </c>
      <c r="F2170" s="7" t="str">
        <f aca="false">IFERROR(INDEX(02_轉折點45個!B:B,MATCH(A2170,02_轉折點45個!A:A,0)),"")</f>
        <v/>
      </c>
      <c r="G2170" s="7" t="s">
        <v>1994</v>
      </c>
    </row>
    <row r="2171" customFormat="false" ht="15" hidden="false" customHeight="false" outlineLevel="0" collapsed="false">
      <c r="A2171" s="7" t="s">
        <v>750</v>
      </c>
      <c r="B2171" s="7" t="n">
        <v>2288.53</v>
      </c>
      <c r="C2171" s="7" t="n">
        <f aca="false">AVERAGE(B2122:B2171)</f>
        <v>2379.1004</v>
      </c>
      <c r="D2171" s="7" t="n">
        <f aca="false">AVERAGE(B1972:B2171)</f>
        <v>2284.57395</v>
      </c>
      <c r="E2171" s="7" t="n">
        <f aca="false">B2171/MAX(B1920:B2171)-1</f>
        <v>-0.0790438439405218</v>
      </c>
      <c r="F2171" s="7" t="str">
        <f aca="false">IFERROR(INDEX(02_轉折點45個!B:B,MATCH(A2171,02_轉折點45個!A:A,0)),"")</f>
        <v/>
      </c>
      <c r="G2171" s="7" t="s">
        <v>1994</v>
      </c>
    </row>
    <row r="2172" customFormat="false" ht="15" hidden="false" customHeight="false" outlineLevel="0" collapsed="false">
      <c r="A2172" s="7" t="s">
        <v>3774</v>
      </c>
      <c r="B2172" s="7" t="n">
        <v>2291.78</v>
      </c>
      <c r="C2172" s="7" t="n">
        <f aca="false">AVERAGE(B2123:B2172)</f>
        <v>2377.9136</v>
      </c>
      <c r="D2172" s="7" t="n">
        <f aca="false">AVERAGE(B1973:B2172)</f>
        <v>2285.22205</v>
      </c>
      <c r="E2172" s="7" t="n">
        <f aca="false">B2172/MAX(B1921:B2172)-1</f>
        <v>-0.0777359705426667</v>
      </c>
      <c r="F2172" s="7" t="str">
        <f aca="false">IFERROR(INDEX(02_轉折點45個!B:B,MATCH(A2172,02_轉折點45個!A:A,0)),"")</f>
        <v/>
      </c>
      <c r="G2172" s="7" t="s">
        <v>1994</v>
      </c>
    </row>
    <row r="2173" customFormat="false" ht="15" hidden="false" customHeight="false" outlineLevel="0" collapsed="false">
      <c r="A2173" s="7" t="s">
        <v>3775</v>
      </c>
      <c r="B2173" s="7" t="n">
        <v>2303.39</v>
      </c>
      <c r="C2173" s="7" t="n">
        <f aca="false">AVERAGE(B2124:B2173)</f>
        <v>2376.9844</v>
      </c>
      <c r="D2173" s="7" t="n">
        <f aca="false">AVERAGE(B1974:B2173)</f>
        <v>2286.076</v>
      </c>
      <c r="E2173" s="7" t="n">
        <f aca="false">B2173/MAX(B1922:B2173)-1</f>
        <v>-0.0730638443429446</v>
      </c>
      <c r="F2173" s="7" t="str">
        <f aca="false">IFERROR(INDEX(02_轉折點45個!B:B,MATCH(A2173,02_轉折點45個!A:A,0)),"")</f>
        <v/>
      </c>
      <c r="G2173" s="7" t="s">
        <v>1994</v>
      </c>
    </row>
    <row r="2174" customFormat="false" ht="15" hidden="false" customHeight="false" outlineLevel="0" collapsed="false">
      <c r="A2174" s="7" t="s">
        <v>3776</v>
      </c>
      <c r="B2174" s="7" t="n">
        <v>2332.17</v>
      </c>
      <c r="C2174" s="7" t="n">
        <f aca="false">AVERAGE(B2125:B2174)</f>
        <v>2377.0398</v>
      </c>
      <c r="D2174" s="7" t="n">
        <f aca="false">AVERAGE(B1975:B2174)</f>
        <v>2287.07535</v>
      </c>
      <c r="E2174" s="7" t="n">
        <f aca="false">B2174/MAX(B1923:B2174)-1</f>
        <v>-0.0614821223767077</v>
      </c>
      <c r="F2174" s="7" t="str">
        <f aca="false">IFERROR(INDEX(02_轉折點45個!B:B,MATCH(A2174,02_轉折點45個!A:A,0)),"")</f>
        <v/>
      </c>
      <c r="G2174" s="7" t="s">
        <v>1994</v>
      </c>
    </row>
    <row r="2175" customFormat="false" ht="15" hidden="false" customHeight="false" outlineLevel="0" collapsed="false">
      <c r="A2175" s="7" t="s">
        <v>3777</v>
      </c>
      <c r="B2175" s="7" t="n">
        <v>2322.03</v>
      </c>
      <c r="C2175" s="7" t="n">
        <f aca="false">AVERAGE(B2126:B2175)</f>
        <v>2376.2978</v>
      </c>
      <c r="D2175" s="7" t="n">
        <f aca="false">AVERAGE(B1976:B2175)</f>
        <v>2288.03875</v>
      </c>
      <c r="E2175" s="7" t="n">
        <f aca="false">B2175/MAX(B1924:B2175)-1</f>
        <v>-0.0655626873780155</v>
      </c>
      <c r="F2175" s="7" t="str">
        <f aca="false">IFERROR(INDEX(02_轉折點45個!B:B,MATCH(A2175,02_轉折點45個!A:A,0)),"")</f>
        <v/>
      </c>
      <c r="G2175" s="7" t="s">
        <v>1994</v>
      </c>
    </row>
    <row r="2176" customFormat="false" ht="15" hidden="false" customHeight="false" outlineLevel="0" collapsed="false">
      <c r="A2176" s="7" t="s">
        <v>3778</v>
      </c>
      <c r="B2176" s="7" t="n">
        <v>2353.99</v>
      </c>
      <c r="C2176" s="7" t="n">
        <f aca="false">AVERAGE(B2127:B2176)</f>
        <v>2375.8826</v>
      </c>
      <c r="D2176" s="7" t="n">
        <f aca="false">AVERAGE(B1977:B2176)</f>
        <v>2289.00135</v>
      </c>
      <c r="E2176" s="7" t="n">
        <f aca="false">B2176/MAX(B1925:B2176)-1</f>
        <v>-0.0527012615948007</v>
      </c>
      <c r="F2176" s="7" t="str">
        <f aca="false">IFERROR(INDEX(02_轉折點45個!B:B,MATCH(A2176,02_轉折點45個!A:A,0)),"")</f>
        <v/>
      </c>
      <c r="G2176" s="7" t="s">
        <v>1994</v>
      </c>
    </row>
    <row r="2177" customFormat="false" ht="15" hidden="false" customHeight="false" outlineLevel="0" collapsed="false">
      <c r="A2177" s="7" t="s">
        <v>3779</v>
      </c>
      <c r="B2177" s="7" t="n">
        <v>2339.89</v>
      </c>
      <c r="C2177" s="7" t="n">
        <f aca="false">AVERAGE(B2128:B2177)</f>
        <v>2374.6866</v>
      </c>
      <c r="D2177" s="7" t="n">
        <f aca="false">AVERAGE(B1978:B2177)</f>
        <v>2289.8481</v>
      </c>
      <c r="E2177" s="7" t="n">
        <f aca="false">B2177/MAX(B1926:B2177)-1</f>
        <v>-0.058375420028572</v>
      </c>
      <c r="F2177" s="7" t="str">
        <f aca="false">IFERROR(INDEX(02_轉折點45個!B:B,MATCH(A2177,02_轉折點45個!A:A,0)),"")</f>
        <v/>
      </c>
      <c r="G2177" s="7" t="s">
        <v>1994</v>
      </c>
    </row>
    <row r="2178" customFormat="false" ht="15" hidden="false" customHeight="false" outlineLevel="0" collapsed="false">
      <c r="A2178" s="7" t="s">
        <v>751</v>
      </c>
      <c r="B2178" s="7" t="n">
        <v>2284.52</v>
      </c>
      <c r="C2178" s="7" t="n">
        <f aca="false">AVERAGE(B2129:B2178)</f>
        <v>2372.3852</v>
      </c>
      <c r="D2178" s="7" t="n">
        <f aca="false">AVERAGE(B1979:B2178)</f>
        <v>2290.3766</v>
      </c>
      <c r="E2178" s="7" t="n">
        <f aca="false">B2178/MAX(B1927:B2178)-1</f>
        <v>-0.080657558502183</v>
      </c>
      <c r="F2178" s="7" t="str">
        <f aca="false">IFERROR(INDEX(02_轉折點45個!B:B,MATCH(A2178,02_轉折點45個!A:A,0)),"")</f>
        <v/>
      </c>
      <c r="G2178" s="7" t="s">
        <v>1994</v>
      </c>
    </row>
    <row r="2179" customFormat="false" ht="15" hidden="false" customHeight="false" outlineLevel="0" collapsed="false">
      <c r="A2179" s="7" t="s">
        <v>752</v>
      </c>
      <c r="B2179" s="7" t="n">
        <v>2341.63</v>
      </c>
      <c r="C2179" s="7" t="n">
        <f aca="false">AVERAGE(B2130:B2179)</f>
        <v>2371.223</v>
      </c>
      <c r="D2179" s="7" t="n">
        <f aca="false">AVERAGE(B1980:B2179)</f>
        <v>2291.23145</v>
      </c>
      <c r="E2179" s="7" t="n">
        <f aca="false">B2179/MAX(B1928:B2179)-1</f>
        <v>-0.0576752047324894</v>
      </c>
      <c r="F2179" s="7" t="str">
        <f aca="false">IFERROR(INDEX(02_轉折點45個!B:B,MATCH(A2179,02_轉折點45個!A:A,0)),"")</f>
        <v/>
      </c>
      <c r="G2179" s="7" t="s">
        <v>1994</v>
      </c>
    </row>
    <row r="2180" customFormat="false" ht="15" hidden="false" customHeight="false" outlineLevel="0" collapsed="false">
      <c r="A2180" s="7" t="s">
        <v>3780</v>
      </c>
      <c r="B2180" s="7" t="n">
        <v>2343.59</v>
      </c>
      <c r="C2180" s="7" t="n">
        <f aca="false">AVERAGE(B2131:B2180)</f>
        <v>2370.5898</v>
      </c>
      <c r="D2180" s="7" t="n">
        <f aca="false">AVERAGE(B1981:B2180)</f>
        <v>2292.0335</v>
      </c>
      <c r="E2180" s="7" t="n">
        <f aca="false">B2180/MAX(B1929:B2180)-1</f>
        <v>-0.0568864564679369</v>
      </c>
      <c r="F2180" s="7" t="str">
        <f aca="false">IFERROR(INDEX(02_轉折點45個!B:B,MATCH(A2180,02_轉折點45個!A:A,0)),"")</f>
        <v/>
      </c>
      <c r="G2180" s="7" t="s">
        <v>1994</v>
      </c>
    </row>
    <row r="2181" customFormat="false" ht="15" hidden="false" customHeight="false" outlineLevel="0" collapsed="false">
      <c r="A2181" s="7" t="s">
        <v>753</v>
      </c>
      <c r="B2181" s="7" t="n">
        <v>2371.96</v>
      </c>
      <c r="C2181" s="7" t="n">
        <f aca="false">AVERAGE(B2132:B2181)</f>
        <v>2370.2134</v>
      </c>
      <c r="D2181" s="7" t="n">
        <f aca="false">AVERAGE(B1982:B2181)</f>
        <v>2292.9013</v>
      </c>
      <c r="E2181" s="7" t="n">
        <f aca="false">B2181/MAX(B1930:B2181)-1</f>
        <v>-0.0454697277611219</v>
      </c>
      <c r="F2181" s="7" t="str">
        <f aca="false">IFERROR(INDEX(02_轉折點45個!B:B,MATCH(A2181,02_轉折點45個!A:A,0)),"")</f>
        <v/>
      </c>
      <c r="G2181" s="7" t="s">
        <v>1994</v>
      </c>
    </row>
    <row r="2182" customFormat="false" ht="15" hidden="false" customHeight="false" outlineLevel="0" collapsed="false">
      <c r="A2182" s="7" t="s">
        <v>3781</v>
      </c>
      <c r="B2182" s="7" t="n">
        <v>2402.92</v>
      </c>
      <c r="C2182" s="7" t="n">
        <f aca="false">AVERAGE(B2133:B2182)</f>
        <v>2370.9678</v>
      </c>
      <c r="D2182" s="7" t="n">
        <f aca="false">AVERAGE(B1983:B2182)</f>
        <v>2293.813</v>
      </c>
      <c r="E2182" s="7" t="n">
        <f aca="false">B2182/MAX(B1931:B2182)-1</f>
        <v>-0.0330107245618623</v>
      </c>
      <c r="F2182" s="7" t="str">
        <f aca="false">IFERROR(INDEX(02_轉折點45個!B:B,MATCH(A2182,02_轉折點45個!A:A,0)),"")</f>
        <v/>
      </c>
      <c r="G2182" s="7" t="s">
        <v>1994</v>
      </c>
    </row>
    <row r="2183" customFormat="false" ht="15" hidden="false" customHeight="false" outlineLevel="0" collapsed="false">
      <c r="A2183" s="7" t="s">
        <v>3782</v>
      </c>
      <c r="B2183" s="7" t="n">
        <v>2380.72</v>
      </c>
      <c r="C2183" s="7" t="n">
        <f aca="false">AVERAGE(B2134:B2183)</f>
        <v>2371.4952</v>
      </c>
      <c r="D2183" s="7" t="n">
        <f aca="false">AVERAGE(B1984:B2183)</f>
        <v>2294.55845</v>
      </c>
      <c r="E2183" s="7" t="n">
        <f aca="false">B2183/MAX(B1932:B2183)-1</f>
        <v>-0.0419445059256726</v>
      </c>
      <c r="F2183" s="7" t="str">
        <f aca="false">IFERROR(INDEX(02_轉折點45個!B:B,MATCH(A2183,02_轉折點45個!A:A,0)),"")</f>
        <v/>
      </c>
      <c r="G2183" s="7" t="s">
        <v>1994</v>
      </c>
    </row>
    <row r="2184" customFormat="false" ht="15" hidden="false" customHeight="false" outlineLevel="0" collapsed="false">
      <c r="A2184" s="7" t="s">
        <v>3783</v>
      </c>
      <c r="B2184" s="7" t="n">
        <v>2388.37</v>
      </c>
      <c r="C2184" s="7" t="n">
        <f aca="false">AVERAGE(B2135:B2184)</f>
        <v>2372.229</v>
      </c>
      <c r="D2184" s="7" t="n">
        <f aca="false">AVERAGE(B1985:B2184)</f>
        <v>2295.31335</v>
      </c>
      <c r="E2184" s="7" t="n">
        <f aca="false">B2184/MAX(B1933:B2184)-1</f>
        <v>-0.0388659731584137</v>
      </c>
      <c r="F2184" s="7" t="str">
        <f aca="false">IFERROR(INDEX(02_轉折點45個!B:B,MATCH(A2184,02_轉折點45個!A:A,0)),"")</f>
        <v/>
      </c>
      <c r="G2184" s="7" t="s">
        <v>1994</v>
      </c>
    </row>
    <row r="2185" customFormat="false" ht="15" hidden="false" customHeight="false" outlineLevel="0" collapsed="false">
      <c r="A2185" s="7" t="s">
        <v>3784</v>
      </c>
      <c r="B2185" s="7" t="n">
        <v>2343.95</v>
      </c>
      <c r="C2185" s="7" t="n">
        <f aca="false">AVERAGE(B2136:B2185)</f>
        <v>2371.5044</v>
      </c>
      <c r="D2185" s="7" t="n">
        <f aca="false">AVERAGE(B1986:B2185)</f>
        <v>2295.86075</v>
      </c>
      <c r="E2185" s="7" t="n">
        <f aca="false">B2185/MAX(B1934:B2185)-1</f>
        <v>-0.056741584337713</v>
      </c>
      <c r="F2185" s="7" t="str">
        <f aca="false">IFERROR(INDEX(02_轉折點45個!B:B,MATCH(A2185,02_轉折點45個!A:A,0)),"")</f>
        <v/>
      </c>
      <c r="G2185" s="7" t="s">
        <v>1994</v>
      </c>
    </row>
    <row r="2186" customFormat="false" ht="15" hidden="false" customHeight="false" outlineLevel="0" collapsed="false">
      <c r="A2186" s="7" t="s">
        <v>3785</v>
      </c>
      <c r="B2186" s="7" t="n">
        <v>2337.93</v>
      </c>
      <c r="C2186" s="7" t="n">
        <f aca="false">AVERAGE(B2137:B2186)</f>
        <v>2370.6042</v>
      </c>
      <c r="D2186" s="7" t="n">
        <f aca="false">AVERAGE(B1987:B2186)</f>
        <v>2296.3467</v>
      </c>
      <c r="E2186" s="7" t="n">
        <f aca="false">B2186/MAX(B1935:B2186)-1</f>
        <v>-0.0591641682931247</v>
      </c>
      <c r="F2186" s="7" t="str">
        <f aca="false">IFERROR(INDEX(02_轉折點45個!B:B,MATCH(A2186,02_轉折點45個!A:A,0)),"")</f>
        <v/>
      </c>
      <c r="G2186" s="7" t="s">
        <v>1994</v>
      </c>
    </row>
    <row r="2187" customFormat="false" ht="15" hidden="false" customHeight="false" outlineLevel="0" collapsed="false">
      <c r="A2187" s="7" t="s">
        <v>754</v>
      </c>
      <c r="B2187" s="7" t="n">
        <v>2372.98</v>
      </c>
      <c r="C2187" s="7" t="n">
        <f aca="false">AVERAGE(B2138:B2187)</f>
        <v>2370.499</v>
      </c>
      <c r="D2187" s="7" t="n">
        <f aca="false">AVERAGE(B1988:B2187)</f>
        <v>2296.99825</v>
      </c>
      <c r="E2187" s="7" t="n">
        <f aca="false">B2187/MAX(B1936:B2187)-1</f>
        <v>-0.0450592567254874</v>
      </c>
      <c r="F2187" s="7" t="str">
        <f aca="false">IFERROR(INDEX(02_轉折點45個!B:B,MATCH(A2187,02_轉折點45個!A:A,0)),"")</f>
        <v/>
      </c>
      <c r="G2187" s="7" t="s">
        <v>1994</v>
      </c>
    </row>
    <row r="2188" customFormat="false" ht="15" hidden="false" customHeight="false" outlineLevel="0" collapsed="false">
      <c r="A2188" s="7" t="s">
        <v>755</v>
      </c>
      <c r="B2188" s="7" t="n">
        <v>2368.04</v>
      </c>
      <c r="C2188" s="7" t="n">
        <f aca="false">AVERAGE(B2139:B2188)</f>
        <v>2369.7638</v>
      </c>
      <c r="D2188" s="7" t="n">
        <f aca="false">AVERAGE(B1989:B2188)</f>
        <v>2297.5742</v>
      </c>
      <c r="E2188" s="7" t="n">
        <f aca="false">B2188/MAX(B1937:B2188)-1</f>
        <v>-0.0470472242902271</v>
      </c>
      <c r="F2188" s="7" t="str">
        <f aca="false">IFERROR(INDEX(02_轉折點45個!B:B,MATCH(A2188,02_轉折點45個!A:A,0)),"")</f>
        <v/>
      </c>
      <c r="G2188" s="7" t="s">
        <v>1994</v>
      </c>
    </row>
    <row r="2189" customFormat="false" ht="15" hidden="false" customHeight="false" outlineLevel="0" collapsed="false">
      <c r="A2189" s="7" t="s">
        <v>3786</v>
      </c>
      <c r="B2189" s="7" t="n">
        <v>2376.26</v>
      </c>
      <c r="C2189" s="7" t="n">
        <f aca="false">AVERAGE(B2140:B2189)</f>
        <v>2368.962</v>
      </c>
      <c r="D2189" s="7" t="n">
        <f aca="false">AVERAGE(B1990:B2189)</f>
        <v>2298.21735</v>
      </c>
      <c r="E2189" s="7" t="n">
        <f aca="false">B2189/MAX(B1938:B2189)-1</f>
        <v>-0.0437393106501135</v>
      </c>
      <c r="F2189" s="7" t="str">
        <f aca="false">IFERROR(INDEX(02_轉折點45個!B:B,MATCH(A2189,02_轉折點45個!A:A,0)),"")</f>
        <v/>
      </c>
      <c r="G2189" s="7" t="s">
        <v>1994</v>
      </c>
    </row>
    <row r="2190" customFormat="false" ht="15" hidden="false" customHeight="false" outlineLevel="0" collapsed="false">
      <c r="A2190" s="7" t="s">
        <v>3787</v>
      </c>
      <c r="B2190" s="7" t="n">
        <v>2377.28</v>
      </c>
      <c r="C2190" s="7" t="n">
        <f aca="false">AVERAGE(B2141:B2190)</f>
        <v>2367.9668</v>
      </c>
      <c r="D2190" s="7" t="n">
        <f aca="false">AVERAGE(B1991:B2190)</f>
        <v>2299.11385</v>
      </c>
      <c r="E2190" s="7" t="n">
        <f aca="false">B2190/MAX(B1939:B2190)-1</f>
        <v>-0.043328839614479</v>
      </c>
      <c r="F2190" s="7" t="str">
        <f aca="false">IFERROR(INDEX(02_轉折點45個!B:B,MATCH(A2190,02_轉折點45個!A:A,0)),"")</f>
        <v/>
      </c>
      <c r="G2190" s="7" t="s">
        <v>1994</v>
      </c>
    </row>
    <row r="2191" customFormat="false" ht="15" hidden="false" customHeight="false" outlineLevel="0" collapsed="false">
      <c r="A2191" s="7" t="s">
        <v>3788</v>
      </c>
      <c r="B2191" s="7" t="n">
        <v>2358.53</v>
      </c>
      <c r="C2191" s="7" t="n">
        <f aca="false">AVERAGE(B2142:B2191)</f>
        <v>2366.4164</v>
      </c>
      <c r="D2191" s="7" t="n">
        <f aca="false">AVERAGE(B1992:B2191)</f>
        <v>2299.88605</v>
      </c>
      <c r="E2191" s="7" t="n">
        <f aca="false">B2191/MAX(B1940:B2191)-1</f>
        <v>-0.050874263063643</v>
      </c>
      <c r="F2191" s="7" t="str">
        <f aca="false">IFERROR(INDEX(02_轉折點45個!B:B,MATCH(A2191,02_轉折點45個!A:A,0)),"")</f>
        <v/>
      </c>
      <c r="G2191" s="7" t="s">
        <v>1994</v>
      </c>
    </row>
    <row r="2192" customFormat="false" ht="15" hidden="false" customHeight="false" outlineLevel="0" collapsed="false">
      <c r="A2192" s="7" t="s">
        <v>756</v>
      </c>
      <c r="B2192" s="7" t="n">
        <v>2422.48</v>
      </c>
      <c r="C2192" s="7" t="n">
        <f aca="false">AVERAGE(B2143:B2192)</f>
        <v>2366.0808</v>
      </c>
      <c r="D2192" s="7" t="n">
        <f aca="false">AVERAGE(B1993:B2192)</f>
        <v>2300.88835</v>
      </c>
      <c r="E2192" s="7" t="n">
        <f aca="false">B2192/MAX(B1941:B2192)-1</f>
        <v>-0.0251393388196944</v>
      </c>
      <c r="F2192" s="7" t="str">
        <f aca="false">IFERROR(INDEX(02_轉折點45個!B:B,MATCH(A2192,02_轉折點45個!A:A,0)),"")</f>
        <v/>
      </c>
      <c r="G2192" s="7" t="s">
        <v>1994</v>
      </c>
    </row>
    <row r="2193" customFormat="false" ht="15" hidden="false" customHeight="false" outlineLevel="0" collapsed="false">
      <c r="A2193" s="7" t="s">
        <v>3789</v>
      </c>
      <c r="B2193" s="7" t="n">
        <v>2436.02</v>
      </c>
      <c r="C2193" s="7" t="n">
        <f aca="false">AVERAGE(B2144:B2193)</f>
        <v>2366.58</v>
      </c>
      <c r="D2193" s="7" t="n">
        <f aca="false">AVERAGE(B1994:B2193)</f>
        <v>2301.96045</v>
      </c>
      <c r="E2193" s="7" t="n">
        <f aca="false">B2193/MAX(B1942:B2193)-1</f>
        <v>-0.0196905370329382</v>
      </c>
      <c r="F2193" s="7" t="str">
        <f aca="false">IFERROR(INDEX(02_轉折點45個!B:B,MATCH(A2193,02_轉折點45個!A:A,0)),"")</f>
        <v/>
      </c>
      <c r="G2193" s="7" t="s">
        <v>1994</v>
      </c>
    </row>
    <row r="2194" customFormat="false" ht="15" hidden="false" customHeight="false" outlineLevel="0" collapsed="false">
      <c r="A2194" s="7" t="s">
        <v>3790</v>
      </c>
      <c r="B2194" s="7" t="n">
        <v>2424.89</v>
      </c>
      <c r="C2194" s="7" t="n">
        <f aca="false">AVERAGE(B2145:B2194)</f>
        <v>2366.6258</v>
      </c>
      <c r="D2194" s="7" t="n">
        <f aca="false">AVERAGE(B1995:B2194)</f>
        <v>2303.0617</v>
      </c>
      <c r="E2194" s="7" t="n">
        <f aca="false">B2194/MAX(B1943:B2194)-1</f>
        <v>-0.024169500392362</v>
      </c>
      <c r="F2194" s="7" t="str">
        <f aca="false">IFERROR(INDEX(02_轉折點45個!B:B,MATCH(A2194,02_轉折點45個!A:A,0)),"")</f>
        <v/>
      </c>
      <c r="G2194" s="7" t="s">
        <v>1994</v>
      </c>
    </row>
    <row r="2195" customFormat="false" ht="15" hidden="false" customHeight="false" outlineLevel="0" collapsed="false">
      <c r="A2195" s="7" t="s">
        <v>3791</v>
      </c>
      <c r="B2195" s="7" t="n">
        <v>2440.35</v>
      </c>
      <c r="C2195" s="7" t="n">
        <f aca="false">AVERAGE(B2146:B2195)</f>
        <v>2366.0682</v>
      </c>
      <c r="D2195" s="7" t="n">
        <f aca="false">AVERAGE(B1996:B2195)</f>
        <v>2304.07955</v>
      </c>
      <c r="E2195" s="7" t="n">
        <f aca="false">B2195/MAX(B1944:B2195)-1</f>
        <v>-0.0179480472444113</v>
      </c>
      <c r="F2195" s="7" t="str">
        <f aca="false">IFERROR(INDEX(02_轉折點45個!B:B,MATCH(A2195,02_轉折點45個!A:A,0)),"")</f>
        <v/>
      </c>
      <c r="G2195" s="7" t="s">
        <v>1994</v>
      </c>
    </row>
    <row r="2196" customFormat="false" ht="15" hidden="false" customHeight="false" outlineLevel="0" collapsed="false">
      <c r="A2196" s="7" t="s">
        <v>3792</v>
      </c>
      <c r="B2196" s="7" t="n">
        <v>2437.37</v>
      </c>
      <c r="C2196" s="7" t="n">
        <f aca="false">AVERAGE(B2147:B2196)</f>
        <v>2365.3548</v>
      </c>
      <c r="D2196" s="7" t="n">
        <f aca="false">AVERAGE(B1997:B2196)</f>
        <v>2305.06425</v>
      </c>
      <c r="E2196" s="7" t="n">
        <f aca="false">B2196/MAX(B1945:B2196)-1</f>
        <v>-0.0191472665445984</v>
      </c>
      <c r="F2196" s="7" t="str">
        <f aca="false">IFERROR(INDEX(02_轉折點45個!B:B,MATCH(A2196,02_轉折點45個!A:A,0)),"")</f>
        <v/>
      </c>
      <c r="G2196" s="7" t="s">
        <v>1994</v>
      </c>
    </row>
    <row r="2197" customFormat="false" ht="15" hidden="false" customHeight="false" outlineLevel="0" collapsed="false">
      <c r="A2197" s="7" t="s">
        <v>3793</v>
      </c>
      <c r="B2197" s="7" t="n">
        <v>2451.53</v>
      </c>
      <c r="C2197" s="7" t="n">
        <f aca="false">AVERAGE(B2148:B2197)</f>
        <v>2365.1012</v>
      </c>
      <c r="D2197" s="7" t="n">
        <f aca="false">AVERAGE(B1998:B2197)</f>
        <v>2306.14955</v>
      </c>
      <c r="E2197" s="7" t="n">
        <f aca="false">B2197/MAX(B1946:B2197)-1</f>
        <v>-0.0134489627557897</v>
      </c>
      <c r="F2197" s="7" t="str">
        <f aca="false">IFERROR(INDEX(02_轉折點45個!B:B,MATCH(A2197,02_轉折點45個!A:A,0)),"")</f>
        <v/>
      </c>
      <c r="G2197" s="7" t="s">
        <v>1994</v>
      </c>
    </row>
    <row r="2198" customFormat="false" ht="15" hidden="false" customHeight="false" outlineLevel="0" collapsed="false">
      <c r="A2198" s="7" t="s">
        <v>3794</v>
      </c>
      <c r="B2198" s="7" t="n">
        <v>2465.76</v>
      </c>
      <c r="C2198" s="7" t="n">
        <f aca="false">AVERAGE(B2149:B2198)</f>
        <v>2364.859</v>
      </c>
      <c r="D2198" s="7" t="n">
        <f aca="false">AVERAGE(B1999:B2198)</f>
        <v>2307.389</v>
      </c>
      <c r="E2198" s="7" t="n">
        <f aca="false">B2198/MAX(B1947:B2198)-1</f>
        <v>-0.0077224893861042</v>
      </c>
      <c r="F2198" s="7" t="str">
        <f aca="false">IFERROR(INDEX(02_轉折點45個!B:B,MATCH(A2198,02_轉折點45個!A:A,0)),"")</f>
        <v/>
      </c>
      <c r="G2198" s="7" t="s">
        <v>1994</v>
      </c>
    </row>
    <row r="2199" customFormat="false" ht="15" hidden="false" customHeight="false" outlineLevel="0" collapsed="false">
      <c r="A2199" s="7" t="s">
        <v>3795</v>
      </c>
      <c r="B2199" s="7" t="n">
        <v>2475.41</v>
      </c>
      <c r="C2199" s="7" t="n">
        <f aca="false">AVERAGE(B2150:B2199)</f>
        <v>2365.0436</v>
      </c>
      <c r="D2199" s="7" t="n">
        <f aca="false">AVERAGE(B2000:B2199)</f>
        <v>2308.6325</v>
      </c>
      <c r="E2199" s="7" t="n">
        <f aca="false">B2199/MAX(B1948:B2199)-1</f>
        <v>-0.00383911145093463</v>
      </c>
      <c r="F2199" s="7" t="str">
        <f aca="false">IFERROR(INDEX(02_轉折點45個!B:B,MATCH(A2199,02_轉折點45個!A:A,0)),"")</f>
        <v/>
      </c>
      <c r="G2199" s="7" t="s">
        <v>1994</v>
      </c>
    </row>
    <row r="2200" customFormat="false" ht="15" hidden="false" customHeight="false" outlineLevel="0" collapsed="false">
      <c r="A2200" s="7" t="s">
        <v>3796</v>
      </c>
      <c r="B2200" s="7" t="n">
        <v>2468.02</v>
      </c>
      <c r="C2200" s="7" t="n">
        <f aca="false">AVERAGE(B2151:B2200)</f>
        <v>2364.705</v>
      </c>
      <c r="D2200" s="7" t="n">
        <f aca="false">AVERAGE(B2001:B2200)</f>
        <v>2309.81395</v>
      </c>
      <c r="E2200" s="7" t="n">
        <f aca="false">B2200/MAX(B1949:B2200)-1</f>
        <v>-0.00681301434636505</v>
      </c>
      <c r="F2200" s="7" t="str">
        <f aca="false">IFERROR(INDEX(02_轉折點45個!B:B,MATCH(A2200,02_轉折點45個!A:A,0)),"")</f>
        <v/>
      </c>
      <c r="G2200" s="7" t="s">
        <v>1994</v>
      </c>
    </row>
    <row r="2201" customFormat="false" ht="15" hidden="false" customHeight="false" outlineLevel="0" collapsed="false">
      <c r="A2201" s="7" t="s">
        <v>3797</v>
      </c>
      <c r="B2201" s="7" t="n">
        <v>2504.09</v>
      </c>
      <c r="C2201" s="7" t="n">
        <f aca="false">AVERAGE(B2152:B2201)</f>
        <v>2365.6804</v>
      </c>
      <c r="D2201" s="7" t="n">
        <f aca="false">AVERAGE(B2002:B2201)</f>
        <v>2311.2272</v>
      </c>
      <c r="E2201" s="7" t="n">
        <f aca="false">B2201/MAX(B1950:B2201)-1</f>
        <v>0</v>
      </c>
      <c r="F2201" s="7" t="str">
        <f aca="false">IFERROR(INDEX(02_轉折點45個!B:B,MATCH(A2201,02_轉折點45個!A:A,0)),"")</f>
        <v/>
      </c>
      <c r="G2201" s="7" t="s">
        <v>1994</v>
      </c>
    </row>
    <row r="2202" customFormat="false" ht="15" hidden="false" customHeight="false" outlineLevel="0" collapsed="false">
      <c r="A2202" s="7" t="s">
        <v>758</v>
      </c>
      <c r="B2202" s="7" t="n">
        <v>2509.68</v>
      </c>
      <c r="C2202" s="7" t="n">
        <f aca="false">AVERAGE(B2153:B2202)</f>
        <v>2366.7132</v>
      </c>
      <c r="D2202" s="7" t="n">
        <f aca="false">AVERAGE(B2003:B2202)</f>
        <v>2312.6647</v>
      </c>
      <c r="E2202" s="7" t="n">
        <f aca="false">B2202/MAX(B1951:B2202)-1</f>
        <v>0</v>
      </c>
      <c r="F2202" s="7" t="str">
        <f aca="false">IFERROR(INDEX(02_轉折點45個!B:B,MATCH(A2202,02_轉折點45個!A:A,0)),"")</f>
        <v/>
      </c>
      <c r="G2202" s="7" t="s">
        <v>1994</v>
      </c>
    </row>
    <row r="2203" customFormat="false" ht="15" hidden="false" customHeight="false" outlineLevel="0" collapsed="false">
      <c r="A2203" s="7" t="s">
        <v>3798</v>
      </c>
      <c r="B2203" s="7" t="n">
        <v>2493.53</v>
      </c>
      <c r="C2203" s="7" t="n">
        <f aca="false">AVERAGE(B2154:B2203)</f>
        <v>2368.3498</v>
      </c>
      <c r="D2203" s="7" t="n">
        <f aca="false">AVERAGE(B2004:B2203)</f>
        <v>2313.9235</v>
      </c>
      <c r="E2203" s="7" t="n">
        <f aca="false">B2203/MAX(B1952:B2203)-1</f>
        <v>-0.00643508335724063</v>
      </c>
      <c r="F2203" s="7" t="str">
        <f aca="false">IFERROR(INDEX(02_轉折點45個!B:B,MATCH(A2203,02_轉折點45個!A:A,0)),"")</f>
        <v/>
      </c>
      <c r="G2203" s="7" t="s">
        <v>1994</v>
      </c>
    </row>
    <row r="2204" customFormat="false" ht="15" hidden="false" customHeight="false" outlineLevel="0" collapsed="false">
      <c r="A2204" s="7" t="s">
        <v>3799</v>
      </c>
      <c r="B2204" s="7" t="n">
        <v>2497.31</v>
      </c>
      <c r="C2204" s="7" t="n">
        <f aca="false">AVERAGE(B2155:B2204)</f>
        <v>2369.91</v>
      </c>
      <c r="D2204" s="7" t="n">
        <f aca="false">AVERAGE(B2005:B2204)</f>
        <v>2315.1859</v>
      </c>
      <c r="E2204" s="7" t="n">
        <f aca="false">B2204/MAX(B1953:B2204)-1</f>
        <v>-0.0049289152401899</v>
      </c>
      <c r="F2204" s="7" t="str">
        <f aca="false">IFERROR(INDEX(02_轉折點45個!B:B,MATCH(A2204,02_轉折點45個!A:A,0)),"")</f>
        <v/>
      </c>
      <c r="G2204" s="7" t="s">
        <v>1994</v>
      </c>
    </row>
    <row r="2205" customFormat="false" ht="15" hidden="false" customHeight="false" outlineLevel="0" collapsed="false">
      <c r="A2205" s="7" t="s">
        <v>3800</v>
      </c>
      <c r="B2205" s="7" t="n">
        <v>2540.02</v>
      </c>
      <c r="C2205" s="7" t="n">
        <f aca="false">AVERAGE(B2156:B2205)</f>
        <v>2373.2166</v>
      </c>
      <c r="D2205" s="7" t="n">
        <f aca="false">AVERAGE(B2006:B2205)</f>
        <v>2316.76065</v>
      </c>
      <c r="E2205" s="7" t="n">
        <f aca="false">B2205/MAX(B1954:B2205)-1</f>
        <v>0</v>
      </c>
      <c r="F2205" s="7" t="str">
        <f aca="false">IFERROR(INDEX(02_轉折點45個!B:B,MATCH(A2205,02_轉折點45個!A:A,0)),"")</f>
        <v/>
      </c>
      <c r="G2205" s="7" t="s">
        <v>1994</v>
      </c>
    </row>
    <row r="2206" customFormat="false" ht="15" hidden="false" customHeight="false" outlineLevel="0" collapsed="false">
      <c r="A2206" s="7" t="s">
        <v>3801</v>
      </c>
      <c r="B2206" s="7" t="n">
        <v>2546.47</v>
      </c>
      <c r="C2206" s="7" t="n">
        <f aca="false">AVERAGE(B2157:B2206)</f>
        <v>2377.3302</v>
      </c>
      <c r="D2206" s="7" t="n">
        <f aca="false">AVERAGE(B2007:B2206)</f>
        <v>2318.39515</v>
      </c>
      <c r="E2206" s="7" t="n">
        <f aca="false">B2206/MAX(B1955:B2206)-1</f>
        <v>0</v>
      </c>
      <c r="F2206" s="7" t="str">
        <f aca="false">IFERROR(INDEX(02_轉折點45個!B:B,MATCH(A2206,02_轉折點45個!A:A,0)),"")</f>
        <v/>
      </c>
      <c r="G2206" s="7" t="s">
        <v>1994</v>
      </c>
    </row>
    <row r="2207" customFormat="false" ht="15" hidden="false" customHeight="false" outlineLevel="0" collapsed="false">
      <c r="A2207" s="7" t="s">
        <v>3802</v>
      </c>
      <c r="B2207" s="7" t="n">
        <v>2561.58</v>
      </c>
      <c r="C2207" s="7" t="n">
        <f aca="false">AVERAGE(B2158:B2207)</f>
        <v>2381.3616</v>
      </c>
      <c r="D2207" s="7" t="n">
        <f aca="false">AVERAGE(B2008:B2207)</f>
        <v>2320.11405</v>
      </c>
      <c r="E2207" s="7" t="n">
        <f aca="false">B2207/MAX(B1956:B2207)-1</f>
        <v>0</v>
      </c>
      <c r="F2207" s="7" t="str">
        <f aca="false">IFERROR(INDEX(02_轉折點45個!B:B,MATCH(A2207,02_轉折點45個!A:A,0)),"")</f>
        <v/>
      </c>
      <c r="G2207" s="7" t="s">
        <v>1994</v>
      </c>
    </row>
    <row r="2208" customFormat="false" ht="15" hidden="false" customHeight="false" outlineLevel="0" collapsed="false">
      <c r="A2208" s="7" t="s">
        <v>3803</v>
      </c>
      <c r="B2208" s="7" t="n">
        <v>2568.61</v>
      </c>
      <c r="C2208" s="7" t="n">
        <f aca="false">AVERAGE(B2159:B2208)</f>
        <v>2386.2098</v>
      </c>
      <c r="D2208" s="7" t="n">
        <f aca="false">AVERAGE(B2009:B2208)</f>
        <v>2321.92185</v>
      </c>
      <c r="E2208" s="7" t="n">
        <f aca="false">B2208/MAX(B1957:B2208)-1</f>
        <v>0</v>
      </c>
      <c r="F2208" s="7" t="str">
        <f aca="false">IFERROR(INDEX(02_轉折點45個!B:B,MATCH(A2208,02_轉折點45個!A:A,0)),"")</f>
        <v/>
      </c>
      <c r="G2208" s="7" t="s">
        <v>1994</v>
      </c>
    </row>
    <row r="2209" customFormat="false" ht="15" hidden="false" customHeight="false" outlineLevel="0" collapsed="false">
      <c r="A2209" s="7" t="s">
        <v>3804</v>
      </c>
      <c r="B2209" s="7" t="n">
        <v>2532.61</v>
      </c>
      <c r="C2209" s="7" t="n">
        <f aca="false">AVERAGE(B2160:B2209)</f>
        <v>2390.199</v>
      </c>
      <c r="D2209" s="7" t="n">
        <f aca="false">AVERAGE(B2010:B2209)</f>
        <v>2323.61665</v>
      </c>
      <c r="E2209" s="7" t="n">
        <f aca="false">B2209/MAX(B1958:B2209)-1</f>
        <v>-0.0140153623944468</v>
      </c>
      <c r="F2209" s="7" t="str">
        <f aca="false">IFERROR(INDEX(02_轉折點45個!B:B,MATCH(A2209,02_轉折點45個!A:A,0)),"")</f>
        <v/>
      </c>
      <c r="G2209" s="7" t="s">
        <v>1994</v>
      </c>
    </row>
    <row r="2210" customFormat="false" ht="15" hidden="false" customHeight="false" outlineLevel="0" collapsed="false">
      <c r="A2210" s="7" t="s">
        <v>3805</v>
      </c>
      <c r="B2210" s="7" t="n">
        <v>2563.19</v>
      </c>
      <c r="C2210" s="7" t="n">
        <f aca="false">AVERAGE(B2161:B2210)</f>
        <v>2394.396</v>
      </c>
      <c r="D2210" s="7" t="n">
        <f aca="false">AVERAGE(B2011:B2210)</f>
        <v>2325.408</v>
      </c>
      <c r="E2210" s="7" t="n">
        <f aca="false">B2210/MAX(B1959:B2210)-1</f>
        <v>-0.00211009067160839</v>
      </c>
      <c r="F2210" s="7" t="str">
        <f aca="false">IFERROR(INDEX(02_轉折點45個!B:B,MATCH(A2210,02_轉折點45個!A:A,0)),"")</f>
        <v/>
      </c>
      <c r="G2210" s="7" t="s">
        <v>1994</v>
      </c>
    </row>
    <row r="2211" customFormat="false" ht="15" hidden="false" customHeight="false" outlineLevel="0" collapsed="false">
      <c r="A2211" s="7" t="s">
        <v>3806</v>
      </c>
      <c r="B2211" s="7" t="n">
        <v>2539.78</v>
      </c>
      <c r="C2211" s="7" t="n">
        <f aca="false">AVERAGE(B2162:B2211)</f>
        <v>2399.3074</v>
      </c>
      <c r="D2211" s="7" t="n">
        <f aca="false">AVERAGE(B2012:B2211)</f>
        <v>2327.0014</v>
      </c>
      <c r="E2211" s="7" t="n">
        <f aca="false">B2211/MAX(B1960:B2211)-1</f>
        <v>-0.0112239693842194</v>
      </c>
      <c r="F2211" s="7" t="str">
        <f aca="false">IFERROR(INDEX(02_轉折點45個!B:B,MATCH(A2211,02_轉折點45個!A:A,0)),"")</f>
        <v/>
      </c>
      <c r="G2211" s="7" t="s">
        <v>1994</v>
      </c>
    </row>
    <row r="2212" customFormat="false" ht="15" hidden="false" customHeight="false" outlineLevel="0" collapsed="false">
      <c r="A2212" s="7" t="s">
        <v>759</v>
      </c>
      <c r="B2212" s="7" t="n">
        <v>2525.03</v>
      </c>
      <c r="C2212" s="7" t="n">
        <f aca="false">AVERAGE(B2163:B2212)</f>
        <v>2403.2646</v>
      </c>
      <c r="D2212" s="7" t="n">
        <f aca="false">AVERAGE(B2013:B2212)</f>
        <v>2328.5469</v>
      </c>
      <c r="E2212" s="7" t="n">
        <f aca="false">B2212/MAX(B1961:B2212)-1</f>
        <v>-0.016966374809722</v>
      </c>
      <c r="F2212" s="7" t="str">
        <f aca="false">IFERROR(INDEX(02_轉折點45個!B:B,MATCH(A2212,02_轉折點45個!A:A,0)),"")</f>
        <v/>
      </c>
      <c r="G2212" s="7" t="s">
        <v>1994</v>
      </c>
    </row>
    <row r="2213" customFormat="false" ht="15" hidden="false" customHeight="false" outlineLevel="0" collapsed="false">
      <c r="A2213" s="7" t="s">
        <v>760</v>
      </c>
      <c r="B2213" s="7" t="n">
        <v>2551.31</v>
      </c>
      <c r="C2213" s="7" t="n">
        <f aca="false">AVERAGE(B2164:B2213)</f>
        <v>2407.4866</v>
      </c>
      <c r="D2213" s="7" t="n">
        <f aca="false">AVERAGE(B2014:B2213)</f>
        <v>2330.27075</v>
      </c>
      <c r="E2213" s="7" t="n">
        <f aca="false">B2213/MAX(B1962:B2213)-1</f>
        <v>-0.0067351602617759</v>
      </c>
      <c r="F2213" s="7" t="str">
        <f aca="false">IFERROR(INDEX(02_轉折點45個!B:B,MATCH(A2213,02_轉折點45個!A:A,0)),"")</f>
        <v/>
      </c>
      <c r="G2213" s="7" t="s">
        <v>1994</v>
      </c>
    </row>
    <row r="2214" customFormat="false" ht="15" hidden="false" customHeight="false" outlineLevel="0" collapsed="false">
      <c r="A2214" s="7" t="s">
        <v>3807</v>
      </c>
      <c r="B2214" s="7" t="n">
        <v>2557.37</v>
      </c>
      <c r="C2214" s="7" t="n">
        <f aca="false">AVERAGE(B2165:B2214)</f>
        <v>2410.891</v>
      </c>
      <c r="D2214" s="7" t="n">
        <f aca="false">AVERAGE(B2015:B2214)</f>
        <v>2331.98895</v>
      </c>
      <c r="E2214" s="7" t="n">
        <f aca="false">B2214/MAX(B1963:B2214)-1</f>
        <v>-0.00437590759204409</v>
      </c>
      <c r="F2214" s="7" t="str">
        <f aca="false">IFERROR(INDEX(02_轉折點45個!B:B,MATCH(A2214,02_轉折點45個!A:A,0)),"")</f>
        <v/>
      </c>
      <c r="G2214" s="7" t="s">
        <v>1994</v>
      </c>
    </row>
    <row r="2215" customFormat="false" ht="15" hidden="false" customHeight="false" outlineLevel="0" collapsed="false">
      <c r="A2215" s="7" t="s">
        <v>761</v>
      </c>
      <c r="B2215" s="7" t="n">
        <v>2489.63</v>
      </c>
      <c r="C2215" s="7" t="n">
        <f aca="false">AVERAGE(B2166:B2215)</f>
        <v>2413.9728</v>
      </c>
      <c r="D2215" s="7" t="n">
        <f aca="false">AVERAGE(B2016:B2215)</f>
        <v>2333.23015</v>
      </c>
      <c r="E2215" s="7" t="n">
        <f aca="false">B2215/MAX(B1964:B2215)-1</f>
        <v>-0.0307481478309281</v>
      </c>
      <c r="F2215" s="7" t="str">
        <f aca="false">IFERROR(INDEX(02_轉折點45個!B:B,MATCH(A2215,02_轉折點45個!A:A,0)),"")</f>
        <v/>
      </c>
      <c r="G2215" s="7" t="s">
        <v>1994</v>
      </c>
    </row>
    <row r="2216" customFormat="false" ht="15" hidden="false" customHeight="false" outlineLevel="0" collapsed="false">
      <c r="A2216" s="7" t="s">
        <v>3808</v>
      </c>
      <c r="B2216" s="7" t="n">
        <v>2515.91</v>
      </c>
      <c r="C2216" s="7" t="n">
        <f aca="false">AVERAGE(B2167:B2216)</f>
        <v>2417.7922</v>
      </c>
      <c r="D2216" s="7" t="n">
        <f aca="false">AVERAGE(B2017:B2216)</f>
        <v>2334.6904</v>
      </c>
      <c r="E2216" s="7" t="n">
        <f aca="false">B2216/MAX(B1965:B2216)-1</f>
        <v>-0.020516933282982</v>
      </c>
      <c r="F2216" s="7" t="str">
        <f aca="false">IFERROR(INDEX(02_轉折點45個!B:B,MATCH(A2216,02_轉折點45個!A:A,0)),"")</f>
        <v/>
      </c>
      <c r="G2216" s="7" t="s">
        <v>1994</v>
      </c>
    </row>
    <row r="2217" customFormat="false" ht="15" hidden="false" customHeight="false" outlineLevel="0" collapsed="false">
      <c r="A2217" s="7" t="s">
        <v>3809</v>
      </c>
      <c r="B2217" s="7" t="n">
        <v>2557.33</v>
      </c>
      <c r="C2217" s="7" t="n">
        <f aca="false">AVERAGE(B2168:B2217)</f>
        <v>2422.4884</v>
      </c>
      <c r="D2217" s="7" t="n">
        <f aca="false">AVERAGE(B2018:B2217)</f>
        <v>2336.3397</v>
      </c>
      <c r="E2217" s="7" t="n">
        <f aca="false">B2217/MAX(B1966:B2217)-1</f>
        <v>-0.0043914802169267</v>
      </c>
      <c r="F2217" s="7" t="str">
        <f aca="false">IFERROR(INDEX(02_轉折點45個!B:B,MATCH(A2217,02_轉折點45個!A:A,0)),"")</f>
        <v/>
      </c>
      <c r="G2217" s="7" t="s">
        <v>1994</v>
      </c>
    </row>
    <row r="2218" customFormat="false" ht="15" hidden="false" customHeight="false" outlineLevel="0" collapsed="false">
      <c r="A2218" s="7" t="s">
        <v>3810</v>
      </c>
      <c r="B2218" s="7" t="n">
        <v>2534.94</v>
      </c>
      <c r="C2218" s="7" t="n">
        <f aca="false">AVERAGE(B2169:B2218)</f>
        <v>2427.5246</v>
      </c>
      <c r="D2218" s="7" t="n">
        <f aca="false">AVERAGE(B2019:B2218)</f>
        <v>2337.8513</v>
      </c>
      <c r="E2218" s="7" t="n">
        <f aca="false">B2218/MAX(B1967:B2218)-1</f>
        <v>-0.0131082569950285</v>
      </c>
      <c r="F2218" s="7" t="str">
        <f aca="false">IFERROR(INDEX(02_轉折點45個!B:B,MATCH(A2218,02_轉折點45個!A:A,0)),"")</f>
        <v/>
      </c>
      <c r="G2218" s="7" t="s">
        <v>1994</v>
      </c>
    </row>
    <row r="2219" customFormat="false" ht="15" hidden="false" customHeight="false" outlineLevel="0" collapsed="false">
      <c r="A2219" s="7" t="s">
        <v>3811</v>
      </c>
      <c r="B2219" s="7" t="n">
        <v>2513.11</v>
      </c>
      <c r="C2219" s="7" t="n">
        <f aca="false">AVERAGE(B2170:B2219)</f>
        <v>2432.8604</v>
      </c>
      <c r="D2219" s="7" t="n">
        <f aca="false">AVERAGE(B2020:B2219)</f>
        <v>2339.18295</v>
      </c>
      <c r="E2219" s="7" t="n">
        <f aca="false">B2219/MAX(B1968:B2219)-1</f>
        <v>-0.0216070170247722</v>
      </c>
      <c r="F2219" s="7" t="str">
        <f aca="false">IFERROR(INDEX(02_轉折點45個!B:B,MATCH(A2219,02_轉折點45個!A:A,0)),"")</f>
        <v/>
      </c>
      <c r="G2219" s="7" t="s">
        <v>1994</v>
      </c>
    </row>
    <row r="2220" customFormat="false" ht="15" hidden="false" customHeight="false" outlineLevel="0" collapsed="false">
      <c r="A2220" s="7" t="s">
        <v>3812</v>
      </c>
      <c r="B2220" s="7" t="n">
        <v>2561.83</v>
      </c>
      <c r="C2220" s="7" t="n">
        <f aca="false">AVERAGE(B2171:B2220)</f>
        <v>2439.3124</v>
      </c>
      <c r="D2220" s="7" t="n">
        <f aca="false">AVERAGE(B2021:B2220)</f>
        <v>2340.64165</v>
      </c>
      <c r="E2220" s="7" t="n">
        <f aca="false">B2220/MAX(B1969:B2220)-1</f>
        <v>-0.00263955991762088</v>
      </c>
      <c r="F2220" s="7" t="str">
        <f aca="false">IFERROR(INDEX(02_轉折點45個!B:B,MATCH(A2220,02_轉折點45個!A:A,0)),"")</f>
        <v/>
      </c>
      <c r="G2220" s="7" t="s">
        <v>1994</v>
      </c>
    </row>
    <row r="2221" customFormat="false" ht="15" hidden="false" customHeight="false" outlineLevel="0" collapsed="false">
      <c r="A2221" s="7" t="s">
        <v>762</v>
      </c>
      <c r="B2221" s="7" t="n">
        <v>2573.94</v>
      </c>
      <c r="C2221" s="7" t="n">
        <f aca="false">AVERAGE(B2172:B2221)</f>
        <v>2445.0206</v>
      </c>
      <c r="D2221" s="7" t="n">
        <f aca="false">AVERAGE(B2022:B2221)</f>
        <v>2342.0788</v>
      </c>
      <c r="E2221" s="7" t="n">
        <f aca="false">B2221/MAX(B1970:B2221)-1</f>
        <v>0</v>
      </c>
      <c r="F2221" s="7" t="str">
        <f aca="false">IFERROR(INDEX(02_轉折點45個!B:B,MATCH(A2221,02_轉折點45個!A:A,0)),"")</f>
        <v/>
      </c>
      <c r="G2221" s="7" t="s">
        <v>1994</v>
      </c>
    </row>
    <row r="2222" customFormat="false" ht="15" hidden="false" customHeight="false" outlineLevel="0" collapsed="false">
      <c r="A2222" s="7" t="s">
        <v>3813</v>
      </c>
      <c r="B2222" s="7" t="n">
        <v>2573.27</v>
      </c>
      <c r="C2222" s="7" t="n">
        <f aca="false">AVERAGE(B2173:B2222)</f>
        <v>2450.6504</v>
      </c>
      <c r="D2222" s="7" t="n">
        <f aca="false">AVERAGE(B2023:B2222)</f>
        <v>2343.53565</v>
      </c>
      <c r="E2222" s="7" t="n">
        <f aca="false">B2222/MAX(B1971:B2222)-1</f>
        <v>-0.000260301327925316</v>
      </c>
      <c r="F2222" s="7" t="str">
        <f aca="false">IFERROR(INDEX(02_轉折點45個!B:B,MATCH(A2222,02_轉折點45個!A:A,0)),"")</f>
        <v/>
      </c>
      <c r="G2222" s="7" t="s">
        <v>1994</v>
      </c>
    </row>
    <row r="2223" customFormat="false" ht="15" hidden="false" customHeight="false" outlineLevel="0" collapsed="false">
      <c r="A2223" s="7" t="s">
        <v>132</v>
      </c>
      <c r="B2223" s="7" t="n">
        <v>2612.01</v>
      </c>
      <c r="C2223" s="7" t="n">
        <f aca="false">AVERAGE(B2174:B2223)</f>
        <v>2456.8228</v>
      </c>
      <c r="D2223" s="7" t="n">
        <f aca="false">AVERAGE(B2024:B2223)</f>
        <v>2345.27005</v>
      </c>
      <c r="E2223" s="7" t="n">
        <f aca="false">B2223/MAX(B1972:B2223)-1</f>
        <v>0</v>
      </c>
      <c r="F2223" s="7" t="str">
        <f aca="false">IFERROR(INDEX(02_轉折點45個!B:B,MATCH(A2223,02_轉折點45個!A:A,0)),"")</f>
        <v>TOP</v>
      </c>
      <c r="G2223" s="7" t="s">
        <v>1994</v>
      </c>
    </row>
    <row r="2224" customFormat="false" ht="15" hidden="false" customHeight="false" outlineLevel="0" collapsed="false">
      <c r="A2224" s="7" t="s">
        <v>3814</v>
      </c>
      <c r="B2224" s="7" t="n">
        <v>2553.28</v>
      </c>
      <c r="C2224" s="7" t="n">
        <f aca="false">AVERAGE(B2175:B2224)</f>
        <v>2461.245</v>
      </c>
      <c r="D2224" s="7" t="n">
        <f aca="false">AVERAGE(B2025:B2224)</f>
        <v>2346.8762</v>
      </c>
      <c r="E2224" s="7" t="n">
        <f aca="false">B2224/MAX(B1973:B2224)-1</f>
        <v>-0.0224845999823891</v>
      </c>
      <c r="F2224" s="7" t="str">
        <f aca="false">IFERROR(INDEX(02_轉折點45個!B:B,MATCH(A2224,02_轉折點45個!A:A,0)),"")</f>
        <v/>
      </c>
      <c r="G2224" s="7" t="s">
        <v>1994</v>
      </c>
    </row>
    <row r="2225" customFormat="false" ht="15" hidden="false" customHeight="false" outlineLevel="0" collapsed="false">
      <c r="A2225" s="7" t="s">
        <v>3815</v>
      </c>
      <c r="B2225" s="7" t="n">
        <v>2567.49</v>
      </c>
      <c r="C2225" s="7" t="n">
        <f aca="false">AVERAGE(B2176:B2225)</f>
        <v>2466.1542</v>
      </c>
      <c r="D2225" s="7" t="n">
        <f aca="false">AVERAGE(B2026:B2225)</f>
        <v>2348.5164</v>
      </c>
      <c r="E2225" s="7" t="n">
        <f aca="false">B2225/MAX(B1974:B2225)-1</f>
        <v>-0.0170443451594751</v>
      </c>
      <c r="F2225" s="7" t="str">
        <f aca="false">IFERROR(INDEX(02_轉折點45個!B:B,MATCH(A2225,02_轉折點45個!A:A,0)),"")</f>
        <v/>
      </c>
      <c r="G2225" s="7" t="s">
        <v>1994</v>
      </c>
    </row>
    <row r="2226" customFormat="false" ht="15" hidden="false" customHeight="false" outlineLevel="0" collapsed="false">
      <c r="A2226" s="7" t="s">
        <v>3816</v>
      </c>
      <c r="B2226" s="7" t="n">
        <v>2553.6</v>
      </c>
      <c r="C2226" s="7" t="n">
        <f aca="false">AVERAGE(B2177:B2226)</f>
        <v>2470.1464</v>
      </c>
      <c r="D2226" s="7" t="n">
        <f aca="false">AVERAGE(B2027:B2226)</f>
        <v>2350.1796</v>
      </c>
      <c r="E2226" s="7" t="n">
        <f aca="false">B2226/MAX(B1975:B2226)-1</f>
        <v>-0.0223620889659688</v>
      </c>
      <c r="F2226" s="7" t="str">
        <f aca="false">IFERROR(INDEX(02_轉折點45個!B:B,MATCH(A2226,02_轉折點45個!A:A,0)),"")</f>
        <v/>
      </c>
      <c r="G2226" s="7" t="s">
        <v>1994</v>
      </c>
    </row>
    <row r="2227" customFormat="false" ht="15" hidden="false" customHeight="false" outlineLevel="0" collapsed="false">
      <c r="A2227" s="7" t="s">
        <v>3817</v>
      </c>
      <c r="B2227" s="7" t="n">
        <v>2581.01</v>
      </c>
      <c r="C2227" s="7" t="n">
        <f aca="false">AVERAGE(B2178:B2227)</f>
        <v>2474.9688</v>
      </c>
      <c r="D2227" s="7" t="n">
        <f aca="false">AVERAGE(B2028:B2227)</f>
        <v>2351.9783</v>
      </c>
      <c r="E2227" s="7" t="n">
        <f aca="false">B2227/MAX(B1976:B2227)-1</f>
        <v>-0.0118682547157171</v>
      </c>
      <c r="F2227" s="7" t="str">
        <f aca="false">IFERROR(INDEX(02_轉折點45個!B:B,MATCH(A2227,02_轉折點45個!A:A,0)),"")</f>
        <v/>
      </c>
      <c r="G2227" s="7" t="s">
        <v>1994</v>
      </c>
    </row>
    <row r="2228" customFormat="false" ht="15" hidden="false" customHeight="false" outlineLevel="0" collapsed="false">
      <c r="A2228" s="7" t="s">
        <v>763</v>
      </c>
      <c r="B2228" s="7" t="n">
        <v>2511.19</v>
      </c>
      <c r="C2228" s="7" t="n">
        <f aca="false">AVERAGE(B2179:B2228)</f>
        <v>2479.5022</v>
      </c>
      <c r="D2228" s="7" t="n">
        <f aca="false">AVERAGE(B2029:B2228)</f>
        <v>2353.2686</v>
      </c>
      <c r="E2228" s="7" t="n">
        <f aca="false">B2228/MAX(B1977:B2228)-1</f>
        <v>-0.0385986271109223</v>
      </c>
      <c r="F2228" s="7" t="str">
        <f aca="false">IFERROR(INDEX(02_轉折點45個!B:B,MATCH(A2228,02_轉折點45個!A:A,0)),"")</f>
        <v/>
      </c>
      <c r="G2228" s="7" t="s">
        <v>1994</v>
      </c>
    </row>
    <row r="2229" customFormat="false" ht="15" hidden="false" customHeight="false" outlineLevel="0" collapsed="false">
      <c r="A2229" s="7" t="s">
        <v>3818</v>
      </c>
      <c r="B2229" s="7" t="n">
        <v>2462.99</v>
      </c>
      <c r="C2229" s="7" t="n">
        <f aca="false">AVERAGE(B2180:B2229)</f>
        <v>2481.9294</v>
      </c>
      <c r="D2229" s="7" t="n">
        <f aca="false">AVERAGE(B2030:B2229)</f>
        <v>2354.46425</v>
      </c>
      <c r="E2229" s="7" t="n">
        <f aca="false">B2229/MAX(B1978:B2229)-1</f>
        <v>-0.0570518489592308</v>
      </c>
      <c r="F2229" s="7" t="str">
        <f aca="false">IFERROR(INDEX(02_轉折點45個!B:B,MATCH(A2229,02_轉折點45個!A:A,0)),"")</f>
        <v/>
      </c>
      <c r="G2229" s="7" t="s">
        <v>1994</v>
      </c>
    </row>
    <row r="2230" customFormat="false" ht="15" hidden="false" customHeight="false" outlineLevel="0" collapsed="false">
      <c r="A2230" s="7" t="s">
        <v>764</v>
      </c>
      <c r="B2230" s="7" t="n">
        <v>2400.81</v>
      </c>
      <c r="C2230" s="7" t="n">
        <f aca="false">AVERAGE(B2181:B2230)</f>
        <v>2483.0738</v>
      </c>
      <c r="D2230" s="7" t="n">
        <f aca="false">AVERAGE(B2031:B2230)</f>
        <v>2355.3433</v>
      </c>
      <c r="E2230" s="7" t="n">
        <f aca="false">B2230/MAX(B1979:B2230)-1</f>
        <v>-0.0808572708374011</v>
      </c>
      <c r="F2230" s="7" t="str">
        <f aca="false">IFERROR(INDEX(02_轉折點45個!B:B,MATCH(A2230,02_轉折點45個!A:A,0)),"")</f>
        <v/>
      </c>
      <c r="G2230" s="7" t="s">
        <v>1994</v>
      </c>
    </row>
    <row r="2231" customFormat="false" ht="15" hidden="false" customHeight="false" outlineLevel="0" collapsed="false">
      <c r="A2231" s="7" t="s">
        <v>3819</v>
      </c>
      <c r="B2231" s="7" t="n">
        <v>2360.79</v>
      </c>
      <c r="C2231" s="7" t="n">
        <f aca="false">AVERAGE(B2182:B2231)</f>
        <v>2482.8504</v>
      </c>
      <c r="D2231" s="7" t="n">
        <f aca="false">AVERAGE(B2032:B2231)</f>
        <v>2355.9967</v>
      </c>
      <c r="E2231" s="7" t="n">
        <f aca="false">B2231/MAX(B1980:B2231)-1</f>
        <v>-0.0961788048284655</v>
      </c>
      <c r="F2231" s="7" t="str">
        <f aca="false">IFERROR(INDEX(02_轉折點45個!B:B,MATCH(A2231,02_轉折點45個!A:A,0)),"")</f>
        <v/>
      </c>
      <c r="G2231" s="7" t="s">
        <v>1994</v>
      </c>
    </row>
    <row r="2232" customFormat="false" ht="15" hidden="false" customHeight="false" outlineLevel="0" collapsed="false">
      <c r="A2232" s="7" t="s">
        <v>765</v>
      </c>
      <c r="B2232" s="7" t="n">
        <v>2442.57</v>
      </c>
      <c r="C2232" s="7" t="n">
        <f aca="false">AVERAGE(B2183:B2232)</f>
        <v>2483.6434</v>
      </c>
      <c r="D2232" s="7" t="n">
        <f aca="false">AVERAGE(B2033:B2232)</f>
        <v>2357.0245</v>
      </c>
      <c r="E2232" s="7" t="n">
        <f aca="false">B2232/MAX(B1981:B2232)-1</f>
        <v>-0.0648695831945514</v>
      </c>
      <c r="F2232" s="7" t="str">
        <f aca="false">IFERROR(INDEX(02_轉折點45個!B:B,MATCH(A2232,02_轉折點45個!A:A,0)),"")</f>
        <v/>
      </c>
      <c r="G2232" s="7" t="s">
        <v>1994</v>
      </c>
    </row>
    <row r="2233" customFormat="false" ht="15" hidden="false" customHeight="false" outlineLevel="0" collapsed="false">
      <c r="A2233" s="7" t="s">
        <v>3820</v>
      </c>
      <c r="B2233" s="7" t="n">
        <v>2415.78</v>
      </c>
      <c r="C2233" s="7" t="n">
        <f aca="false">AVERAGE(B2184:B2233)</f>
        <v>2484.3446</v>
      </c>
      <c r="D2233" s="7" t="n">
        <f aca="false">AVERAGE(B2034:B2233)</f>
        <v>2357.8485</v>
      </c>
      <c r="E2233" s="7" t="n">
        <f aca="false">B2233/MAX(B1982:B2233)-1</f>
        <v>-0.0751260523504888</v>
      </c>
      <c r="F2233" s="7" t="str">
        <f aca="false">IFERROR(INDEX(02_轉折點45個!B:B,MATCH(A2233,02_轉折點45個!A:A,0)),"")</f>
        <v/>
      </c>
      <c r="G2233" s="7" t="s">
        <v>1994</v>
      </c>
    </row>
    <row r="2234" customFormat="false" ht="15" hidden="false" customHeight="false" outlineLevel="0" collapsed="false">
      <c r="A2234" s="7" t="s">
        <v>3821</v>
      </c>
      <c r="B2234" s="7" t="n">
        <v>2392.2</v>
      </c>
      <c r="C2234" s="7" t="n">
        <f aca="false">AVERAGE(B2185:B2234)</f>
        <v>2484.4212</v>
      </c>
      <c r="D2234" s="7" t="n">
        <f aca="false">AVERAGE(B2035:B2234)</f>
        <v>2358.5343</v>
      </c>
      <c r="E2234" s="7" t="n">
        <f aca="false">B2234/MAX(B1983:B2234)-1</f>
        <v>-0.08415358287296</v>
      </c>
      <c r="F2234" s="7" t="str">
        <f aca="false">IFERROR(INDEX(02_轉折點45個!B:B,MATCH(A2234,02_轉折點45個!A:A,0)),"")</f>
        <v/>
      </c>
      <c r="G2234" s="7" t="s">
        <v>1994</v>
      </c>
    </row>
    <row r="2235" customFormat="false" ht="15" hidden="false" customHeight="false" outlineLevel="0" collapsed="false">
      <c r="A2235" s="7" t="s">
        <v>766</v>
      </c>
      <c r="B2235" s="7" t="n">
        <v>2409.31</v>
      </c>
      <c r="C2235" s="7" t="n">
        <f aca="false">AVERAGE(B2186:B2235)</f>
        <v>2485.7284</v>
      </c>
      <c r="D2235" s="7" t="n">
        <f aca="false">AVERAGE(B2036:B2235)</f>
        <v>2359.27135</v>
      </c>
      <c r="E2235" s="7" t="n">
        <f aca="false">B2235/MAX(B1984:B2235)-1</f>
        <v>-0.0776030719637368</v>
      </c>
      <c r="F2235" s="7" t="str">
        <f aca="false">IFERROR(INDEX(02_轉折點45個!B:B,MATCH(A2235,02_轉折點45個!A:A,0)),"")</f>
        <v/>
      </c>
      <c r="G2235" s="7" t="s">
        <v>1994</v>
      </c>
    </row>
    <row r="2236" customFormat="false" ht="15" hidden="false" customHeight="false" outlineLevel="0" collapsed="false">
      <c r="A2236" s="7" t="s">
        <v>3822</v>
      </c>
      <c r="B2236" s="7" t="n">
        <v>2369.24</v>
      </c>
      <c r="C2236" s="7" t="n">
        <f aca="false">AVERAGE(B2187:B2236)</f>
        <v>2486.3546</v>
      </c>
      <c r="D2236" s="7" t="n">
        <f aca="false">AVERAGE(B2037:B2236)</f>
        <v>2359.8322</v>
      </c>
      <c r="E2236" s="7" t="n">
        <f aca="false">B2236/MAX(B1985:B2236)-1</f>
        <v>-0.092943748301117</v>
      </c>
      <c r="F2236" s="7" t="str">
        <f aca="false">IFERROR(INDEX(02_轉折點45個!B:B,MATCH(A2236,02_轉折點45個!A:A,0)),"")</f>
        <v/>
      </c>
      <c r="G2236" s="7" t="s">
        <v>1994</v>
      </c>
    </row>
    <row r="2237" customFormat="false" ht="15" hidden="false" customHeight="false" outlineLevel="0" collapsed="false">
      <c r="A2237" s="7" t="s">
        <v>3823</v>
      </c>
      <c r="B2237" s="7" t="n">
        <v>2372.37</v>
      </c>
      <c r="C2237" s="7" t="n">
        <f aca="false">AVERAGE(B2188:B2237)</f>
        <v>2486.3424</v>
      </c>
      <c r="D2237" s="7" t="n">
        <f aca="false">AVERAGE(B2038:B2237)</f>
        <v>2360.4046</v>
      </c>
      <c r="E2237" s="7" t="n">
        <f aca="false">B2237/MAX(B1986:B2237)-1</f>
        <v>-0.0917454374217558</v>
      </c>
      <c r="F2237" s="7" t="str">
        <f aca="false">IFERROR(INDEX(02_轉折點45個!B:B,MATCH(A2237,02_轉折點45個!A:A,0)),"")</f>
        <v/>
      </c>
      <c r="G2237" s="7" t="s">
        <v>1994</v>
      </c>
    </row>
    <row r="2238" customFormat="false" ht="15" hidden="false" customHeight="false" outlineLevel="0" collapsed="false">
      <c r="A2238" s="7" t="s">
        <v>767</v>
      </c>
      <c r="B2238" s="7" t="n">
        <v>2340.71</v>
      </c>
      <c r="C2238" s="7" t="n">
        <f aca="false">AVERAGE(B2189:B2238)</f>
        <v>2485.7958</v>
      </c>
      <c r="D2238" s="7" t="n">
        <f aca="false">AVERAGE(B2039:B2238)</f>
        <v>2360.7319</v>
      </c>
      <c r="E2238" s="7" t="n">
        <f aca="false">B2238/MAX(B1987:B2238)-1</f>
        <v>-0.10386637110884</v>
      </c>
      <c r="F2238" s="7" t="str">
        <f aca="false">IFERROR(INDEX(02_轉折點45個!B:B,MATCH(A2238,02_轉折點45個!A:A,0)),"")</f>
        <v/>
      </c>
      <c r="G2238" s="7" t="s">
        <v>1994</v>
      </c>
    </row>
    <row r="2239" customFormat="false" ht="15" hidden="false" customHeight="false" outlineLevel="0" collapsed="false">
      <c r="A2239" s="7" t="s">
        <v>768</v>
      </c>
      <c r="B2239" s="7" t="n">
        <v>2372.18</v>
      </c>
      <c r="C2239" s="7" t="n">
        <f aca="false">AVERAGE(B2190:B2239)</f>
        <v>2485.7142</v>
      </c>
      <c r="D2239" s="7" t="n">
        <f aca="false">AVERAGE(B2040:B2239)</f>
        <v>2361.2249</v>
      </c>
      <c r="E2239" s="7" t="n">
        <f aca="false">B2239/MAX(B1988:B2239)-1</f>
        <v>-0.0918181783377554</v>
      </c>
      <c r="F2239" s="7" t="str">
        <f aca="false">IFERROR(INDEX(02_轉折點45個!B:B,MATCH(A2239,02_轉折點45個!A:A,0)),"")</f>
        <v/>
      </c>
      <c r="G2239" s="7" t="s">
        <v>1994</v>
      </c>
    </row>
    <row r="2240" customFormat="false" ht="15" hidden="false" customHeight="false" outlineLevel="0" collapsed="false">
      <c r="A2240" s="7" t="s">
        <v>769</v>
      </c>
      <c r="B2240" s="7" t="n">
        <v>2321.38</v>
      </c>
      <c r="C2240" s="7" t="n">
        <f aca="false">AVERAGE(B2191:B2240)</f>
        <v>2484.5962</v>
      </c>
      <c r="D2240" s="7" t="n">
        <f aca="false">AVERAGE(B2041:B2240)</f>
        <v>2361.5957</v>
      </c>
      <c r="E2240" s="7" t="n">
        <f aca="false">B2240/MAX(B1989:B2240)-1</f>
        <v>-0.111266802194479</v>
      </c>
      <c r="F2240" s="7" t="str">
        <f aca="false">IFERROR(INDEX(02_轉折點45個!B:B,MATCH(A2240,02_轉折點45個!A:A,0)),"")</f>
        <v/>
      </c>
      <c r="G2240" s="7" t="s">
        <v>1994</v>
      </c>
    </row>
    <row r="2241" customFormat="false" ht="15" hidden="false" customHeight="false" outlineLevel="0" collapsed="false">
      <c r="A2241" s="7" t="s">
        <v>3824</v>
      </c>
      <c r="B2241" s="7" t="n">
        <v>2357.75</v>
      </c>
      <c r="C2241" s="7" t="n">
        <f aca="false">AVERAGE(B2192:B2241)</f>
        <v>2484.5806</v>
      </c>
      <c r="D2241" s="7" t="n">
        <f aca="false">AVERAGE(B2042:B2241)</f>
        <v>2362.19145</v>
      </c>
      <c r="E2241" s="7" t="n">
        <f aca="false">B2241/MAX(B1990:B2241)-1</f>
        <v>-0.0973426594844584</v>
      </c>
      <c r="F2241" s="7" t="str">
        <f aca="false">IFERROR(INDEX(02_轉折點45個!B:B,MATCH(A2241,02_轉折點45個!A:A,0)),"")</f>
        <v/>
      </c>
      <c r="G2241" s="7" t="s">
        <v>1994</v>
      </c>
    </row>
    <row r="2242" customFormat="false" ht="15" hidden="false" customHeight="false" outlineLevel="0" collapsed="false">
      <c r="A2242" s="7" t="s">
        <v>770</v>
      </c>
      <c r="B2242" s="7" t="n">
        <v>2432.76</v>
      </c>
      <c r="C2242" s="7" t="n">
        <f aca="false">AVERAGE(B2193:B2242)</f>
        <v>2484.7862</v>
      </c>
      <c r="D2242" s="7" t="n">
        <f aca="false">AVERAGE(B2043:B2242)</f>
        <v>2363.11885</v>
      </c>
      <c r="E2242" s="7" t="n">
        <f aca="false">B2242/MAX(B1991:B2242)-1</f>
        <v>-0.0686253115416863</v>
      </c>
      <c r="F2242" s="7" t="str">
        <f aca="false">IFERROR(INDEX(02_轉折點45個!B:B,MATCH(A2242,02_轉折點45個!A:A,0)),"")</f>
        <v/>
      </c>
      <c r="G2242" s="7" t="s">
        <v>1994</v>
      </c>
    </row>
    <row r="2243" customFormat="false" ht="15" hidden="false" customHeight="false" outlineLevel="0" collapsed="false">
      <c r="A2243" s="7" t="s">
        <v>3825</v>
      </c>
      <c r="B2243" s="7" t="n">
        <v>2437.53</v>
      </c>
      <c r="C2243" s="7" t="n">
        <f aca="false">AVERAGE(B2194:B2243)</f>
        <v>2484.8164</v>
      </c>
      <c r="D2243" s="7" t="n">
        <f aca="false">AVERAGE(B2044:B2243)</f>
        <v>2363.9399</v>
      </c>
      <c r="E2243" s="7" t="n">
        <f aca="false">B2243/MAX(B1992:B2243)-1</f>
        <v>-0.0667991317031711</v>
      </c>
      <c r="F2243" s="7" t="str">
        <f aca="false">IFERROR(INDEX(02_轉折點45個!B:B,MATCH(A2243,02_轉折點45個!A:A,0)),"")</f>
        <v/>
      </c>
      <c r="G2243" s="7" t="s">
        <v>1994</v>
      </c>
    </row>
    <row r="2244" customFormat="false" ht="15" hidden="false" customHeight="false" outlineLevel="0" collapsed="false">
      <c r="A2244" s="7" t="s">
        <v>771</v>
      </c>
      <c r="B2244" s="7" t="n">
        <v>2430.98</v>
      </c>
      <c r="C2244" s="7" t="n">
        <f aca="false">AVERAGE(B2195:B2244)</f>
        <v>2484.9382</v>
      </c>
      <c r="D2244" s="7" t="n">
        <f aca="false">AVERAGE(B2045:B2244)</f>
        <v>2364.6884</v>
      </c>
      <c r="E2244" s="7" t="n">
        <f aca="false">B2244/MAX(B1993:B2244)-1</f>
        <v>-0.0693067790705243</v>
      </c>
      <c r="F2244" s="7" t="str">
        <f aca="false">IFERROR(INDEX(02_轉折點45個!B:B,MATCH(A2244,02_轉折點45個!A:A,0)),"")</f>
        <v/>
      </c>
      <c r="G2244" s="7" t="s">
        <v>1994</v>
      </c>
    </row>
    <row r="2245" customFormat="false" ht="15" hidden="false" customHeight="false" outlineLevel="0" collapsed="false">
      <c r="A2245" s="7" t="s">
        <v>3826</v>
      </c>
      <c r="B2245" s="7" t="n">
        <v>2409.21</v>
      </c>
      <c r="C2245" s="7" t="n">
        <f aca="false">AVERAGE(B2196:B2245)</f>
        <v>2484.3154</v>
      </c>
      <c r="D2245" s="7" t="n">
        <f aca="false">AVERAGE(B2046:B2245)</f>
        <v>2365.33165</v>
      </c>
      <c r="E2245" s="7" t="n">
        <f aca="false">B2245/MAX(B1994:B2245)-1</f>
        <v>-0.0776413566563682</v>
      </c>
      <c r="F2245" s="7" t="str">
        <f aca="false">IFERROR(INDEX(02_轉折點45個!B:B,MATCH(A2245,02_轉折點45個!A:A,0)),"")</f>
        <v/>
      </c>
      <c r="G2245" s="7" t="s">
        <v>1994</v>
      </c>
    </row>
    <row r="2246" customFormat="false" ht="15" hidden="false" customHeight="false" outlineLevel="0" collapsed="false">
      <c r="A2246" s="7" t="s">
        <v>3827</v>
      </c>
      <c r="B2246" s="7" t="n">
        <v>2393.41</v>
      </c>
      <c r="C2246" s="7" t="n">
        <f aca="false">AVERAGE(B2197:B2246)</f>
        <v>2483.4362</v>
      </c>
      <c r="D2246" s="7" t="n">
        <f aca="false">AVERAGE(B2047:B2246)</f>
        <v>2365.8195</v>
      </c>
      <c r="E2246" s="7" t="n">
        <f aca="false">B2246/MAX(B1995:B2246)-1</f>
        <v>-0.0836903380921208</v>
      </c>
      <c r="F2246" s="7" t="str">
        <f aca="false">IFERROR(INDEX(02_轉折點45個!B:B,MATCH(A2246,02_轉折點45個!A:A,0)),"")</f>
        <v/>
      </c>
      <c r="G2246" s="7" t="s">
        <v>1994</v>
      </c>
    </row>
    <row r="2247" customFormat="false" ht="15" hidden="false" customHeight="false" outlineLevel="0" collapsed="false">
      <c r="A2247" s="7" t="s">
        <v>3828</v>
      </c>
      <c r="B2247" s="7" t="n">
        <v>2435.91</v>
      </c>
      <c r="C2247" s="7" t="n">
        <f aca="false">AVERAGE(B2198:B2247)</f>
        <v>2483.1238</v>
      </c>
      <c r="D2247" s="7" t="n">
        <f aca="false">AVERAGE(B2048:B2247)</f>
        <v>2366.49525</v>
      </c>
      <c r="E2247" s="7" t="n">
        <f aca="false">B2247/MAX(B1996:B2247)-1</f>
        <v>-0.0674193437237991</v>
      </c>
      <c r="F2247" s="7" t="str">
        <f aca="false">IFERROR(INDEX(02_轉折點45個!B:B,MATCH(A2247,02_轉折點45個!A:A,0)),"")</f>
        <v/>
      </c>
      <c r="G2247" s="7" t="s">
        <v>1994</v>
      </c>
    </row>
    <row r="2248" customFormat="false" ht="15" hidden="false" customHeight="false" outlineLevel="0" collapsed="false">
      <c r="A2248" s="7" t="s">
        <v>3829</v>
      </c>
      <c r="B2248" s="7" t="n">
        <v>2474.9</v>
      </c>
      <c r="C2248" s="7" t="n">
        <f aca="false">AVERAGE(B2199:B2248)</f>
        <v>2483.3066</v>
      </c>
      <c r="D2248" s="7" t="n">
        <f aca="false">AVERAGE(B2049:B2248)</f>
        <v>2367.33615</v>
      </c>
      <c r="E2248" s="7" t="n">
        <f aca="false">B2248/MAX(B1997:B2248)-1</f>
        <v>-0.0524921420668375</v>
      </c>
      <c r="F2248" s="7" t="str">
        <f aca="false">IFERROR(INDEX(02_轉折點45個!B:B,MATCH(A2248,02_轉折點45個!A:A,0)),"")</f>
        <v/>
      </c>
      <c r="G2248" s="7" t="s">
        <v>1994</v>
      </c>
    </row>
    <row r="2249" customFormat="false" ht="15" hidden="false" customHeight="false" outlineLevel="0" collapsed="false">
      <c r="A2249" s="7" t="s">
        <v>3830</v>
      </c>
      <c r="B2249" s="7" t="n">
        <v>2472.27</v>
      </c>
      <c r="C2249" s="7" t="n">
        <f aca="false">AVERAGE(B2200:B2249)</f>
        <v>2483.2438</v>
      </c>
      <c r="D2249" s="7" t="n">
        <f aca="false">AVERAGE(B2050:B2249)</f>
        <v>2368.20885</v>
      </c>
      <c r="E2249" s="7" t="n">
        <f aca="false">B2249/MAX(B1998:B2249)-1</f>
        <v>-0.0534990294830419</v>
      </c>
      <c r="F2249" s="7" t="str">
        <f aca="false">IFERROR(INDEX(02_轉折點45個!B:B,MATCH(A2249,02_轉折點45個!A:A,0)),"")</f>
        <v/>
      </c>
      <c r="G2249" s="7" t="s">
        <v>1994</v>
      </c>
    </row>
    <row r="2250" customFormat="false" ht="15" hidden="false" customHeight="false" outlineLevel="0" collapsed="false">
      <c r="A2250" s="7" t="s">
        <v>772</v>
      </c>
      <c r="B2250" s="7" t="n">
        <v>2483.96</v>
      </c>
      <c r="C2250" s="7" t="n">
        <f aca="false">AVERAGE(B2201:B2250)</f>
        <v>2483.5626</v>
      </c>
      <c r="D2250" s="7" t="n">
        <f aca="false">AVERAGE(B2051:B2250)</f>
        <v>2369.18835</v>
      </c>
      <c r="E2250" s="7" t="n">
        <f aca="false">B2250/MAX(B1999:B2250)-1</f>
        <v>-0.0490235489144376</v>
      </c>
      <c r="F2250" s="7" t="str">
        <f aca="false">IFERROR(INDEX(02_轉折點45個!B:B,MATCH(A2250,02_轉折點45個!A:A,0)),"")</f>
        <v/>
      </c>
      <c r="G2250" s="7" t="s">
        <v>1994</v>
      </c>
    </row>
    <row r="2251" customFormat="false" ht="15" hidden="false" customHeight="false" outlineLevel="0" collapsed="false">
      <c r="A2251" s="7" t="s">
        <v>773</v>
      </c>
      <c r="B2251" s="7" t="n">
        <v>2423.11</v>
      </c>
      <c r="C2251" s="7" t="n">
        <f aca="false">AVERAGE(B2202:B2251)</f>
        <v>2481.943</v>
      </c>
      <c r="D2251" s="7" t="n">
        <f aca="false">AVERAGE(B2052:B2251)</f>
        <v>2370.3051</v>
      </c>
      <c r="E2251" s="7" t="n">
        <f aca="false">B2251/MAX(B2000:B2251)-1</f>
        <v>-0.0723197843806112</v>
      </c>
      <c r="F2251" s="7" t="str">
        <f aca="false">IFERROR(INDEX(02_轉折點45個!B:B,MATCH(A2251,02_轉折點45個!A:A,0)),"")</f>
        <v/>
      </c>
      <c r="G2251" s="7" t="s">
        <v>1994</v>
      </c>
    </row>
    <row r="2252" customFormat="false" ht="15" hidden="false" customHeight="false" outlineLevel="0" collapsed="false">
      <c r="A2252" s="7" t="s">
        <v>3831</v>
      </c>
      <c r="B2252" s="7" t="n">
        <v>2440.28</v>
      </c>
      <c r="C2252" s="7" t="n">
        <f aca="false">AVERAGE(B2203:B2252)</f>
        <v>2480.555</v>
      </c>
      <c r="D2252" s="7" t="n">
        <f aca="false">AVERAGE(B2053:B2252)</f>
        <v>2371.46985</v>
      </c>
      <c r="E2252" s="7" t="n">
        <f aca="false">B2252/MAX(B2001:B2252)-1</f>
        <v>-0.0657463026558092</v>
      </c>
      <c r="F2252" s="7" t="str">
        <f aca="false">IFERROR(INDEX(02_轉折點45個!B:B,MATCH(A2252,02_轉折點45個!A:A,0)),"")</f>
        <v/>
      </c>
      <c r="G2252" s="7" t="s">
        <v>1994</v>
      </c>
    </row>
    <row r="2253" customFormat="false" ht="15" hidden="false" customHeight="false" outlineLevel="0" collapsed="false">
      <c r="A2253" s="7" t="s">
        <v>3832</v>
      </c>
      <c r="B2253" s="7" t="n">
        <v>2437.86</v>
      </c>
      <c r="C2253" s="7" t="n">
        <f aca="false">AVERAGE(B2204:B2253)</f>
        <v>2479.4416</v>
      </c>
      <c r="D2253" s="7" t="n">
        <f aca="false">AVERAGE(B2054:B2253)</f>
        <v>2372.67705</v>
      </c>
      <c r="E2253" s="7" t="n">
        <f aca="false">B2253/MAX(B2002:B2253)-1</f>
        <v>-0.0666727922174877</v>
      </c>
      <c r="F2253" s="7" t="str">
        <f aca="false">IFERROR(INDEX(02_轉折點45個!B:B,MATCH(A2253,02_轉折點45個!A:A,0)),"")</f>
        <v/>
      </c>
      <c r="G2253" s="7" t="s">
        <v>1994</v>
      </c>
    </row>
    <row r="2254" customFormat="false" ht="15" hidden="false" customHeight="false" outlineLevel="0" collapsed="false">
      <c r="A2254" s="7" t="s">
        <v>3833</v>
      </c>
      <c r="B2254" s="7" t="n">
        <v>2407.94</v>
      </c>
      <c r="C2254" s="7" t="n">
        <f aca="false">AVERAGE(B2205:B2254)</f>
        <v>2477.6542</v>
      </c>
      <c r="D2254" s="7" t="n">
        <f aca="false">AVERAGE(B2055:B2254)</f>
        <v>2373.90005</v>
      </c>
      <c r="E2254" s="7" t="n">
        <f aca="false">B2254/MAX(B2003:B2254)-1</f>
        <v>-0.0781275722527862</v>
      </c>
      <c r="F2254" s="7" t="str">
        <f aca="false">IFERROR(INDEX(02_轉折點45個!B:B,MATCH(A2254,02_轉折點45個!A:A,0)),"")</f>
        <v/>
      </c>
      <c r="G2254" s="7" t="s">
        <v>1994</v>
      </c>
    </row>
    <row r="2255" customFormat="false" ht="15" hidden="false" customHeight="false" outlineLevel="0" collapsed="false">
      <c r="A2255" s="7" t="s">
        <v>774</v>
      </c>
      <c r="B2255" s="7" t="n">
        <v>2351.96</v>
      </c>
      <c r="C2255" s="7" t="n">
        <f aca="false">AVERAGE(B2206:B2255)</f>
        <v>2473.893</v>
      </c>
      <c r="D2255" s="7" t="n">
        <f aca="false">AVERAGE(B2056:B2255)</f>
        <v>2374.96795</v>
      </c>
      <c r="E2255" s="7" t="n">
        <f aca="false">B2255/MAX(B2004:B2255)-1</f>
        <v>-0.0995593431878132</v>
      </c>
      <c r="F2255" s="7" t="str">
        <f aca="false">IFERROR(INDEX(02_轉折點45個!B:B,MATCH(A2255,02_轉折點45個!A:A,0)),"")</f>
        <v/>
      </c>
      <c r="G2255" s="7" t="s">
        <v>1994</v>
      </c>
    </row>
    <row r="2256" customFormat="false" ht="15" hidden="false" customHeight="false" outlineLevel="0" collapsed="false">
      <c r="A2256" s="7" t="s">
        <v>3834</v>
      </c>
      <c r="B2256" s="7" t="n">
        <v>2371.66</v>
      </c>
      <c r="C2256" s="7" t="n">
        <f aca="false">AVERAGE(B2207:B2256)</f>
        <v>2470.3968</v>
      </c>
      <c r="D2256" s="7" t="n">
        <f aca="false">AVERAGE(B2057:B2256)</f>
        <v>2375.93125</v>
      </c>
      <c r="E2256" s="7" t="n">
        <f aca="false">B2256/MAX(B2005:B2256)-1</f>
        <v>-0.0920172587394383</v>
      </c>
      <c r="F2256" s="7" t="str">
        <f aca="false">IFERROR(INDEX(02_轉折點45個!B:B,MATCH(A2256,02_轉折點45個!A:A,0)),"")</f>
        <v/>
      </c>
      <c r="G2256" s="7" t="s">
        <v>1994</v>
      </c>
    </row>
    <row r="2257" customFormat="false" ht="15" hidden="false" customHeight="false" outlineLevel="0" collapsed="false">
      <c r="A2257" s="7" t="s">
        <v>3835</v>
      </c>
      <c r="B2257" s="7" t="n">
        <v>2376.21</v>
      </c>
      <c r="C2257" s="7" t="n">
        <f aca="false">AVERAGE(B2208:B2257)</f>
        <v>2466.6894</v>
      </c>
      <c r="D2257" s="7" t="n">
        <f aca="false">AVERAGE(B2058:B2257)</f>
        <v>2376.96525</v>
      </c>
      <c r="E2257" s="7" t="n">
        <f aca="false">B2257/MAX(B2006:B2257)-1</f>
        <v>-0.0902753052247121</v>
      </c>
      <c r="F2257" s="7" t="str">
        <f aca="false">IFERROR(INDEX(02_轉折點45個!B:B,MATCH(A2257,02_轉折點45個!A:A,0)),"")</f>
        <v/>
      </c>
      <c r="G2257" s="7" t="s">
        <v>1994</v>
      </c>
    </row>
    <row r="2258" customFormat="false" ht="15" hidden="false" customHeight="false" outlineLevel="0" collapsed="false">
      <c r="A2258" s="7" t="s">
        <v>775</v>
      </c>
      <c r="B2258" s="7" t="n">
        <v>2412.62</v>
      </c>
      <c r="C2258" s="7" t="n">
        <f aca="false">AVERAGE(B2209:B2258)</f>
        <v>2463.5696</v>
      </c>
      <c r="D2258" s="7" t="n">
        <f aca="false">AVERAGE(B2059:B2258)</f>
        <v>2378.12155</v>
      </c>
      <c r="E2258" s="7" t="n">
        <f aca="false">B2258/MAX(B2007:B2258)-1</f>
        <v>-0.0763358486376393</v>
      </c>
      <c r="F2258" s="7" t="str">
        <f aca="false">IFERROR(INDEX(02_轉折點45個!B:B,MATCH(A2258,02_轉折點45個!A:A,0)),"")</f>
        <v/>
      </c>
      <c r="G2258" s="7" t="s">
        <v>1994</v>
      </c>
    </row>
    <row r="2259" customFormat="false" ht="15" hidden="false" customHeight="false" outlineLevel="0" collapsed="false">
      <c r="A2259" s="7" t="s">
        <v>3836</v>
      </c>
      <c r="B2259" s="7" t="n">
        <v>2459.33</v>
      </c>
      <c r="C2259" s="7" t="n">
        <f aca="false">AVERAGE(B2210:B2259)</f>
        <v>2462.104</v>
      </c>
      <c r="D2259" s="7" t="n">
        <f aca="false">AVERAGE(B2060:B2259)</f>
        <v>2379.5122</v>
      </c>
      <c r="E2259" s="7" t="n">
        <f aca="false">B2259/MAX(B2008:B2259)-1</f>
        <v>-0.0584530687095379</v>
      </c>
      <c r="F2259" s="7" t="str">
        <f aca="false">IFERROR(INDEX(02_轉折點45個!B:B,MATCH(A2259,02_轉折點45個!A:A,0)),"")</f>
        <v/>
      </c>
      <c r="G2259" s="7" t="s">
        <v>1994</v>
      </c>
    </row>
    <row r="2260" customFormat="false" ht="15" hidden="false" customHeight="false" outlineLevel="0" collapsed="false">
      <c r="A2260" s="7" t="s">
        <v>3837</v>
      </c>
      <c r="B2260" s="7" t="n">
        <v>2478.98</v>
      </c>
      <c r="C2260" s="7" t="n">
        <f aca="false">AVERAGE(B2211:B2260)</f>
        <v>2460.4198</v>
      </c>
      <c r="D2260" s="7" t="n">
        <f aca="false">AVERAGE(B2061:B2260)</f>
        <v>2380.93375</v>
      </c>
      <c r="E2260" s="7" t="n">
        <f aca="false">B2260/MAX(B2009:B2260)-1</f>
        <v>-0.0509301266074786</v>
      </c>
      <c r="F2260" s="7" t="str">
        <f aca="false">IFERROR(INDEX(02_轉折點45個!B:B,MATCH(A2260,02_轉折點45個!A:A,0)),"")</f>
        <v/>
      </c>
      <c r="G2260" s="7" t="s">
        <v>1994</v>
      </c>
    </row>
    <row r="2261" customFormat="false" ht="15" hidden="false" customHeight="false" outlineLevel="0" collapsed="false">
      <c r="A2261" s="7" t="s">
        <v>776</v>
      </c>
      <c r="B2261" s="7" t="n">
        <v>2488.95</v>
      </c>
      <c r="C2261" s="7" t="n">
        <f aca="false">AVERAGE(B2212:B2261)</f>
        <v>2459.4032</v>
      </c>
      <c r="D2261" s="7" t="n">
        <f aca="false">AVERAGE(B2062:B2261)</f>
        <v>2382.6414</v>
      </c>
      <c r="E2261" s="7" t="n">
        <f aca="false">B2261/MAX(B2010:B2261)-1</f>
        <v>-0.0471131427521335</v>
      </c>
      <c r="F2261" s="7" t="str">
        <f aca="false">IFERROR(INDEX(02_轉折點45個!B:B,MATCH(A2261,02_轉折點45個!A:A,0)),"")</f>
        <v/>
      </c>
      <c r="G2261" s="7" t="s">
        <v>1994</v>
      </c>
    </row>
    <row r="2262" customFormat="false" ht="15" hidden="false" customHeight="false" outlineLevel="0" collapsed="false">
      <c r="A2262" s="7" t="s">
        <v>777</v>
      </c>
      <c r="B2262" s="7" t="n">
        <v>2445.44</v>
      </c>
      <c r="C2262" s="7" t="n">
        <f aca="false">AVERAGE(B2213:B2262)</f>
        <v>2457.8114</v>
      </c>
      <c r="D2262" s="7" t="n">
        <f aca="false">AVERAGE(B2063:B2262)</f>
        <v>2384.0348</v>
      </c>
      <c r="E2262" s="7" t="n">
        <f aca="false">B2262/MAX(B2011:B2262)-1</f>
        <v>-0.0637708125160318</v>
      </c>
      <c r="F2262" s="7" t="str">
        <f aca="false">IFERROR(INDEX(02_轉折點45個!B:B,MATCH(A2262,02_轉折點45個!A:A,0)),"")</f>
        <v/>
      </c>
      <c r="G2262" s="7" t="s">
        <v>1994</v>
      </c>
    </row>
    <row r="2263" customFormat="false" ht="15" hidden="false" customHeight="false" outlineLevel="0" collapsed="false">
      <c r="A2263" s="7" t="s">
        <v>3838</v>
      </c>
      <c r="B2263" s="7" t="n">
        <v>2443.31</v>
      </c>
      <c r="C2263" s="7" t="n">
        <f aca="false">AVERAGE(B2214:B2263)</f>
        <v>2455.6514</v>
      </c>
      <c r="D2263" s="7" t="n">
        <f aca="false">AVERAGE(B2064:B2263)</f>
        <v>2385.38575</v>
      </c>
      <c r="E2263" s="7" t="n">
        <f aca="false">B2263/MAX(B2012:B2263)-1</f>
        <v>-0.0645862764690794</v>
      </c>
      <c r="F2263" s="7" t="str">
        <f aca="false">IFERROR(INDEX(02_轉折點45個!B:B,MATCH(A2263,02_轉折點45個!A:A,0)),"")</f>
        <v/>
      </c>
      <c r="G2263" s="7" t="s">
        <v>1994</v>
      </c>
    </row>
    <row r="2264" customFormat="false" ht="15" hidden="false" customHeight="false" outlineLevel="0" collapsed="false">
      <c r="A2264" s="7" t="s">
        <v>778</v>
      </c>
      <c r="B2264" s="7" t="n">
        <v>2423.05</v>
      </c>
      <c r="C2264" s="7" t="n">
        <f aca="false">AVERAGE(B2215:B2264)</f>
        <v>2452.965</v>
      </c>
      <c r="D2264" s="7" t="n">
        <f aca="false">AVERAGE(B2065:B2264)</f>
        <v>2386.663</v>
      </c>
      <c r="E2264" s="7" t="n">
        <f aca="false">B2264/MAX(B2013:B2264)-1</f>
        <v>-0.0723427551961899</v>
      </c>
      <c r="F2264" s="7" t="str">
        <f aca="false">IFERROR(INDEX(02_轉折點45個!B:B,MATCH(A2264,02_轉折點45個!A:A,0)),"")</f>
        <v/>
      </c>
      <c r="G2264" s="7" t="s">
        <v>1994</v>
      </c>
    </row>
    <row r="2265" customFormat="false" ht="15" hidden="false" customHeight="false" outlineLevel="0" collapsed="false">
      <c r="A2265" s="7" t="s">
        <v>779</v>
      </c>
      <c r="B2265" s="7" t="n">
        <v>2384.09</v>
      </c>
      <c r="C2265" s="7" t="n">
        <f aca="false">AVERAGE(B2216:B2265)</f>
        <v>2450.8542</v>
      </c>
      <c r="D2265" s="7" t="n">
        <f aca="false">AVERAGE(B2066:B2265)</f>
        <v>2387.6461</v>
      </c>
      <c r="E2265" s="7" t="n">
        <f aca="false">B2265/MAX(B2014:B2265)-1</f>
        <v>-0.087258471445362</v>
      </c>
      <c r="F2265" s="7" t="str">
        <f aca="false">IFERROR(INDEX(02_轉折點45個!B:B,MATCH(A2265,02_轉折點45個!A:A,0)),"")</f>
        <v/>
      </c>
      <c r="G2265" s="7" t="s">
        <v>1994</v>
      </c>
    </row>
    <row r="2266" customFormat="false" ht="15" hidden="false" customHeight="false" outlineLevel="0" collapsed="false">
      <c r="A2266" s="7" t="s">
        <v>3839</v>
      </c>
      <c r="B2266" s="7" t="n">
        <v>2377.74</v>
      </c>
      <c r="C2266" s="7" t="n">
        <f aca="false">AVERAGE(B2217:B2266)</f>
        <v>2448.0908</v>
      </c>
      <c r="D2266" s="7" t="n">
        <f aca="false">AVERAGE(B2067:B2266)</f>
        <v>2388.53445</v>
      </c>
      <c r="E2266" s="7" t="n">
        <f aca="false">B2266/MAX(B2015:B2266)-1</f>
        <v>-0.0896895494274526</v>
      </c>
      <c r="F2266" s="7" t="str">
        <f aca="false">IFERROR(INDEX(02_轉折點45個!B:B,MATCH(A2266,02_轉折點45個!A:A,0)),"")</f>
        <v/>
      </c>
      <c r="G2266" s="7" t="s">
        <v>1994</v>
      </c>
    </row>
    <row r="2267" customFormat="false" ht="15" hidden="false" customHeight="false" outlineLevel="0" collapsed="false">
      <c r="A2267" s="7" t="s">
        <v>3840</v>
      </c>
      <c r="B2267" s="7" t="n">
        <v>2288.18</v>
      </c>
      <c r="C2267" s="7" t="n">
        <f aca="false">AVERAGE(B2218:B2267)</f>
        <v>2442.7078</v>
      </c>
      <c r="D2267" s="7" t="n">
        <f aca="false">AVERAGE(B2068:B2267)</f>
        <v>2388.75705</v>
      </c>
      <c r="E2267" s="7" t="n">
        <f aca="false">B2267/MAX(B2016:B2267)-1</f>
        <v>-0.123977320148085</v>
      </c>
      <c r="F2267" s="7" t="str">
        <f aca="false">IFERROR(INDEX(02_轉折點45個!B:B,MATCH(A2267,02_轉折點45個!A:A,0)),"")</f>
        <v/>
      </c>
      <c r="G2267" s="7" t="s">
        <v>1994</v>
      </c>
    </row>
    <row r="2268" customFormat="false" ht="15" hidden="false" customHeight="false" outlineLevel="0" collapsed="false">
      <c r="A2268" s="7" t="s">
        <v>3841</v>
      </c>
      <c r="B2268" s="7" t="n">
        <v>2283.44</v>
      </c>
      <c r="C2268" s="7" t="n">
        <f aca="false">AVERAGE(B2219:B2268)</f>
        <v>2437.6778</v>
      </c>
      <c r="D2268" s="7" t="n">
        <f aca="false">AVERAGE(B2069:B2268)</f>
        <v>2388.97505</v>
      </c>
      <c r="E2268" s="7" t="n">
        <f aca="false">B2268/MAX(B2017:B2268)-1</f>
        <v>-0.125792014578811</v>
      </c>
      <c r="F2268" s="7" t="str">
        <f aca="false">IFERROR(INDEX(02_轉折點45個!B:B,MATCH(A2268,02_轉折點45個!A:A,0)),"")</f>
        <v/>
      </c>
      <c r="G2268" s="7" t="s">
        <v>1994</v>
      </c>
    </row>
    <row r="2269" customFormat="false" ht="15" hidden="false" customHeight="false" outlineLevel="0" collapsed="false">
      <c r="A2269" s="7" t="s">
        <v>780</v>
      </c>
      <c r="B2269" s="7" t="n">
        <v>2229.58</v>
      </c>
      <c r="C2269" s="7" t="n">
        <f aca="false">AVERAGE(B2220:B2269)</f>
        <v>2432.0072</v>
      </c>
      <c r="D2269" s="7" t="n">
        <f aca="false">AVERAGE(B2070:B2269)</f>
        <v>2388.93655</v>
      </c>
      <c r="E2269" s="7" t="n">
        <f aca="false">B2269/MAX(B2018:B2269)-1</f>
        <v>-0.146412150030054</v>
      </c>
      <c r="F2269" s="7" t="str">
        <f aca="false">IFERROR(INDEX(02_轉折點45個!B:B,MATCH(A2269,02_轉折點45個!A:A,0)),"")</f>
        <v/>
      </c>
      <c r="G2269" s="7" t="s">
        <v>1994</v>
      </c>
    </row>
    <row r="2270" customFormat="false" ht="15" hidden="false" customHeight="false" outlineLevel="0" collapsed="false">
      <c r="A2270" s="7" t="s">
        <v>3842</v>
      </c>
      <c r="B2270" s="7" t="n">
        <v>2260.68</v>
      </c>
      <c r="C2270" s="7" t="n">
        <f aca="false">AVERAGE(B2221:B2270)</f>
        <v>2425.9842</v>
      </c>
      <c r="D2270" s="7" t="n">
        <f aca="false">AVERAGE(B2071:B2270)</f>
        <v>2389.02295</v>
      </c>
      <c r="E2270" s="7" t="n">
        <f aca="false">B2270/MAX(B2019:B2270)-1</f>
        <v>-0.134505610621705</v>
      </c>
      <c r="F2270" s="7" t="str">
        <f aca="false">IFERROR(INDEX(02_轉折點45個!B:B,MATCH(A2270,02_轉折點45個!A:A,0)),"")</f>
        <v/>
      </c>
      <c r="G2270" s="7" t="s">
        <v>1994</v>
      </c>
    </row>
    <row r="2271" customFormat="false" ht="15" hidden="false" customHeight="false" outlineLevel="0" collapsed="false">
      <c r="A2271" s="7" t="s">
        <v>3843</v>
      </c>
      <c r="B2271" s="7" t="n">
        <v>2273.44</v>
      </c>
      <c r="C2271" s="7" t="n">
        <f aca="false">AVERAGE(B2222:B2271)</f>
        <v>2419.9742</v>
      </c>
      <c r="D2271" s="7" t="n">
        <f aca="false">AVERAGE(B2072:B2271)</f>
        <v>2389.2563</v>
      </c>
      <c r="E2271" s="7" t="n">
        <f aca="false">B2271/MAX(B2020:B2271)-1</f>
        <v>-0.129620483841946</v>
      </c>
      <c r="F2271" s="7" t="str">
        <f aca="false">IFERROR(INDEX(02_轉折點45個!B:B,MATCH(A2271,02_轉折點45個!A:A,0)),"")</f>
        <v/>
      </c>
      <c r="G2271" s="7" t="s">
        <v>1994</v>
      </c>
    </row>
    <row r="2272" customFormat="false" ht="15" hidden="false" customHeight="false" outlineLevel="0" collapsed="false">
      <c r="A2272" s="7" t="s">
        <v>781</v>
      </c>
      <c r="B2272" s="7" t="n">
        <v>2229.06</v>
      </c>
      <c r="C2272" s="7" t="n">
        <f aca="false">AVERAGE(B2223:B2272)</f>
        <v>2413.09</v>
      </c>
      <c r="D2272" s="7" t="n">
        <f aca="false">AVERAGE(B2073:B2272)</f>
        <v>2389.3606</v>
      </c>
      <c r="E2272" s="7" t="n">
        <f aca="false">B2272/MAX(B2021:B2272)-1</f>
        <v>-0.146611230431737</v>
      </c>
      <c r="F2272" s="7" t="str">
        <f aca="false">IFERROR(INDEX(02_轉折點45個!B:B,MATCH(A2272,02_轉折點45個!A:A,0)),"")</f>
        <v/>
      </c>
      <c r="G2272" s="7" t="s">
        <v>1994</v>
      </c>
    </row>
    <row r="2273" customFormat="false" ht="15" hidden="false" customHeight="false" outlineLevel="0" collapsed="false">
      <c r="A2273" s="7" t="s">
        <v>3844</v>
      </c>
      <c r="B2273" s="7" t="n">
        <v>2264.11</v>
      </c>
      <c r="C2273" s="7" t="n">
        <f aca="false">AVERAGE(B2224:B2273)</f>
        <v>2406.132</v>
      </c>
      <c r="D2273" s="7" t="n">
        <f aca="false">AVERAGE(B2074:B2273)</f>
        <v>2389.6366</v>
      </c>
      <c r="E2273" s="7" t="n">
        <f aca="false">B2273/MAX(B2022:B2273)-1</f>
        <v>-0.13319244566445</v>
      </c>
      <c r="F2273" s="7" t="str">
        <f aca="false">IFERROR(INDEX(02_轉折點45個!B:B,MATCH(A2273,02_轉折點45個!A:A,0)),"")</f>
        <v/>
      </c>
      <c r="G2273" s="7" t="s">
        <v>1994</v>
      </c>
    </row>
    <row r="2274" customFormat="false" ht="15" hidden="false" customHeight="false" outlineLevel="0" collapsed="false">
      <c r="A2274" s="7" t="s">
        <v>3845</v>
      </c>
      <c r="B2274" s="7" t="n">
        <v>2208.64</v>
      </c>
      <c r="C2274" s="7" t="n">
        <f aca="false">AVERAGE(B2225:B2274)</f>
        <v>2399.2392</v>
      </c>
      <c r="D2274" s="7" t="n">
        <f aca="false">AVERAGE(B2075:B2274)</f>
        <v>2389.6181</v>
      </c>
      <c r="E2274" s="7" t="n">
        <f aca="false">B2274/MAX(B2023:B2274)-1</f>
        <v>-0.154428964667057</v>
      </c>
      <c r="F2274" s="7" t="str">
        <f aca="false">IFERROR(INDEX(02_轉折點45個!B:B,MATCH(A2274,02_轉折點45個!A:A,0)),"")</f>
        <v/>
      </c>
      <c r="G2274" s="7" t="s">
        <v>1994</v>
      </c>
    </row>
    <row r="2275" customFormat="false" ht="15" hidden="false" customHeight="false" outlineLevel="0" collapsed="false">
      <c r="A2275" s="7" t="s">
        <v>3846</v>
      </c>
      <c r="B2275" s="7" t="n">
        <v>2187.63</v>
      </c>
      <c r="C2275" s="7" t="n">
        <f aca="false">AVERAGE(B2226:B2275)</f>
        <v>2391.642</v>
      </c>
      <c r="D2275" s="7" t="n">
        <f aca="false">AVERAGE(B2076:B2275)</f>
        <v>2389.4917</v>
      </c>
      <c r="E2275" s="7" t="n">
        <f aca="false">B2275/MAX(B2024:B2275)-1</f>
        <v>-0.162472578588903</v>
      </c>
      <c r="F2275" s="7" t="str">
        <f aca="false">IFERROR(INDEX(02_轉折點45個!B:B,MATCH(A2275,02_轉折點45個!A:A,0)),"")</f>
        <v/>
      </c>
      <c r="G2275" s="7" t="s">
        <v>1994</v>
      </c>
    </row>
    <row r="2276" customFormat="false" ht="15" hidden="false" customHeight="false" outlineLevel="0" collapsed="false">
      <c r="A2276" s="7" t="s">
        <v>3847</v>
      </c>
      <c r="B2276" s="7" t="n">
        <v>2144.06</v>
      </c>
      <c r="C2276" s="7" t="n">
        <f aca="false">AVERAGE(B2227:B2276)</f>
        <v>2383.4512</v>
      </c>
      <c r="D2276" s="7" t="n">
        <f aca="false">AVERAGE(B2077:B2276)</f>
        <v>2389.01925</v>
      </c>
      <c r="E2276" s="7" t="n">
        <f aca="false">B2276/MAX(B2025:B2276)-1</f>
        <v>-0.17915321916838</v>
      </c>
      <c r="F2276" s="7" t="str">
        <f aca="false">IFERROR(INDEX(02_轉折點45個!B:B,MATCH(A2276,02_轉折點45個!A:A,0)),"")</f>
        <v/>
      </c>
      <c r="G2276" s="7" t="s">
        <v>1994</v>
      </c>
    </row>
    <row r="2277" customFormat="false" ht="15" hidden="false" customHeight="false" outlineLevel="0" collapsed="false">
      <c r="A2277" s="7" t="s">
        <v>3848</v>
      </c>
      <c r="B2277" s="7" t="n">
        <v>2137.78</v>
      </c>
      <c r="C2277" s="7" t="n">
        <f aca="false">AVERAGE(B2228:B2277)</f>
        <v>2374.5866</v>
      </c>
      <c r="D2277" s="7" t="n">
        <f aca="false">AVERAGE(B2078:B2277)</f>
        <v>2388.4772</v>
      </c>
      <c r="E2277" s="7" t="n">
        <f aca="false">B2277/MAX(B2026:B2277)-1</f>
        <v>-0.181557497865628</v>
      </c>
      <c r="F2277" s="7" t="str">
        <f aca="false">IFERROR(INDEX(02_轉折點45個!B:B,MATCH(A2277,02_轉折點45個!A:A,0)),"")</f>
        <v/>
      </c>
      <c r="G2277" s="7" t="s">
        <v>1994</v>
      </c>
    </row>
    <row r="2278" customFormat="false" ht="15" hidden="false" customHeight="false" outlineLevel="0" collapsed="false">
      <c r="A2278" s="7" t="s">
        <v>3849</v>
      </c>
      <c r="B2278" s="7" t="n">
        <v>2094.16</v>
      </c>
      <c r="C2278" s="7" t="n">
        <f aca="false">AVERAGE(B2229:B2278)</f>
        <v>2366.246</v>
      </c>
      <c r="D2278" s="7" t="n">
        <f aca="false">AVERAGE(B2079:B2278)</f>
        <v>2387.65925</v>
      </c>
      <c r="E2278" s="7" t="n">
        <f aca="false">B2278/MAX(B2027:B2278)-1</f>
        <v>-0.198257280791421</v>
      </c>
      <c r="F2278" s="7" t="str">
        <f aca="false">IFERROR(INDEX(02_轉折點45個!B:B,MATCH(A2278,02_轉折點45個!A:A,0)),"")</f>
        <v/>
      </c>
      <c r="G2278" s="7" t="s">
        <v>1994</v>
      </c>
    </row>
    <row r="2279" customFormat="false" ht="15" hidden="false" customHeight="false" outlineLevel="0" collapsed="false">
      <c r="A2279" s="7" t="s">
        <v>3850</v>
      </c>
      <c r="B2279" s="7" t="n">
        <v>2116.21</v>
      </c>
      <c r="C2279" s="7" t="n">
        <f aca="false">AVERAGE(B2230:B2279)</f>
        <v>2359.3104</v>
      </c>
      <c r="D2279" s="7" t="n">
        <f aca="false">AVERAGE(B2080:B2279)</f>
        <v>2386.9614</v>
      </c>
      <c r="E2279" s="7" t="n">
        <f aca="false">B2279/MAX(B2028:B2279)-1</f>
        <v>-0.18981550606621</v>
      </c>
      <c r="F2279" s="7" t="str">
        <f aca="false">IFERROR(INDEX(02_轉折點45個!B:B,MATCH(A2279,02_轉折點45個!A:A,0)),"")</f>
        <v/>
      </c>
      <c r="G2279" s="7" t="s">
        <v>1994</v>
      </c>
    </row>
    <row r="2280" customFormat="false" ht="15" hidden="false" customHeight="false" outlineLevel="0" collapsed="false">
      <c r="A2280" s="7" t="s">
        <v>3851</v>
      </c>
      <c r="B2280" s="7" t="n">
        <v>2156.87</v>
      </c>
      <c r="C2280" s="7" t="n">
        <f aca="false">AVERAGE(B2231:B2280)</f>
        <v>2354.4316</v>
      </c>
      <c r="D2280" s="7" t="n">
        <f aca="false">AVERAGE(B2081:B2280)</f>
        <v>2386.42835</v>
      </c>
      <c r="E2280" s="7" t="n">
        <f aca="false">B2280/MAX(B2029:B2280)-1</f>
        <v>-0.174248950042305</v>
      </c>
      <c r="F2280" s="7" t="str">
        <f aca="false">IFERROR(INDEX(02_轉折點45個!B:B,MATCH(A2280,02_轉折點45個!A:A,0)),"")</f>
        <v/>
      </c>
      <c r="G2280" s="7" t="s">
        <v>1994</v>
      </c>
    </row>
    <row r="2281" customFormat="false" ht="15" hidden="false" customHeight="false" outlineLevel="0" collapsed="false">
      <c r="A2281" s="7" t="s">
        <v>3852</v>
      </c>
      <c r="B2281" s="7" t="n">
        <v>2125.15</v>
      </c>
      <c r="C2281" s="7" t="n">
        <f aca="false">AVERAGE(B2232:B2281)</f>
        <v>2349.7188</v>
      </c>
      <c r="D2281" s="7" t="n">
        <f aca="false">AVERAGE(B2082:B2281)</f>
        <v>2385.8203</v>
      </c>
      <c r="E2281" s="7" t="n">
        <f aca="false">B2281/MAX(B2030:B2281)-1</f>
        <v>-0.186392854544967</v>
      </c>
      <c r="F2281" s="7" t="str">
        <f aca="false">IFERROR(INDEX(02_轉折點45個!B:B,MATCH(A2281,02_轉折點45個!A:A,0)),"")</f>
        <v/>
      </c>
      <c r="G2281" s="7" t="s">
        <v>1994</v>
      </c>
    </row>
    <row r="2282" customFormat="false" ht="15" hidden="false" customHeight="false" outlineLevel="0" collapsed="false">
      <c r="A2282" s="7" t="s">
        <v>3853</v>
      </c>
      <c r="B2282" s="7" t="n">
        <v>2146.81</v>
      </c>
      <c r="C2282" s="7" t="n">
        <f aca="false">AVERAGE(B2233:B2282)</f>
        <v>2343.8036</v>
      </c>
      <c r="D2282" s="7" t="n">
        <f aca="false">AVERAGE(B2083:B2282)</f>
        <v>2385.2246</v>
      </c>
      <c r="E2282" s="7" t="n">
        <f aca="false">B2282/MAX(B2031:B2282)-1</f>
        <v>-0.178100390121018</v>
      </c>
      <c r="F2282" s="7" t="str">
        <f aca="false">IFERROR(INDEX(02_轉折點45個!B:B,MATCH(A2282,02_轉折點45個!A:A,0)),"")</f>
        <v/>
      </c>
      <c r="G2282" s="7" t="s">
        <v>1994</v>
      </c>
    </row>
    <row r="2283" customFormat="false" ht="15" hidden="false" customHeight="false" outlineLevel="0" collapsed="false">
      <c r="A2283" s="7" t="s">
        <v>782</v>
      </c>
      <c r="B2283" s="7" t="n">
        <v>2154.26</v>
      </c>
      <c r="C2283" s="7" t="n">
        <f aca="false">AVERAGE(B2234:B2283)</f>
        <v>2338.5732</v>
      </c>
      <c r="D2283" s="7" t="n">
        <f aca="false">AVERAGE(B2084:B2283)</f>
        <v>2384.61305</v>
      </c>
      <c r="E2283" s="7" t="n">
        <f aca="false">B2283/MAX(B2032:B2283)-1</f>
        <v>-0.175248180519983</v>
      </c>
      <c r="F2283" s="7" t="str">
        <f aca="false">IFERROR(INDEX(02_轉折點45個!B:B,MATCH(A2283,02_轉折點45個!A:A,0)),"")</f>
        <v/>
      </c>
      <c r="G2283" s="7" t="s">
        <v>1994</v>
      </c>
    </row>
    <row r="2284" customFormat="false" ht="15" hidden="false" customHeight="false" outlineLevel="0" collapsed="false">
      <c r="A2284" s="7" t="s">
        <v>783</v>
      </c>
      <c r="B2284" s="7" t="n">
        <v>2145.98</v>
      </c>
      <c r="C2284" s="7" t="n">
        <f aca="false">AVERAGE(B2235:B2284)</f>
        <v>2333.6488</v>
      </c>
      <c r="D2284" s="7" t="n">
        <f aca="false">AVERAGE(B2085:B2284)</f>
        <v>2383.83955</v>
      </c>
      <c r="E2284" s="7" t="n">
        <f aca="false">B2284/MAX(B2033:B2284)-1</f>
        <v>-0.178418153069858</v>
      </c>
      <c r="F2284" s="7" t="str">
        <f aca="false">IFERROR(INDEX(02_轉折點45個!B:B,MATCH(A2284,02_轉折點45個!A:A,0)),"")</f>
        <v/>
      </c>
      <c r="G2284" s="7" t="s">
        <v>1994</v>
      </c>
    </row>
    <row r="2285" customFormat="false" ht="15" hidden="false" customHeight="false" outlineLevel="0" collapsed="false">
      <c r="A2285" s="7" t="s">
        <v>784</v>
      </c>
      <c r="B2285" s="7" t="n">
        <v>2183.31</v>
      </c>
      <c r="C2285" s="7" t="n">
        <f aca="false">AVERAGE(B2236:B2285)</f>
        <v>2329.1288</v>
      </c>
      <c r="D2285" s="7" t="n">
        <f aca="false">AVERAGE(B2086:B2285)</f>
        <v>2383.259</v>
      </c>
      <c r="E2285" s="7" t="n">
        <f aca="false">B2285/MAX(B2034:B2285)-1</f>
        <v>-0.164126477310577</v>
      </c>
      <c r="F2285" s="7" t="str">
        <f aca="false">IFERROR(INDEX(02_轉折點45個!B:B,MATCH(A2285,02_轉折點45個!A:A,0)),"")</f>
        <v/>
      </c>
      <c r="G2285" s="7" t="s">
        <v>1994</v>
      </c>
    </row>
    <row r="2286" customFormat="false" ht="15" hidden="false" customHeight="false" outlineLevel="0" collapsed="false">
      <c r="A2286" s="7" t="s">
        <v>3854</v>
      </c>
      <c r="B2286" s="7" t="n">
        <v>2204.78</v>
      </c>
      <c r="C2286" s="7" t="n">
        <f aca="false">AVERAGE(B2237:B2286)</f>
        <v>2325.8396</v>
      </c>
      <c r="D2286" s="7" t="n">
        <f aca="false">AVERAGE(B2087:B2286)</f>
        <v>2382.8153</v>
      </c>
      <c r="E2286" s="7" t="n">
        <f aca="false">B2286/MAX(B2035:B2286)-1</f>
        <v>-0.155906753802627</v>
      </c>
      <c r="F2286" s="7" t="str">
        <f aca="false">IFERROR(INDEX(02_轉折點45個!B:B,MATCH(A2286,02_轉折點45個!A:A,0)),"")</f>
        <v/>
      </c>
      <c r="G2286" s="7" t="s">
        <v>1994</v>
      </c>
    </row>
    <row r="2287" customFormat="false" ht="15" hidden="false" customHeight="false" outlineLevel="0" collapsed="false">
      <c r="A2287" s="7" t="s">
        <v>3855</v>
      </c>
      <c r="B2287" s="7" t="n">
        <v>2176.91</v>
      </c>
      <c r="C2287" s="7" t="n">
        <f aca="false">AVERAGE(B2238:B2287)</f>
        <v>2321.9304</v>
      </c>
      <c r="D2287" s="7" t="n">
        <f aca="false">AVERAGE(B2088:B2287)</f>
        <v>2382.25575</v>
      </c>
      <c r="E2287" s="7" t="n">
        <f aca="false">B2287/MAX(B2036:B2287)-1</f>
        <v>-0.166576697638983</v>
      </c>
      <c r="F2287" s="7" t="str">
        <f aca="false">IFERROR(INDEX(02_轉折點45個!B:B,MATCH(A2287,02_轉折點45個!A:A,0)),"")</f>
        <v/>
      </c>
      <c r="G2287" s="7" t="s">
        <v>1994</v>
      </c>
    </row>
    <row r="2288" customFormat="false" ht="15" hidden="false" customHeight="false" outlineLevel="0" collapsed="false">
      <c r="A2288" s="7" t="s">
        <v>3856</v>
      </c>
      <c r="B2288" s="7" t="n">
        <v>2109.96</v>
      </c>
      <c r="C2288" s="7" t="n">
        <f aca="false">AVERAGE(B2239:B2288)</f>
        <v>2317.3154</v>
      </c>
      <c r="D2288" s="7" t="n">
        <f aca="false">AVERAGE(B2089:B2288)</f>
        <v>2381.26535</v>
      </c>
      <c r="E2288" s="7" t="n">
        <f aca="false">B2288/MAX(B2037:B2288)-1</f>
        <v>-0.192208299355669</v>
      </c>
      <c r="F2288" s="7" t="str">
        <f aca="false">IFERROR(INDEX(02_轉折點45個!B:B,MATCH(A2288,02_轉折點45個!A:A,0)),"")</f>
        <v/>
      </c>
      <c r="G2288" s="7" t="s">
        <v>1994</v>
      </c>
    </row>
    <row r="2289" customFormat="false" ht="15" hidden="false" customHeight="false" outlineLevel="0" collapsed="false">
      <c r="A2289" s="7" t="s">
        <v>785</v>
      </c>
      <c r="B2289" s="7" t="n">
        <v>2081.8</v>
      </c>
      <c r="C2289" s="7" t="n">
        <f aca="false">AVERAGE(B2240:B2289)</f>
        <v>2311.5078</v>
      </c>
      <c r="D2289" s="7" t="n">
        <f aca="false">AVERAGE(B2090:B2289)</f>
        <v>2380.14655</v>
      </c>
      <c r="E2289" s="7" t="n">
        <f aca="false">B2289/MAX(B2038:B2289)-1</f>
        <v>-0.202989268800655</v>
      </c>
      <c r="F2289" s="7" t="str">
        <f aca="false">IFERROR(INDEX(02_轉折點45個!B:B,MATCH(A2289,02_轉折點45個!A:A,0)),"")</f>
        <v/>
      </c>
      <c r="G2289" s="7" t="s">
        <v>1994</v>
      </c>
    </row>
    <row r="2290" customFormat="false" ht="15" hidden="false" customHeight="false" outlineLevel="0" collapsed="false">
      <c r="A2290" s="7" t="s">
        <v>3857</v>
      </c>
      <c r="B2290" s="7" t="n">
        <v>2094.85</v>
      </c>
      <c r="C2290" s="7" t="n">
        <f aca="false">AVERAGE(B2241:B2290)</f>
        <v>2306.9772</v>
      </c>
      <c r="D2290" s="7" t="n">
        <f aca="false">AVERAGE(B2091:B2290)</f>
        <v>2379.08905</v>
      </c>
      <c r="E2290" s="7" t="n">
        <f aca="false">B2290/MAX(B2039:B2290)-1</f>
        <v>-0.197993116412265</v>
      </c>
      <c r="F2290" s="7" t="str">
        <f aca="false">IFERROR(INDEX(02_轉折點45個!B:B,MATCH(A2290,02_轉折點45個!A:A,0)),"")</f>
        <v/>
      </c>
      <c r="G2290" s="7" t="s">
        <v>1994</v>
      </c>
    </row>
    <row r="2291" customFormat="false" ht="15" hidden="false" customHeight="false" outlineLevel="0" collapsed="false">
      <c r="A2291" s="7" t="s">
        <v>3858</v>
      </c>
      <c r="B2291" s="7" t="n">
        <v>2105.65</v>
      </c>
      <c r="C2291" s="7" t="n">
        <f aca="false">AVERAGE(B2242:B2291)</f>
        <v>2301.9352</v>
      </c>
      <c r="D2291" s="7" t="n">
        <f aca="false">AVERAGE(B2092:B2291)</f>
        <v>2377.9789</v>
      </c>
      <c r="E2291" s="7" t="n">
        <f aca="false">B2291/MAX(B2040:B2291)-1</f>
        <v>-0.19385836960808</v>
      </c>
      <c r="F2291" s="7" t="str">
        <f aca="false">IFERROR(INDEX(02_轉折點45個!B:B,MATCH(A2291,02_轉折點45個!A:A,0)),"")</f>
        <v/>
      </c>
      <c r="G2291" s="7" t="s">
        <v>1994</v>
      </c>
    </row>
    <row r="2292" customFormat="false" ht="15" hidden="false" customHeight="false" outlineLevel="0" collapsed="false">
      <c r="A2292" s="7" t="s">
        <v>3859</v>
      </c>
      <c r="B2292" s="7" t="n">
        <v>2119.54</v>
      </c>
      <c r="C2292" s="7" t="n">
        <f aca="false">AVERAGE(B2243:B2292)</f>
        <v>2295.6708</v>
      </c>
      <c r="D2292" s="7" t="n">
        <f aca="false">AVERAGE(B2093:B2292)</f>
        <v>2376.9082</v>
      </c>
      <c r="E2292" s="7" t="n">
        <f aca="false">B2292/MAX(B2041:B2292)-1</f>
        <v>-0.188540625801586</v>
      </c>
      <c r="F2292" s="7" t="str">
        <f aca="false">IFERROR(INDEX(02_轉折點45個!B:B,MATCH(A2292,02_轉折點45個!A:A,0)),"")</f>
        <v/>
      </c>
      <c r="G2292" s="7" t="s">
        <v>1994</v>
      </c>
    </row>
    <row r="2293" customFormat="false" ht="15" hidden="false" customHeight="false" outlineLevel="0" collapsed="false">
      <c r="A2293" s="7" t="s">
        <v>3860</v>
      </c>
      <c r="B2293" s="7" t="n">
        <v>2119.53</v>
      </c>
      <c r="C2293" s="7" t="n">
        <f aca="false">AVERAGE(B2244:B2293)</f>
        <v>2289.3108</v>
      </c>
      <c r="D2293" s="7" t="n">
        <f aca="false">AVERAGE(B2094:B2293)</f>
        <v>2375.82485</v>
      </c>
      <c r="E2293" s="7" t="n">
        <f aca="false">B2293/MAX(B2042:B2293)-1</f>
        <v>-0.188544454270849</v>
      </c>
      <c r="F2293" s="7" t="str">
        <f aca="false">IFERROR(INDEX(02_轉折點45個!B:B,MATCH(A2293,02_轉折點45個!A:A,0)),"")</f>
        <v/>
      </c>
      <c r="G2293" s="7" t="s">
        <v>1994</v>
      </c>
    </row>
    <row r="2294" customFormat="false" ht="15" hidden="false" customHeight="false" outlineLevel="0" collapsed="false">
      <c r="A2294" s="7" t="s">
        <v>3861</v>
      </c>
      <c r="B2294" s="7" t="n">
        <v>2168.76</v>
      </c>
      <c r="C2294" s="7" t="n">
        <f aca="false">AVERAGE(B2245:B2294)</f>
        <v>2284.0664</v>
      </c>
      <c r="D2294" s="7" t="n">
        <f aca="false">AVERAGE(B2095:B2294)</f>
        <v>2375.1344</v>
      </c>
      <c r="E2294" s="7" t="n">
        <f aca="false">B2294/MAX(B2043:B2294)-1</f>
        <v>-0.169696900088438</v>
      </c>
      <c r="F2294" s="7" t="str">
        <f aca="false">IFERROR(INDEX(02_轉折點45個!B:B,MATCH(A2294,02_轉折點45個!A:A,0)),"")</f>
        <v/>
      </c>
      <c r="G2294" s="7" t="s">
        <v>1994</v>
      </c>
    </row>
    <row r="2295" customFormat="false" ht="15" hidden="false" customHeight="false" outlineLevel="0" collapsed="false">
      <c r="A2295" s="7" t="s">
        <v>3862</v>
      </c>
      <c r="B2295" s="7" t="n">
        <v>2130.94</v>
      </c>
      <c r="C2295" s="7" t="n">
        <f aca="false">AVERAGE(B2246:B2295)</f>
        <v>2278.501</v>
      </c>
      <c r="D2295" s="7" t="n">
        <f aca="false">AVERAGE(B2096:B2295)</f>
        <v>2374.2254</v>
      </c>
      <c r="E2295" s="7" t="n">
        <f aca="false">B2295/MAX(B2044:B2295)-1</f>
        <v>-0.184176170841612</v>
      </c>
      <c r="F2295" s="7" t="str">
        <f aca="false">IFERROR(INDEX(02_轉折點45個!B:B,MATCH(A2295,02_轉折點45個!A:A,0)),"")</f>
        <v/>
      </c>
      <c r="G2295" s="7" t="s">
        <v>1994</v>
      </c>
    </row>
    <row r="2296" customFormat="false" ht="15" hidden="false" customHeight="false" outlineLevel="0" collapsed="false">
      <c r="A2296" s="7" t="s">
        <v>786</v>
      </c>
      <c r="B2296" s="7" t="n">
        <v>2121.13</v>
      </c>
      <c r="C2296" s="7" t="n">
        <f aca="false">AVERAGE(B2247:B2296)</f>
        <v>2273.0554</v>
      </c>
      <c r="D2296" s="7" t="n">
        <f aca="false">AVERAGE(B2097:B2296)</f>
        <v>2373.1472</v>
      </c>
      <c r="E2296" s="7" t="n">
        <f aca="false">B2296/MAX(B2045:B2296)-1</f>
        <v>-0.187931899188747</v>
      </c>
      <c r="F2296" s="7" t="str">
        <f aca="false">IFERROR(INDEX(02_轉折點45個!B:B,MATCH(A2296,02_轉折點45個!A:A,0)),"")</f>
        <v/>
      </c>
      <c r="G2296" s="7" t="s">
        <v>1994</v>
      </c>
    </row>
    <row r="2297" customFormat="false" ht="15" hidden="false" customHeight="false" outlineLevel="0" collapsed="false">
      <c r="A2297" s="7" t="s">
        <v>3863</v>
      </c>
      <c r="B2297" s="7" t="n">
        <v>2106.88</v>
      </c>
      <c r="C2297" s="7" t="n">
        <f aca="false">AVERAGE(B2248:B2297)</f>
        <v>2266.4748</v>
      </c>
      <c r="D2297" s="7" t="n">
        <f aca="false">AVERAGE(B2098:B2297)</f>
        <v>2371.96295</v>
      </c>
      <c r="E2297" s="7" t="n">
        <f aca="false">B2297/MAX(B2046:B2297)-1</f>
        <v>-0.193387467888714</v>
      </c>
      <c r="F2297" s="7" t="str">
        <f aca="false">IFERROR(INDEX(02_轉折點45個!B:B,MATCH(A2297,02_轉折點45個!A:A,0)),"")</f>
        <v/>
      </c>
      <c r="G2297" s="7" t="s">
        <v>1994</v>
      </c>
    </row>
    <row r="2298" customFormat="false" ht="15" hidden="false" customHeight="false" outlineLevel="0" collapsed="false">
      <c r="A2298" s="7" t="s">
        <v>3864</v>
      </c>
      <c r="B2298" s="7" t="n">
        <v>2125.97</v>
      </c>
      <c r="C2298" s="7" t="n">
        <f aca="false">AVERAGE(B2249:B2298)</f>
        <v>2259.4962</v>
      </c>
      <c r="D2298" s="7" t="n">
        <f aca="false">AVERAGE(B2099:B2298)</f>
        <v>2370.84355</v>
      </c>
      <c r="E2298" s="7" t="n">
        <f aca="false">B2298/MAX(B2047:B2298)-1</f>
        <v>-0.18607892006539</v>
      </c>
      <c r="F2298" s="7" t="str">
        <f aca="false">IFERROR(INDEX(02_轉折點45個!B:B,MATCH(A2298,02_轉折點45個!A:A,0)),"")</f>
        <v/>
      </c>
      <c r="G2298" s="7" t="s">
        <v>1994</v>
      </c>
    </row>
    <row r="2299" customFormat="false" ht="15" hidden="false" customHeight="false" outlineLevel="0" collapsed="false">
      <c r="A2299" s="7" t="s">
        <v>3865</v>
      </c>
      <c r="B2299" s="7" t="n">
        <v>2101.02</v>
      </c>
      <c r="C2299" s="7" t="n">
        <f aca="false">AVERAGE(B2250:B2299)</f>
        <v>2252.0712</v>
      </c>
      <c r="D2299" s="7" t="n">
        <f aca="false">AVERAGE(B2100:B2299)</f>
        <v>2369.6049</v>
      </c>
      <c r="E2299" s="7" t="n">
        <f aca="false">B2299/MAX(B2048:B2299)-1</f>
        <v>-0.195630950876911</v>
      </c>
      <c r="F2299" s="7" t="str">
        <f aca="false">IFERROR(INDEX(02_轉折點45個!B:B,MATCH(A2299,02_轉折點45個!A:A,0)),"")</f>
        <v/>
      </c>
      <c r="G2299" s="7" t="s">
        <v>1994</v>
      </c>
    </row>
    <row r="2300" customFormat="false" ht="15" hidden="false" customHeight="false" outlineLevel="0" collapsed="false">
      <c r="A2300" s="7" t="s">
        <v>3866</v>
      </c>
      <c r="B2300" s="7" t="n">
        <v>2104.28</v>
      </c>
      <c r="C2300" s="7" t="n">
        <f aca="false">AVERAGE(B2251:B2300)</f>
        <v>2244.4776</v>
      </c>
      <c r="D2300" s="7" t="n">
        <f aca="false">AVERAGE(B2101:B2300)</f>
        <v>2368.3789</v>
      </c>
      <c r="E2300" s="7" t="n">
        <f aca="false">B2300/MAX(B2049:B2300)-1</f>
        <v>-0.194382869897129</v>
      </c>
      <c r="F2300" s="7" t="str">
        <f aca="false">IFERROR(INDEX(02_轉折點45個!B:B,MATCH(A2300,02_轉折點45個!A:A,0)),"")</f>
        <v/>
      </c>
      <c r="G2300" s="7" t="s">
        <v>1994</v>
      </c>
    </row>
    <row r="2301" customFormat="false" ht="15" hidden="false" customHeight="false" outlineLevel="0" collapsed="false">
      <c r="A2301" s="7" t="s">
        <v>3867</v>
      </c>
      <c r="B2301" s="7" t="n">
        <v>2126.32</v>
      </c>
      <c r="C2301" s="7" t="n">
        <f aca="false">AVERAGE(B2252:B2301)</f>
        <v>2238.5418</v>
      </c>
      <c r="D2301" s="7" t="n">
        <f aca="false">AVERAGE(B2102:B2301)</f>
        <v>2367.24215</v>
      </c>
      <c r="E2301" s="7" t="n">
        <f aca="false">B2301/MAX(B2050:B2301)-1</f>
        <v>-0.185944923641181</v>
      </c>
      <c r="F2301" s="7" t="str">
        <f aca="false">IFERROR(INDEX(02_轉折點45個!B:B,MATCH(A2301,02_轉折點45個!A:A,0)),"")</f>
        <v/>
      </c>
      <c r="G2301" s="7" t="s">
        <v>1994</v>
      </c>
    </row>
    <row r="2302" customFormat="false" ht="15" hidden="false" customHeight="false" outlineLevel="0" collapsed="false">
      <c r="A2302" s="7" t="s">
        <v>3868</v>
      </c>
      <c r="B2302" s="7" t="n">
        <v>2142.32</v>
      </c>
      <c r="C2302" s="7" t="n">
        <f aca="false">AVERAGE(B2253:B2302)</f>
        <v>2232.5826</v>
      </c>
      <c r="D2302" s="7" t="n">
        <f aca="false">AVERAGE(B2103:B2302)</f>
        <v>2366.37995</v>
      </c>
      <c r="E2302" s="7" t="n">
        <f aca="false">B2302/MAX(B2051:B2302)-1</f>
        <v>-0.179819372820165</v>
      </c>
      <c r="F2302" s="7" t="str">
        <f aca="false">IFERROR(INDEX(02_轉折點45個!B:B,MATCH(A2302,02_轉折點45個!A:A,0)),"")</f>
        <v/>
      </c>
      <c r="G2302" s="7" t="s">
        <v>1994</v>
      </c>
    </row>
    <row r="2303" customFormat="false" ht="15" hidden="false" customHeight="false" outlineLevel="0" collapsed="false">
      <c r="A2303" s="7" t="s">
        <v>3869</v>
      </c>
      <c r="B2303" s="7" t="n">
        <v>2150.35</v>
      </c>
      <c r="C2303" s="7" t="n">
        <f aca="false">AVERAGE(B2254:B2303)</f>
        <v>2226.8324</v>
      </c>
      <c r="D2303" s="7" t="n">
        <f aca="false">AVERAGE(B2104:B2303)</f>
        <v>2365.42785</v>
      </c>
      <c r="E2303" s="7" t="n">
        <f aca="false">B2303/MAX(B2052:B2303)-1</f>
        <v>-0.176745112001868</v>
      </c>
      <c r="F2303" s="7" t="str">
        <f aca="false">IFERROR(INDEX(02_轉折點45個!B:B,MATCH(A2303,02_轉折點45個!A:A,0)),"")</f>
        <v/>
      </c>
      <c r="G2303" s="7" t="s">
        <v>1994</v>
      </c>
    </row>
    <row r="2304" customFormat="false" ht="15" hidden="false" customHeight="false" outlineLevel="0" collapsed="false">
      <c r="A2304" s="7" t="s">
        <v>787</v>
      </c>
      <c r="B2304" s="7" t="n">
        <v>2130.06</v>
      </c>
      <c r="C2304" s="7" t="n">
        <f aca="false">AVERAGE(B2255:B2304)</f>
        <v>2221.2748</v>
      </c>
      <c r="D2304" s="7" t="n">
        <f aca="false">AVERAGE(B2105:B2304)</f>
        <v>2364.44635</v>
      </c>
      <c r="E2304" s="7" t="n">
        <f aca="false">B2304/MAX(B2053:B2304)-1</f>
        <v>-0.184513076136768</v>
      </c>
      <c r="F2304" s="7" t="str">
        <f aca="false">IFERROR(INDEX(02_轉折點45個!B:B,MATCH(A2304,02_轉折點45個!A:A,0)),"")</f>
        <v/>
      </c>
      <c r="G2304" s="7" t="s">
        <v>1994</v>
      </c>
    </row>
    <row r="2305" customFormat="false" ht="15" hidden="false" customHeight="false" outlineLevel="0" collapsed="false">
      <c r="A2305" s="7" t="s">
        <v>788</v>
      </c>
      <c r="B2305" s="7" t="n">
        <v>2075.16</v>
      </c>
      <c r="C2305" s="7" t="n">
        <f aca="false">AVERAGE(B2256:B2305)</f>
        <v>2215.7388</v>
      </c>
      <c r="D2305" s="7" t="n">
        <f aca="false">AVERAGE(B2106:B2305)</f>
        <v>2363.28695</v>
      </c>
      <c r="E2305" s="7" t="n">
        <f aca="false">B2305/MAX(B2054:B2305)-1</f>
        <v>-0.205531372391377</v>
      </c>
      <c r="F2305" s="7" t="str">
        <f aca="false">IFERROR(INDEX(02_轉折點45個!B:B,MATCH(A2305,02_轉折點45個!A:A,0)),"")</f>
        <v/>
      </c>
      <c r="G2305" s="7" t="s">
        <v>1994</v>
      </c>
    </row>
    <row r="2306" customFormat="false" ht="15" hidden="false" customHeight="false" outlineLevel="0" collapsed="false">
      <c r="A2306" s="7" t="s">
        <v>789</v>
      </c>
      <c r="B2306" s="7" t="n">
        <v>2063.4</v>
      </c>
      <c r="C2306" s="7" t="n">
        <f aca="false">AVERAGE(B2257:B2306)</f>
        <v>2209.5736</v>
      </c>
      <c r="D2306" s="7" t="n">
        <f aca="false">AVERAGE(B2107:B2306)</f>
        <v>2361.9677</v>
      </c>
      <c r="E2306" s="7" t="n">
        <f aca="false">B2306/MAX(B2055:B2306)-1</f>
        <v>-0.210033652244823</v>
      </c>
      <c r="F2306" s="7" t="str">
        <f aca="false">IFERROR(INDEX(02_轉折點45個!B:B,MATCH(A2306,02_轉折點45個!A:A,0)),"")</f>
        <v/>
      </c>
      <c r="G2306" s="7" t="s">
        <v>1994</v>
      </c>
    </row>
    <row r="2307" customFormat="false" ht="15" hidden="false" customHeight="false" outlineLevel="0" collapsed="false">
      <c r="A2307" s="7" t="s">
        <v>3870</v>
      </c>
      <c r="B2307" s="7" t="n">
        <v>2064.93</v>
      </c>
      <c r="C2307" s="7" t="n">
        <f aca="false">AVERAGE(B2258:B2307)</f>
        <v>2203.348</v>
      </c>
      <c r="D2307" s="7" t="n">
        <f aca="false">AVERAGE(B2108:B2307)</f>
        <v>2360.6928</v>
      </c>
      <c r="E2307" s="7" t="n">
        <f aca="false">B2307/MAX(B2056:B2307)-1</f>
        <v>-0.209447896447563</v>
      </c>
      <c r="F2307" s="7" t="str">
        <f aca="false">IFERROR(INDEX(02_轉折點45個!B:B,MATCH(A2307,02_轉折點45個!A:A,0)),"")</f>
        <v/>
      </c>
      <c r="G2307" s="7" t="s">
        <v>1994</v>
      </c>
    </row>
    <row r="2308" customFormat="false" ht="15" hidden="false" customHeight="false" outlineLevel="0" collapsed="false">
      <c r="A2308" s="7" t="s">
        <v>3871</v>
      </c>
      <c r="B2308" s="7" t="n">
        <v>2076.38</v>
      </c>
      <c r="C2308" s="7" t="n">
        <f aca="false">AVERAGE(B2259:B2308)</f>
        <v>2196.6232</v>
      </c>
      <c r="D2308" s="7" t="n">
        <f aca="false">AVERAGE(B2109:B2308)</f>
        <v>2359.38805</v>
      </c>
      <c r="E2308" s="7" t="n">
        <f aca="false">B2308/MAX(B2057:B2308)-1</f>
        <v>-0.205064299141274</v>
      </c>
      <c r="F2308" s="7" t="str">
        <f aca="false">IFERROR(INDEX(02_轉折點45個!B:B,MATCH(A2308,02_轉折點45個!A:A,0)),"")</f>
        <v/>
      </c>
      <c r="G2308" s="7" t="s">
        <v>1994</v>
      </c>
    </row>
    <row r="2309" customFormat="false" ht="15" hidden="false" customHeight="false" outlineLevel="0" collapsed="false">
      <c r="A2309" s="7" t="s">
        <v>3872</v>
      </c>
      <c r="B2309" s="7" t="n">
        <v>2028.59</v>
      </c>
      <c r="C2309" s="7" t="n">
        <f aca="false">AVERAGE(B2260:B2309)</f>
        <v>2188.0084</v>
      </c>
      <c r="D2309" s="7" t="n">
        <f aca="false">AVERAGE(B2110:B2309)</f>
        <v>2357.75145</v>
      </c>
      <c r="E2309" s="7" t="n">
        <f aca="false">B2309/MAX(B2058:B2309)-1</f>
        <v>-0.223360553749794</v>
      </c>
      <c r="F2309" s="7" t="str">
        <f aca="false">IFERROR(INDEX(02_轉折點45個!B:B,MATCH(A2309,02_轉折點45個!A:A,0)),"")</f>
        <v/>
      </c>
      <c r="G2309" s="7" t="s">
        <v>1994</v>
      </c>
    </row>
    <row r="2310" customFormat="false" ht="15" hidden="false" customHeight="false" outlineLevel="0" collapsed="false">
      <c r="A2310" s="7" t="s">
        <v>3873</v>
      </c>
      <c r="B2310" s="7" t="n">
        <v>2021.27</v>
      </c>
      <c r="C2310" s="7" t="n">
        <f aca="false">AVERAGE(B2261:B2310)</f>
        <v>2178.8542</v>
      </c>
      <c r="D2310" s="7" t="n">
        <f aca="false">AVERAGE(B2111:B2310)</f>
        <v>2356.0361</v>
      </c>
      <c r="E2310" s="7" t="n">
        <f aca="false">B2310/MAX(B2059:B2310)-1</f>
        <v>-0.226162993250409</v>
      </c>
      <c r="F2310" s="7" t="str">
        <f aca="false">IFERROR(INDEX(02_轉折點45個!B:B,MATCH(A2310,02_轉折點45個!A:A,0)),"")</f>
        <v/>
      </c>
      <c r="G2310" s="7" t="s">
        <v>1994</v>
      </c>
    </row>
    <row r="2311" customFormat="false" ht="15" hidden="false" customHeight="false" outlineLevel="0" collapsed="false">
      <c r="A2311" s="7" t="s">
        <v>133</v>
      </c>
      <c r="B2311" s="7" t="n">
        <v>1981.85</v>
      </c>
      <c r="C2311" s="7" t="n">
        <f aca="false">AVERAGE(B2262:B2311)</f>
        <v>2168.7122</v>
      </c>
      <c r="D2311" s="7" t="n">
        <f aca="false">AVERAGE(B2112:B2311)</f>
        <v>2354.17375</v>
      </c>
      <c r="E2311" s="7" t="n">
        <f aca="false">B2311/MAX(B2060:B2311)-1</f>
        <v>-0.241254819085685</v>
      </c>
      <c r="F2311" s="7" t="str">
        <f aca="false">IFERROR(INDEX(02_轉折點45個!B:B,MATCH(A2311,02_轉折點45個!A:A,0)),"")</f>
        <v>BOTTOM</v>
      </c>
      <c r="G2311" s="7" t="s">
        <v>1994</v>
      </c>
    </row>
    <row r="2312" customFormat="false" ht="15" hidden="false" customHeight="false" outlineLevel="0" collapsed="false">
      <c r="A2312" s="7" t="s">
        <v>3874</v>
      </c>
      <c r="B2312" s="7" t="n">
        <v>2060.8</v>
      </c>
      <c r="C2312" s="7" t="n">
        <f aca="false">AVERAGE(B2263:B2312)</f>
        <v>2161.0194</v>
      </c>
      <c r="D2312" s="7" t="n">
        <f aca="false">AVERAGE(B2113:B2312)</f>
        <v>2352.8849</v>
      </c>
      <c r="E2312" s="7" t="n">
        <f aca="false">B2312/MAX(B2061:B2312)-1</f>
        <v>-0.211029054253238</v>
      </c>
      <c r="F2312" s="7" t="str">
        <f aca="false">IFERROR(INDEX(02_轉折點45個!B:B,MATCH(A2312,02_轉折點45個!A:A,0)),"")</f>
        <v/>
      </c>
      <c r="G2312" s="7" t="s">
        <v>1994</v>
      </c>
    </row>
    <row r="2313" customFormat="false" ht="15" hidden="false" customHeight="false" outlineLevel="0" collapsed="false">
      <c r="A2313" s="7" t="s">
        <v>3875</v>
      </c>
      <c r="B2313" s="7" t="n">
        <v>2049.94</v>
      </c>
      <c r="C2313" s="7" t="n">
        <f aca="false">AVERAGE(B2264:B2313)</f>
        <v>2153.152</v>
      </c>
      <c r="D2313" s="7" t="n">
        <f aca="false">AVERAGE(B2114:B2313)</f>
        <v>2351.4537</v>
      </c>
      <c r="E2313" s="7" t="n">
        <f aca="false">B2313/MAX(B2062:B2313)-1</f>
        <v>-0.215186771873002</v>
      </c>
      <c r="F2313" s="7" t="str">
        <f aca="false">IFERROR(INDEX(02_轉折點45個!B:B,MATCH(A2313,02_轉折點45個!A:A,0)),"")</f>
        <v/>
      </c>
      <c r="G2313" s="7" t="s">
        <v>1994</v>
      </c>
    </row>
    <row r="2314" customFormat="false" ht="15" hidden="false" customHeight="false" outlineLevel="0" collapsed="false">
      <c r="A2314" s="7" t="s">
        <v>3876</v>
      </c>
      <c r="B2314" s="7" t="n">
        <v>2067.97</v>
      </c>
      <c r="C2314" s="7" t="n">
        <f aca="false">AVERAGE(B2265:B2314)</f>
        <v>2146.0504</v>
      </c>
      <c r="D2314" s="7" t="n">
        <f aca="false">AVERAGE(B2115:B2314)</f>
        <v>2350.04475</v>
      </c>
      <c r="E2314" s="7" t="n">
        <f aca="false">B2314/MAX(B2063:B2314)-1</f>
        <v>-0.208284041791571</v>
      </c>
      <c r="F2314" s="7" t="str">
        <f aca="false">IFERROR(INDEX(02_轉折點45個!B:B,MATCH(A2314,02_轉折點45個!A:A,0)),"")</f>
        <v/>
      </c>
      <c r="G2314" s="7" t="s">
        <v>1994</v>
      </c>
    </row>
    <row r="2315" customFormat="false" ht="15" hidden="false" customHeight="false" outlineLevel="0" collapsed="false">
      <c r="A2315" s="7" t="s">
        <v>3877</v>
      </c>
      <c r="B2315" s="7" t="n">
        <v>2021.27</v>
      </c>
      <c r="C2315" s="7" t="n">
        <f aca="false">AVERAGE(B2266:B2315)</f>
        <v>2138.794</v>
      </c>
      <c r="D2315" s="7" t="n">
        <f aca="false">AVERAGE(B2116:B2315)</f>
        <v>2348.3085</v>
      </c>
      <c r="E2315" s="7" t="n">
        <f aca="false">B2315/MAX(B2064:B2315)-1</f>
        <v>-0.226162993250409</v>
      </c>
      <c r="F2315" s="7" t="str">
        <f aca="false">IFERROR(INDEX(02_轉折點45個!B:B,MATCH(A2315,02_轉折點45個!A:A,0)),"")</f>
        <v/>
      </c>
      <c r="G2315" s="7" t="s">
        <v>1994</v>
      </c>
    </row>
    <row r="2316" customFormat="false" ht="15" hidden="false" customHeight="false" outlineLevel="0" collapsed="false">
      <c r="A2316" s="7" t="s">
        <v>790</v>
      </c>
      <c r="B2316" s="7" t="n">
        <v>1988.86</v>
      </c>
      <c r="C2316" s="7" t="n">
        <f aca="false">AVERAGE(B2267:B2316)</f>
        <v>2131.0164</v>
      </c>
      <c r="D2316" s="7" t="n">
        <f aca="false">AVERAGE(B2117:B2316)</f>
        <v>2346.3557</v>
      </c>
      <c r="E2316" s="7" t="n">
        <f aca="false">B2316/MAX(B2065:B2316)-1</f>
        <v>-0.238571062132228</v>
      </c>
      <c r="F2316" s="7" t="str">
        <f aca="false">IFERROR(INDEX(02_轉折點45個!B:B,MATCH(A2316,02_轉折點45個!A:A,0)),"")</f>
        <v/>
      </c>
      <c r="G2316" s="7" t="s">
        <v>1994</v>
      </c>
    </row>
    <row r="2317" customFormat="false" ht="15" hidden="false" customHeight="false" outlineLevel="0" collapsed="false">
      <c r="A2317" s="7" t="s">
        <v>3878</v>
      </c>
      <c r="B2317" s="7" t="n">
        <v>2072.22</v>
      </c>
      <c r="C2317" s="7" t="n">
        <f aca="false">AVERAGE(B2268:B2317)</f>
        <v>2126.6972</v>
      </c>
      <c r="D2317" s="7" t="n">
        <f aca="false">AVERAGE(B2118:B2317)</f>
        <v>2344.77675</v>
      </c>
      <c r="E2317" s="7" t="n">
        <f aca="false">B2317/MAX(B2066:B2317)-1</f>
        <v>-0.206656942354738</v>
      </c>
      <c r="F2317" s="7" t="str">
        <f aca="false">IFERROR(INDEX(02_轉折點45個!B:B,MATCH(A2317,02_轉折點45個!A:A,0)),"")</f>
        <v/>
      </c>
      <c r="G2317" s="7" t="s">
        <v>1994</v>
      </c>
    </row>
    <row r="2318" customFormat="false" ht="15" hidden="false" customHeight="false" outlineLevel="0" collapsed="false">
      <c r="A2318" s="7" t="s">
        <v>3879</v>
      </c>
      <c r="B2318" s="7" t="n">
        <v>2018.96</v>
      </c>
      <c r="C2318" s="7" t="n">
        <f aca="false">AVERAGE(B2269:B2318)</f>
        <v>2121.4076</v>
      </c>
      <c r="D2318" s="7" t="n">
        <f aca="false">AVERAGE(B2119:B2318)</f>
        <v>2342.91155</v>
      </c>
      <c r="E2318" s="7" t="n">
        <f aca="false">B2318/MAX(B2067:B2318)-1</f>
        <v>-0.227047369650193</v>
      </c>
      <c r="F2318" s="7" t="str">
        <f aca="false">IFERROR(INDEX(02_轉折點45個!B:B,MATCH(A2318,02_轉折點45個!A:A,0)),"")</f>
        <v/>
      </c>
      <c r="G2318" s="7" t="s">
        <v>1994</v>
      </c>
    </row>
    <row r="2319" customFormat="false" ht="15" hidden="false" customHeight="false" outlineLevel="0" collapsed="false">
      <c r="A2319" s="7" t="s">
        <v>3880</v>
      </c>
      <c r="B2319" s="7" t="n">
        <v>2062.95</v>
      </c>
      <c r="C2319" s="7" t="n">
        <f aca="false">AVERAGE(B2270:B2319)</f>
        <v>2118.075</v>
      </c>
      <c r="D2319" s="7" t="n">
        <f aca="false">AVERAGE(B2120:B2319)</f>
        <v>2341.29855</v>
      </c>
      <c r="E2319" s="7" t="n">
        <f aca="false">B2319/MAX(B2068:B2319)-1</f>
        <v>-0.210205933361664</v>
      </c>
      <c r="F2319" s="7" t="str">
        <f aca="false">IFERROR(INDEX(02_轉折點45個!B:B,MATCH(A2319,02_轉折點45個!A:A,0)),"")</f>
        <v/>
      </c>
      <c r="G2319" s="7" t="s">
        <v>1994</v>
      </c>
    </row>
    <row r="2320" customFormat="false" ht="15" hidden="false" customHeight="false" outlineLevel="0" collapsed="false">
      <c r="A2320" s="7" t="s">
        <v>791</v>
      </c>
      <c r="B2320" s="7" t="n">
        <v>2125.66</v>
      </c>
      <c r="C2320" s="7" t="n">
        <f aca="false">AVERAGE(B2271:B2320)</f>
        <v>2115.3746</v>
      </c>
      <c r="D2320" s="7" t="n">
        <f aca="false">AVERAGE(B2121:B2320)</f>
        <v>2340.10895</v>
      </c>
      <c r="E2320" s="7" t="n">
        <f aca="false">B2320/MAX(B2069:B2320)-1</f>
        <v>-0.186197602612548</v>
      </c>
      <c r="F2320" s="7" t="str">
        <f aca="false">IFERROR(INDEX(02_轉折點45個!B:B,MATCH(A2320,02_轉折點45個!A:A,0)),"")</f>
        <v/>
      </c>
      <c r="G2320" s="7" t="s">
        <v>1994</v>
      </c>
    </row>
    <row r="2321" customFormat="false" ht="15" hidden="false" customHeight="false" outlineLevel="0" collapsed="false">
      <c r="A2321" s="7" t="s">
        <v>3881</v>
      </c>
      <c r="B2321" s="7" t="n">
        <v>2138.72</v>
      </c>
      <c r="C2321" s="7" t="n">
        <f aca="false">AVERAGE(B2272:B2321)</f>
        <v>2112.6802</v>
      </c>
      <c r="D2321" s="7" t="n">
        <f aca="false">AVERAGE(B2122:B2321)</f>
        <v>2339.19385</v>
      </c>
      <c r="E2321" s="7" t="n">
        <f aca="false">B2321/MAX(B2070:B2321)-1</f>
        <v>-0.181197621754894</v>
      </c>
      <c r="F2321" s="7" t="str">
        <f aca="false">IFERROR(INDEX(02_轉折點45個!B:B,MATCH(A2321,02_轉折點45個!A:A,0)),"")</f>
        <v/>
      </c>
      <c r="G2321" s="7" t="s">
        <v>1994</v>
      </c>
    </row>
    <row r="2322" customFormat="false" ht="15" hidden="false" customHeight="false" outlineLevel="0" collapsed="false">
      <c r="A2322" s="7" t="s">
        <v>3882</v>
      </c>
      <c r="B2322" s="7" t="n">
        <v>2123.47</v>
      </c>
      <c r="C2322" s="7" t="n">
        <f aca="false">AVERAGE(B2273:B2322)</f>
        <v>2110.5684</v>
      </c>
      <c r="D2322" s="7" t="n">
        <f aca="false">AVERAGE(B2123:B2322)</f>
        <v>2338.0556</v>
      </c>
      <c r="E2322" s="7" t="n">
        <f aca="false">B2322/MAX(B2071:B2322)-1</f>
        <v>-0.187036037381174</v>
      </c>
      <c r="F2322" s="7" t="str">
        <f aca="false">IFERROR(INDEX(02_轉折點45個!B:B,MATCH(A2322,02_轉折點45個!A:A,0)),"")</f>
        <v/>
      </c>
      <c r="G2322" s="7" t="s">
        <v>1994</v>
      </c>
    </row>
    <row r="2323" customFormat="false" ht="15" hidden="false" customHeight="false" outlineLevel="0" collapsed="false">
      <c r="A2323" s="7" t="s">
        <v>3883</v>
      </c>
      <c r="B2323" s="7" t="n">
        <v>2083.7</v>
      </c>
      <c r="C2323" s="7" t="n">
        <f aca="false">AVERAGE(B2274:B2323)</f>
        <v>2106.9602</v>
      </c>
      <c r="D2323" s="7" t="n">
        <f aca="false">AVERAGE(B2124:B2323)</f>
        <v>2336.72485</v>
      </c>
      <c r="E2323" s="7" t="n">
        <f aca="false">B2323/MAX(B2072:B2323)-1</f>
        <v>-0.20226185964066</v>
      </c>
      <c r="F2323" s="7" t="str">
        <f aca="false">IFERROR(INDEX(02_轉折點45個!B:B,MATCH(A2323,02_轉折點45個!A:A,0)),"")</f>
        <v/>
      </c>
      <c r="G2323" s="7" t="s">
        <v>1994</v>
      </c>
    </row>
    <row r="2324" customFormat="false" ht="15" hidden="false" customHeight="false" outlineLevel="0" collapsed="false">
      <c r="A2324" s="7" t="s">
        <v>3884</v>
      </c>
      <c r="B2324" s="7" t="n">
        <v>2065.75</v>
      </c>
      <c r="C2324" s="7" t="n">
        <f aca="false">AVERAGE(B2275:B2324)</f>
        <v>2104.1024</v>
      </c>
      <c r="D2324" s="7" t="n">
        <f aca="false">AVERAGE(B2125:B2324)</f>
        <v>2335.4066</v>
      </c>
      <c r="E2324" s="7" t="n">
        <f aca="false">B2324/MAX(B2073:B2324)-1</f>
        <v>-0.209133961967986</v>
      </c>
      <c r="F2324" s="7" t="str">
        <f aca="false">IFERROR(INDEX(02_轉折點45個!B:B,MATCH(A2324,02_轉折點45個!A:A,0)),"")</f>
        <v/>
      </c>
      <c r="G2324" s="7" t="s">
        <v>1994</v>
      </c>
    </row>
    <row r="2325" customFormat="false" ht="15" hidden="false" customHeight="false" outlineLevel="0" collapsed="false">
      <c r="A2325" s="7" t="s">
        <v>3885</v>
      </c>
      <c r="B2325" s="7" t="n">
        <v>2082.12</v>
      </c>
      <c r="C2325" s="7" t="n">
        <f aca="false">AVERAGE(B2276:B2325)</f>
        <v>2101.9922</v>
      </c>
      <c r="D2325" s="7" t="n">
        <f aca="false">AVERAGE(B2126:B2325)</f>
        <v>2334.02155</v>
      </c>
      <c r="E2325" s="7" t="n">
        <f aca="false">B2325/MAX(B2074:B2325)-1</f>
        <v>-0.202866757784235</v>
      </c>
      <c r="F2325" s="7" t="str">
        <f aca="false">IFERROR(INDEX(02_轉折點45個!B:B,MATCH(A2325,02_轉折點45個!A:A,0)),"")</f>
        <v/>
      </c>
      <c r="G2325" s="7" t="s">
        <v>1994</v>
      </c>
    </row>
    <row r="2326" customFormat="false" ht="15" hidden="false" customHeight="false" outlineLevel="0" collapsed="false">
      <c r="A2326" s="7" t="s">
        <v>3886</v>
      </c>
      <c r="B2326" s="7" t="n">
        <v>2158.54</v>
      </c>
      <c r="C2326" s="7" t="n">
        <f aca="false">AVERAGE(B2277:B2326)</f>
        <v>2102.2818</v>
      </c>
      <c r="D2326" s="7" t="n">
        <f aca="false">AVERAGE(B2127:B2326)</f>
        <v>2332.9405</v>
      </c>
      <c r="E2326" s="7" t="n">
        <f aca="false">B2326/MAX(B2075:B2326)-1</f>
        <v>-0.173609595675361</v>
      </c>
      <c r="F2326" s="7" t="str">
        <f aca="false">IFERROR(INDEX(02_轉折點45個!B:B,MATCH(A2326,02_轉折點45個!A:A,0)),"")</f>
        <v/>
      </c>
      <c r="G2326" s="7" t="s">
        <v>1994</v>
      </c>
    </row>
    <row r="2327" customFormat="false" ht="15" hidden="false" customHeight="false" outlineLevel="0" collapsed="false">
      <c r="A2327" s="7" t="s">
        <v>3887</v>
      </c>
      <c r="B2327" s="7" t="n">
        <v>2157.31</v>
      </c>
      <c r="C2327" s="7" t="n">
        <f aca="false">AVERAGE(B2278:B2327)</f>
        <v>2102.6724</v>
      </c>
      <c r="D2327" s="7" t="n">
        <f aca="false">AVERAGE(B2128:B2327)</f>
        <v>2331.7286</v>
      </c>
      <c r="E2327" s="7" t="n">
        <f aca="false">B2327/MAX(B2076:B2327)-1</f>
        <v>-0.174080497394727</v>
      </c>
      <c r="F2327" s="7" t="str">
        <f aca="false">IFERROR(INDEX(02_轉折點45個!B:B,MATCH(A2327,02_轉折點45個!A:A,0)),"")</f>
        <v/>
      </c>
      <c r="G2327" s="7" t="s">
        <v>1994</v>
      </c>
    </row>
    <row r="2328" customFormat="false" ht="15" hidden="false" customHeight="false" outlineLevel="0" collapsed="false">
      <c r="A2328" s="7" t="s">
        <v>3888</v>
      </c>
      <c r="B2328" s="7" t="n">
        <v>2159.05</v>
      </c>
      <c r="C2328" s="7" t="n">
        <f aca="false">AVERAGE(B2279:B2328)</f>
        <v>2103.9702</v>
      </c>
      <c r="D2328" s="7" t="n">
        <f aca="false">AVERAGE(B2129:B2328)</f>
        <v>2330.5259</v>
      </c>
      <c r="E2328" s="7" t="n">
        <f aca="false">B2328/MAX(B2077:B2328)-1</f>
        <v>-0.173414343742941</v>
      </c>
      <c r="F2328" s="7" t="str">
        <f aca="false">IFERROR(INDEX(02_轉折點45個!B:B,MATCH(A2328,02_轉折點45個!A:A,0)),"")</f>
        <v/>
      </c>
      <c r="G2328" s="7" t="s">
        <v>1994</v>
      </c>
    </row>
    <row r="2329" customFormat="false" ht="15" hidden="false" customHeight="false" outlineLevel="0" collapsed="false">
      <c r="A2329" s="7" t="s">
        <v>3889</v>
      </c>
      <c r="B2329" s="7" t="n">
        <v>2166.06</v>
      </c>
      <c r="C2329" s="7" t="n">
        <f aca="false">AVERAGE(B2280:B2329)</f>
        <v>2104.9672</v>
      </c>
      <c r="D2329" s="7" t="n">
        <f aca="false">AVERAGE(B2130:B2329)</f>
        <v>2329.3575</v>
      </c>
      <c r="E2329" s="7" t="n">
        <f aca="false">B2329/MAX(B2078:B2329)-1</f>
        <v>-0.170730586789484</v>
      </c>
      <c r="F2329" s="7" t="str">
        <f aca="false">IFERROR(INDEX(02_轉折點45個!B:B,MATCH(A2329,02_轉折點45個!A:A,0)),"")</f>
        <v/>
      </c>
      <c r="G2329" s="7" t="s">
        <v>1994</v>
      </c>
    </row>
    <row r="2330" customFormat="false" ht="15" hidden="false" customHeight="false" outlineLevel="0" collapsed="false">
      <c r="A2330" s="7" t="s">
        <v>3890</v>
      </c>
      <c r="B2330" s="7" t="n">
        <v>2160.44</v>
      </c>
      <c r="C2330" s="7" t="n">
        <f aca="false">AVERAGE(B2281:B2330)</f>
        <v>2105.0386</v>
      </c>
      <c r="D2330" s="7" t="n">
        <f aca="false">AVERAGE(B2131:B2330)</f>
        <v>2328.28345</v>
      </c>
      <c r="E2330" s="7" t="n">
        <f aca="false">B2330/MAX(B2079:B2330)-1</f>
        <v>-0.172882186515366</v>
      </c>
      <c r="F2330" s="7" t="str">
        <f aca="false">IFERROR(INDEX(02_轉折點45個!B:B,MATCH(A2330,02_轉折點45個!A:A,0)),"")</f>
        <v/>
      </c>
      <c r="G2330" s="7" t="s">
        <v>1994</v>
      </c>
    </row>
    <row r="2331" customFormat="false" ht="15" hidden="false" customHeight="false" outlineLevel="0" collapsed="false">
      <c r="A2331" s="7" t="s">
        <v>3891</v>
      </c>
      <c r="B2331" s="7" t="n">
        <v>2145.76</v>
      </c>
      <c r="C2331" s="7" t="n">
        <f aca="false">AVERAGE(B2282:B2331)</f>
        <v>2105.4508</v>
      </c>
      <c r="D2331" s="7" t="n">
        <f aca="false">AVERAGE(B2132:B2331)</f>
        <v>2327.05835</v>
      </c>
      <c r="E2331" s="7" t="n">
        <f aca="false">B2331/MAX(B2080:B2331)-1</f>
        <v>-0.178502379393647</v>
      </c>
      <c r="F2331" s="7" t="str">
        <f aca="false">IFERROR(INDEX(02_轉折點45個!B:B,MATCH(A2331,02_轉折點45個!A:A,0)),"")</f>
        <v/>
      </c>
      <c r="G2331" s="7" t="s">
        <v>1994</v>
      </c>
    </row>
    <row r="2332" customFormat="false" ht="15" hidden="false" customHeight="false" outlineLevel="0" collapsed="false">
      <c r="A2332" s="7" t="s">
        <v>3892</v>
      </c>
      <c r="B2332" s="7" t="n">
        <v>2121.43</v>
      </c>
      <c r="C2332" s="7" t="n">
        <f aca="false">AVERAGE(B2283:B2332)</f>
        <v>2104.9432</v>
      </c>
      <c r="D2332" s="7" t="n">
        <f aca="false">AVERAGE(B2133:B2332)</f>
        <v>2325.8395</v>
      </c>
      <c r="E2332" s="7" t="n">
        <f aca="false">B2332/MAX(B2081:B2332)-1</f>
        <v>-0.187817045110854</v>
      </c>
      <c r="F2332" s="7" t="str">
        <f aca="false">IFERROR(INDEX(02_轉折點45個!B:B,MATCH(A2332,02_轉折點45個!A:A,0)),"")</f>
        <v/>
      </c>
      <c r="G2332" s="7" t="s">
        <v>1994</v>
      </c>
    </row>
    <row r="2333" customFormat="false" ht="15" hidden="false" customHeight="false" outlineLevel="0" collapsed="false">
      <c r="A2333" s="7" t="s">
        <v>3893</v>
      </c>
      <c r="B2333" s="7" t="n">
        <v>2148.45</v>
      </c>
      <c r="C2333" s="7" t="n">
        <f aca="false">AVERAGE(B2284:B2333)</f>
        <v>2104.827</v>
      </c>
      <c r="D2333" s="7" t="n">
        <f aca="false">AVERAGE(B2134:B2333)</f>
        <v>2324.81</v>
      </c>
      <c r="E2333" s="7" t="n">
        <f aca="false">B2333/MAX(B2082:B2333)-1</f>
        <v>-0.177472521161864</v>
      </c>
      <c r="F2333" s="7" t="str">
        <f aca="false">IFERROR(INDEX(02_轉折點45個!B:B,MATCH(A2333,02_轉折點45個!A:A,0)),"")</f>
        <v/>
      </c>
      <c r="G2333" s="7" t="s">
        <v>1994</v>
      </c>
    </row>
    <row r="2334" customFormat="false" ht="15" hidden="false" customHeight="false" outlineLevel="0" collapsed="false">
      <c r="A2334" s="7" t="s">
        <v>3894</v>
      </c>
      <c r="B2334" s="7" t="n">
        <v>2092.3</v>
      </c>
      <c r="C2334" s="7" t="n">
        <f aca="false">AVERAGE(B2285:B2334)</f>
        <v>2103.7534</v>
      </c>
      <c r="D2334" s="7" t="n">
        <f aca="false">AVERAGE(B2135:B2334)</f>
        <v>2323.5131</v>
      </c>
      <c r="E2334" s="7" t="n">
        <f aca="false">B2334/MAX(B2083:B2334)-1</f>
        <v>-0.198969376074364</v>
      </c>
      <c r="F2334" s="7" t="str">
        <f aca="false">IFERROR(INDEX(02_轉折點45個!B:B,MATCH(A2334,02_轉折點45個!A:A,0)),"")</f>
        <v/>
      </c>
      <c r="G2334" s="7" t="s">
        <v>1994</v>
      </c>
    </row>
    <row r="2335" customFormat="false" ht="15" hidden="false" customHeight="false" outlineLevel="0" collapsed="false">
      <c r="A2335" s="7" t="s">
        <v>3895</v>
      </c>
      <c r="B2335" s="7" t="n">
        <v>2079.13</v>
      </c>
      <c r="C2335" s="7" t="n">
        <f aca="false">AVERAGE(B2286:B2335)</f>
        <v>2101.6698</v>
      </c>
      <c r="D2335" s="7" t="n">
        <f aca="false">AVERAGE(B2136:B2335)</f>
        <v>2322.00785</v>
      </c>
      <c r="E2335" s="7" t="n">
        <f aca="false">B2335/MAX(B2084:B2335)-1</f>
        <v>-0.204011470093912</v>
      </c>
      <c r="F2335" s="7" t="str">
        <f aca="false">IFERROR(INDEX(02_轉折點45個!B:B,MATCH(A2335,02_轉折點45個!A:A,0)),"")</f>
        <v/>
      </c>
      <c r="G2335" s="7" t="s">
        <v>1994</v>
      </c>
    </row>
    <row r="2336" customFormat="false" ht="15" hidden="false" customHeight="false" outlineLevel="0" collapsed="false">
      <c r="A2336" s="7" t="s">
        <v>3896</v>
      </c>
      <c r="B2336" s="7" t="n">
        <v>2088.46</v>
      </c>
      <c r="C2336" s="7" t="n">
        <f aca="false">AVERAGE(B2287:B2336)</f>
        <v>2099.3434</v>
      </c>
      <c r="D2336" s="7" t="n">
        <f aca="false">AVERAGE(B2137:B2336)</f>
        <v>2320.53545</v>
      </c>
      <c r="E2336" s="7" t="n">
        <f aca="false">B2336/MAX(B2085:B2336)-1</f>
        <v>-0.200439508271408</v>
      </c>
      <c r="F2336" s="7" t="str">
        <f aca="false">IFERROR(INDEX(02_轉折點45個!B:B,MATCH(A2336,02_轉折點45個!A:A,0)),"")</f>
        <v/>
      </c>
      <c r="G2336" s="7" t="s">
        <v>1994</v>
      </c>
    </row>
    <row r="2337" customFormat="false" ht="15" hidden="false" customHeight="false" outlineLevel="0" collapsed="false">
      <c r="A2337" s="7" t="s">
        <v>3897</v>
      </c>
      <c r="B2337" s="7" t="n">
        <v>2147</v>
      </c>
      <c r="C2337" s="7" t="n">
        <f aca="false">AVERAGE(B2288:B2337)</f>
        <v>2098.7452</v>
      </c>
      <c r="D2337" s="7" t="n">
        <f aca="false">AVERAGE(B2138:B2337)</f>
        <v>2319.37925</v>
      </c>
      <c r="E2337" s="7" t="n">
        <f aca="false">B2337/MAX(B2086:B2337)-1</f>
        <v>-0.178027649205018</v>
      </c>
      <c r="F2337" s="7" t="str">
        <f aca="false">IFERROR(INDEX(02_轉折點45個!B:B,MATCH(A2337,02_轉折點45個!A:A,0)),"")</f>
        <v/>
      </c>
      <c r="G2337" s="7" t="s">
        <v>1994</v>
      </c>
    </row>
    <row r="2338" customFormat="false" ht="15" hidden="false" customHeight="false" outlineLevel="0" collapsed="false">
      <c r="A2338" s="7" t="s">
        <v>3898</v>
      </c>
      <c r="B2338" s="7" t="n">
        <v>2139.43</v>
      </c>
      <c r="C2338" s="7" t="n">
        <f aca="false">AVERAGE(B2289:B2338)</f>
        <v>2099.3346</v>
      </c>
      <c r="D2338" s="7" t="n">
        <f aca="false">AVERAGE(B2139:B2338)</f>
        <v>2318.0524</v>
      </c>
      <c r="E2338" s="7" t="n">
        <f aca="false">B2338/MAX(B2087:B2338)-1</f>
        <v>-0.180925800437211</v>
      </c>
      <c r="F2338" s="7" t="str">
        <f aca="false">IFERROR(INDEX(02_轉折點45個!B:B,MATCH(A2338,02_轉折點45個!A:A,0)),"")</f>
        <v/>
      </c>
      <c r="G2338" s="7" t="s">
        <v>1994</v>
      </c>
    </row>
    <row r="2339" customFormat="false" ht="15" hidden="false" customHeight="false" outlineLevel="0" collapsed="false">
      <c r="A2339" s="7" t="s">
        <v>792</v>
      </c>
      <c r="B2339" s="7" t="n">
        <v>2195.29</v>
      </c>
      <c r="C2339" s="7" t="n">
        <f aca="false">AVERAGE(B2290:B2339)</f>
        <v>2101.6044</v>
      </c>
      <c r="D2339" s="7" t="n">
        <f aca="false">AVERAGE(B2140:B2339)</f>
        <v>2316.9471</v>
      </c>
      <c r="E2339" s="7" t="n">
        <f aca="false">B2339/MAX(B2088:B2339)-1</f>
        <v>-0.159539971133342</v>
      </c>
      <c r="F2339" s="7" t="str">
        <f aca="false">IFERROR(INDEX(02_轉折點45個!B:B,MATCH(A2339,02_轉折點45個!A:A,0)),"")</f>
        <v/>
      </c>
      <c r="G2339" s="7" t="s">
        <v>1994</v>
      </c>
    </row>
    <row r="2340" customFormat="false" ht="15" hidden="false" customHeight="false" outlineLevel="0" collapsed="false">
      <c r="A2340" s="7" t="s">
        <v>793</v>
      </c>
      <c r="B2340" s="7" t="n">
        <v>2199.92</v>
      </c>
      <c r="C2340" s="7" t="n">
        <f aca="false">AVERAGE(B2291:B2340)</f>
        <v>2103.7058</v>
      </c>
      <c r="D2340" s="7" t="n">
        <f aca="false">AVERAGE(B2141:B2340)</f>
        <v>2315.8115</v>
      </c>
      <c r="E2340" s="7" t="n">
        <f aca="false">B2340/MAX(B2089:B2340)-1</f>
        <v>-0.157767389864511</v>
      </c>
      <c r="F2340" s="7" t="str">
        <f aca="false">IFERROR(INDEX(02_轉折點45個!B:B,MATCH(A2340,02_轉折點45個!A:A,0)),"")</f>
        <v/>
      </c>
      <c r="G2340" s="7" t="s">
        <v>1994</v>
      </c>
    </row>
    <row r="2341" customFormat="false" ht="15" hidden="false" customHeight="false" outlineLevel="0" collapsed="false">
      <c r="A2341" s="7" t="s">
        <v>3899</v>
      </c>
      <c r="B2341" s="7" t="n">
        <v>2171.51</v>
      </c>
      <c r="C2341" s="7" t="n">
        <f aca="false">AVERAGE(B2292:B2341)</f>
        <v>2105.023</v>
      </c>
      <c r="D2341" s="7" t="n">
        <f aca="false">AVERAGE(B2142:B2341)</f>
        <v>2314.4888</v>
      </c>
      <c r="E2341" s="7" t="n">
        <f aca="false">B2341/MAX(B2090:B2341)-1</f>
        <v>-0.168644071041076</v>
      </c>
      <c r="F2341" s="7" t="str">
        <f aca="false">IFERROR(INDEX(02_轉折點45個!B:B,MATCH(A2341,02_轉折點45個!A:A,0)),"")</f>
        <v/>
      </c>
      <c r="G2341" s="7" t="s">
        <v>1994</v>
      </c>
    </row>
    <row r="2342" customFormat="false" ht="15" hidden="false" customHeight="false" outlineLevel="0" collapsed="false">
      <c r="A2342" s="7" t="s">
        <v>3900</v>
      </c>
      <c r="B2342" s="7" t="n">
        <v>2197.33</v>
      </c>
      <c r="C2342" s="7" t="n">
        <f aca="false">AVERAGE(B2293:B2342)</f>
        <v>2106.5788</v>
      </c>
      <c r="D2342" s="7" t="n">
        <f aca="false">AVERAGE(B2143:B2342)</f>
        <v>2313.27915</v>
      </c>
      <c r="E2342" s="7" t="n">
        <f aca="false">B2342/MAX(B2091:B2342)-1</f>
        <v>-0.158758963403662</v>
      </c>
      <c r="F2342" s="7" t="str">
        <f aca="false">IFERROR(INDEX(02_轉折點45個!B:B,MATCH(A2342,02_轉折點45個!A:A,0)),"")</f>
        <v/>
      </c>
      <c r="G2342" s="7" t="s">
        <v>1994</v>
      </c>
    </row>
    <row r="2343" customFormat="false" ht="15" hidden="false" customHeight="false" outlineLevel="0" collapsed="false">
      <c r="A2343" s="7" t="s">
        <v>3901</v>
      </c>
      <c r="B2343" s="7" t="n">
        <v>2218.99</v>
      </c>
      <c r="C2343" s="7" t="n">
        <f aca="false">AVERAGE(B2294:B2343)</f>
        <v>2108.568</v>
      </c>
      <c r="D2343" s="7" t="n">
        <f aca="false">AVERAGE(B2144:B2343)</f>
        <v>2312.3188</v>
      </c>
      <c r="E2343" s="7" t="n">
        <f aca="false">B2343/MAX(B2092:B2343)-1</f>
        <v>-0.150466498979713</v>
      </c>
      <c r="F2343" s="7" t="str">
        <f aca="false">IFERROR(INDEX(02_轉折點45個!B:B,MATCH(A2343,02_轉折點45個!A:A,0)),"")</f>
        <v/>
      </c>
      <c r="G2343" s="7" t="s">
        <v>1994</v>
      </c>
    </row>
    <row r="2344" customFormat="false" ht="15" hidden="false" customHeight="false" outlineLevel="0" collapsed="false">
      <c r="A2344" s="7" t="s">
        <v>3902</v>
      </c>
      <c r="B2344" s="7" t="n">
        <v>2213.52</v>
      </c>
      <c r="C2344" s="7" t="n">
        <f aca="false">AVERAGE(B2295:B2344)</f>
        <v>2109.4632</v>
      </c>
      <c r="D2344" s="7" t="n">
        <f aca="false">AVERAGE(B2145:B2344)</f>
        <v>2311.2734</v>
      </c>
      <c r="E2344" s="7" t="n">
        <f aca="false">B2344/MAX(B2093:B2344)-1</f>
        <v>-0.152560671666648</v>
      </c>
      <c r="F2344" s="7" t="str">
        <f aca="false">IFERROR(INDEX(02_轉折點45個!B:B,MATCH(A2344,02_轉折點45個!A:A,0)),"")</f>
        <v/>
      </c>
      <c r="G2344" s="7" t="s">
        <v>1994</v>
      </c>
    </row>
    <row r="2345" customFormat="false" ht="15" hidden="false" customHeight="false" outlineLevel="0" collapsed="false">
      <c r="A2345" s="7" t="s">
        <v>3903</v>
      </c>
      <c r="B2345" s="7" t="n">
        <v>2214.87</v>
      </c>
      <c r="C2345" s="7" t="n">
        <f aca="false">AVERAGE(B2296:B2345)</f>
        <v>2111.1418</v>
      </c>
      <c r="D2345" s="7" t="n">
        <f aca="false">AVERAGE(B2146:B2345)</f>
        <v>2310.0066</v>
      </c>
      <c r="E2345" s="7" t="n">
        <f aca="false">B2345/MAX(B2094:B2345)-1</f>
        <v>-0.152043828316125</v>
      </c>
      <c r="F2345" s="7" t="str">
        <f aca="false">IFERROR(INDEX(02_轉折點45個!B:B,MATCH(A2345,02_轉折點45個!A:A,0)),"")</f>
        <v/>
      </c>
      <c r="G2345" s="7" t="s">
        <v>1994</v>
      </c>
    </row>
    <row r="2346" customFormat="false" ht="15" hidden="false" customHeight="false" outlineLevel="0" collapsed="false">
      <c r="A2346" s="7" t="s">
        <v>3904</v>
      </c>
      <c r="B2346" s="7" t="n">
        <v>2216.42</v>
      </c>
      <c r="C2346" s="7" t="n">
        <f aca="false">AVERAGE(B2297:B2346)</f>
        <v>2113.0476</v>
      </c>
      <c r="D2346" s="7" t="n">
        <f aca="false">AVERAGE(B2147:B2346)</f>
        <v>2308.7235</v>
      </c>
      <c r="E2346" s="7" t="n">
        <f aca="false">B2346/MAX(B2095:B2346)-1</f>
        <v>-0.151450415580339</v>
      </c>
      <c r="F2346" s="7" t="str">
        <f aca="false">IFERROR(INDEX(02_轉折點45個!B:B,MATCH(A2346,02_轉折點45個!A:A,0)),"")</f>
        <v/>
      </c>
      <c r="G2346" s="7" t="s">
        <v>1994</v>
      </c>
    </row>
    <row r="2347" customFormat="false" ht="15" hidden="false" customHeight="false" outlineLevel="0" collapsed="false">
      <c r="A2347" s="7" t="s">
        <v>3905</v>
      </c>
      <c r="B2347" s="7" t="n">
        <v>2204.27</v>
      </c>
      <c r="C2347" s="7" t="n">
        <f aca="false">AVERAGE(B2298:B2347)</f>
        <v>2114.9954</v>
      </c>
      <c r="D2347" s="7" t="n">
        <f aca="false">AVERAGE(B2148:B2347)</f>
        <v>2307.4238</v>
      </c>
      <c r="E2347" s="7" t="n">
        <f aca="false">B2347/MAX(B2096:B2347)-1</f>
        <v>-0.156102005735047</v>
      </c>
      <c r="F2347" s="7" t="str">
        <f aca="false">IFERROR(INDEX(02_轉折點45個!B:B,MATCH(A2347,02_轉折點45個!A:A,0)),"")</f>
        <v/>
      </c>
      <c r="G2347" s="7" t="s">
        <v>1994</v>
      </c>
    </row>
    <row r="2348" customFormat="false" ht="15" hidden="false" customHeight="false" outlineLevel="0" collapsed="false">
      <c r="A2348" s="7" t="s">
        <v>3906</v>
      </c>
      <c r="B2348" s="7" t="n">
        <v>2266.31</v>
      </c>
      <c r="C2348" s="7" t="n">
        <f aca="false">AVERAGE(B2299:B2348)</f>
        <v>2117.8022</v>
      </c>
      <c r="D2348" s="7" t="n">
        <f aca="false">AVERAGE(B2149:B2348)</f>
        <v>2306.366</v>
      </c>
      <c r="E2348" s="7" t="n">
        <f aca="false">B2348/MAX(B2097:B2348)-1</f>
        <v>-0.132350182426561</v>
      </c>
      <c r="F2348" s="7" t="str">
        <f aca="false">IFERROR(INDEX(02_轉折點45個!B:B,MATCH(A2348,02_轉折點45個!A:A,0)),"")</f>
        <v/>
      </c>
      <c r="G2348" s="7" t="s">
        <v>1994</v>
      </c>
    </row>
    <row r="2349" customFormat="false" ht="15" hidden="false" customHeight="false" outlineLevel="0" collapsed="false">
      <c r="A2349" s="7" t="s">
        <v>3907</v>
      </c>
      <c r="B2349" s="7" t="n">
        <v>2262.91</v>
      </c>
      <c r="C2349" s="7" t="n">
        <f aca="false">AVERAGE(B2300:B2349)</f>
        <v>2121.04</v>
      </c>
      <c r="D2349" s="7" t="n">
        <f aca="false">AVERAGE(B2150:B2349)</f>
        <v>2305.34965</v>
      </c>
      <c r="E2349" s="7" t="n">
        <f aca="false">B2349/MAX(B2098:B2349)-1</f>
        <v>-0.133651861976026</v>
      </c>
      <c r="F2349" s="7" t="str">
        <f aca="false">IFERROR(INDEX(02_轉折點45個!B:B,MATCH(A2349,02_轉折點45個!A:A,0)),"")</f>
        <v/>
      </c>
      <c r="G2349" s="7" t="s">
        <v>1994</v>
      </c>
    </row>
    <row r="2350" customFormat="false" ht="15" hidden="false" customHeight="false" outlineLevel="0" collapsed="false">
      <c r="A2350" s="7" t="s">
        <v>3908</v>
      </c>
      <c r="B2350" s="7" t="n">
        <v>2251.15</v>
      </c>
      <c r="C2350" s="7" t="n">
        <f aca="false">AVERAGE(B2301:B2350)</f>
        <v>2123.9774</v>
      </c>
      <c r="D2350" s="7" t="n">
        <f aca="false">AVERAGE(B2151:B2350)</f>
        <v>2304.18065</v>
      </c>
      <c r="E2350" s="7" t="n">
        <f aca="false">B2350/MAX(B2099:B2350)-1</f>
        <v>-0.138154141829472</v>
      </c>
      <c r="F2350" s="7" t="str">
        <f aca="false">IFERROR(INDEX(02_轉折點45個!B:B,MATCH(A2350,02_轉折點45個!A:A,0)),"")</f>
        <v/>
      </c>
      <c r="G2350" s="7" t="s">
        <v>1994</v>
      </c>
    </row>
    <row r="2351" customFormat="false" ht="15" hidden="false" customHeight="false" outlineLevel="0" collapsed="false">
      <c r="A2351" s="7" t="s">
        <v>3909</v>
      </c>
      <c r="B2351" s="7" t="n">
        <v>2268.68</v>
      </c>
      <c r="C2351" s="7" t="n">
        <f aca="false">AVERAGE(B2302:B2351)</f>
        <v>2126.8246</v>
      </c>
      <c r="D2351" s="7" t="n">
        <f aca="false">AVERAGE(B2152:B2351)</f>
        <v>2303.24745</v>
      </c>
      <c r="E2351" s="7" t="n">
        <f aca="false">B2351/MAX(B2100:B2351)-1</f>
        <v>-0.131442835211198</v>
      </c>
      <c r="F2351" s="7" t="str">
        <f aca="false">IFERROR(INDEX(02_轉折點45個!B:B,MATCH(A2351,02_轉折點45個!A:A,0)),"")</f>
        <v/>
      </c>
      <c r="G2351" s="7" t="s">
        <v>1994</v>
      </c>
    </row>
    <row r="2352" customFormat="false" ht="15" hidden="false" customHeight="false" outlineLevel="0" collapsed="false">
      <c r="A2352" s="7" t="s">
        <v>3910</v>
      </c>
      <c r="B2352" s="7" t="n">
        <v>2227.74</v>
      </c>
      <c r="C2352" s="7" t="n">
        <f aca="false">AVERAGE(B2303:B2352)</f>
        <v>2128.533</v>
      </c>
      <c r="D2352" s="7" t="n">
        <f aca="false">AVERAGE(B2153:B2352)</f>
        <v>2302.09595</v>
      </c>
      <c r="E2352" s="7" t="n">
        <f aca="false">B2352/MAX(B2101:B2352)-1</f>
        <v>-0.14711658837447</v>
      </c>
      <c r="F2352" s="7" t="str">
        <f aca="false">IFERROR(INDEX(02_轉折點45個!B:B,MATCH(A2352,02_轉折點45個!A:A,0)),"")</f>
        <v/>
      </c>
      <c r="G2352" s="7" t="s">
        <v>1994</v>
      </c>
    </row>
    <row r="2353" customFormat="false" ht="15" hidden="false" customHeight="false" outlineLevel="0" collapsed="false">
      <c r="A2353" s="7" t="s">
        <v>3911</v>
      </c>
      <c r="B2353" s="7" t="n">
        <v>2239.39</v>
      </c>
      <c r="C2353" s="7" t="n">
        <f aca="false">AVERAGE(B2304:B2353)</f>
        <v>2130.3138</v>
      </c>
      <c r="D2353" s="7" t="n">
        <f aca="false">AVERAGE(B2154:B2353)</f>
        <v>2301.2344</v>
      </c>
      <c r="E2353" s="7" t="n">
        <f aca="false">B2353/MAX(B2102:B2353)-1</f>
        <v>-0.142656421682919</v>
      </c>
      <c r="F2353" s="7" t="str">
        <f aca="false">IFERROR(INDEX(02_轉折點45個!B:B,MATCH(A2353,02_轉折點45個!A:A,0)),"")</f>
        <v/>
      </c>
      <c r="G2353" s="7" t="s">
        <v>1994</v>
      </c>
    </row>
    <row r="2354" customFormat="false" ht="15" hidden="false" customHeight="false" outlineLevel="0" collapsed="false">
      <c r="A2354" s="7" t="s">
        <v>3912</v>
      </c>
      <c r="B2354" s="7" t="n">
        <v>2234.16</v>
      </c>
      <c r="C2354" s="7" t="n">
        <f aca="false">AVERAGE(B2305:B2354)</f>
        <v>2132.3958</v>
      </c>
      <c r="D2354" s="7" t="n">
        <f aca="false">AVERAGE(B2155:B2354)</f>
        <v>2300.3087</v>
      </c>
      <c r="E2354" s="7" t="n">
        <f aca="false">B2354/MAX(B2103:B2354)-1</f>
        <v>-0.144658711107538</v>
      </c>
      <c r="F2354" s="7" t="str">
        <f aca="false">IFERROR(INDEX(02_轉折點45個!B:B,MATCH(A2354,02_轉折點45個!A:A,0)),"")</f>
        <v/>
      </c>
      <c r="G2354" s="7" t="s">
        <v>1994</v>
      </c>
    </row>
    <row r="2355" customFormat="false" ht="15" hidden="false" customHeight="false" outlineLevel="0" collapsed="false">
      <c r="A2355" s="7" t="s">
        <v>794</v>
      </c>
      <c r="B2355" s="7" t="n">
        <v>2273.42</v>
      </c>
      <c r="C2355" s="7" t="n">
        <f aca="false">AVERAGE(B2306:B2355)</f>
        <v>2136.361</v>
      </c>
      <c r="D2355" s="7" t="n">
        <f aca="false">AVERAGE(B2156:B2355)</f>
        <v>2299.80235</v>
      </c>
      <c r="E2355" s="7" t="n">
        <f aca="false">B2355/MAX(B2104:B2355)-1</f>
        <v>-0.129628140780472</v>
      </c>
      <c r="F2355" s="7" t="str">
        <f aca="false">IFERROR(INDEX(02_轉折點45個!B:B,MATCH(A2355,02_轉折點45個!A:A,0)),"")</f>
        <v/>
      </c>
      <c r="G2355" s="7" t="s">
        <v>1994</v>
      </c>
    </row>
    <row r="2356" customFormat="false" ht="15" hidden="false" customHeight="false" outlineLevel="0" collapsed="false">
      <c r="A2356" s="7" t="s">
        <v>3913</v>
      </c>
      <c r="B2356" s="7" t="n">
        <v>2279.47</v>
      </c>
      <c r="C2356" s="7" t="n">
        <f aca="false">AVERAGE(B2307:B2356)</f>
        <v>2140.6824</v>
      </c>
      <c r="D2356" s="7" t="n">
        <f aca="false">AVERAGE(B2157:B2356)</f>
        <v>2299.49575</v>
      </c>
      <c r="E2356" s="7" t="n">
        <f aca="false">B2356/MAX(B2105:B2356)-1</f>
        <v>-0.127311916876276</v>
      </c>
      <c r="F2356" s="7" t="str">
        <f aca="false">IFERROR(INDEX(02_轉折點45個!B:B,MATCH(A2356,02_轉折點45個!A:A,0)),"")</f>
        <v/>
      </c>
      <c r="G2356" s="7" t="s">
        <v>1994</v>
      </c>
    </row>
    <row r="2357" customFormat="false" ht="15" hidden="false" customHeight="false" outlineLevel="0" collapsed="false">
      <c r="A2357" s="7" t="s">
        <v>3914</v>
      </c>
      <c r="B2357" s="7" t="n">
        <v>2280.92</v>
      </c>
      <c r="C2357" s="7" t="n">
        <f aca="false">AVERAGE(B2308:B2357)</f>
        <v>2145.0022</v>
      </c>
      <c r="D2357" s="7" t="n">
        <f aca="false">AVERAGE(B2158:B2357)</f>
        <v>2299.1003</v>
      </c>
      <c r="E2357" s="7" t="n">
        <f aca="false">B2357/MAX(B2106:B2357)-1</f>
        <v>-0.126756788833121</v>
      </c>
      <c r="F2357" s="7" t="str">
        <f aca="false">IFERROR(INDEX(02_轉折點45個!B:B,MATCH(A2357,02_轉折點45個!A:A,0)),"")</f>
        <v/>
      </c>
      <c r="G2357" s="7" t="s">
        <v>1994</v>
      </c>
    </row>
    <row r="2358" customFormat="false" ht="15" hidden="false" customHeight="false" outlineLevel="0" collapsed="false">
      <c r="A2358" s="7" t="s">
        <v>795</v>
      </c>
      <c r="B2358" s="7" t="n">
        <v>2314.75</v>
      </c>
      <c r="C2358" s="7" t="n">
        <f aca="false">AVERAGE(B2309:B2358)</f>
        <v>2149.7696</v>
      </c>
      <c r="D2358" s="7" t="n">
        <f aca="false">AVERAGE(B2159:B2358)</f>
        <v>2299.04305</v>
      </c>
      <c r="E2358" s="7" t="n">
        <f aca="false">B2358/MAX(B2107:B2358)-1</f>
        <v>-0.113805077315937</v>
      </c>
      <c r="F2358" s="7" t="str">
        <f aca="false">IFERROR(INDEX(02_轉折點45個!B:B,MATCH(A2358,02_轉折點45個!A:A,0)),"")</f>
        <v/>
      </c>
      <c r="G2358" s="7" t="s">
        <v>1994</v>
      </c>
    </row>
    <row r="2359" customFormat="false" ht="15" hidden="false" customHeight="false" outlineLevel="0" collapsed="false">
      <c r="A2359" s="7" t="s">
        <v>3915</v>
      </c>
      <c r="B2359" s="7" t="n">
        <v>2310.29</v>
      </c>
      <c r="C2359" s="7" t="n">
        <f aca="false">AVERAGE(B2310:B2359)</f>
        <v>2155.4036</v>
      </c>
      <c r="D2359" s="7" t="n">
        <f aca="false">AVERAGE(B2160:B2359)</f>
        <v>2298.92875</v>
      </c>
      <c r="E2359" s="7" t="n">
        <f aca="false">B2359/MAX(B2108:B2359)-1</f>
        <v>-0.115512574607295</v>
      </c>
      <c r="F2359" s="7" t="str">
        <f aca="false">IFERROR(INDEX(02_轉折點45個!B:B,MATCH(A2359,02_轉折點45個!A:A,0)),"")</f>
        <v/>
      </c>
      <c r="G2359" s="7" t="s">
        <v>1994</v>
      </c>
    </row>
    <row r="2360" customFormat="false" ht="15" hidden="false" customHeight="false" outlineLevel="0" collapsed="false">
      <c r="A2360" s="7" t="s">
        <v>796</v>
      </c>
      <c r="B2360" s="7" t="n">
        <v>2298.63</v>
      </c>
      <c r="C2360" s="7" t="n">
        <f aca="false">AVERAGE(B2311:B2360)</f>
        <v>2160.9508</v>
      </c>
      <c r="D2360" s="7" t="n">
        <f aca="false">AVERAGE(B2161:B2360)</f>
        <v>2298.6552</v>
      </c>
      <c r="E2360" s="7" t="n">
        <f aca="false">B2360/MAX(B2109:B2360)-1</f>
        <v>-0.11997656976811</v>
      </c>
      <c r="F2360" s="7" t="str">
        <f aca="false">IFERROR(INDEX(02_轉折點45個!B:B,MATCH(A2360,02_轉折點45個!A:A,0)),"")</f>
        <v/>
      </c>
      <c r="G2360" s="7" t="s">
        <v>1994</v>
      </c>
    </row>
    <row r="2361" customFormat="false" ht="15" hidden="false" customHeight="false" outlineLevel="0" collapsed="false">
      <c r="A2361" s="7" t="s">
        <v>3916</v>
      </c>
      <c r="B2361" s="7" t="n">
        <v>2276.86</v>
      </c>
      <c r="C2361" s="7" t="n">
        <f aca="false">AVERAGE(B2312:B2361)</f>
        <v>2166.851</v>
      </c>
      <c r="D2361" s="7" t="n">
        <f aca="false">AVERAGE(B2162:B2361)</f>
        <v>2298.56845</v>
      </c>
      <c r="E2361" s="7" t="n">
        <f aca="false">B2361/MAX(B2110:B2361)-1</f>
        <v>-0.128311147353954</v>
      </c>
      <c r="F2361" s="7" t="str">
        <f aca="false">IFERROR(INDEX(02_轉折點45個!B:B,MATCH(A2361,02_轉折點45個!A:A,0)),"")</f>
        <v/>
      </c>
      <c r="G2361" s="7" t="s">
        <v>1994</v>
      </c>
    </row>
    <row r="2362" customFormat="false" ht="15" hidden="false" customHeight="false" outlineLevel="0" collapsed="false">
      <c r="A2362" s="7" t="s">
        <v>3917</v>
      </c>
      <c r="B2362" s="7" t="n">
        <v>2236.67</v>
      </c>
      <c r="C2362" s="7" t="n">
        <f aca="false">AVERAGE(B2313:B2362)</f>
        <v>2170.3684</v>
      </c>
      <c r="D2362" s="7" t="n">
        <f aca="false">AVERAGE(B2163:B2362)</f>
        <v>2298.11595</v>
      </c>
      <c r="E2362" s="7" t="n">
        <f aca="false">B2362/MAX(B2111:B2362)-1</f>
        <v>-0.143697765322491</v>
      </c>
      <c r="F2362" s="7" t="str">
        <f aca="false">IFERROR(INDEX(02_轉折點45個!B:B,MATCH(A2362,02_轉折點45個!A:A,0)),"")</f>
        <v/>
      </c>
      <c r="G2362" s="7" t="s">
        <v>1994</v>
      </c>
    </row>
    <row r="2363" customFormat="false" ht="15" hidden="false" customHeight="false" outlineLevel="0" collapsed="false">
      <c r="A2363" s="7" t="s">
        <v>3918</v>
      </c>
      <c r="B2363" s="7" t="n">
        <v>2251.57</v>
      </c>
      <c r="C2363" s="7" t="n">
        <f aca="false">AVERAGE(B2314:B2363)</f>
        <v>2174.401</v>
      </c>
      <c r="D2363" s="7" t="n">
        <f aca="false">AVERAGE(B2164:B2363)</f>
        <v>2297.67275</v>
      </c>
      <c r="E2363" s="7" t="n">
        <f aca="false">B2363/MAX(B2112:B2363)-1</f>
        <v>-0.137993346120421</v>
      </c>
      <c r="F2363" s="7" t="str">
        <f aca="false">IFERROR(INDEX(02_轉折點45個!B:B,MATCH(A2363,02_轉折點45個!A:A,0)),"")</f>
        <v/>
      </c>
      <c r="G2363" s="7" t="s">
        <v>1994</v>
      </c>
    </row>
    <row r="2364" customFormat="false" ht="15" hidden="false" customHeight="false" outlineLevel="0" collapsed="false">
      <c r="A2364" s="7" t="s">
        <v>3919</v>
      </c>
      <c r="B2364" s="7" t="n">
        <v>2233.38</v>
      </c>
      <c r="C2364" s="7" t="n">
        <f aca="false">AVERAGE(B2315:B2364)</f>
        <v>2177.7092</v>
      </c>
      <c r="D2364" s="7" t="n">
        <f aca="false">AVERAGE(B2165:B2364)</f>
        <v>2296.9039</v>
      </c>
      <c r="E2364" s="7" t="n">
        <f aca="false">B2364/MAX(B2113:B2364)-1</f>
        <v>-0.144957331710062</v>
      </c>
      <c r="F2364" s="7" t="str">
        <f aca="false">IFERROR(INDEX(02_轉折點45個!B:B,MATCH(A2364,02_轉折點45個!A:A,0)),"")</f>
        <v/>
      </c>
      <c r="G2364" s="7" t="s">
        <v>1994</v>
      </c>
    </row>
    <row r="2365" customFormat="false" ht="15" hidden="false" customHeight="false" outlineLevel="0" collapsed="false">
      <c r="A2365" s="7" t="s">
        <v>3920</v>
      </c>
      <c r="B2365" s="7" t="n">
        <v>2266.79</v>
      </c>
      <c r="C2365" s="7" t="n">
        <f aca="false">AVERAGE(B2316:B2365)</f>
        <v>2182.6196</v>
      </c>
      <c r="D2365" s="7" t="n">
        <f aca="false">AVERAGE(B2166:B2365)</f>
        <v>2296.56015</v>
      </c>
      <c r="E2365" s="7" t="n">
        <f aca="false">B2365/MAX(B2114:B2365)-1</f>
        <v>-0.13216641590193</v>
      </c>
      <c r="F2365" s="7" t="str">
        <f aca="false">IFERROR(INDEX(02_轉折點45個!B:B,MATCH(A2365,02_轉折點45個!A:A,0)),"")</f>
        <v/>
      </c>
      <c r="G2365" s="7" t="s">
        <v>1994</v>
      </c>
    </row>
    <row r="2366" customFormat="false" ht="15" hidden="false" customHeight="false" outlineLevel="0" collapsed="false">
      <c r="A2366" s="7" t="s">
        <v>3921</v>
      </c>
      <c r="B2366" s="7" t="n">
        <v>2271.78</v>
      </c>
      <c r="C2366" s="7" t="n">
        <f aca="false">AVERAGE(B2317:B2366)</f>
        <v>2188.278</v>
      </c>
      <c r="D2366" s="7" t="n">
        <f aca="false">AVERAGE(B2167:B2366)</f>
        <v>2296.29435</v>
      </c>
      <c r="E2366" s="7" t="n">
        <f aca="false">B2366/MAX(B2115:B2366)-1</f>
        <v>-0.130256009739626</v>
      </c>
      <c r="F2366" s="7" t="str">
        <f aca="false">IFERROR(INDEX(02_轉折點45個!B:B,MATCH(A2366,02_轉折點45個!A:A,0)),"")</f>
        <v/>
      </c>
      <c r="G2366" s="7" t="s">
        <v>1994</v>
      </c>
    </row>
    <row r="2367" customFormat="false" ht="15" hidden="false" customHeight="false" outlineLevel="0" collapsed="false">
      <c r="A2367" s="7" t="s">
        <v>3922</v>
      </c>
      <c r="B2367" s="7" t="n">
        <v>2291.53</v>
      </c>
      <c r="C2367" s="7" t="n">
        <f aca="false">AVERAGE(B2318:B2367)</f>
        <v>2192.6642</v>
      </c>
      <c r="D2367" s="7" t="n">
        <f aca="false">AVERAGE(B2168:B2367)</f>
        <v>2296.1394</v>
      </c>
      <c r="E2367" s="7" t="n">
        <f aca="false">B2367/MAX(B2116:B2367)-1</f>
        <v>-0.122694782944935</v>
      </c>
      <c r="F2367" s="7" t="str">
        <f aca="false">IFERROR(INDEX(02_轉折點45個!B:B,MATCH(A2367,02_轉折點45個!A:A,0)),"")</f>
        <v/>
      </c>
      <c r="G2367" s="7" t="s">
        <v>1994</v>
      </c>
    </row>
    <row r="2368" customFormat="false" ht="15" hidden="false" customHeight="false" outlineLevel="0" collapsed="false">
      <c r="A2368" s="7" t="s">
        <v>797</v>
      </c>
      <c r="B2368" s="7" t="n">
        <v>2304.63</v>
      </c>
      <c r="C2368" s="7" t="n">
        <f aca="false">AVERAGE(B2319:B2368)</f>
        <v>2198.3776</v>
      </c>
      <c r="D2368" s="7" t="n">
        <f aca="false">AVERAGE(B2169:B2368)</f>
        <v>2296.2469</v>
      </c>
      <c r="E2368" s="7" t="n">
        <f aca="false">B2368/MAX(B2117:B2368)-1</f>
        <v>-0.117679488210229</v>
      </c>
      <c r="F2368" s="7" t="str">
        <f aca="false">IFERROR(INDEX(02_轉折點45個!B:B,MATCH(A2368,02_轉折點45個!A:A,0)),"")</f>
        <v/>
      </c>
      <c r="G2368" s="7" t="s">
        <v>1994</v>
      </c>
    </row>
    <row r="2369" customFormat="false" ht="15" hidden="false" customHeight="false" outlineLevel="0" collapsed="false">
      <c r="A2369" s="7" t="s">
        <v>799</v>
      </c>
      <c r="B2369" s="7" t="n">
        <v>2276.19</v>
      </c>
      <c r="C2369" s="7" t="n">
        <f aca="false">AVERAGE(B2320:B2369)</f>
        <v>2202.6424</v>
      </c>
      <c r="D2369" s="7" t="n">
        <f aca="false">AVERAGE(B2170:B2369)</f>
        <v>2296.39625</v>
      </c>
      <c r="E2369" s="7" t="n">
        <f aca="false">B2369/MAX(B2118:B2369)-1</f>
        <v>-0.128567654794584</v>
      </c>
      <c r="F2369" s="7" t="str">
        <f aca="false">IFERROR(INDEX(02_轉折點45個!B:B,MATCH(A2369,02_轉折點45個!A:A,0)),"")</f>
        <v/>
      </c>
      <c r="G2369" s="7" t="s">
        <v>1994</v>
      </c>
    </row>
    <row r="2370" customFormat="false" ht="15" hidden="false" customHeight="false" outlineLevel="0" collapsed="false">
      <c r="A2370" s="7" t="s">
        <v>3923</v>
      </c>
      <c r="B2370" s="7" t="n">
        <v>2266.1</v>
      </c>
      <c r="C2370" s="7" t="n">
        <f aca="false">AVERAGE(B2321:B2370)</f>
        <v>2205.4512</v>
      </c>
      <c r="D2370" s="7" t="n">
        <f aca="false">AVERAGE(B2171:B2370)</f>
        <v>2296.5306</v>
      </c>
      <c r="E2370" s="7" t="n">
        <f aca="false">B2370/MAX(B2119:B2370)-1</f>
        <v>-0.132430580281086</v>
      </c>
      <c r="F2370" s="7" t="str">
        <f aca="false">IFERROR(INDEX(02_轉折點45個!B:B,MATCH(A2370,02_轉折點45個!A:A,0)),"")</f>
        <v/>
      </c>
      <c r="G2370" s="7" t="s">
        <v>1994</v>
      </c>
    </row>
    <row r="2371" customFormat="false" ht="15" hidden="false" customHeight="false" outlineLevel="0" collapsed="false">
      <c r="A2371" s="7" t="s">
        <v>3924</v>
      </c>
      <c r="B2371" s="7" t="n">
        <v>2286.8</v>
      </c>
      <c r="C2371" s="7" t="n">
        <f aca="false">AVERAGE(B2322:B2371)</f>
        <v>2208.4128</v>
      </c>
      <c r="D2371" s="7" t="n">
        <f aca="false">AVERAGE(B2172:B2371)</f>
        <v>2296.52195</v>
      </c>
      <c r="E2371" s="7" t="n">
        <f aca="false">B2371/MAX(B2120:B2371)-1</f>
        <v>-0.124505648906398</v>
      </c>
      <c r="F2371" s="7" t="str">
        <f aca="false">IFERROR(INDEX(02_轉折點45個!B:B,MATCH(A2371,02_轉折點45個!A:A,0)),"")</f>
        <v/>
      </c>
      <c r="G2371" s="7" t="s">
        <v>1994</v>
      </c>
    </row>
    <row r="2372" customFormat="false" ht="15" hidden="false" customHeight="false" outlineLevel="0" collapsed="false">
      <c r="A2372" s="7" t="s">
        <v>134</v>
      </c>
      <c r="B2372" s="7" t="n">
        <v>2329.56</v>
      </c>
      <c r="C2372" s="7" t="n">
        <f aca="false">AVERAGE(B2323:B2372)</f>
        <v>2212.5346</v>
      </c>
      <c r="D2372" s="7" t="n">
        <f aca="false">AVERAGE(B2173:B2372)</f>
        <v>2296.71085</v>
      </c>
      <c r="E2372" s="7" t="n">
        <f aca="false">B2372/MAX(B2121:B2372)-1</f>
        <v>-0.108135114337235</v>
      </c>
      <c r="F2372" s="7" t="str">
        <f aca="false">IFERROR(INDEX(02_轉折點45個!B:B,MATCH(A2372,02_轉折點45個!A:A,0)),"")</f>
        <v>TOP</v>
      </c>
      <c r="G2372" s="7" t="s">
        <v>1994</v>
      </c>
    </row>
    <row r="2373" customFormat="false" ht="15" hidden="false" customHeight="false" outlineLevel="0" collapsed="false">
      <c r="A2373" s="7" t="s">
        <v>800</v>
      </c>
      <c r="B2373" s="7" t="n">
        <v>2260.69</v>
      </c>
      <c r="C2373" s="7" t="n">
        <f aca="false">AVERAGE(B2324:B2373)</f>
        <v>2216.0744</v>
      </c>
      <c r="D2373" s="7" t="n">
        <f aca="false">AVERAGE(B2174:B2373)</f>
        <v>2296.49735</v>
      </c>
      <c r="E2373" s="7" t="n">
        <f aca="false">B2373/MAX(B2122:B2373)-1</f>
        <v>-0.134501782152442</v>
      </c>
      <c r="F2373" s="7" t="str">
        <f aca="false">IFERROR(INDEX(02_轉折點45個!B:B,MATCH(A2373,02_轉折點45個!A:A,0)),"")</f>
        <v/>
      </c>
      <c r="G2373" s="7" t="s">
        <v>1994</v>
      </c>
    </row>
    <row r="2374" customFormat="false" ht="15" hidden="false" customHeight="false" outlineLevel="0" collapsed="false">
      <c r="A2374" s="7" t="s">
        <v>3925</v>
      </c>
      <c r="B2374" s="7" t="n">
        <v>2246.9</v>
      </c>
      <c r="C2374" s="7" t="n">
        <f aca="false">AVERAGE(B2325:B2374)</f>
        <v>2219.6974</v>
      </c>
      <c r="D2374" s="7" t="n">
        <f aca="false">AVERAGE(B2175:B2374)</f>
        <v>2296.071</v>
      </c>
      <c r="E2374" s="7" t="n">
        <f aca="false">B2374/MAX(B2123:B2374)-1</f>
        <v>-0.139781241266305</v>
      </c>
      <c r="F2374" s="7" t="str">
        <f aca="false">IFERROR(INDEX(02_轉折點45個!B:B,MATCH(A2374,02_轉折點45個!A:A,0)),"")</f>
        <v/>
      </c>
      <c r="G2374" s="7" t="s">
        <v>1994</v>
      </c>
    </row>
    <row r="2375" customFormat="false" ht="15" hidden="false" customHeight="false" outlineLevel="0" collapsed="false">
      <c r="A2375" s="7" t="s">
        <v>3926</v>
      </c>
      <c r="B2375" s="7" t="n">
        <v>2237.28</v>
      </c>
      <c r="C2375" s="7" t="n">
        <f aca="false">AVERAGE(B2326:B2375)</f>
        <v>2222.8006</v>
      </c>
      <c r="D2375" s="7" t="n">
        <f aca="false">AVERAGE(B2176:B2375)</f>
        <v>2295.64725</v>
      </c>
      <c r="E2375" s="7" t="n">
        <f aca="false">B2375/MAX(B2124:B2375)-1</f>
        <v>-0.14346422869744</v>
      </c>
      <c r="F2375" s="7" t="str">
        <f aca="false">IFERROR(INDEX(02_轉折點45個!B:B,MATCH(A2375,02_轉折點45個!A:A,0)),"")</f>
        <v/>
      </c>
      <c r="G2375" s="7" t="s">
        <v>1994</v>
      </c>
    </row>
    <row r="2376" customFormat="false" ht="15" hidden="false" customHeight="false" outlineLevel="0" collapsed="false">
      <c r="A2376" s="7" t="s">
        <v>3927</v>
      </c>
      <c r="B2376" s="7" t="n">
        <v>2187.1</v>
      </c>
      <c r="C2376" s="7" t="n">
        <f aca="false">AVERAGE(B2327:B2376)</f>
        <v>2223.3718</v>
      </c>
      <c r="D2376" s="7" t="n">
        <f aca="false">AVERAGE(B2177:B2376)</f>
        <v>2294.8128</v>
      </c>
      <c r="E2376" s="7" t="n">
        <f aca="false">B2376/MAX(B2125:B2376)-1</f>
        <v>-0.162675487459849</v>
      </c>
      <c r="F2376" s="7" t="str">
        <f aca="false">IFERROR(INDEX(02_轉折點45個!B:B,MATCH(A2376,02_轉折點45個!A:A,0)),"")</f>
        <v/>
      </c>
      <c r="G2376" s="7" t="s">
        <v>1994</v>
      </c>
    </row>
    <row r="2377" customFormat="false" ht="15" hidden="false" customHeight="false" outlineLevel="0" collapsed="false">
      <c r="A2377" s="7" t="s">
        <v>3928</v>
      </c>
      <c r="B2377" s="7" t="n">
        <v>2196.55</v>
      </c>
      <c r="C2377" s="7" t="n">
        <f aca="false">AVERAGE(B2328:B2377)</f>
        <v>2224.1566</v>
      </c>
      <c r="D2377" s="7" t="n">
        <f aca="false">AVERAGE(B2178:B2377)</f>
        <v>2294.0961</v>
      </c>
      <c r="E2377" s="7" t="n">
        <f aca="false">B2377/MAX(B2126:B2377)-1</f>
        <v>-0.159057584006187</v>
      </c>
      <c r="F2377" s="7" t="str">
        <f aca="false">IFERROR(INDEX(02_轉折點45個!B:B,MATCH(A2377,02_轉折點45個!A:A,0)),"")</f>
        <v/>
      </c>
      <c r="G2377" s="7" t="s">
        <v>1994</v>
      </c>
    </row>
    <row r="2378" customFormat="false" ht="15" hidden="false" customHeight="false" outlineLevel="0" collapsed="false">
      <c r="A2378" s="7" t="s">
        <v>3929</v>
      </c>
      <c r="B2378" s="7" t="n">
        <v>2242.36</v>
      </c>
      <c r="C2378" s="7" t="n">
        <f aca="false">AVERAGE(B2329:B2378)</f>
        <v>2225.8228</v>
      </c>
      <c r="D2378" s="7" t="n">
        <f aca="false">AVERAGE(B2179:B2378)</f>
        <v>2293.8853</v>
      </c>
      <c r="E2378" s="7" t="n">
        <f aca="false">B2378/MAX(B2127:B2378)-1</f>
        <v>-0.141519366311768</v>
      </c>
      <c r="F2378" s="7" t="str">
        <f aca="false">IFERROR(INDEX(02_轉折點45個!B:B,MATCH(A2378,02_轉折點45個!A:A,0)),"")</f>
        <v/>
      </c>
      <c r="G2378" s="7" t="s">
        <v>1994</v>
      </c>
    </row>
    <row r="2379" customFormat="false" ht="15" hidden="false" customHeight="false" outlineLevel="0" collapsed="false">
      <c r="A2379" s="7" t="s">
        <v>3930</v>
      </c>
      <c r="B2379" s="7" t="n">
        <v>2260.89</v>
      </c>
      <c r="C2379" s="7" t="n">
        <f aca="false">AVERAGE(B2330:B2379)</f>
        <v>2227.7194</v>
      </c>
      <c r="D2379" s="7" t="n">
        <f aca="false">AVERAGE(B2180:B2379)</f>
        <v>2293.4816</v>
      </c>
      <c r="E2379" s="7" t="n">
        <f aca="false">B2379/MAX(B2128:B2379)-1</f>
        <v>-0.134425212767179</v>
      </c>
      <c r="F2379" s="7" t="str">
        <f aca="false">IFERROR(INDEX(02_轉折點45個!B:B,MATCH(A2379,02_轉折點45個!A:A,0)),"")</f>
        <v/>
      </c>
      <c r="G2379" s="7" t="s">
        <v>1994</v>
      </c>
    </row>
    <row r="2380" customFormat="false" ht="15" hidden="false" customHeight="false" outlineLevel="0" collapsed="false">
      <c r="A2380" s="7" t="s">
        <v>3931</v>
      </c>
      <c r="B2380" s="7" t="n">
        <v>2245.31</v>
      </c>
      <c r="C2380" s="7" t="n">
        <f aca="false">AVERAGE(B2331:B2380)</f>
        <v>2229.4168</v>
      </c>
      <c r="D2380" s="7" t="n">
        <f aca="false">AVERAGE(B2181:B2380)</f>
        <v>2292.9902</v>
      </c>
      <c r="E2380" s="7" t="n">
        <f aca="false">B2380/MAX(B2129:B2380)-1</f>
        <v>-0.140389967879143</v>
      </c>
      <c r="F2380" s="7" t="str">
        <f aca="false">IFERROR(INDEX(02_轉折點45個!B:B,MATCH(A2380,02_轉折點45個!A:A,0)),"")</f>
        <v/>
      </c>
      <c r="G2380" s="7" t="s">
        <v>1994</v>
      </c>
    </row>
    <row r="2381" customFormat="false" ht="15" hidden="false" customHeight="false" outlineLevel="0" collapsed="false">
      <c r="A2381" s="7" t="s">
        <v>3932</v>
      </c>
      <c r="B2381" s="7" t="n">
        <v>2219.72</v>
      </c>
      <c r="C2381" s="7" t="n">
        <f aca="false">AVERAGE(B2332:B2381)</f>
        <v>2230.896</v>
      </c>
      <c r="D2381" s="7" t="n">
        <f aca="false">AVERAGE(B2182:B2381)</f>
        <v>2292.229</v>
      </c>
      <c r="E2381" s="7" t="n">
        <f aca="false">B2381/MAX(B2130:B2381)-1</f>
        <v>-0.150187020723504</v>
      </c>
      <c r="F2381" s="7" t="str">
        <f aca="false">IFERROR(INDEX(02_轉折點45個!B:B,MATCH(A2381,02_轉折點45個!A:A,0)),"")</f>
        <v/>
      </c>
      <c r="G2381" s="7" t="s">
        <v>1994</v>
      </c>
    </row>
    <row r="2382" customFormat="false" ht="15" hidden="false" customHeight="false" outlineLevel="0" collapsed="false">
      <c r="A2382" s="7" t="s">
        <v>3933</v>
      </c>
      <c r="B2382" s="7" t="n">
        <v>2249.27</v>
      </c>
      <c r="C2382" s="7" t="n">
        <f aca="false">AVERAGE(B2333:B2382)</f>
        <v>2233.4528</v>
      </c>
      <c r="D2382" s="7" t="n">
        <f aca="false">AVERAGE(B2183:B2382)</f>
        <v>2291.46075</v>
      </c>
      <c r="E2382" s="7" t="n">
        <f aca="false">B2382/MAX(B2131:B2382)-1</f>
        <v>-0.138873894050942</v>
      </c>
      <c r="F2382" s="7" t="str">
        <f aca="false">IFERROR(INDEX(02_轉折點45個!B:B,MATCH(A2382,02_轉折點45個!A:A,0)),"")</f>
        <v/>
      </c>
      <c r="G2382" s="7" t="s">
        <v>1994</v>
      </c>
    </row>
    <row r="2383" customFormat="false" ht="15" hidden="false" customHeight="false" outlineLevel="0" collapsed="false">
      <c r="A2383" s="7" t="s">
        <v>3934</v>
      </c>
      <c r="B2383" s="7" t="n">
        <v>2198.14</v>
      </c>
      <c r="C2383" s="7" t="n">
        <f aca="false">AVERAGE(B2334:B2383)</f>
        <v>2234.4466</v>
      </c>
      <c r="D2383" s="7" t="n">
        <f aca="false">AVERAGE(B2184:B2383)</f>
        <v>2290.54785</v>
      </c>
      <c r="E2383" s="7" t="n">
        <f aca="false">B2383/MAX(B2132:B2383)-1</f>
        <v>-0.158448857393349</v>
      </c>
      <c r="F2383" s="7" t="str">
        <f aca="false">IFERROR(INDEX(02_轉折點45個!B:B,MATCH(A2383,02_轉折點45個!A:A,0)),"")</f>
        <v/>
      </c>
      <c r="G2383" s="7" t="s">
        <v>1994</v>
      </c>
    </row>
    <row r="2384" customFormat="false" ht="15" hidden="false" customHeight="false" outlineLevel="0" collapsed="false">
      <c r="A2384" s="7" t="s">
        <v>3935</v>
      </c>
      <c r="B2384" s="7" t="n">
        <v>2179.55</v>
      </c>
      <c r="C2384" s="7" t="n">
        <f aca="false">AVERAGE(B2335:B2384)</f>
        <v>2236.1916</v>
      </c>
      <c r="D2384" s="7" t="n">
        <f aca="false">AVERAGE(B2185:B2384)</f>
        <v>2289.50375</v>
      </c>
      <c r="E2384" s="7" t="n">
        <f aca="false">B2384/MAX(B2133:B2384)-1</f>
        <v>-0.165565981753515</v>
      </c>
      <c r="F2384" s="7" t="str">
        <f aca="false">IFERROR(INDEX(02_轉折點45個!B:B,MATCH(A2384,02_轉折點45個!A:A,0)),"")</f>
        <v/>
      </c>
      <c r="G2384" s="7" t="s">
        <v>1994</v>
      </c>
    </row>
    <row r="2385" customFormat="false" ht="15" hidden="false" customHeight="false" outlineLevel="0" collapsed="false">
      <c r="A2385" s="7" t="s">
        <v>3936</v>
      </c>
      <c r="B2385" s="7" t="n">
        <v>2163.6</v>
      </c>
      <c r="C2385" s="7" t="n">
        <f aca="false">AVERAGE(B2336:B2385)</f>
        <v>2237.881</v>
      </c>
      <c r="D2385" s="7" t="n">
        <f aca="false">AVERAGE(B2186:B2385)</f>
        <v>2288.602</v>
      </c>
      <c r="E2385" s="7" t="n">
        <f aca="false">B2385/MAX(B2134:B2385)-1</f>
        <v>-0.171672390228215</v>
      </c>
      <c r="F2385" s="7" t="str">
        <f aca="false">IFERROR(INDEX(02_轉折點45個!B:B,MATCH(A2385,02_轉折點45個!A:A,0)),"")</f>
        <v/>
      </c>
      <c r="G2385" s="7" t="s">
        <v>1994</v>
      </c>
    </row>
    <row r="2386" customFormat="false" ht="15" hidden="false" customHeight="false" outlineLevel="0" collapsed="false">
      <c r="A2386" s="7" t="s">
        <v>3937</v>
      </c>
      <c r="B2386" s="7" t="n">
        <v>2193.73</v>
      </c>
      <c r="C2386" s="7" t="n">
        <f aca="false">AVERAGE(B2337:B2386)</f>
        <v>2239.9864</v>
      </c>
      <c r="D2386" s="7" t="n">
        <f aca="false">AVERAGE(B2187:B2386)</f>
        <v>2287.881</v>
      </c>
      <c r="E2386" s="7" t="n">
        <f aca="false">B2386/MAX(B2135:B2386)-1</f>
        <v>-0.160137212338391</v>
      </c>
      <c r="F2386" s="7" t="str">
        <f aca="false">IFERROR(INDEX(02_轉折點45個!B:B,MATCH(A2386,02_轉折點45個!A:A,0)),"")</f>
        <v/>
      </c>
      <c r="G2386" s="7" t="s">
        <v>1994</v>
      </c>
    </row>
    <row r="2387" customFormat="false" ht="15" hidden="false" customHeight="false" outlineLevel="0" collapsed="false">
      <c r="A2387" s="7" t="s">
        <v>3938</v>
      </c>
      <c r="B2387" s="7" t="n">
        <v>2120.74</v>
      </c>
      <c r="C2387" s="7" t="n">
        <f aca="false">AVERAGE(B2338:B2387)</f>
        <v>2239.4612</v>
      </c>
      <c r="D2387" s="7" t="n">
        <f aca="false">AVERAGE(B2188:B2387)</f>
        <v>2286.6198</v>
      </c>
      <c r="E2387" s="7" t="n">
        <f aca="false">B2387/MAX(B2136:B2387)-1</f>
        <v>-0.18808120949001</v>
      </c>
      <c r="F2387" s="7" t="str">
        <f aca="false">IFERROR(INDEX(02_轉折點45個!B:B,MATCH(A2387,02_轉折點45個!A:A,0)),"")</f>
        <v/>
      </c>
      <c r="G2387" s="7" t="s">
        <v>1994</v>
      </c>
    </row>
    <row r="2388" customFormat="false" ht="15" hidden="false" customHeight="false" outlineLevel="0" collapsed="false">
      <c r="A2388" s="7" t="s">
        <v>3939</v>
      </c>
      <c r="B2388" s="7" t="n">
        <v>2115.5</v>
      </c>
      <c r="C2388" s="7" t="n">
        <f aca="false">AVERAGE(B2339:B2388)</f>
        <v>2238.9826</v>
      </c>
      <c r="D2388" s="7" t="n">
        <f aca="false">AVERAGE(B2189:B2388)</f>
        <v>2285.3571</v>
      </c>
      <c r="E2388" s="7" t="n">
        <f aca="false">B2388/MAX(B2137:B2388)-1</f>
        <v>-0.190087327383892</v>
      </c>
      <c r="F2388" s="7" t="str">
        <f aca="false">IFERROR(INDEX(02_轉折點45個!B:B,MATCH(A2388,02_轉折點45個!A:A,0)),"")</f>
        <v/>
      </c>
      <c r="G2388" s="7" t="s">
        <v>1994</v>
      </c>
    </row>
    <row r="2389" customFormat="false" ht="15" hidden="false" customHeight="false" outlineLevel="0" collapsed="false">
      <c r="A2389" s="7" t="s">
        <v>3940</v>
      </c>
      <c r="B2389" s="7" t="n">
        <v>2094.8</v>
      </c>
      <c r="C2389" s="7" t="n">
        <f aca="false">AVERAGE(B2340:B2389)</f>
        <v>2236.9728</v>
      </c>
      <c r="D2389" s="7" t="n">
        <f aca="false">AVERAGE(B2190:B2389)</f>
        <v>2283.9498</v>
      </c>
      <c r="E2389" s="7" t="n">
        <f aca="false">B2389/MAX(B2138:B2389)-1</f>
        <v>-0.198012258758581</v>
      </c>
      <c r="F2389" s="7" t="str">
        <f aca="false">IFERROR(INDEX(02_轉折點45個!B:B,MATCH(A2389,02_轉折點45個!A:A,0)),"")</f>
        <v/>
      </c>
      <c r="G2389" s="7" t="s">
        <v>1994</v>
      </c>
    </row>
    <row r="2390" customFormat="false" ht="15" hidden="false" customHeight="false" outlineLevel="0" collapsed="false">
      <c r="A2390" s="7" t="s">
        <v>3941</v>
      </c>
      <c r="B2390" s="7" t="n">
        <v>2105.76</v>
      </c>
      <c r="C2390" s="7" t="n">
        <f aca="false">AVERAGE(B2341:B2390)</f>
        <v>2235.0896</v>
      </c>
      <c r="D2390" s="7" t="n">
        <f aca="false">AVERAGE(B2191:B2390)</f>
        <v>2282.5922</v>
      </c>
      <c r="E2390" s="7" t="n">
        <f aca="false">B2390/MAX(B2139:B2390)-1</f>
        <v>-0.193816256446185</v>
      </c>
      <c r="F2390" s="7" t="str">
        <f aca="false">IFERROR(INDEX(02_轉折點45個!B:B,MATCH(A2390,02_轉折點45個!A:A,0)),"")</f>
        <v/>
      </c>
      <c r="G2390" s="7" t="s">
        <v>1994</v>
      </c>
    </row>
    <row r="2391" customFormat="false" ht="15" hidden="false" customHeight="false" outlineLevel="0" collapsed="false">
      <c r="A2391" s="7" t="s">
        <v>3942</v>
      </c>
      <c r="B2391" s="7" t="n">
        <v>2056.87</v>
      </c>
      <c r="C2391" s="7" t="n">
        <f aca="false">AVERAGE(B2342:B2391)</f>
        <v>2232.7968</v>
      </c>
      <c r="D2391" s="7" t="n">
        <f aca="false">AVERAGE(B2192:B2391)</f>
        <v>2281.0839</v>
      </c>
      <c r="E2391" s="7" t="n">
        <f aca="false">B2391/MAX(B2140:B2391)-1</f>
        <v>-0.21253364267365</v>
      </c>
      <c r="F2391" s="7" t="str">
        <f aca="false">IFERROR(INDEX(02_轉折點45個!B:B,MATCH(A2391,02_轉折點45個!A:A,0)),"")</f>
        <v/>
      </c>
      <c r="G2391" s="7" t="s">
        <v>1994</v>
      </c>
    </row>
    <row r="2392" customFormat="false" ht="15" hidden="false" customHeight="false" outlineLevel="0" collapsed="false">
      <c r="A2392" s="7" t="s">
        <v>3943</v>
      </c>
      <c r="B2392" s="7" t="n">
        <v>2051.32</v>
      </c>
      <c r="C2392" s="7" t="n">
        <f aca="false">AVERAGE(B2343:B2392)</f>
        <v>2229.8766</v>
      </c>
      <c r="D2392" s="7" t="n">
        <f aca="false">AVERAGE(B2193:B2392)</f>
        <v>2279.2281</v>
      </c>
      <c r="E2392" s="7" t="n">
        <f aca="false">B2392/MAX(B2141:B2392)-1</f>
        <v>-0.214658443114689</v>
      </c>
      <c r="F2392" s="7" t="str">
        <f aca="false">IFERROR(INDEX(02_轉折點45個!B:B,MATCH(A2392,02_轉折點45個!A:A,0)),"")</f>
        <v/>
      </c>
      <c r="G2392" s="7" t="s">
        <v>1994</v>
      </c>
    </row>
    <row r="2393" customFormat="false" ht="15" hidden="false" customHeight="false" outlineLevel="0" collapsed="false">
      <c r="A2393" s="7" t="s">
        <v>3944</v>
      </c>
      <c r="B2393" s="7" t="n">
        <v>2049.44</v>
      </c>
      <c r="C2393" s="7" t="n">
        <f aca="false">AVERAGE(B2344:B2393)</f>
        <v>2226.4856</v>
      </c>
      <c r="D2393" s="7" t="n">
        <f aca="false">AVERAGE(B2194:B2393)</f>
        <v>2277.2952</v>
      </c>
      <c r="E2393" s="7" t="n">
        <f aca="false">B2393/MAX(B2142:B2393)-1</f>
        <v>-0.215378195336159</v>
      </c>
      <c r="F2393" s="7" t="str">
        <f aca="false">IFERROR(INDEX(02_轉折點45個!B:B,MATCH(A2393,02_轉折點45個!A:A,0)),"")</f>
        <v/>
      </c>
      <c r="G2393" s="7" t="s">
        <v>1994</v>
      </c>
    </row>
    <row r="2394" customFormat="false" ht="15" hidden="false" customHeight="false" outlineLevel="0" collapsed="false">
      <c r="A2394" s="7" t="s">
        <v>3945</v>
      </c>
      <c r="B2394" s="7" t="n">
        <v>2096.14</v>
      </c>
      <c r="C2394" s="7" t="n">
        <f aca="false">AVERAGE(B2345:B2394)</f>
        <v>2224.138</v>
      </c>
      <c r="D2394" s="7" t="n">
        <f aca="false">AVERAGE(B2195:B2394)</f>
        <v>2275.65145</v>
      </c>
      <c r="E2394" s="7" t="n">
        <f aca="false">B2394/MAX(B2143:B2394)-1</f>
        <v>-0.197499243877321</v>
      </c>
      <c r="F2394" s="7" t="str">
        <f aca="false">IFERROR(INDEX(02_轉折點45個!B:B,MATCH(A2394,02_轉折點45個!A:A,0)),"")</f>
        <v/>
      </c>
      <c r="G2394" s="7" t="s">
        <v>1994</v>
      </c>
    </row>
    <row r="2395" customFormat="false" ht="15" hidden="false" customHeight="false" outlineLevel="0" collapsed="false">
      <c r="A2395" s="7" t="s">
        <v>3946</v>
      </c>
      <c r="B2395" s="7" t="n">
        <v>2041.73</v>
      </c>
      <c r="C2395" s="7" t="n">
        <f aca="false">AVERAGE(B2346:B2395)</f>
        <v>2220.6752</v>
      </c>
      <c r="D2395" s="7" t="n">
        <f aca="false">AVERAGE(B2196:B2395)</f>
        <v>2273.65835</v>
      </c>
      <c r="E2395" s="7" t="n">
        <f aca="false">B2395/MAX(B2144:B2395)-1</f>
        <v>-0.218329945138036</v>
      </c>
      <c r="F2395" s="7" t="str">
        <f aca="false">IFERROR(INDEX(02_轉折點45個!B:B,MATCH(A2395,02_轉折點45個!A:A,0)),"")</f>
        <v/>
      </c>
      <c r="G2395" s="7" t="s">
        <v>1994</v>
      </c>
    </row>
    <row r="2396" customFormat="false" ht="15" hidden="false" customHeight="false" outlineLevel="0" collapsed="false">
      <c r="A2396" s="7" t="s">
        <v>3947</v>
      </c>
      <c r="B2396" s="7" t="n">
        <v>2062.71</v>
      </c>
      <c r="C2396" s="7" t="n">
        <f aca="false">AVERAGE(B2347:B2396)</f>
        <v>2217.601</v>
      </c>
      <c r="D2396" s="7" t="n">
        <f aca="false">AVERAGE(B2197:B2396)</f>
        <v>2271.78505</v>
      </c>
      <c r="E2396" s="7" t="n">
        <f aca="false">B2396/MAX(B2145:B2396)-1</f>
        <v>-0.210297816623979</v>
      </c>
      <c r="F2396" s="7" t="str">
        <f aca="false">IFERROR(INDEX(02_轉折點45個!B:B,MATCH(A2396,02_轉折點45個!A:A,0)),"")</f>
        <v/>
      </c>
      <c r="G2396" s="7" t="s">
        <v>1994</v>
      </c>
    </row>
    <row r="2397" customFormat="false" ht="15" hidden="false" customHeight="false" outlineLevel="0" collapsed="false">
      <c r="A2397" s="7" t="s">
        <v>3948</v>
      </c>
      <c r="B2397" s="7" t="n">
        <v>2045.56</v>
      </c>
      <c r="C2397" s="7" t="n">
        <f aca="false">AVERAGE(B2348:B2397)</f>
        <v>2214.4268</v>
      </c>
      <c r="D2397" s="7" t="n">
        <f aca="false">AVERAGE(B2198:B2397)</f>
        <v>2269.7552</v>
      </c>
      <c r="E2397" s="7" t="n">
        <f aca="false">B2397/MAX(B2146:B2397)-1</f>
        <v>-0.216863641410255</v>
      </c>
      <c r="F2397" s="7" t="str">
        <f aca="false">IFERROR(INDEX(02_轉折點45個!B:B,MATCH(A2397,02_轉折點45個!A:A,0)),"")</f>
        <v/>
      </c>
      <c r="G2397" s="7" t="s">
        <v>1994</v>
      </c>
    </row>
    <row r="2398" customFormat="false" ht="15" hidden="false" customHeight="false" outlineLevel="0" collapsed="false">
      <c r="A2398" s="7" t="s">
        <v>3949</v>
      </c>
      <c r="B2398" s="7" t="n">
        <v>2021.62</v>
      </c>
      <c r="C2398" s="7" t="n">
        <f aca="false">AVERAGE(B2349:B2398)</f>
        <v>2209.533</v>
      </c>
      <c r="D2398" s="7" t="n">
        <f aca="false">AVERAGE(B2199:B2398)</f>
        <v>2267.5345</v>
      </c>
      <c r="E2398" s="7" t="n">
        <f aca="false">B2398/MAX(B2147:B2398)-1</f>
        <v>-0.226028996826199</v>
      </c>
      <c r="F2398" s="7" t="str">
        <f aca="false">IFERROR(INDEX(02_轉折點45個!B:B,MATCH(A2398,02_轉折點45個!A:A,0)),"")</f>
        <v/>
      </c>
      <c r="G2398" s="7" t="s">
        <v>1994</v>
      </c>
    </row>
    <row r="2399" customFormat="false" ht="15" hidden="false" customHeight="false" outlineLevel="0" collapsed="false">
      <c r="A2399" s="7" t="s">
        <v>3950</v>
      </c>
      <c r="B2399" s="7" t="n">
        <v>2024.21</v>
      </c>
      <c r="C2399" s="7" t="n">
        <f aca="false">AVERAGE(B2350:B2399)</f>
        <v>2204.759</v>
      </c>
      <c r="D2399" s="7" t="n">
        <f aca="false">AVERAGE(B2200:B2399)</f>
        <v>2265.2785</v>
      </c>
      <c r="E2399" s="7" t="n">
        <f aca="false">B2399/MAX(B2148:B2399)-1</f>
        <v>-0.225037423287047</v>
      </c>
      <c r="F2399" s="7" t="str">
        <f aca="false">IFERROR(INDEX(02_轉折點45個!B:B,MATCH(A2399,02_轉折點45個!A:A,0)),"")</f>
        <v/>
      </c>
      <c r="G2399" s="7" t="s">
        <v>1994</v>
      </c>
    </row>
    <row r="2400" customFormat="false" ht="15" hidden="false" customHeight="false" outlineLevel="0" collapsed="false">
      <c r="A2400" s="7" t="s">
        <v>3951</v>
      </c>
      <c r="B2400" s="7" t="n">
        <v>2087.38</v>
      </c>
      <c r="C2400" s="7" t="n">
        <f aca="false">AVERAGE(B2351:B2400)</f>
        <v>2201.4836</v>
      </c>
      <c r="D2400" s="7" t="n">
        <f aca="false">AVERAGE(B2201:B2400)</f>
        <v>2263.3753</v>
      </c>
      <c r="E2400" s="7" t="n">
        <f aca="false">B2400/MAX(B2149:B2400)-1</f>
        <v>-0.200852982951826</v>
      </c>
      <c r="F2400" s="7" t="str">
        <f aca="false">IFERROR(INDEX(02_轉折點45個!B:B,MATCH(A2400,02_轉折點45個!A:A,0)),"")</f>
        <v/>
      </c>
      <c r="G2400" s="7" t="s">
        <v>1994</v>
      </c>
    </row>
    <row r="2401" customFormat="false" ht="15" hidden="false" customHeight="false" outlineLevel="0" collapsed="false">
      <c r="A2401" s="7" t="s">
        <v>3952</v>
      </c>
      <c r="B2401" s="7" t="n">
        <v>2112.45</v>
      </c>
      <c r="C2401" s="7" t="n">
        <f aca="false">AVERAGE(B2352:B2401)</f>
        <v>2198.359</v>
      </c>
      <c r="D2401" s="7" t="n">
        <f aca="false">AVERAGE(B2202:B2401)</f>
        <v>2261.4171</v>
      </c>
      <c r="E2401" s="7" t="n">
        <f aca="false">B2401/MAX(B2150:B2401)-1</f>
        <v>-0.191255010509148</v>
      </c>
      <c r="F2401" s="7" t="str">
        <f aca="false">IFERROR(INDEX(02_轉折點45個!B:B,MATCH(A2401,02_轉折點45個!A:A,0)),"")</f>
        <v/>
      </c>
      <c r="G2401" s="7" t="s">
        <v>1994</v>
      </c>
    </row>
    <row r="2402" customFormat="false" ht="15" hidden="false" customHeight="false" outlineLevel="0" collapsed="false">
      <c r="A2402" s="7" t="s">
        <v>801</v>
      </c>
      <c r="B2402" s="7" t="n">
        <v>2085.49</v>
      </c>
      <c r="C2402" s="7" t="n">
        <f aca="false">AVERAGE(B2353:B2402)</f>
        <v>2195.514</v>
      </c>
      <c r="D2402" s="7" t="n">
        <f aca="false">AVERAGE(B2203:B2402)</f>
        <v>2259.29615</v>
      </c>
      <c r="E2402" s="7" t="n">
        <f aca="false">B2402/MAX(B2151:B2402)-1</f>
        <v>-0.201576563642559</v>
      </c>
      <c r="F2402" s="7" t="str">
        <f aca="false">IFERROR(INDEX(02_轉折點45個!B:B,MATCH(A2402,02_轉折點45個!A:A,0)),"")</f>
        <v/>
      </c>
      <c r="G2402" s="7" t="s">
        <v>1994</v>
      </c>
    </row>
    <row r="2403" customFormat="false" ht="15" hidden="false" customHeight="false" outlineLevel="0" collapsed="false">
      <c r="A2403" s="7" t="s">
        <v>3953</v>
      </c>
      <c r="B2403" s="7" t="n">
        <v>2082.52</v>
      </c>
      <c r="C2403" s="7" t="n">
        <f aca="false">AVERAGE(B2354:B2403)</f>
        <v>2192.3766</v>
      </c>
      <c r="D2403" s="7" t="n">
        <f aca="false">AVERAGE(B2204:B2403)</f>
        <v>2257.2411</v>
      </c>
      <c r="E2403" s="7" t="n">
        <f aca="false">B2403/MAX(B2152:B2403)-1</f>
        <v>-0.20271361901371</v>
      </c>
      <c r="F2403" s="7" t="str">
        <f aca="false">IFERROR(INDEX(02_轉折點45個!B:B,MATCH(A2403,02_轉折點45個!A:A,0)),"")</f>
        <v/>
      </c>
      <c r="G2403" s="7" t="s">
        <v>1994</v>
      </c>
    </row>
    <row r="2404" customFormat="false" ht="15" hidden="false" customHeight="false" outlineLevel="0" collapsed="false">
      <c r="A2404" s="7" t="s">
        <v>3954</v>
      </c>
      <c r="B2404" s="7" t="n">
        <v>2104.83</v>
      </c>
      <c r="C2404" s="7" t="n">
        <f aca="false">AVERAGE(B2355:B2404)</f>
        <v>2189.79</v>
      </c>
      <c r="D2404" s="7" t="n">
        <f aca="false">AVERAGE(B2205:B2404)</f>
        <v>2255.2787</v>
      </c>
      <c r="E2404" s="7" t="n">
        <f aca="false">B2404/MAX(B2153:B2404)-1</f>
        <v>-0.194172304087657</v>
      </c>
      <c r="F2404" s="7" t="str">
        <f aca="false">IFERROR(INDEX(02_轉折點45個!B:B,MATCH(A2404,02_轉折點45個!A:A,0)),"")</f>
        <v/>
      </c>
      <c r="G2404" s="7" t="s">
        <v>1994</v>
      </c>
    </row>
    <row r="2405" customFormat="false" ht="15" hidden="false" customHeight="false" outlineLevel="0" collapsed="false">
      <c r="A2405" s="7" t="s">
        <v>3955</v>
      </c>
      <c r="B2405" s="7" t="n">
        <v>2124.86</v>
      </c>
      <c r="C2405" s="7" t="n">
        <f aca="false">AVERAGE(B2356:B2405)</f>
        <v>2186.8188</v>
      </c>
      <c r="D2405" s="7" t="n">
        <f aca="false">AVERAGE(B2206:B2405)</f>
        <v>2253.2029</v>
      </c>
      <c r="E2405" s="7" t="n">
        <f aca="false">B2405/MAX(B2154:B2405)-1</f>
        <v>-0.186503880153598</v>
      </c>
      <c r="F2405" s="7" t="str">
        <f aca="false">IFERROR(INDEX(02_轉折點45個!B:B,MATCH(A2405,02_轉折點45個!A:A,0)),"")</f>
        <v/>
      </c>
      <c r="G2405" s="7" t="s">
        <v>1994</v>
      </c>
    </row>
    <row r="2406" customFormat="false" ht="15" hidden="false" customHeight="false" outlineLevel="0" collapsed="false">
      <c r="A2406" s="7" t="s">
        <v>3956</v>
      </c>
      <c r="B2406" s="7" t="n">
        <v>2083.05</v>
      </c>
      <c r="C2406" s="7" t="n">
        <f aca="false">AVERAGE(B2357:B2406)</f>
        <v>2182.8904</v>
      </c>
      <c r="D2406" s="7" t="n">
        <f aca="false">AVERAGE(B2207:B2406)</f>
        <v>2250.8858</v>
      </c>
      <c r="E2406" s="7" t="n">
        <f aca="false">B2406/MAX(B2155:B2406)-1</f>
        <v>-0.202510710142764</v>
      </c>
      <c r="F2406" s="7" t="str">
        <f aca="false">IFERROR(INDEX(02_轉折點45個!B:B,MATCH(A2406,02_轉折點45個!A:A,0)),"")</f>
        <v/>
      </c>
      <c r="G2406" s="7" t="s">
        <v>1994</v>
      </c>
    </row>
    <row r="2407" customFormat="false" ht="15" hidden="false" customHeight="false" outlineLevel="0" collapsed="false">
      <c r="A2407" s="7" t="s">
        <v>3957</v>
      </c>
      <c r="B2407" s="7" t="n">
        <v>2110.84</v>
      </c>
      <c r="C2407" s="7" t="n">
        <f aca="false">AVERAGE(B2358:B2407)</f>
        <v>2179.4888</v>
      </c>
      <c r="D2407" s="7" t="n">
        <f aca="false">AVERAGE(B2208:B2407)</f>
        <v>2248.6321</v>
      </c>
      <c r="E2407" s="7" t="n">
        <f aca="false">B2407/MAX(B2156:B2407)-1</f>
        <v>-0.191871394060513</v>
      </c>
      <c r="F2407" s="7" t="str">
        <f aca="false">IFERROR(INDEX(02_轉折點45個!B:B,MATCH(A2407,02_轉折點45個!A:A,0)),"")</f>
        <v/>
      </c>
      <c r="G2407" s="7" t="s">
        <v>1994</v>
      </c>
    </row>
    <row r="2408" customFormat="false" ht="15" hidden="false" customHeight="false" outlineLevel="0" collapsed="false">
      <c r="A2408" s="7" t="s">
        <v>3958</v>
      </c>
      <c r="B2408" s="7" t="n">
        <v>2068.53</v>
      </c>
      <c r="C2408" s="7" t="n">
        <f aca="false">AVERAGE(B2359:B2408)</f>
        <v>2174.5644</v>
      </c>
      <c r="D2408" s="7" t="n">
        <f aca="false">AVERAGE(B2209:B2408)</f>
        <v>2246.1317</v>
      </c>
      <c r="E2408" s="7" t="n">
        <f aca="false">B2408/MAX(B2157:B2408)-1</f>
        <v>-0.208069647512835</v>
      </c>
      <c r="F2408" s="7" t="str">
        <f aca="false">IFERROR(INDEX(02_轉折點45個!B:B,MATCH(A2408,02_轉折點45個!A:A,0)),"")</f>
        <v/>
      </c>
      <c r="G2408" s="7" t="s">
        <v>1994</v>
      </c>
    </row>
    <row r="2409" customFormat="false" ht="15" hidden="false" customHeight="false" outlineLevel="0" collapsed="false">
      <c r="A2409" s="7" t="s">
        <v>3959</v>
      </c>
      <c r="B2409" s="7" t="n">
        <v>2119.14</v>
      </c>
      <c r="C2409" s="7" t="n">
        <f aca="false">AVERAGE(B2360:B2409)</f>
        <v>2170.7414</v>
      </c>
      <c r="D2409" s="7" t="n">
        <f aca="false">AVERAGE(B2210:B2409)</f>
        <v>2244.06435</v>
      </c>
      <c r="E2409" s="7" t="n">
        <f aca="false">B2409/MAX(B2158:B2409)-1</f>
        <v>-0.188693764572111</v>
      </c>
      <c r="F2409" s="7" t="str">
        <f aca="false">IFERROR(INDEX(02_轉折點45個!B:B,MATCH(A2409,02_轉折點45個!A:A,0)),"")</f>
        <v/>
      </c>
      <c r="G2409" s="7" t="s">
        <v>1994</v>
      </c>
    </row>
    <row r="2410" customFormat="false" ht="15" hidden="false" customHeight="false" outlineLevel="0" collapsed="false">
      <c r="A2410" s="7" t="s">
        <v>3960</v>
      </c>
      <c r="B2410" s="7" t="n">
        <v>2128.37</v>
      </c>
      <c r="C2410" s="7" t="n">
        <f aca="false">AVERAGE(B2361:B2410)</f>
        <v>2167.3362</v>
      </c>
      <c r="D2410" s="7" t="n">
        <f aca="false">AVERAGE(B2211:B2410)</f>
        <v>2241.89025</v>
      </c>
      <c r="E2410" s="7" t="n">
        <f aca="false">B2410/MAX(B2159:B2410)-1</f>
        <v>-0.185160087442238</v>
      </c>
      <c r="F2410" s="7" t="str">
        <f aca="false">IFERROR(INDEX(02_轉折點45個!B:B,MATCH(A2410,02_轉折點45個!A:A,0)),"")</f>
        <v/>
      </c>
      <c r="G2410" s="7" t="s">
        <v>1994</v>
      </c>
    </row>
    <row r="2411" customFormat="false" ht="15" hidden="false" customHeight="false" outlineLevel="0" collapsed="false">
      <c r="A2411" s="7" t="s">
        <v>802</v>
      </c>
      <c r="B2411" s="7" t="n">
        <v>2124.56</v>
      </c>
      <c r="C2411" s="7" t="n">
        <f aca="false">AVERAGE(B2362:B2411)</f>
        <v>2164.2902</v>
      </c>
      <c r="D2411" s="7" t="n">
        <f aca="false">AVERAGE(B2212:B2411)</f>
        <v>2239.81415</v>
      </c>
      <c r="E2411" s="7" t="n">
        <f aca="false">B2411/MAX(B2160:B2411)-1</f>
        <v>-0.186618734231492</v>
      </c>
      <c r="F2411" s="7" t="str">
        <f aca="false">IFERROR(INDEX(02_轉折點45個!B:B,MATCH(A2411,02_轉折點45個!A:A,0)),"")</f>
        <v/>
      </c>
      <c r="G2411" s="7" t="s">
        <v>1994</v>
      </c>
    </row>
    <row r="2412" customFormat="false" ht="15" hidden="false" customHeight="false" outlineLevel="0" collapsed="false">
      <c r="A2412" s="7" t="s">
        <v>3961</v>
      </c>
      <c r="B2412" s="7" t="n">
        <v>2111.23</v>
      </c>
      <c r="C2412" s="7" t="n">
        <f aca="false">AVERAGE(B2363:B2412)</f>
        <v>2161.7814</v>
      </c>
      <c r="D2412" s="7" t="n">
        <f aca="false">AVERAGE(B2213:B2412)</f>
        <v>2237.74515</v>
      </c>
      <c r="E2412" s="7" t="n">
        <f aca="false">B2412/MAX(B2161:B2412)-1</f>
        <v>-0.191722083759251</v>
      </c>
      <c r="F2412" s="7" t="str">
        <f aca="false">IFERROR(INDEX(02_轉折點45個!B:B,MATCH(A2412,02_轉折點45個!A:A,0)),"")</f>
        <v/>
      </c>
      <c r="G2412" s="7" t="s">
        <v>1994</v>
      </c>
    </row>
    <row r="2413" customFormat="false" ht="15" hidden="false" customHeight="false" outlineLevel="0" collapsed="false">
      <c r="A2413" s="7" t="s">
        <v>3962</v>
      </c>
      <c r="B2413" s="7" t="n">
        <v>2088.03</v>
      </c>
      <c r="C2413" s="7" t="n">
        <f aca="false">AVERAGE(B2364:B2413)</f>
        <v>2158.5106</v>
      </c>
      <c r="D2413" s="7" t="n">
        <f aca="false">AVERAGE(B2214:B2413)</f>
        <v>2235.42875</v>
      </c>
      <c r="E2413" s="7" t="n">
        <f aca="false">B2413/MAX(B2162:B2413)-1</f>
        <v>-0.200604132449723</v>
      </c>
      <c r="F2413" s="7" t="str">
        <f aca="false">IFERROR(INDEX(02_轉折點45個!B:B,MATCH(A2413,02_轉折點45個!A:A,0)),"")</f>
        <v/>
      </c>
      <c r="G2413" s="7" t="s">
        <v>1994</v>
      </c>
    </row>
    <row r="2414" customFormat="false" ht="15" hidden="false" customHeight="false" outlineLevel="0" collapsed="false">
      <c r="A2414" s="7" t="s">
        <v>3963</v>
      </c>
      <c r="B2414" s="7" t="n">
        <v>2146.74</v>
      </c>
      <c r="C2414" s="7" t="n">
        <f aca="false">AVERAGE(B2365:B2414)</f>
        <v>2156.7778</v>
      </c>
      <c r="D2414" s="7" t="n">
        <f aca="false">AVERAGE(B2215:B2414)</f>
        <v>2233.3756</v>
      </c>
      <c r="E2414" s="7" t="n">
        <f aca="false">B2414/MAX(B2163:B2414)-1</f>
        <v>-0.17812718940586</v>
      </c>
      <c r="F2414" s="7" t="str">
        <f aca="false">IFERROR(INDEX(02_轉折點45個!B:B,MATCH(A2414,02_轉折點45個!A:A,0)),"")</f>
        <v/>
      </c>
      <c r="G2414" s="7" t="s">
        <v>1994</v>
      </c>
    </row>
    <row r="2415" customFormat="false" ht="15" hidden="false" customHeight="false" outlineLevel="0" collapsed="false">
      <c r="A2415" s="7" t="s">
        <v>3964</v>
      </c>
      <c r="B2415" s="7" t="n">
        <v>2172.81</v>
      </c>
      <c r="C2415" s="7" t="n">
        <f aca="false">AVERAGE(B2366:B2415)</f>
        <v>2154.8982</v>
      </c>
      <c r="D2415" s="7" t="n">
        <f aca="false">AVERAGE(B2216:B2415)</f>
        <v>2231.7915</v>
      </c>
      <c r="E2415" s="7" t="n">
        <f aca="false">B2415/MAX(B2164:B2415)-1</f>
        <v>-0.168146370036868</v>
      </c>
      <c r="F2415" s="7" t="str">
        <f aca="false">IFERROR(INDEX(02_轉折點45個!B:B,MATCH(A2415,02_轉折點45個!A:A,0)),"")</f>
        <v/>
      </c>
      <c r="G2415" s="7" t="s">
        <v>1994</v>
      </c>
    </row>
    <row r="2416" customFormat="false" ht="15" hidden="false" customHeight="false" outlineLevel="0" collapsed="false">
      <c r="A2416" s="7" t="s">
        <v>3965</v>
      </c>
      <c r="B2416" s="7" t="n">
        <v>2152.13</v>
      </c>
      <c r="C2416" s="7" t="n">
        <f aca="false">AVERAGE(B2367:B2416)</f>
        <v>2152.5052</v>
      </c>
      <c r="D2416" s="7" t="n">
        <f aca="false">AVERAGE(B2217:B2416)</f>
        <v>2229.9726</v>
      </c>
      <c r="E2416" s="7" t="n">
        <f aca="false">B2416/MAX(B2165:B2416)-1</f>
        <v>-0.17606364447303</v>
      </c>
      <c r="F2416" s="7" t="str">
        <f aca="false">IFERROR(INDEX(02_轉折點45個!B:B,MATCH(A2416,02_轉折點45個!A:A,0)),"")</f>
        <v/>
      </c>
      <c r="G2416" s="7" t="s">
        <v>1994</v>
      </c>
    </row>
    <row r="2417" customFormat="false" ht="15" hidden="false" customHeight="false" outlineLevel="0" collapsed="false">
      <c r="A2417" s="7" t="s">
        <v>803</v>
      </c>
      <c r="B2417" s="7" t="n">
        <v>2205.46</v>
      </c>
      <c r="C2417" s="7" t="n">
        <f aca="false">AVERAGE(B2368:B2417)</f>
        <v>2150.7838</v>
      </c>
      <c r="D2417" s="7" t="n">
        <f aca="false">AVERAGE(B2218:B2417)</f>
        <v>2228.21325</v>
      </c>
      <c r="E2417" s="7" t="n">
        <f aca="false">B2417/MAX(B2166:B2417)-1</f>
        <v>-0.155646417892734</v>
      </c>
      <c r="F2417" s="7" t="str">
        <f aca="false">IFERROR(INDEX(02_轉折點45個!B:B,MATCH(A2417,02_轉折點45個!A:A,0)),"")</f>
        <v/>
      </c>
      <c r="G2417" s="7" t="s">
        <v>1994</v>
      </c>
    </row>
    <row r="2418" customFormat="false" ht="15" hidden="false" customHeight="false" outlineLevel="0" collapsed="false">
      <c r="A2418" s="7" t="s">
        <v>804</v>
      </c>
      <c r="B2418" s="7" t="n">
        <v>2229.07</v>
      </c>
      <c r="C2418" s="7" t="n">
        <f aca="false">AVERAGE(B2369:B2418)</f>
        <v>2149.2726</v>
      </c>
      <c r="D2418" s="7" t="n">
        <f aca="false">AVERAGE(B2219:B2418)</f>
        <v>2226.6839</v>
      </c>
      <c r="E2418" s="7" t="n">
        <f aca="false">B2418/MAX(B2167:B2418)-1</f>
        <v>-0.146607401962473</v>
      </c>
      <c r="F2418" s="7" t="str">
        <f aca="false">IFERROR(INDEX(02_轉折點45個!B:B,MATCH(A2418,02_轉折點45個!A:A,0)),"")</f>
        <v/>
      </c>
      <c r="G2418" s="7" t="s">
        <v>1994</v>
      </c>
    </row>
    <row r="2419" customFormat="false" ht="15" hidden="false" customHeight="false" outlineLevel="0" collapsed="false">
      <c r="A2419" s="7" t="s">
        <v>805</v>
      </c>
      <c r="B2419" s="7" t="n">
        <v>2220.54</v>
      </c>
      <c r="C2419" s="7" t="n">
        <f aca="false">AVERAGE(B2370:B2419)</f>
        <v>2148.1596</v>
      </c>
      <c r="D2419" s="7" t="n">
        <f aca="false">AVERAGE(B2220:B2419)</f>
        <v>2225.22105</v>
      </c>
      <c r="E2419" s="7" t="n">
        <f aca="false">B2419/MAX(B2168:B2419)-1</f>
        <v>-0.149873086243927</v>
      </c>
      <c r="F2419" s="7" t="str">
        <f aca="false">IFERROR(INDEX(02_轉折點45個!B:B,MATCH(A2419,02_轉折點45個!A:A,0)),"")</f>
        <v/>
      </c>
      <c r="G2419" s="7" t="s">
        <v>1994</v>
      </c>
    </row>
    <row r="2420" customFormat="false" ht="15" hidden="false" customHeight="false" outlineLevel="0" collapsed="false">
      <c r="A2420" s="7" t="s">
        <v>3966</v>
      </c>
      <c r="B2420" s="7" t="n">
        <v>2218.72</v>
      </c>
      <c r="C2420" s="7" t="n">
        <f aca="false">AVERAGE(B2371:B2420)</f>
        <v>2147.212</v>
      </c>
      <c r="D2420" s="7" t="n">
        <f aca="false">AVERAGE(B2221:B2420)</f>
        <v>2223.5055</v>
      </c>
      <c r="E2420" s="7" t="n">
        <f aca="false">B2420/MAX(B2169:B2420)-1</f>
        <v>-0.150569867649818</v>
      </c>
      <c r="F2420" s="7" t="str">
        <f aca="false">IFERROR(INDEX(02_轉折點45個!B:B,MATCH(A2420,02_轉折點45個!A:A,0)),"")</f>
        <v/>
      </c>
      <c r="G2420" s="7" t="s">
        <v>1994</v>
      </c>
    </row>
    <row r="2421" customFormat="false" ht="15" hidden="false" customHeight="false" outlineLevel="0" collapsed="false">
      <c r="A2421" s="7" t="s">
        <v>806</v>
      </c>
      <c r="B2421" s="7" t="n">
        <v>2241.61</v>
      </c>
      <c r="C2421" s="7" t="n">
        <f aca="false">AVERAGE(B2372:B2421)</f>
        <v>2146.3082</v>
      </c>
      <c r="D2421" s="7" t="n">
        <f aca="false">AVERAGE(B2222:B2421)</f>
        <v>2221.84385</v>
      </c>
      <c r="E2421" s="7" t="n">
        <f aca="false">B2421/MAX(B2170:B2421)-1</f>
        <v>-0.141806501506503</v>
      </c>
      <c r="F2421" s="7" t="str">
        <f aca="false">IFERROR(INDEX(02_轉折點45個!B:B,MATCH(A2421,02_轉折點45個!A:A,0)),"")</f>
        <v/>
      </c>
      <c r="G2421" s="7" t="s">
        <v>1994</v>
      </c>
    </row>
    <row r="2422" customFormat="false" ht="15" hidden="false" customHeight="false" outlineLevel="0" collapsed="false">
      <c r="A2422" s="7" t="s">
        <v>3967</v>
      </c>
      <c r="B2422" s="7" t="n">
        <v>2240.56</v>
      </c>
      <c r="C2422" s="7" t="n">
        <f aca="false">AVERAGE(B2373:B2422)</f>
        <v>2144.5282</v>
      </c>
      <c r="D2422" s="7" t="n">
        <f aca="false">AVERAGE(B2223:B2422)</f>
        <v>2220.1803</v>
      </c>
      <c r="E2422" s="7" t="n">
        <f aca="false">B2422/MAX(B2171:B2422)-1</f>
        <v>-0.142208490779132</v>
      </c>
      <c r="F2422" s="7" t="str">
        <f aca="false">IFERROR(INDEX(02_轉折點45個!B:B,MATCH(A2422,02_轉折點45個!A:A,0)),"")</f>
        <v/>
      </c>
      <c r="G2422" s="7" t="s">
        <v>1994</v>
      </c>
    </row>
    <row r="2423" customFormat="false" ht="15" hidden="false" customHeight="false" outlineLevel="0" collapsed="false">
      <c r="A2423" s="7" t="s">
        <v>807</v>
      </c>
      <c r="B2423" s="7" t="n">
        <v>2208.09</v>
      </c>
      <c r="C2423" s="7" t="n">
        <f aca="false">AVERAGE(B2374:B2423)</f>
        <v>2143.4762</v>
      </c>
      <c r="D2423" s="7" t="n">
        <f aca="false">AVERAGE(B2224:B2423)</f>
        <v>2218.1607</v>
      </c>
      <c r="E2423" s="7" t="n">
        <f aca="false">B2423/MAX(B2172:B2423)-1</f>
        <v>-0.15463953047653</v>
      </c>
      <c r="F2423" s="7" t="str">
        <f aca="false">IFERROR(INDEX(02_轉折點45個!B:B,MATCH(A2423,02_轉折點45個!A:A,0)),"")</f>
        <v/>
      </c>
      <c r="G2423" s="7" t="s">
        <v>1994</v>
      </c>
    </row>
    <row r="2424" customFormat="false" ht="15" hidden="false" customHeight="false" outlineLevel="0" collapsed="false">
      <c r="A2424" s="7" t="s">
        <v>3968</v>
      </c>
      <c r="B2424" s="7" t="n">
        <v>2178.29</v>
      </c>
      <c r="C2424" s="7" t="n">
        <f aca="false">AVERAGE(B2375:B2424)</f>
        <v>2142.104</v>
      </c>
      <c r="D2424" s="7" t="n">
        <f aca="false">AVERAGE(B2225:B2424)</f>
        <v>2216.28575</v>
      </c>
      <c r="E2424" s="7" t="n">
        <f aca="false">B2424/MAX(B2173:B2424)-1</f>
        <v>-0.166048368880671</v>
      </c>
      <c r="F2424" s="7" t="str">
        <f aca="false">IFERROR(INDEX(02_轉折點45個!B:B,MATCH(A2424,02_轉折點45個!A:A,0)),"")</f>
        <v/>
      </c>
      <c r="G2424" s="7" t="s">
        <v>1994</v>
      </c>
    </row>
    <row r="2425" customFormat="false" ht="15" hidden="false" customHeight="false" outlineLevel="0" collapsed="false">
      <c r="A2425" s="7" t="s">
        <v>3969</v>
      </c>
      <c r="B2425" s="7" t="n">
        <v>2182.6</v>
      </c>
      <c r="C2425" s="7" t="n">
        <f aca="false">AVERAGE(B2376:B2425)</f>
        <v>2141.0104</v>
      </c>
      <c r="D2425" s="7" t="n">
        <f aca="false">AVERAGE(B2226:B2425)</f>
        <v>2214.3613</v>
      </c>
      <c r="E2425" s="7" t="n">
        <f aca="false">B2425/MAX(B2174:B2425)-1</f>
        <v>-0.16439829862826</v>
      </c>
      <c r="F2425" s="7" t="str">
        <f aca="false">IFERROR(INDEX(02_轉折點45個!B:B,MATCH(A2425,02_轉折點45個!A:A,0)),"")</f>
        <v/>
      </c>
      <c r="G2425" s="7" t="s">
        <v>1994</v>
      </c>
    </row>
    <row r="2426" customFormat="false" ht="15" hidden="false" customHeight="false" outlineLevel="0" collapsed="false">
      <c r="A2426" s="7" t="s">
        <v>3970</v>
      </c>
      <c r="B2426" s="7" t="n">
        <v>2174.65</v>
      </c>
      <c r="C2426" s="7" t="n">
        <f aca="false">AVERAGE(B2377:B2426)</f>
        <v>2140.7614</v>
      </c>
      <c r="D2426" s="7" t="n">
        <f aca="false">AVERAGE(B2227:B2426)</f>
        <v>2212.46655</v>
      </c>
      <c r="E2426" s="7" t="n">
        <f aca="false">B2426/MAX(B2175:B2426)-1</f>
        <v>-0.167441931692451</v>
      </c>
      <c r="F2426" s="7" t="str">
        <f aca="false">IFERROR(INDEX(02_轉折點45個!B:B,MATCH(A2426,02_轉折點45個!A:A,0)),"")</f>
        <v/>
      </c>
      <c r="G2426" s="7" t="s">
        <v>1994</v>
      </c>
    </row>
    <row r="2427" customFormat="false" ht="15" hidden="false" customHeight="false" outlineLevel="0" collapsed="false">
      <c r="A2427" s="7" t="s">
        <v>3971</v>
      </c>
      <c r="B2427" s="7" t="n">
        <v>2206.01</v>
      </c>
      <c r="C2427" s="7" t="n">
        <f aca="false">AVERAGE(B2378:B2427)</f>
        <v>2140.9506</v>
      </c>
      <c r="D2427" s="7" t="n">
        <f aca="false">AVERAGE(B2228:B2427)</f>
        <v>2210.59155</v>
      </c>
      <c r="E2427" s="7" t="n">
        <f aca="false">B2427/MAX(B2176:B2427)-1</f>
        <v>-0.155435852083262</v>
      </c>
      <c r="F2427" s="7" t="str">
        <f aca="false">IFERROR(INDEX(02_轉折點45個!B:B,MATCH(A2427,02_轉折點45個!A:A,0)),"")</f>
        <v/>
      </c>
      <c r="G2427" s="7" t="s">
        <v>1994</v>
      </c>
    </row>
    <row r="2428" customFormat="false" ht="15" hidden="false" customHeight="false" outlineLevel="0" collapsed="false">
      <c r="A2428" s="7" t="s">
        <v>3972</v>
      </c>
      <c r="B2428" s="7" t="n">
        <v>2161.14</v>
      </c>
      <c r="C2428" s="7" t="n">
        <f aca="false">AVERAGE(B2379:B2428)</f>
        <v>2139.3262</v>
      </c>
      <c r="D2428" s="7" t="n">
        <f aca="false">AVERAGE(B2229:B2428)</f>
        <v>2208.8413</v>
      </c>
      <c r="E2428" s="7" t="n">
        <f aca="false">B2428/MAX(B2177:B2428)-1</f>
        <v>-0.172614193666946</v>
      </c>
      <c r="F2428" s="7" t="str">
        <f aca="false">IFERROR(INDEX(02_轉折點45個!B:B,MATCH(A2428,02_轉折點45個!A:A,0)),"")</f>
        <v/>
      </c>
      <c r="G2428" s="7" t="s">
        <v>1994</v>
      </c>
    </row>
    <row r="2429" customFormat="false" ht="15" hidden="false" customHeight="false" outlineLevel="0" collapsed="false">
      <c r="A2429" s="7" t="s">
        <v>3973</v>
      </c>
      <c r="B2429" s="7" t="n">
        <v>2157.83</v>
      </c>
      <c r="C2429" s="7" t="n">
        <f aca="false">AVERAGE(B2380:B2429)</f>
        <v>2137.265</v>
      </c>
      <c r="D2429" s="7" t="n">
        <f aca="false">AVERAGE(B2230:B2429)</f>
        <v>2207.3155</v>
      </c>
      <c r="E2429" s="7" t="n">
        <f aca="false">B2429/MAX(B2178:B2429)-1</f>
        <v>-0.173881416993044</v>
      </c>
      <c r="F2429" s="7" t="str">
        <f aca="false">IFERROR(INDEX(02_轉折點45個!B:B,MATCH(A2429,02_轉折點45個!A:A,0)),"")</f>
        <v/>
      </c>
      <c r="G2429" s="7" t="s">
        <v>1994</v>
      </c>
    </row>
    <row r="2430" customFormat="false" ht="15" hidden="false" customHeight="false" outlineLevel="0" collapsed="false">
      <c r="A2430" s="7" t="s">
        <v>3974</v>
      </c>
      <c r="B2430" s="7" t="n">
        <v>2176.55</v>
      </c>
      <c r="C2430" s="7" t="n">
        <f aca="false">AVERAGE(B2381:B2430)</f>
        <v>2135.8898</v>
      </c>
      <c r="D2430" s="7" t="n">
        <f aca="false">AVERAGE(B2231:B2430)</f>
        <v>2206.1942</v>
      </c>
      <c r="E2430" s="7" t="n">
        <f aca="false">B2430/MAX(B2179:B2430)-1</f>
        <v>-0.166714522532456</v>
      </c>
      <c r="F2430" s="7" t="str">
        <f aca="false">IFERROR(INDEX(02_轉折點45個!B:B,MATCH(A2430,02_轉折點45個!A:A,0)),"")</f>
        <v/>
      </c>
      <c r="G2430" s="7" t="s">
        <v>1994</v>
      </c>
    </row>
    <row r="2431" customFormat="false" ht="15" hidden="false" customHeight="false" outlineLevel="0" collapsed="false">
      <c r="A2431" s="7" t="s">
        <v>3975</v>
      </c>
      <c r="B2431" s="7" t="n">
        <v>2203.21</v>
      </c>
      <c r="C2431" s="7" t="n">
        <f aca="false">AVERAGE(B2382:B2431)</f>
        <v>2135.5596</v>
      </c>
      <c r="D2431" s="7" t="n">
        <f aca="false">AVERAGE(B2232:B2431)</f>
        <v>2205.4063</v>
      </c>
      <c r="E2431" s="7" t="n">
        <f aca="false">B2431/MAX(B2180:B2431)-1</f>
        <v>-0.156507823476939</v>
      </c>
      <c r="F2431" s="7" t="str">
        <f aca="false">IFERROR(INDEX(02_轉折點45個!B:B,MATCH(A2431,02_轉折點45個!A:A,0)),"")</f>
        <v/>
      </c>
      <c r="G2431" s="7" t="s">
        <v>1994</v>
      </c>
    </row>
    <row r="2432" customFormat="false" ht="15" hidden="false" customHeight="false" outlineLevel="0" collapsed="false">
      <c r="A2432" s="7" t="s">
        <v>3976</v>
      </c>
      <c r="B2432" s="7" t="n">
        <v>2162.9</v>
      </c>
      <c r="C2432" s="7" t="n">
        <f aca="false">AVERAGE(B2383:B2432)</f>
        <v>2133.8322</v>
      </c>
      <c r="D2432" s="7" t="n">
        <f aca="false">AVERAGE(B2233:B2432)</f>
        <v>2204.00795</v>
      </c>
      <c r="E2432" s="7" t="n">
        <f aca="false">B2432/MAX(B2181:B2432)-1</f>
        <v>-0.171940383076635</v>
      </c>
      <c r="F2432" s="7" t="str">
        <f aca="false">IFERROR(INDEX(02_轉折點45個!B:B,MATCH(A2432,02_轉折點45個!A:A,0)),"")</f>
        <v/>
      </c>
      <c r="G2432" s="7" t="s">
        <v>1994</v>
      </c>
    </row>
    <row r="2433" customFormat="false" ht="15" hidden="false" customHeight="false" outlineLevel="0" collapsed="false">
      <c r="A2433" s="7" t="s">
        <v>3977</v>
      </c>
      <c r="B2433" s="7" t="n">
        <v>2146.2</v>
      </c>
      <c r="C2433" s="7" t="n">
        <f aca="false">AVERAGE(B2384:B2433)</f>
        <v>2132.7934</v>
      </c>
      <c r="D2433" s="7" t="n">
        <f aca="false">AVERAGE(B2234:B2433)</f>
        <v>2202.66005</v>
      </c>
      <c r="E2433" s="7" t="n">
        <f aca="false">B2433/MAX(B2182:B2433)-1</f>
        <v>-0.178333926746069</v>
      </c>
      <c r="F2433" s="7" t="str">
        <f aca="false">IFERROR(INDEX(02_轉折點45個!B:B,MATCH(A2433,02_轉折點45個!A:A,0)),"")</f>
        <v/>
      </c>
      <c r="G2433" s="7" t="s">
        <v>1994</v>
      </c>
    </row>
    <row r="2434" customFormat="false" ht="15" hidden="false" customHeight="false" outlineLevel="0" collapsed="false">
      <c r="A2434" s="7" t="s">
        <v>3978</v>
      </c>
      <c r="B2434" s="7" t="n">
        <v>2132.03</v>
      </c>
      <c r="C2434" s="7" t="n">
        <f aca="false">AVERAGE(B2385:B2434)</f>
        <v>2131.843</v>
      </c>
      <c r="D2434" s="7" t="n">
        <f aca="false">AVERAGE(B2235:B2434)</f>
        <v>2201.3592</v>
      </c>
      <c r="E2434" s="7" t="n">
        <f aca="false">B2434/MAX(B2183:B2434)-1</f>
        <v>-0.183758867691931</v>
      </c>
      <c r="F2434" s="7" t="str">
        <f aca="false">IFERROR(INDEX(02_轉折點45個!B:B,MATCH(A2434,02_轉折點45個!A:A,0)),"")</f>
        <v/>
      </c>
      <c r="G2434" s="7" t="s">
        <v>1994</v>
      </c>
    </row>
    <row r="2435" customFormat="false" ht="15" hidden="false" customHeight="false" outlineLevel="0" collapsed="false">
      <c r="A2435" s="7" t="s">
        <v>3979</v>
      </c>
      <c r="B2435" s="7" t="n">
        <v>2063.8</v>
      </c>
      <c r="C2435" s="7" t="n">
        <f aca="false">AVERAGE(B2386:B2435)</f>
        <v>2129.847</v>
      </c>
      <c r="D2435" s="7" t="n">
        <f aca="false">AVERAGE(B2236:B2435)</f>
        <v>2199.63165</v>
      </c>
      <c r="E2435" s="7" t="n">
        <f aca="false">B2435/MAX(B2184:B2435)-1</f>
        <v>-0.209880513474298</v>
      </c>
      <c r="F2435" s="7" t="str">
        <f aca="false">IFERROR(INDEX(02_轉折點45個!B:B,MATCH(A2435,02_轉折點45個!A:A,0)),"")</f>
        <v/>
      </c>
      <c r="G2435" s="7" t="s">
        <v>1994</v>
      </c>
    </row>
    <row r="2436" customFormat="false" ht="15" hidden="false" customHeight="false" outlineLevel="0" collapsed="false">
      <c r="A2436" s="7" t="s">
        <v>3980</v>
      </c>
      <c r="B2436" s="7" t="n">
        <v>2060.91</v>
      </c>
      <c r="C2436" s="7" t="n">
        <f aca="false">AVERAGE(B2387:B2436)</f>
        <v>2127.1906</v>
      </c>
      <c r="D2436" s="7" t="n">
        <f aca="false">AVERAGE(B2237:B2436)</f>
        <v>2198.09</v>
      </c>
      <c r="E2436" s="7" t="n">
        <f aca="false">B2436/MAX(B2185:B2436)-1</f>
        <v>-0.210986941091344</v>
      </c>
      <c r="F2436" s="7" t="str">
        <f aca="false">IFERROR(INDEX(02_轉折點45個!B:B,MATCH(A2436,02_轉折點45個!A:A,0)),"")</f>
        <v/>
      </c>
      <c r="G2436" s="7" t="s">
        <v>1994</v>
      </c>
    </row>
    <row r="2437" customFormat="false" ht="15" hidden="false" customHeight="false" outlineLevel="0" collapsed="false">
      <c r="A2437" s="7" t="s">
        <v>3981</v>
      </c>
      <c r="B2437" s="7" t="n">
        <v>2073.59</v>
      </c>
      <c r="C2437" s="7" t="n">
        <f aca="false">AVERAGE(B2388:B2437)</f>
        <v>2126.2476</v>
      </c>
      <c r="D2437" s="7" t="n">
        <f aca="false">AVERAGE(B2238:B2437)</f>
        <v>2196.5961</v>
      </c>
      <c r="E2437" s="7" t="n">
        <f aca="false">B2437/MAX(B2186:B2437)-1</f>
        <v>-0.206132442065689</v>
      </c>
      <c r="F2437" s="7" t="str">
        <f aca="false">IFERROR(INDEX(02_轉折點45個!B:B,MATCH(A2437,02_轉折點45個!A:A,0)),"")</f>
        <v/>
      </c>
      <c r="G2437" s="7" t="s">
        <v>1994</v>
      </c>
    </row>
    <row r="2438" customFormat="false" ht="15" hidden="false" customHeight="false" outlineLevel="0" collapsed="false">
      <c r="A2438" s="7" t="s">
        <v>3982</v>
      </c>
      <c r="B2438" s="7" t="n">
        <v>2018.82</v>
      </c>
      <c r="C2438" s="7" t="n">
        <f aca="false">AVERAGE(B2389:B2438)</f>
        <v>2124.314</v>
      </c>
      <c r="D2438" s="7" t="n">
        <f aca="false">AVERAGE(B2239:B2438)</f>
        <v>2194.98665</v>
      </c>
      <c r="E2438" s="7" t="n">
        <f aca="false">B2438/MAX(B2187:B2438)-1</f>
        <v>-0.227100968219877</v>
      </c>
      <c r="F2438" s="7" t="str">
        <f aca="false">IFERROR(INDEX(02_轉折點45個!B:B,MATCH(A2438,02_轉折點45個!A:A,0)),"")</f>
        <v/>
      </c>
      <c r="G2438" s="7" t="s">
        <v>1994</v>
      </c>
    </row>
    <row r="2439" customFormat="false" ht="15" hidden="false" customHeight="false" outlineLevel="0" collapsed="false">
      <c r="A2439" s="7" t="s">
        <v>3983</v>
      </c>
      <c r="B2439" s="7" t="n">
        <v>2036.08</v>
      </c>
      <c r="C2439" s="7" t="n">
        <f aca="false">AVERAGE(B2390:B2439)</f>
        <v>2123.1396</v>
      </c>
      <c r="D2439" s="7" t="n">
        <f aca="false">AVERAGE(B2240:B2439)</f>
        <v>2193.30615</v>
      </c>
      <c r="E2439" s="7" t="n">
        <f aca="false">B2439/MAX(B2188:B2439)-1</f>
        <v>-0.220493030271707</v>
      </c>
      <c r="F2439" s="7" t="str">
        <f aca="false">IFERROR(INDEX(02_轉折點45個!B:B,MATCH(A2439,02_轉折點45個!A:A,0)),"")</f>
        <v/>
      </c>
      <c r="G2439" s="7" t="s">
        <v>1994</v>
      </c>
    </row>
    <row r="2440" customFormat="false" ht="15" hidden="false" customHeight="false" outlineLevel="0" collapsed="false">
      <c r="A2440" s="7" t="s">
        <v>3984</v>
      </c>
      <c r="B2440" s="7" t="n">
        <v>2063.05</v>
      </c>
      <c r="C2440" s="7" t="n">
        <f aca="false">AVERAGE(B2391:B2440)</f>
        <v>2122.2854</v>
      </c>
      <c r="D2440" s="7" t="n">
        <f aca="false">AVERAGE(B2241:B2440)</f>
        <v>2192.0145</v>
      </c>
      <c r="E2440" s="7" t="n">
        <f aca="false">B2440/MAX(B2189:B2440)-1</f>
        <v>-0.210167648669033</v>
      </c>
      <c r="F2440" s="7" t="str">
        <f aca="false">IFERROR(INDEX(02_轉折點45個!B:B,MATCH(A2440,02_轉折點45個!A:A,0)),"")</f>
        <v/>
      </c>
      <c r="G2440" s="7" t="s">
        <v>1994</v>
      </c>
    </row>
    <row r="2441" customFormat="false" ht="15" hidden="false" customHeight="false" outlineLevel="0" collapsed="false">
      <c r="A2441" s="7" t="s">
        <v>3985</v>
      </c>
      <c r="B2441" s="7" t="n">
        <v>2065.83</v>
      </c>
      <c r="C2441" s="7" t="n">
        <f aca="false">AVERAGE(B2392:B2441)</f>
        <v>2122.4646</v>
      </c>
      <c r="D2441" s="7" t="n">
        <f aca="false">AVERAGE(B2242:B2441)</f>
        <v>2190.5549</v>
      </c>
      <c r="E2441" s="7" t="n">
        <f aca="false">B2441/MAX(B2190:B2441)-1</f>
        <v>-0.209103334213881</v>
      </c>
      <c r="F2441" s="7" t="str">
        <f aca="false">IFERROR(INDEX(02_轉折點45個!B:B,MATCH(A2441,02_轉折點45個!A:A,0)),"")</f>
        <v/>
      </c>
      <c r="G2441" s="7" t="s">
        <v>1994</v>
      </c>
    </row>
    <row r="2442" customFormat="false" ht="15" hidden="false" customHeight="false" outlineLevel="0" collapsed="false">
      <c r="A2442" s="7" t="s">
        <v>3986</v>
      </c>
      <c r="B2442" s="7" t="n">
        <v>1991.51</v>
      </c>
      <c r="C2442" s="7" t="n">
        <f aca="false">AVERAGE(B2393:B2442)</f>
        <v>2121.2684</v>
      </c>
      <c r="D2442" s="7" t="n">
        <f aca="false">AVERAGE(B2243:B2442)</f>
        <v>2188.34865</v>
      </c>
      <c r="E2442" s="7" t="n">
        <f aca="false">B2442/MAX(B2191:B2442)-1</f>
        <v>-0.237556517777497</v>
      </c>
      <c r="F2442" s="7" t="str">
        <f aca="false">IFERROR(INDEX(02_轉折點45個!B:B,MATCH(A2442,02_轉折點45個!A:A,0)),"")</f>
        <v/>
      </c>
      <c r="G2442" s="7" t="s">
        <v>1994</v>
      </c>
    </row>
    <row r="2443" customFormat="false" ht="15" hidden="false" customHeight="false" outlineLevel="0" collapsed="false">
      <c r="A2443" s="7" t="s">
        <v>3987</v>
      </c>
      <c r="B2443" s="7" t="n">
        <v>2017.08</v>
      </c>
      <c r="C2443" s="7" t="n">
        <f aca="false">AVERAGE(B2394:B2443)</f>
        <v>2120.6212</v>
      </c>
      <c r="D2443" s="7" t="n">
        <f aca="false">AVERAGE(B2244:B2443)</f>
        <v>2186.2464</v>
      </c>
      <c r="E2443" s="7" t="n">
        <f aca="false">B2443/MAX(B2192:B2443)-1</f>
        <v>-0.227767121871662</v>
      </c>
      <c r="F2443" s="7" t="str">
        <f aca="false">IFERROR(INDEX(02_轉折點45個!B:B,MATCH(A2443,02_轉折點45個!A:A,0)),"")</f>
        <v/>
      </c>
      <c r="G2443" s="7" t="s">
        <v>1994</v>
      </c>
    </row>
    <row r="2444" customFormat="false" ht="15" hidden="false" customHeight="false" outlineLevel="0" collapsed="false">
      <c r="A2444" s="7" t="s">
        <v>3988</v>
      </c>
      <c r="B2444" s="7" t="n">
        <v>1917.45</v>
      </c>
      <c r="C2444" s="7" t="n">
        <f aca="false">AVERAGE(B2395:B2444)</f>
        <v>2117.0474</v>
      </c>
      <c r="D2444" s="7" t="n">
        <f aca="false">AVERAGE(B2245:B2444)</f>
        <v>2183.67875</v>
      </c>
      <c r="E2444" s="7" t="n">
        <f aca="false">B2444/MAX(B2193:B2444)-1</f>
        <v>-0.265910161140271</v>
      </c>
      <c r="F2444" s="7" t="str">
        <f aca="false">IFERROR(INDEX(02_轉折點45個!B:B,MATCH(A2444,02_轉折點45個!A:A,0)),"")</f>
        <v/>
      </c>
      <c r="G2444" s="7" t="s">
        <v>1994</v>
      </c>
    </row>
    <row r="2445" customFormat="false" ht="15" hidden="false" customHeight="false" outlineLevel="0" collapsed="false">
      <c r="A2445" s="7" t="s">
        <v>3989</v>
      </c>
      <c r="B2445" s="7" t="n">
        <v>2009.04</v>
      </c>
      <c r="C2445" s="7" t="n">
        <f aca="false">AVERAGE(B2396:B2445)</f>
        <v>2116.3936</v>
      </c>
      <c r="D2445" s="7" t="n">
        <f aca="false">AVERAGE(B2246:B2445)</f>
        <v>2181.6779</v>
      </c>
      <c r="E2445" s="7" t="n">
        <f aca="false">B2445/MAX(B2194:B2445)-1</f>
        <v>-0.230845211159222</v>
      </c>
      <c r="F2445" s="7" t="str">
        <f aca="false">IFERROR(INDEX(02_轉折點45個!B:B,MATCH(A2445,02_轉折點45個!A:A,0)),"")</f>
        <v/>
      </c>
      <c r="G2445" s="7" t="s">
        <v>1994</v>
      </c>
    </row>
    <row r="2446" customFormat="false" ht="15" hidden="false" customHeight="false" outlineLevel="0" collapsed="false">
      <c r="A2446" s="7" t="s">
        <v>3990</v>
      </c>
      <c r="B2446" s="7" t="n">
        <v>2077.37</v>
      </c>
      <c r="C2446" s="7" t="n">
        <f aca="false">AVERAGE(B2397:B2446)</f>
        <v>2116.6868</v>
      </c>
      <c r="D2446" s="7" t="n">
        <f aca="false">AVERAGE(B2247:B2446)</f>
        <v>2180.0977</v>
      </c>
      <c r="E2446" s="7" t="n">
        <f aca="false">B2446/MAX(B2195:B2446)-1</f>
        <v>-0.204685280684224</v>
      </c>
      <c r="F2446" s="7" t="str">
        <f aca="false">IFERROR(INDEX(02_轉折點45個!B:B,MATCH(A2446,02_轉折點45個!A:A,0)),"")</f>
        <v/>
      </c>
      <c r="G2446" s="7" t="s">
        <v>1994</v>
      </c>
    </row>
    <row r="2447" customFormat="false" ht="15" hidden="false" customHeight="false" outlineLevel="0" collapsed="false">
      <c r="A2447" s="7" t="s">
        <v>3991</v>
      </c>
      <c r="B2447" s="7" t="n">
        <v>1990.66</v>
      </c>
      <c r="C2447" s="7" t="n">
        <f aca="false">AVERAGE(B2398:B2447)</f>
        <v>2115.5888</v>
      </c>
      <c r="D2447" s="7" t="n">
        <f aca="false">AVERAGE(B2248:B2447)</f>
        <v>2177.87145</v>
      </c>
      <c r="E2447" s="7" t="n">
        <f aca="false">B2447/MAX(B2196:B2447)-1</f>
        <v>-0.237881937664864</v>
      </c>
      <c r="F2447" s="7" t="str">
        <f aca="false">IFERROR(INDEX(02_轉折點45個!B:B,MATCH(A2447,02_轉折點45個!A:A,0)),"")</f>
        <v/>
      </c>
      <c r="G2447" s="7" t="s">
        <v>1994</v>
      </c>
    </row>
    <row r="2448" customFormat="false" ht="15" hidden="false" customHeight="false" outlineLevel="0" collapsed="false">
      <c r="A2448" s="7" t="s">
        <v>3992</v>
      </c>
      <c r="B2448" s="7" t="n">
        <v>1967.22</v>
      </c>
      <c r="C2448" s="7" t="n">
        <f aca="false">AVERAGE(B2399:B2448)</f>
        <v>2114.5008</v>
      </c>
      <c r="D2448" s="7" t="n">
        <f aca="false">AVERAGE(B2249:B2448)</f>
        <v>2175.33305</v>
      </c>
      <c r="E2448" s="7" t="n">
        <f aca="false">B2448/MAX(B2197:B2448)-1</f>
        <v>-0.246855869617651</v>
      </c>
      <c r="F2448" s="7" t="str">
        <f aca="false">IFERROR(INDEX(02_轉折點45個!B:B,MATCH(A2448,02_轉折點45個!A:A,0)),"")</f>
        <v/>
      </c>
      <c r="G2448" s="7" t="s">
        <v>1994</v>
      </c>
    </row>
    <row r="2449" customFormat="false" ht="15" hidden="false" customHeight="false" outlineLevel="0" collapsed="false">
      <c r="A2449" s="7" t="s">
        <v>3993</v>
      </c>
      <c r="B2449" s="7" t="n">
        <v>1969.37</v>
      </c>
      <c r="C2449" s="7" t="n">
        <f aca="false">AVERAGE(B2400:B2449)</f>
        <v>2113.404</v>
      </c>
      <c r="D2449" s="7" t="n">
        <f aca="false">AVERAGE(B2250:B2449)</f>
        <v>2172.81855</v>
      </c>
      <c r="E2449" s="7" t="n">
        <f aca="false">B2449/MAX(B2198:B2449)-1</f>
        <v>-0.246032748726077</v>
      </c>
      <c r="F2449" s="7" t="str">
        <f aca="false">IFERROR(INDEX(02_轉折點45個!B:B,MATCH(A2449,02_轉折點45個!A:A,0)),"")</f>
        <v/>
      </c>
      <c r="G2449" s="7" t="s">
        <v>1994</v>
      </c>
    </row>
    <row r="2450" customFormat="false" ht="15" hidden="false" customHeight="false" outlineLevel="0" collapsed="false">
      <c r="A2450" s="7" t="s">
        <v>808</v>
      </c>
      <c r="B2450" s="7" t="n">
        <v>1997.59</v>
      </c>
      <c r="C2450" s="7" t="n">
        <f aca="false">AVERAGE(B2401:B2450)</f>
        <v>2111.6082</v>
      </c>
      <c r="D2450" s="7" t="n">
        <f aca="false">AVERAGE(B2251:B2450)</f>
        <v>2170.3867</v>
      </c>
      <c r="E2450" s="7" t="n">
        <f aca="false">B2450/MAX(B2199:B2450)-1</f>
        <v>-0.235228808465511</v>
      </c>
      <c r="F2450" s="7" t="str">
        <f aca="false">IFERROR(INDEX(02_轉折點45個!B:B,MATCH(A2450,02_轉折點45個!A:A,0)),"")</f>
        <v/>
      </c>
      <c r="G2450" s="7" t="s">
        <v>1994</v>
      </c>
    </row>
    <row r="2451" customFormat="false" ht="15" hidden="false" customHeight="false" outlineLevel="0" collapsed="false">
      <c r="A2451" s="7" t="s">
        <v>3994</v>
      </c>
      <c r="B2451" s="7" t="n">
        <v>1994.64</v>
      </c>
      <c r="C2451" s="7" t="n">
        <f aca="false">AVERAGE(B2402:B2451)</f>
        <v>2109.252</v>
      </c>
      <c r="D2451" s="7" t="n">
        <f aca="false">AVERAGE(B2252:B2451)</f>
        <v>2168.24435</v>
      </c>
      <c r="E2451" s="7" t="n">
        <f aca="false">B2451/MAX(B2200:B2451)-1</f>
        <v>-0.236358206898136</v>
      </c>
      <c r="F2451" s="7" t="str">
        <f aca="false">IFERROR(INDEX(02_轉折點45個!B:B,MATCH(A2451,02_轉折點45個!A:A,0)),"")</f>
        <v/>
      </c>
      <c r="G2451" s="7" t="s">
        <v>1994</v>
      </c>
    </row>
    <row r="2452" customFormat="false" ht="15" hidden="false" customHeight="false" outlineLevel="0" collapsed="false">
      <c r="A2452" s="7" t="s">
        <v>809</v>
      </c>
      <c r="B2452" s="7" t="n">
        <v>1812.28</v>
      </c>
      <c r="C2452" s="7" t="n">
        <f aca="false">AVERAGE(B2403:B2452)</f>
        <v>2103.7878</v>
      </c>
      <c r="D2452" s="7" t="n">
        <f aca="false">AVERAGE(B2253:B2452)</f>
        <v>2165.10435</v>
      </c>
      <c r="E2452" s="7" t="n">
        <f aca="false">B2452/MAX(B2201:B2452)-1</f>
        <v>-0.306174172380657</v>
      </c>
      <c r="F2452" s="7" t="str">
        <f aca="false">IFERROR(INDEX(02_轉折點45個!B:B,MATCH(A2452,02_轉折點45個!A:A,0)),"")</f>
        <v/>
      </c>
      <c r="G2452" s="7" t="s">
        <v>1994</v>
      </c>
    </row>
    <row r="2453" customFormat="false" ht="15" hidden="false" customHeight="false" outlineLevel="0" collapsed="false">
      <c r="A2453" s="7" t="s">
        <v>3995</v>
      </c>
      <c r="B2453" s="7" t="n">
        <v>1911.08</v>
      </c>
      <c r="C2453" s="7" t="n">
        <f aca="false">AVERAGE(B2404:B2453)</f>
        <v>2100.359</v>
      </c>
      <c r="D2453" s="7" t="n">
        <f aca="false">AVERAGE(B2254:B2453)</f>
        <v>2162.47045</v>
      </c>
      <c r="E2453" s="7" t="n">
        <f aca="false">B2453/MAX(B2202:B2453)-1</f>
        <v>-0.268348896060888</v>
      </c>
      <c r="F2453" s="7" t="str">
        <f aca="false">IFERROR(INDEX(02_轉折點45個!B:B,MATCH(A2453,02_轉折點45個!A:A,0)),"")</f>
        <v/>
      </c>
      <c r="G2453" s="7" t="s">
        <v>1994</v>
      </c>
    </row>
    <row r="2454" customFormat="false" ht="15" hidden="false" customHeight="false" outlineLevel="0" collapsed="false">
      <c r="A2454" s="7" t="s">
        <v>3996</v>
      </c>
      <c r="B2454" s="7" t="n">
        <v>1890.55</v>
      </c>
      <c r="C2454" s="7" t="n">
        <f aca="false">AVERAGE(B2405:B2454)</f>
        <v>2096.0734</v>
      </c>
      <c r="D2454" s="7" t="n">
        <f aca="false">AVERAGE(B2255:B2454)</f>
        <v>2159.8835</v>
      </c>
      <c r="E2454" s="7" t="n">
        <f aca="false">B2454/MAX(B2203:B2454)-1</f>
        <v>-0.276208743458103</v>
      </c>
      <c r="F2454" s="7" t="str">
        <f aca="false">IFERROR(INDEX(02_轉折點45個!B:B,MATCH(A2454,02_轉折點45個!A:A,0)),"")</f>
        <v/>
      </c>
      <c r="G2454" s="7" t="s">
        <v>1994</v>
      </c>
    </row>
    <row r="2455" customFormat="false" ht="15" hidden="false" customHeight="false" outlineLevel="0" collapsed="false">
      <c r="A2455" s="7" t="s">
        <v>810</v>
      </c>
      <c r="B2455" s="7" t="n">
        <v>1805.88</v>
      </c>
      <c r="C2455" s="7" t="n">
        <f aca="false">AVERAGE(B2406:B2455)</f>
        <v>2089.6938</v>
      </c>
      <c r="D2455" s="7" t="n">
        <f aca="false">AVERAGE(B2256:B2455)</f>
        <v>2157.1531</v>
      </c>
      <c r="E2455" s="7" t="n">
        <f aca="false">B2455/MAX(B2204:B2455)-1</f>
        <v>-0.308624392709063</v>
      </c>
      <c r="F2455" s="7" t="str">
        <f aca="false">IFERROR(INDEX(02_轉折點45個!B:B,MATCH(A2455,02_轉折點45個!A:A,0)),"")</f>
        <v/>
      </c>
      <c r="G2455" s="7" t="s">
        <v>1994</v>
      </c>
    </row>
    <row r="2456" customFormat="false" ht="15" hidden="false" customHeight="false" outlineLevel="0" collapsed="false">
      <c r="A2456" s="7" t="s">
        <v>811</v>
      </c>
      <c r="B2456" s="7" t="n">
        <v>1779.08</v>
      </c>
      <c r="C2456" s="7" t="n">
        <f aca="false">AVERAGE(B2407:B2456)</f>
        <v>2083.6144</v>
      </c>
      <c r="D2456" s="7" t="n">
        <f aca="false">AVERAGE(B2257:B2456)</f>
        <v>2154.1902</v>
      </c>
      <c r="E2456" s="7" t="n">
        <f aca="false">B2456/MAX(B2205:B2456)-1</f>
        <v>-0.318884690334264</v>
      </c>
      <c r="F2456" s="7" t="str">
        <f aca="false">IFERROR(INDEX(02_轉折點45個!B:B,MATCH(A2456,02_轉折點45個!A:A,0)),"")</f>
        <v/>
      </c>
      <c r="G2456" s="7" t="s">
        <v>1994</v>
      </c>
    </row>
    <row r="2457" customFormat="false" ht="15" hidden="false" customHeight="false" outlineLevel="0" collapsed="false">
      <c r="A2457" s="7" t="s">
        <v>3997</v>
      </c>
      <c r="B2457" s="7" t="n">
        <v>1701.95</v>
      </c>
      <c r="C2457" s="7" t="n">
        <f aca="false">AVERAGE(B2408:B2457)</f>
        <v>2075.4366</v>
      </c>
      <c r="D2457" s="7" t="n">
        <f aca="false">AVERAGE(B2258:B2457)</f>
        <v>2150.8189</v>
      </c>
      <c r="E2457" s="7" t="n">
        <f aca="false">B2457/MAX(B2206:B2457)-1</f>
        <v>-0.34841367376082</v>
      </c>
      <c r="F2457" s="7" t="str">
        <f aca="false">IFERROR(INDEX(02_轉折點45個!B:B,MATCH(A2457,02_轉折點45個!A:A,0)),"")</f>
        <v/>
      </c>
      <c r="G2457" s="7" t="s">
        <v>1994</v>
      </c>
    </row>
    <row r="2458" customFormat="false" ht="15" hidden="false" customHeight="false" outlineLevel="0" collapsed="false">
      <c r="A2458" s="7" t="s">
        <v>3998</v>
      </c>
      <c r="B2458" s="7" t="n">
        <v>1603.21</v>
      </c>
      <c r="C2458" s="7" t="n">
        <f aca="false">AVERAGE(B2409:B2458)</f>
        <v>2066.1302</v>
      </c>
      <c r="D2458" s="7" t="n">
        <f aca="false">AVERAGE(B2259:B2458)</f>
        <v>2146.77185</v>
      </c>
      <c r="E2458" s="7" t="n">
        <f aca="false">B2458/MAX(B2207:B2458)-1</f>
        <v>-0.386215979265011</v>
      </c>
      <c r="F2458" s="7" t="str">
        <f aca="false">IFERROR(INDEX(02_轉折點45個!B:B,MATCH(A2458,02_轉折點45個!A:A,0)),"")</f>
        <v/>
      </c>
      <c r="G2458" s="7" t="s">
        <v>1994</v>
      </c>
    </row>
    <row r="2459" customFormat="false" ht="15" hidden="false" customHeight="false" outlineLevel="0" collapsed="false">
      <c r="A2459" s="7" t="s">
        <v>3999</v>
      </c>
      <c r="B2459" s="7" t="n">
        <v>1589.92</v>
      </c>
      <c r="C2459" s="7" t="n">
        <f aca="false">AVERAGE(B2410:B2459)</f>
        <v>2055.5458</v>
      </c>
      <c r="D2459" s="7" t="n">
        <f aca="false">AVERAGE(B2260:B2459)</f>
        <v>2142.4248</v>
      </c>
      <c r="E2459" s="7" t="n">
        <f aca="false">B2459/MAX(B2208:B2459)-1</f>
        <v>-0.391304014915716</v>
      </c>
      <c r="F2459" s="7" t="str">
        <f aca="false">IFERROR(INDEX(02_轉折點45個!B:B,MATCH(A2459,02_轉折點45個!A:A,0)),"")</f>
        <v/>
      </c>
      <c r="G2459" s="7" t="s">
        <v>1994</v>
      </c>
    </row>
    <row r="2460" customFormat="false" ht="15" hidden="false" customHeight="false" outlineLevel="0" collapsed="false">
      <c r="A2460" s="7" t="s">
        <v>4000</v>
      </c>
      <c r="B2460" s="7" t="n">
        <v>1502.94</v>
      </c>
      <c r="C2460" s="7" t="n">
        <f aca="false">AVERAGE(B2411:B2460)</f>
        <v>2043.0372</v>
      </c>
      <c r="D2460" s="7" t="n">
        <f aca="false">AVERAGE(B2261:B2460)</f>
        <v>2137.5446</v>
      </c>
      <c r="E2460" s="7" t="n">
        <f aca="false">B2460/MAX(B2209:B2460)-1</f>
        <v>-0.42460404056646</v>
      </c>
      <c r="F2460" s="7" t="str">
        <f aca="false">IFERROR(INDEX(02_轉折點45個!B:B,MATCH(A2460,02_轉折點45個!A:A,0)),"")</f>
        <v/>
      </c>
      <c r="G2460" s="7" t="s">
        <v>1994</v>
      </c>
    </row>
    <row r="2461" customFormat="false" ht="15" hidden="false" customHeight="false" outlineLevel="0" collapsed="false">
      <c r="A2461" s="7" t="s">
        <v>4001</v>
      </c>
      <c r="B2461" s="7" t="n">
        <v>1506.95</v>
      </c>
      <c r="C2461" s="7" t="n">
        <f aca="false">AVERAGE(B2412:B2461)</f>
        <v>2030.685</v>
      </c>
      <c r="D2461" s="7" t="n">
        <f aca="false">AVERAGE(B2262:B2461)</f>
        <v>2132.6346</v>
      </c>
      <c r="E2461" s="7" t="n">
        <f aca="false">B2461/MAX(B2210:B2461)-1</f>
        <v>-0.423068824391943</v>
      </c>
      <c r="F2461" s="7" t="str">
        <f aca="false">IFERROR(INDEX(02_轉折點45個!B:B,MATCH(A2461,02_轉折點45個!A:A,0)),"")</f>
        <v/>
      </c>
      <c r="G2461" s="7" t="s">
        <v>1994</v>
      </c>
    </row>
    <row r="2462" customFormat="false" ht="15" hidden="false" customHeight="false" outlineLevel="0" collapsed="false">
      <c r="A2462" s="7" t="s">
        <v>4002</v>
      </c>
      <c r="B2462" s="7" t="n">
        <v>1684.86</v>
      </c>
      <c r="C2462" s="7" t="n">
        <f aca="false">AVERAGE(B2413:B2462)</f>
        <v>2022.1576</v>
      </c>
      <c r="D2462" s="7" t="n">
        <f aca="false">AVERAGE(B2263:B2462)</f>
        <v>2128.8317</v>
      </c>
      <c r="E2462" s="7" t="n">
        <f aca="false">B2462/MAX(B2211:B2462)-1</f>
        <v>-0.354956527731517</v>
      </c>
      <c r="F2462" s="7" t="str">
        <f aca="false">IFERROR(INDEX(02_轉折點45個!B:B,MATCH(A2462,02_轉折點45個!A:A,0)),"")</f>
        <v/>
      </c>
      <c r="G2462" s="7" t="s">
        <v>1994</v>
      </c>
    </row>
    <row r="2463" customFormat="false" ht="15" hidden="false" customHeight="false" outlineLevel="0" collapsed="false">
      <c r="A2463" s="7" t="s">
        <v>4003</v>
      </c>
      <c r="B2463" s="7" t="n">
        <v>1625.25</v>
      </c>
      <c r="C2463" s="7" t="n">
        <f aca="false">AVERAGE(B2414:B2463)</f>
        <v>2012.902</v>
      </c>
      <c r="D2463" s="7" t="n">
        <f aca="false">AVERAGE(B2264:B2463)</f>
        <v>2124.7414</v>
      </c>
      <c r="E2463" s="7" t="n">
        <f aca="false">B2463/MAX(B2212:B2463)-1</f>
        <v>-0.377778033009062</v>
      </c>
      <c r="F2463" s="7" t="str">
        <f aca="false">IFERROR(INDEX(02_轉折點45個!B:B,MATCH(A2463,02_轉折點45個!A:A,0)),"")</f>
        <v/>
      </c>
      <c r="G2463" s="7" t="s">
        <v>1994</v>
      </c>
    </row>
    <row r="2464" customFormat="false" ht="15" hidden="false" customHeight="false" outlineLevel="0" collapsed="false">
      <c r="A2464" s="7" t="s">
        <v>4004</v>
      </c>
      <c r="B2464" s="7" t="n">
        <v>1487.6</v>
      </c>
      <c r="C2464" s="7" t="n">
        <f aca="false">AVERAGE(B2415:B2464)</f>
        <v>1999.7192</v>
      </c>
      <c r="D2464" s="7" t="n">
        <f aca="false">AVERAGE(B2265:B2464)</f>
        <v>2120.06415</v>
      </c>
      <c r="E2464" s="7" t="n">
        <f aca="false">B2464/MAX(B2213:B2464)-1</f>
        <v>-0.430476912416109</v>
      </c>
      <c r="F2464" s="7" t="str">
        <f aca="false">IFERROR(INDEX(02_轉折點45個!B:B,MATCH(A2464,02_轉折點45個!A:A,0)),"")</f>
        <v/>
      </c>
      <c r="G2464" s="7" t="s">
        <v>1994</v>
      </c>
    </row>
    <row r="2465" customFormat="false" ht="15" hidden="false" customHeight="false" outlineLevel="0" collapsed="false">
      <c r="A2465" s="7" t="s">
        <v>4005</v>
      </c>
      <c r="B2465" s="7" t="n">
        <v>1569.25</v>
      </c>
      <c r="C2465" s="7" t="n">
        <f aca="false">AVERAGE(B2416:B2465)</f>
        <v>1987.648</v>
      </c>
      <c r="D2465" s="7" t="n">
        <f aca="false">AVERAGE(B2266:B2465)</f>
        <v>2115.98995</v>
      </c>
      <c r="E2465" s="7" t="n">
        <f aca="false">B2465/MAX(B2214:B2465)-1</f>
        <v>-0.399217460882615</v>
      </c>
      <c r="F2465" s="7" t="str">
        <f aca="false">IFERROR(INDEX(02_轉折點45個!B:B,MATCH(A2465,02_轉折點45個!A:A,0)),"")</f>
        <v/>
      </c>
      <c r="G2465" s="7" t="s">
        <v>1994</v>
      </c>
    </row>
    <row r="2466" customFormat="false" ht="15" hidden="false" customHeight="false" outlineLevel="0" collapsed="false">
      <c r="A2466" s="7" t="s">
        <v>812</v>
      </c>
      <c r="B2466" s="7" t="n">
        <v>1563.39</v>
      </c>
      <c r="C2466" s="7" t="n">
        <f aca="false">AVERAGE(B2417:B2466)</f>
        <v>1975.8732</v>
      </c>
      <c r="D2466" s="7" t="n">
        <f aca="false">AVERAGE(B2267:B2466)</f>
        <v>2111.9182</v>
      </c>
      <c r="E2466" s="7" t="n">
        <f aca="false">B2466/MAX(B2215:B2466)-1</f>
        <v>-0.401460943870812</v>
      </c>
      <c r="F2466" s="7" t="str">
        <f aca="false">IFERROR(INDEX(02_轉折點45個!B:B,MATCH(A2466,02_轉折點45個!A:A,0)),"")</f>
        <v/>
      </c>
      <c r="G2466" s="7" t="s">
        <v>1994</v>
      </c>
    </row>
    <row r="2467" customFormat="false" ht="15" hidden="false" customHeight="false" outlineLevel="0" collapsed="false">
      <c r="A2467" s="7" t="s">
        <v>4006</v>
      </c>
      <c r="B2467" s="7" t="n">
        <v>1617.05</v>
      </c>
      <c r="C2467" s="7" t="n">
        <f aca="false">AVERAGE(B2418:B2467)</f>
        <v>1964.105</v>
      </c>
      <c r="D2467" s="7" t="n">
        <f aca="false">AVERAGE(B2268:B2467)</f>
        <v>2108.56255</v>
      </c>
      <c r="E2467" s="7" t="n">
        <f aca="false">B2467/MAX(B2216:B2467)-1</f>
        <v>-0.380917377804832</v>
      </c>
      <c r="F2467" s="7" t="str">
        <f aca="false">IFERROR(INDEX(02_轉折點45個!B:B,MATCH(A2467,02_轉折點45個!A:A,0)),"")</f>
        <v/>
      </c>
      <c r="G2467" s="7" t="s">
        <v>1994</v>
      </c>
    </row>
    <row r="2468" customFormat="false" ht="15" hidden="false" customHeight="false" outlineLevel="0" collapsed="false">
      <c r="A2468" s="7" t="s">
        <v>4007</v>
      </c>
      <c r="B2468" s="7" t="n">
        <v>1550.04</v>
      </c>
      <c r="C2468" s="7" t="n">
        <f aca="false">AVERAGE(B2419:B2468)</f>
        <v>1950.5244</v>
      </c>
      <c r="D2468" s="7" t="n">
        <f aca="false">AVERAGE(B2269:B2468)</f>
        <v>2104.89555</v>
      </c>
      <c r="E2468" s="7" t="n">
        <f aca="false">B2468/MAX(B2217:B2468)-1</f>
        <v>-0.406571950337097</v>
      </c>
      <c r="F2468" s="7" t="str">
        <f aca="false">IFERROR(INDEX(02_轉折點45個!B:B,MATCH(A2468,02_轉折點45個!A:A,0)),"")</f>
        <v/>
      </c>
      <c r="G2468" s="7" t="s">
        <v>1994</v>
      </c>
    </row>
    <row r="2469" customFormat="false" ht="15" hidden="false" customHeight="false" outlineLevel="0" collapsed="false">
      <c r="A2469" s="7" t="s">
        <v>813</v>
      </c>
      <c r="B2469" s="7" t="n">
        <v>1476.1</v>
      </c>
      <c r="C2469" s="7" t="n">
        <f aca="false">AVERAGE(B2420:B2469)</f>
        <v>1935.6356</v>
      </c>
      <c r="D2469" s="7" t="n">
        <f aca="false">AVERAGE(B2270:B2469)</f>
        <v>2101.12815</v>
      </c>
      <c r="E2469" s="7" t="n">
        <f aca="false">B2469/MAX(B2218:B2469)-1</f>
        <v>-0.434879652068714</v>
      </c>
      <c r="F2469" s="7" t="str">
        <f aca="false">IFERROR(INDEX(02_轉折點45個!B:B,MATCH(A2469,02_轉折點45個!A:A,0)),"")</f>
        <v/>
      </c>
      <c r="G2469" s="7" t="s">
        <v>1994</v>
      </c>
    </row>
    <row r="2470" customFormat="false" ht="15" hidden="false" customHeight="false" outlineLevel="0" collapsed="false">
      <c r="A2470" s="7" t="s">
        <v>814</v>
      </c>
      <c r="B2470" s="7" t="n">
        <v>1465.29</v>
      </c>
      <c r="C2470" s="7" t="n">
        <f aca="false">AVERAGE(B2421:B2470)</f>
        <v>1920.567</v>
      </c>
      <c r="D2470" s="7" t="n">
        <f aca="false">AVERAGE(B2271:B2470)</f>
        <v>2097.1512</v>
      </c>
      <c r="E2470" s="7" t="n">
        <f aca="false">B2470/MAX(B2219:B2470)-1</f>
        <v>-0.439018227342162</v>
      </c>
      <c r="F2470" s="7" t="str">
        <f aca="false">IFERROR(INDEX(02_轉折點45個!B:B,MATCH(A2470,02_轉折點45個!A:A,0)),"")</f>
        <v/>
      </c>
      <c r="G2470" s="7" t="s">
        <v>1994</v>
      </c>
    </row>
    <row r="2471" customFormat="false" ht="15" hidden="false" customHeight="false" outlineLevel="0" collapsed="false">
      <c r="A2471" s="7" t="s">
        <v>815</v>
      </c>
      <c r="B2471" s="7" t="n">
        <v>1417.89</v>
      </c>
      <c r="C2471" s="7" t="n">
        <f aca="false">AVERAGE(B2422:B2471)</f>
        <v>1904.0926</v>
      </c>
      <c r="D2471" s="7" t="n">
        <f aca="false">AVERAGE(B2272:B2471)</f>
        <v>2092.87345</v>
      </c>
      <c r="E2471" s="7" t="n">
        <f aca="false">B2471/MAX(B2220:B2471)-1</f>
        <v>-0.457165171649419</v>
      </c>
      <c r="F2471" s="7" t="str">
        <f aca="false">IFERROR(INDEX(02_轉折點45個!B:B,MATCH(A2471,02_轉折點45個!A:A,0)),"")</f>
        <v/>
      </c>
      <c r="G2471" s="7" t="s">
        <v>1994</v>
      </c>
    </row>
    <row r="2472" customFormat="false" ht="15" hidden="false" customHeight="false" outlineLevel="0" collapsed="false">
      <c r="A2472" s="7" t="s">
        <v>135</v>
      </c>
      <c r="B2472" s="7" t="n">
        <v>1375.75</v>
      </c>
      <c r="C2472" s="7" t="n">
        <f aca="false">AVERAGE(B2423:B2472)</f>
        <v>1886.7964</v>
      </c>
      <c r="D2472" s="7" t="n">
        <f aca="false">AVERAGE(B2273:B2472)</f>
        <v>2088.6069</v>
      </c>
      <c r="E2472" s="7" t="n">
        <f aca="false">B2472/MAX(B2221:B2472)-1</f>
        <v>-0.473298341124268</v>
      </c>
      <c r="F2472" s="7" t="str">
        <f aca="false">IFERROR(INDEX(02_轉折點45個!B:B,MATCH(A2472,02_轉折點45個!A:A,0)),"")</f>
        <v>BOTTOM</v>
      </c>
      <c r="G2472" s="7" t="s">
        <v>1994</v>
      </c>
    </row>
    <row r="2473" customFormat="false" ht="15" hidden="false" customHeight="false" outlineLevel="0" collapsed="false">
      <c r="A2473" s="7" t="s">
        <v>4008</v>
      </c>
      <c r="B2473" s="7" t="n">
        <v>1506.91</v>
      </c>
      <c r="C2473" s="7" t="n">
        <f aca="false">AVERAGE(B2424:B2473)</f>
        <v>1872.7728</v>
      </c>
      <c r="D2473" s="7" t="n">
        <f aca="false">AVERAGE(B2274:B2473)</f>
        <v>2084.8209</v>
      </c>
      <c r="E2473" s="7" t="n">
        <f aca="false">B2473/MAX(B2222:B2473)-1</f>
        <v>-0.423084138268996</v>
      </c>
      <c r="F2473" s="7" t="str">
        <f aca="false">IFERROR(INDEX(02_轉折點45個!B:B,MATCH(A2473,02_轉折點45個!A:A,0)),"")</f>
        <v/>
      </c>
      <c r="G2473" s="7" t="s">
        <v>1994</v>
      </c>
    </row>
    <row r="2474" customFormat="false" ht="15" hidden="false" customHeight="false" outlineLevel="0" collapsed="false">
      <c r="A2474" s="7" t="s">
        <v>4009</v>
      </c>
      <c r="B2474" s="7" t="n">
        <v>1513.98</v>
      </c>
      <c r="C2474" s="7" t="n">
        <f aca="false">AVERAGE(B2425:B2474)</f>
        <v>1859.4866</v>
      </c>
      <c r="D2474" s="7" t="n">
        <f aca="false">AVERAGE(B2275:B2474)</f>
        <v>2081.3476</v>
      </c>
      <c r="E2474" s="7" t="n">
        <f aca="false">B2474/MAX(B2223:B2474)-1</f>
        <v>-0.42037741049996</v>
      </c>
      <c r="F2474" s="7" t="str">
        <f aca="false">IFERROR(INDEX(02_轉折點45個!B:B,MATCH(A2474,02_轉折點45個!A:A,0)),"")</f>
        <v/>
      </c>
      <c r="G2474" s="7" t="s">
        <v>1994</v>
      </c>
    </row>
    <row r="2475" customFormat="false" ht="15" hidden="false" customHeight="false" outlineLevel="0" collapsed="false">
      <c r="A2475" s="7" t="s">
        <v>4010</v>
      </c>
      <c r="B2475" s="7" t="n">
        <v>1551.72</v>
      </c>
      <c r="C2475" s="7" t="n">
        <f aca="false">AVERAGE(B2426:B2475)</f>
        <v>1846.869</v>
      </c>
      <c r="D2475" s="7" t="n">
        <f aca="false">AVERAGE(B2276:B2475)</f>
        <v>2078.16805</v>
      </c>
      <c r="E2475" s="7" t="n">
        <f aca="false">B2475/MAX(B2224:B2475)-1</f>
        <v>-0.398793495569564</v>
      </c>
      <c r="F2475" s="7" t="str">
        <f aca="false">IFERROR(INDEX(02_轉折點45個!B:B,MATCH(A2475,02_轉折點45個!A:A,0)),"")</f>
        <v/>
      </c>
      <c r="G2475" s="7" t="s">
        <v>1994</v>
      </c>
    </row>
    <row r="2476" customFormat="false" ht="15" hidden="false" customHeight="false" outlineLevel="0" collapsed="false">
      <c r="A2476" s="7" t="s">
        <v>816</v>
      </c>
      <c r="B2476" s="7" t="n">
        <v>1572.21</v>
      </c>
      <c r="C2476" s="7" t="n">
        <f aca="false">AVERAGE(B2427:B2476)</f>
        <v>1834.8202</v>
      </c>
      <c r="D2476" s="7" t="n">
        <f aca="false">AVERAGE(B2277:B2476)</f>
        <v>2075.3088</v>
      </c>
      <c r="E2476" s="7" t="n">
        <f aca="false">B2476/MAX(B2225:B2476)-1</f>
        <v>-0.390854742910721</v>
      </c>
      <c r="F2476" s="7" t="str">
        <f aca="false">IFERROR(INDEX(02_轉折點45個!B:B,MATCH(A2476,02_轉折點45個!A:A,0)),"")</f>
        <v/>
      </c>
      <c r="G2476" s="7" t="s">
        <v>1994</v>
      </c>
    </row>
    <row r="2477" customFormat="false" ht="15" hidden="false" customHeight="false" outlineLevel="0" collapsed="false">
      <c r="A2477" s="7" t="s">
        <v>4011</v>
      </c>
      <c r="B2477" s="7" t="n">
        <v>1577.13</v>
      </c>
      <c r="C2477" s="7" t="n">
        <f aca="false">AVERAGE(B2428:B2477)</f>
        <v>1822.2426</v>
      </c>
      <c r="D2477" s="7" t="n">
        <f aca="false">AVERAGE(B2278:B2477)</f>
        <v>2072.50555</v>
      </c>
      <c r="E2477" s="7" t="n">
        <f aca="false">B2477/MAX(B2226:B2477)-1</f>
        <v>-0.388948512404059</v>
      </c>
      <c r="F2477" s="7" t="str">
        <f aca="false">IFERROR(INDEX(02_轉折點45個!B:B,MATCH(A2477,02_轉折點45個!A:A,0)),"")</f>
        <v/>
      </c>
      <c r="G2477" s="7" t="s">
        <v>1994</v>
      </c>
    </row>
    <row r="2478" customFormat="false" ht="15" hidden="false" customHeight="false" outlineLevel="0" collapsed="false">
      <c r="A2478" s="7" t="s">
        <v>136</v>
      </c>
      <c r="B2478" s="7" t="n">
        <v>1626.27</v>
      </c>
      <c r="C2478" s="7" t="n">
        <f aca="false">AVERAGE(B2429:B2478)</f>
        <v>1811.5452</v>
      </c>
      <c r="D2478" s="7" t="n">
        <f aca="false">AVERAGE(B2279:B2478)</f>
        <v>2070.1661</v>
      </c>
      <c r="E2478" s="7" t="n">
        <f aca="false">B2478/MAX(B2227:B2478)-1</f>
        <v>-0.369909454050934</v>
      </c>
      <c r="F2478" s="7" t="str">
        <f aca="false">IFERROR(INDEX(02_轉折點45個!B:B,MATCH(A2478,02_轉折點45個!A:A,0)),"")</f>
        <v>TOP</v>
      </c>
      <c r="G2478" s="7" t="s">
        <v>1994</v>
      </c>
    </row>
    <row r="2479" customFormat="false" ht="15" hidden="false" customHeight="false" outlineLevel="0" collapsed="false">
      <c r="A2479" s="7" t="s">
        <v>4012</v>
      </c>
      <c r="B2479" s="7" t="n">
        <v>1536.3</v>
      </c>
      <c r="C2479" s="7" t="n">
        <f aca="false">AVERAGE(B2430:B2479)</f>
        <v>1799.1146</v>
      </c>
      <c r="D2479" s="7" t="n">
        <f aca="false">AVERAGE(B2280:B2479)</f>
        <v>2067.26655</v>
      </c>
      <c r="E2479" s="7" t="n">
        <f aca="false">B2479/MAX(B2228:B2479)-1</f>
        <v>-0.388218334733732</v>
      </c>
      <c r="F2479" s="7" t="str">
        <f aca="false">IFERROR(INDEX(02_轉折點45個!B:B,MATCH(A2479,02_轉折點45個!A:A,0)),"")</f>
        <v/>
      </c>
      <c r="G2479" s="7" t="s">
        <v>1994</v>
      </c>
    </row>
    <row r="2480" customFormat="false" ht="15" hidden="false" customHeight="false" outlineLevel="0" collapsed="false">
      <c r="A2480" s="7" t="s">
        <v>4013</v>
      </c>
      <c r="B2480" s="7" t="n">
        <v>1469.66</v>
      </c>
      <c r="C2480" s="7" t="n">
        <f aca="false">AVERAGE(B2431:B2480)</f>
        <v>1784.9768</v>
      </c>
      <c r="D2480" s="7" t="n">
        <f aca="false">AVERAGE(B2281:B2480)</f>
        <v>2063.8305</v>
      </c>
      <c r="E2480" s="7" t="n">
        <f aca="false">B2480/MAX(B2229:B2480)-1</f>
        <v>-0.409526105385805</v>
      </c>
      <c r="F2480" s="7" t="str">
        <f aca="false">IFERROR(INDEX(02_轉折點45個!B:B,MATCH(A2480,02_轉折點45個!A:A,0)),"")</f>
        <v/>
      </c>
      <c r="G2480" s="7" t="s">
        <v>1994</v>
      </c>
    </row>
    <row r="2481" customFormat="false" ht="15" hidden="false" customHeight="false" outlineLevel="0" collapsed="false">
      <c r="A2481" s="7" t="s">
        <v>4014</v>
      </c>
      <c r="B2481" s="7" t="n">
        <v>1505.02</v>
      </c>
      <c r="C2481" s="7" t="n">
        <f aca="false">AVERAGE(B2432:B2481)</f>
        <v>1771.013</v>
      </c>
      <c r="D2481" s="7" t="n">
        <f aca="false">AVERAGE(B2282:B2481)</f>
        <v>2060.72985</v>
      </c>
      <c r="E2481" s="7" t="n">
        <f aca="false">B2481/MAX(B2230:B2481)-1</f>
        <v>-0.395319311356194</v>
      </c>
      <c r="F2481" s="7" t="str">
        <f aca="false">IFERROR(INDEX(02_轉折點45個!B:B,MATCH(A2481,02_轉折點45個!A:A,0)),"")</f>
        <v/>
      </c>
      <c r="G2481" s="7" t="s">
        <v>1994</v>
      </c>
    </row>
    <row r="2482" customFormat="false" ht="15" hidden="false" customHeight="false" outlineLevel="0" collapsed="false">
      <c r="A2482" s="7" t="s">
        <v>4015</v>
      </c>
      <c r="B2482" s="7" t="n">
        <v>1477.01</v>
      </c>
      <c r="C2482" s="7" t="n">
        <f aca="false">AVERAGE(B2433:B2482)</f>
        <v>1757.2952</v>
      </c>
      <c r="D2482" s="7" t="n">
        <f aca="false">AVERAGE(B2283:B2482)</f>
        <v>2057.38085</v>
      </c>
      <c r="E2482" s="7" t="n">
        <f aca="false">B2482/MAX(B2231:B2482)-1</f>
        <v>-0.406573052893791</v>
      </c>
      <c r="F2482" s="7" t="str">
        <f aca="false">IFERROR(INDEX(02_轉折點45個!B:B,MATCH(A2482,02_轉折點45個!A:A,0)),"")</f>
        <v/>
      </c>
      <c r="G2482" s="7" t="s">
        <v>1994</v>
      </c>
    </row>
    <row r="2483" customFormat="false" ht="15" hidden="false" customHeight="false" outlineLevel="0" collapsed="false">
      <c r="A2483" s="7" t="s">
        <v>4016</v>
      </c>
      <c r="B2483" s="7" t="n">
        <v>1444.27</v>
      </c>
      <c r="C2483" s="7" t="n">
        <f aca="false">AVERAGE(B2434:B2483)</f>
        <v>1743.2566</v>
      </c>
      <c r="D2483" s="7" t="n">
        <f aca="false">AVERAGE(B2284:B2483)</f>
        <v>2053.8309</v>
      </c>
      <c r="E2483" s="7" t="n">
        <f aca="false">B2483/MAX(B2232:B2483)-1</f>
        <v>-0.419727194198357</v>
      </c>
      <c r="F2483" s="7" t="str">
        <f aca="false">IFERROR(INDEX(02_轉折點45個!B:B,MATCH(A2483,02_轉折點45個!A:A,0)),"")</f>
        <v/>
      </c>
      <c r="G2483" s="7" t="s">
        <v>1994</v>
      </c>
    </row>
    <row r="2484" customFormat="false" ht="15" hidden="false" customHeight="false" outlineLevel="0" collapsed="false">
      <c r="A2484" s="7" t="s">
        <v>817</v>
      </c>
      <c r="B2484" s="7" t="n">
        <v>1369.64</v>
      </c>
      <c r="C2484" s="7" t="n">
        <f aca="false">AVERAGE(B2435:B2484)</f>
        <v>1728.0088</v>
      </c>
      <c r="D2484" s="7" t="n">
        <f aca="false">AVERAGE(B2285:B2484)</f>
        <v>2049.9492</v>
      </c>
      <c r="E2484" s="7" t="n">
        <f aca="false">B2484/MAX(B2233:B2484)-1</f>
        <v>-0.44971172582816</v>
      </c>
      <c r="F2484" s="7" t="str">
        <f aca="false">IFERROR(INDEX(02_轉折點45個!B:B,MATCH(A2484,02_轉折點45個!A:A,0)),"")</f>
        <v/>
      </c>
      <c r="G2484" s="7" t="s">
        <v>1994</v>
      </c>
    </row>
    <row r="2485" customFormat="false" ht="15" hidden="false" customHeight="false" outlineLevel="0" collapsed="false">
      <c r="A2485" s="7" t="s">
        <v>4017</v>
      </c>
      <c r="B2485" s="7" t="n">
        <v>1458.7</v>
      </c>
      <c r="C2485" s="7" t="n">
        <f aca="false">AVERAGE(B2436:B2485)</f>
        <v>1715.9068</v>
      </c>
      <c r="D2485" s="7" t="n">
        <f aca="false">AVERAGE(B2286:B2485)</f>
        <v>2046.32615</v>
      </c>
      <c r="E2485" s="7" t="n">
        <f aca="false">B2485/MAX(B2234:B2485)-1</f>
        <v>-0.413929568693626</v>
      </c>
      <c r="F2485" s="7" t="str">
        <f aca="false">IFERROR(INDEX(02_轉折點45個!B:B,MATCH(A2485,02_轉折點45個!A:A,0)),"")</f>
        <v/>
      </c>
      <c r="G2485" s="7" t="s">
        <v>1994</v>
      </c>
    </row>
    <row r="2486" customFormat="false" ht="15" hidden="false" customHeight="false" outlineLevel="0" collapsed="false">
      <c r="A2486" s="7" t="s">
        <v>4018</v>
      </c>
      <c r="B2486" s="7" t="n">
        <v>1385.75</v>
      </c>
      <c r="C2486" s="7" t="n">
        <f aca="false">AVERAGE(B2437:B2486)</f>
        <v>1702.4036</v>
      </c>
      <c r="D2486" s="7" t="n">
        <f aca="false">AVERAGE(B2287:B2486)</f>
        <v>2042.231</v>
      </c>
      <c r="E2486" s="7" t="n">
        <f aca="false">B2486/MAX(B2235:B2486)-1</f>
        <v>-0.443239116896683</v>
      </c>
      <c r="F2486" s="7" t="str">
        <f aca="false">IFERROR(INDEX(02_轉折點45個!B:B,MATCH(A2486,02_轉折點45個!A:A,0)),"")</f>
        <v/>
      </c>
      <c r="G2486" s="7" t="s">
        <v>1994</v>
      </c>
    </row>
    <row r="2487" customFormat="false" ht="15" hidden="false" customHeight="false" outlineLevel="0" collapsed="false">
      <c r="A2487" s="7" t="s">
        <v>818</v>
      </c>
      <c r="B2487" s="7" t="n">
        <v>1353.96</v>
      </c>
      <c r="C2487" s="7" t="n">
        <f aca="false">AVERAGE(B2438:B2487)</f>
        <v>1688.011</v>
      </c>
      <c r="D2487" s="7" t="n">
        <f aca="false">AVERAGE(B2288:B2487)</f>
        <v>2038.11625</v>
      </c>
      <c r="E2487" s="7" t="n">
        <f aca="false">B2487/MAX(B2236:B2487)-1</f>
        <v>-0.456011571144458</v>
      </c>
      <c r="F2487" s="7" t="str">
        <f aca="false">IFERROR(INDEX(02_轉折點45個!B:B,MATCH(A2487,02_轉折點45個!A:A,0)),"")</f>
        <v/>
      </c>
      <c r="G2487" s="7" t="s">
        <v>1994</v>
      </c>
    </row>
    <row r="2488" customFormat="false" ht="15" hidden="false" customHeight="false" outlineLevel="0" collapsed="false">
      <c r="A2488" s="7" t="s">
        <v>4019</v>
      </c>
      <c r="B2488" s="7" t="n">
        <v>1355.07</v>
      </c>
      <c r="C2488" s="7" t="n">
        <f aca="false">AVERAGE(B2439:B2488)</f>
        <v>1674.736</v>
      </c>
      <c r="D2488" s="7" t="n">
        <f aca="false">AVERAGE(B2289:B2488)</f>
        <v>2034.3418</v>
      </c>
      <c r="E2488" s="7" t="n">
        <f aca="false">B2488/MAX(B2237:B2488)-1</f>
        <v>-0.455565599951787</v>
      </c>
      <c r="F2488" s="7" t="str">
        <f aca="false">IFERROR(INDEX(02_轉折點45個!B:B,MATCH(A2488,02_轉折點45個!A:A,0)),"")</f>
        <v/>
      </c>
      <c r="G2488" s="7" t="s">
        <v>1994</v>
      </c>
    </row>
    <row r="2489" customFormat="false" ht="15" hidden="false" customHeight="false" outlineLevel="0" collapsed="false">
      <c r="A2489" s="7" t="s">
        <v>819</v>
      </c>
      <c r="B2489" s="7" t="n">
        <v>1266.6</v>
      </c>
      <c r="C2489" s="7" t="n">
        <f aca="false">AVERAGE(B2440:B2489)</f>
        <v>1659.3464</v>
      </c>
      <c r="D2489" s="7" t="n">
        <f aca="false">AVERAGE(B2290:B2489)</f>
        <v>2030.2658</v>
      </c>
      <c r="E2489" s="7" t="n">
        <f aca="false">B2489/MAX(B2238:B2489)-1</f>
        <v>-0.491110709335262</v>
      </c>
      <c r="F2489" s="7" t="str">
        <f aca="false">IFERROR(INDEX(02_轉折點45個!B:B,MATCH(A2489,02_轉折點45個!A:A,0)),"")</f>
        <v/>
      </c>
      <c r="G2489" s="7" t="s">
        <v>1994</v>
      </c>
    </row>
    <row r="2490" customFormat="false" ht="15" hidden="false" customHeight="false" outlineLevel="0" collapsed="false">
      <c r="A2490" s="7" t="s">
        <v>137</v>
      </c>
      <c r="B2490" s="7" t="n">
        <v>1202.37</v>
      </c>
      <c r="C2490" s="7" t="n">
        <f aca="false">AVERAGE(B2441:B2490)</f>
        <v>1642.1328</v>
      </c>
      <c r="D2490" s="7" t="n">
        <f aca="false">AVERAGE(B2291:B2490)</f>
        <v>2025.8034</v>
      </c>
      <c r="E2490" s="7" t="n">
        <f aca="false">B2490/MAX(B2239:B2490)-1</f>
        <v>-0.516916772132827</v>
      </c>
      <c r="F2490" s="7" t="str">
        <f aca="false">IFERROR(INDEX(02_轉折點45個!B:B,MATCH(A2490,02_轉折點45個!A:A,0)),"")</f>
        <v>BOTTOM</v>
      </c>
      <c r="G2490" s="7" t="s">
        <v>1994</v>
      </c>
    </row>
    <row r="2491" customFormat="false" ht="15" hidden="false" customHeight="false" outlineLevel="0" collapsed="false">
      <c r="A2491" s="7" t="s">
        <v>4020</v>
      </c>
      <c r="B2491" s="7" t="n">
        <v>1264.7</v>
      </c>
      <c r="C2491" s="7" t="n">
        <f aca="false">AVERAGE(B2442:B2491)</f>
        <v>1626.1102</v>
      </c>
      <c r="D2491" s="7" t="n">
        <f aca="false">AVERAGE(B2292:B2491)</f>
        <v>2021.59865</v>
      </c>
      <c r="E2491" s="7" t="n">
        <f aca="false">B2491/MAX(B2240:B2491)-1</f>
        <v>-0.491874083448844</v>
      </c>
      <c r="F2491" s="7" t="str">
        <f aca="false">IFERROR(INDEX(02_轉折點45個!B:B,MATCH(A2491,02_轉折點45個!A:A,0)),"")</f>
        <v/>
      </c>
      <c r="G2491" s="7" t="s">
        <v>1994</v>
      </c>
    </row>
    <row r="2492" customFormat="false" ht="15" hidden="false" customHeight="false" outlineLevel="0" collapsed="false">
      <c r="A2492" s="7" t="s">
        <v>4021</v>
      </c>
      <c r="B2492" s="7" t="n">
        <v>1344.8</v>
      </c>
      <c r="C2492" s="7" t="n">
        <f aca="false">AVERAGE(B2443:B2492)</f>
        <v>1613.176</v>
      </c>
      <c r="D2492" s="7" t="n">
        <f aca="false">AVERAGE(B2293:B2492)</f>
        <v>2017.72495</v>
      </c>
      <c r="E2492" s="7" t="n">
        <f aca="false">B2492/MAX(B2241:B2492)-1</f>
        <v>-0.459691837923622</v>
      </c>
      <c r="F2492" s="7" t="str">
        <f aca="false">IFERROR(INDEX(02_轉折點45個!B:B,MATCH(A2492,02_轉折點45個!A:A,0)),"")</f>
        <v/>
      </c>
      <c r="G2492" s="7" t="s">
        <v>1994</v>
      </c>
    </row>
    <row r="2493" customFormat="false" ht="15" hidden="false" customHeight="false" outlineLevel="0" collapsed="false">
      <c r="A2493" s="7" t="s">
        <v>4022</v>
      </c>
      <c r="B2493" s="7" t="n">
        <v>1338.14</v>
      </c>
      <c r="C2493" s="7" t="n">
        <f aca="false">AVERAGE(B2444:B2493)</f>
        <v>1599.5972</v>
      </c>
      <c r="D2493" s="7" t="n">
        <f aca="false">AVERAGE(B2294:B2493)</f>
        <v>2013.818</v>
      </c>
      <c r="E2493" s="7" t="n">
        <f aca="false">B2493/MAX(B2242:B2493)-1</f>
        <v>-0.462367665079652</v>
      </c>
      <c r="F2493" s="7" t="str">
        <f aca="false">IFERROR(INDEX(02_轉折點45個!B:B,MATCH(A2493,02_轉折點45個!A:A,0)),"")</f>
        <v/>
      </c>
      <c r="G2493" s="7" t="s">
        <v>1994</v>
      </c>
    </row>
    <row r="2494" customFormat="false" ht="15" hidden="false" customHeight="false" outlineLevel="0" collapsed="false">
      <c r="A2494" s="7" t="s">
        <v>4023</v>
      </c>
      <c r="B2494" s="7" t="n">
        <v>1399.68</v>
      </c>
      <c r="C2494" s="7" t="n">
        <f aca="false">AVERAGE(B2445:B2494)</f>
        <v>1589.2418</v>
      </c>
      <c r="D2494" s="7" t="n">
        <f aca="false">AVERAGE(B2295:B2494)</f>
        <v>2009.9726</v>
      </c>
      <c r="E2494" s="7" t="n">
        <f aca="false">B2494/MAX(B2243:B2494)-1</f>
        <v>-0.437642379316579</v>
      </c>
      <c r="F2494" s="7" t="str">
        <f aca="false">IFERROR(INDEX(02_轉折點45個!B:B,MATCH(A2494,02_轉折點45個!A:A,0)),"")</f>
        <v/>
      </c>
      <c r="G2494" s="7" t="s">
        <v>1994</v>
      </c>
    </row>
    <row r="2495" customFormat="false" ht="15" hidden="false" customHeight="false" outlineLevel="0" collapsed="false">
      <c r="A2495" s="7" t="s">
        <v>4024</v>
      </c>
      <c r="B2495" s="7" t="n">
        <v>1402.85</v>
      </c>
      <c r="C2495" s="7" t="n">
        <f aca="false">AVERAGE(B2446:B2495)</f>
        <v>1577.118</v>
      </c>
      <c r="D2495" s="7" t="n">
        <f aca="false">AVERAGE(B2296:B2495)</f>
        <v>2006.33215</v>
      </c>
      <c r="E2495" s="7" t="n">
        <f aca="false">B2495/MAX(B2244:B2495)-1</f>
        <v>-0.436368749874445</v>
      </c>
      <c r="F2495" s="7" t="str">
        <f aca="false">IFERROR(INDEX(02_轉折點45個!B:B,MATCH(A2495,02_轉折點45個!A:A,0)),"")</f>
        <v/>
      </c>
      <c r="G2495" s="7" t="s">
        <v>1994</v>
      </c>
    </row>
    <row r="2496" customFormat="false" ht="15" hidden="false" customHeight="false" outlineLevel="0" collapsed="false">
      <c r="A2496" s="7" t="s">
        <v>4025</v>
      </c>
      <c r="B2496" s="7" t="n">
        <v>1277.24</v>
      </c>
      <c r="C2496" s="7" t="n">
        <f aca="false">AVERAGE(B2447:B2496)</f>
        <v>1561.1154</v>
      </c>
      <c r="D2496" s="7" t="n">
        <f aca="false">AVERAGE(B2297:B2496)</f>
        <v>2002.1127</v>
      </c>
      <c r="E2496" s="7" t="n">
        <f aca="false">B2496/MAX(B2245:B2496)-1</f>
        <v>-0.486835814299202</v>
      </c>
      <c r="F2496" s="7" t="str">
        <f aca="false">IFERROR(INDEX(02_轉折點45個!B:B,MATCH(A2496,02_轉折點45個!A:A,0)),"")</f>
        <v/>
      </c>
      <c r="G2496" s="7" t="s">
        <v>1994</v>
      </c>
    </row>
    <row r="2497" customFormat="false" ht="15" hidden="false" customHeight="false" outlineLevel="0" collapsed="false">
      <c r="A2497" s="7" t="s">
        <v>4026</v>
      </c>
      <c r="B2497" s="7" t="n">
        <v>1324.5</v>
      </c>
      <c r="C2497" s="7" t="n">
        <f aca="false">AVERAGE(B2448:B2497)</f>
        <v>1547.7922</v>
      </c>
      <c r="D2497" s="7" t="n">
        <f aca="false">AVERAGE(B2298:B2497)</f>
        <v>1998.2008</v>
      </c>
      <c r="E2497" s="7" t="n">
        <f aca="false">B2497/MAX(B2246:B2497)-1</f>
        <v>-0.467847887663473</v>
      </c>
      <c r="F2497" s="7" t="str">
        <f aca="false">IFERROR(INDEX(02_轉折點45個!B:B,MATCH(A2497,02_轉折點45個!A:A,0)),"")</f>
        <v/>
      </c>
      <c r="G2497" s="7" t="s">
        <v>1994</v>
      </c>
    </row>
    <row r="2498" customFormat="false" ht="15" hidden="false" customHeight="false" outlineLevel="0" collapsed="false">
      <c r="A2498" s="7" t="s">
        <v>4027</v>
      </c>
      <c r="B2498" s="7" t="n">
        <v>1363.4</v>
      </c>
      <c r="C2498" s="7" t="n">
        <f aca="false">AVERAGE(B2449:B2498)</f>
        <v>1535.7158</v>
      </c>
      <c r="D2498" s="7" t="n">
        <f aca="false">AVERAGE(B2299:B2498)</f>
        <v>1994.38795</v>
      </c>
      <c r="E2498" s="7" t="n">
        <f aca="false">B2498/MAX(B2247:B2498)-1</f>
        <v>-0.452218807127504</v>
      </c>
      <c r="F2498" s="7" t="str">
        <f aca="false">IFERROR(INDEX(02_轉折點45個!B:B,MATCH(A2498,02_轉折點45個!A:A,0)),"")</f>
        <v/>
      </c>
      <c r="G2498" s="7" t="s">
        <v>1994</v>
      </c>
    </row>
    <row r="2499" customFormat="false" ht="15" hidden="false" customHeight="false" outlineLevel="0" collapsed="false">
      <c r="A2499" s="7" t="s">
        <v>4028</v>
      </c>
      <c r="B2499" s="7" t="n">
        <v>1320.62</v>
      </c>
      <c r="C2499" s="7" t="n">
        <f aca="false">AVERAGE(B2450:B2499)</f>
        <v>1522.7408</v>
      </c>
      <c r="D2499" s="7" t="n">
        <f aca="false">AVERAGE(B2300:B2499)</f>
        <v>1990.48595</v>
      </c>
      <c r="E2499" s="7" t="n">
        <f aca="false">B2499/MAX(B2248:B2499)-1</f>
        <v>-0.469406777958577</v>
      </c>
      <c r="F2499" s="7" t="str">
        <f aca="false">IFERROR(INDEX(02_轉折點45個!B:B,MATCH(A2499,02_轉折點45個!A:A,0)),"")</f>
        <v/>
      </c>
      <c r="G2499" s="7" t="s">
        <v>1994</v>
      </c>
    </row>
    <row r="2500" customFormat="false" ht="15" hidden="false" customHeight="false" outlineLevel="0" collapsed="false">
      <c r="A2500" s="7" t="s">
        <v>4029</v>
      </c>
      <c r="B2500" s="7" t="n">
        <v>1378.86</v>
      </c>
      <c r="C2500" s="7" t="n">
        <f aca="false">AVERAGE(B2451:B2500)</f>
        <v>1510.3662</v>
      </c>
      <c r="D2500" s="7" t="n">
        <f aca="false">AVERAGE(B2301:B2500)</f>
        <v>1986.85885</v>
      </c>
      <c r="E2500" s="7" t="n">
        <f aca="false">B2500/MAX(B2249:B2500)-1</f>
        <v>-0.446007352498041</v>
      </c>
      <c r="F2500" s="7" t="str">
        <f aca="false">IFERROR(INDEX(02_轉折點45個!B:B,MATCH(A2500,02_轉折點45個!A:A,0)),"")</f>
        <v/>
      </c>
      <c r="G2500" s="7" t="s">
        <v>1994</v>
      </c>
    </row>
    <row r="2501" customFormat="false" ht="15" hidden="false" customHeight="false" outlineLevel="0" collapsed="false">
      <c r="A2501" s="7" t="s">
        <v>4030</v>
      </c>
      <c r="B2501" s="7" t="n">
        <v>1435.9</v>
      </c>
      <c r="C2501" s="7" t="n">
        <f aca="false">AVERAGE(B2452:B2501)</f>
        <v>1499.1914</v>
      </c>
      <c r="D2501" s="7" t="n">
        <f aca="false">AVERAGE(B2302:B2501)</f>
        <v>1983.40675</v>
      </c>
      <c r="E2501" s="7" t="n">
        <f aca="false">B2501/MAX(B2250:B2501)-1</f>
        <v>-0.42309005805661</v>
      </c>
      <c r="F2501" s="7" t="str">
        <f aca="false">IFERROR(INDEX(02_轉折點45個!B:B,MATCH(A2501,02_轉折點45個!A:A,0)),"")</f>
        <v/>
      </c>
      <c r="G2501" s="7" t="s">
        <v>1994</v>
      </c>
    </row>
    <row r="2502" customFormat="false" ht="15" hidden="false" customHeight="false" outlineLevel="0" collapsed="false">
      <c r="A2502" s="7" t="s">
        <v>4031</v>
      </c>
      <c r="B2502" s="7" t="n">
        <v>1413.61</v>
      </c>
      <c r="C2502" s="7" t="n">
        <f aca="false">AVERAGE(B2453:B2502)</f>
        <v>1491.218</v>
      </c>
      <c r="D2502" s="7" t="n">
        <f aca="false">AVERAGE(B2303:B2502)</f>
        <v>1979.7632</v>
      </c>
      <c r="E2502" s="7" t="n">
        <f aca="false">B2502/MAX(B2251:B2502)-1</f>
        <v>-0.432045641736475</v>
      </c>
      <c r="F2502" s="7" t="str">
        <f aca="false">IFERROR(INDEX(02_轉折點45個!B:B,MATCH(A2502,02_轉折點45個!A:A,0)),"")</f>
        <v/>
      </c>
      <c r="G2502" s="7" t="s">
        <v>1994</v>
      </c>
    </row>
    <row r="2503" customFormat="false" ht="15" hidden="false" customHeight="false" outlineLevel="0" collapsed="false">
      <c r="A2503" s="7" t="s">
        <v>4032</v>
      </c>
      <c r="B2503" s="7" t="n">
        <v>1430.18</v>
      </c>
      <c r="C2503" s="7" t="n">
        <f aca="false">AVERAGE(B2454:B2503)</f>
        <v>1481.6</v>
      </c>
      <c r="D2503" s="7" t="n">
        <f aca="false">AVERAGE(B2304:B2503)</f>
        <v>1976.16235</v>
      </c>
      <c r="E2503" s="7" t="n">
        <f aca="false">B2503/MAX(B2252:B2503)-1</f>
        <v>-0.425388215914341</v>
      </c>
      <c r="F2503" s="7" t="str">
        <f aca="false">IFERROR(INDEX(02_轉折點45個!B:B,MATCH(A2503,02_轉折點45個!A:A,0)),"")</f>
        <v/>
      </c>
      <c r="G2503" s="7" t="s">
        <v>1994</v>
      </c>
    </row>
    <row r="2504" customFormat="false" ht="15" hidden="false" customHeight="false" outlineLevel="0" collapsed="false">
      <c r="A2504" s="7" t="s">
        <v>4033</v>
      </c>
      <c r="B2504" s="7" t="n">
        <v>1377.56</v>
      </c>
      <c r="C2504" s="7" t="n">
        <f aca="false">AVERAGE(B2455:B2504)</f>
        <v>1471.3402</v>
      </c>
      <c r="D2504" s="7" t="n">
        <f aca="false">AVERAGE(B2305:B2504)</f>
        <v>1972.39985</v>
      </c>
      <c r="E2504" s="7" t="n">
        <f aca="false">B2504/MAX(B2253:B2504)-1</f>
        <v>-0.446529661102071</v>
      </c>
      <c r="F2504" s="7" t="str">
        <f aca="false">IFERROR(INDEX(02_轉折點45個!B:B,MATCH(A2504,02_轉折點45個!A:A,0)),"")</f>
        <v/>
      </c>
      <c r="G2504" s="7" t="s">
        <v>1994</v>
      </c>
    </row>
    <row r="2505" customFormat="false" ht="15" hidden="false" customHeight="false" outlineLevel="0" collapsed="false">
      <c r="A2505" s="7" t="s">
        <v>4034</v>
      </c>
      <c r="B2505" s="7" t="n">
        <v>1407.56</v>
      </c>
      <c r="C2505" s="7" t="n">
        <f aca="false">AVERAGE(B2456:B2505)</f>
        <v>1463.3738</v>
      </c>
      <c r="D2505" s="7" t="n">
        <f aca="false">AVERAGE(B2306:B2505)</f>
        <v>1969.06185</v>
      </c>
      <c r="E2505" s="7" t="n">
        <f aca="false">B2505/MAX(B2254:B2505)-1</f>
        <v>-0.43447638562446</v>
      </c>
      <c r="F2505" s="7" t="str">
        <f aca="false">IFERROR(INDEX(02_轉折點45個!B:B,MATCH(A2505,02_轉折點45個!A:A,0)),"")</f>
        <v/>
      </c>
      <c r="G2505" s="7" t="s">
        <v>1994</v>
      </c>
    </row>
    <row r="2506" customFormat="false" ht="15" hidden="false" customHeight="false" outlineLevel="0" collapsed="false">
      <c r="A2506" s="7" t="s">
        <v>4035</v>
      </c>
      <c r="B2506" s="7" t="n">
        <v>1377.98</v>
      </c>
      <c r="C2506" s="7" t="n">
        <f aca="false">AVERAGE(B2457:B2506)</f>
        <v>1455.3518</v>
      </c>
      <c r="D2506" s="7" t="n">
        <f aca="false">AVERAGE(B2307:B2506)</f>
        <v>1965.63475</v>
      </c>
      <c r="E2506" s="7" t="n">
        <f aca="false">B2506/MAX(B2255:B2506)-1</f>
        <v>-0.446360915245385</v>
      </c>
      <c r="F2506" s="7" t="str">
        <f aca="false">IFERROR(INDEX(02_轉折點45個!B:B,MATCH(A2506,02_轉折點45個!A:A,0)),"")</f>
        <v/>
      </c>
      <c r="G2506" s="7" t="s">
        <v>1994</v>
      </c>
    </row>
    <row r="2507" customFormat="false" ht="15" hidden="false" customHeight="false" outlineLevel="0" collapsed="false">
      <c r="A2507" s="7" t="s">
        <v>4036</v>
      </c>
      <c r="B2507" s="7" t="n">
        <v>1452.48</v>
      </c>
      <c r="C2507" s="7" t="n">
        <f aca="false">AVERAGE(B2458:B2507)</f>
        <v>1450.3624</v>
      </c>
      <c r="D2507" s="7" t="n">
        <f aca="false">AVERAGE(B2308:B2507)</f>
        <v>1962.5725</v>
      </c>
      <c r="E2507" s="7" t="n">
        <f aca="false">B2507/MAX(B2256:B2507)-1</f>
        <v>-0.416428614475984</v>
      </c>
      <c r="F2507" s="7" t="str">
        <f aca="false">IFERROR(INDEX(02_轉折點45個!B:B,MATCH(A2507,02_轉折點45個!A:A,0)),"")</f>
        <v/>
      </c>
      <c r="G2507" s="7" t="s">
        <v>1994</v>
      </c>
    </row>
    <row r="2508" customFormat="false" ht="15" hidden="false" customHeight="false" outlineLevel="0" collapsed="false">
      <c r="A2508" s="7" t="s">
        <v>4037</v>
      </c>
      <c r="B2508" s="7" t="n">
        <v>1442.81</v>
      </c>
      <c r="C2508" s="7" t="n">
        <f aca="false">AVERAGE(B2459:B2508)</f>
        <v>1447.1544</v>
      </c>
      <c r="D2508" s="7" t="n">
        <f aca="false">AVERAGE(B2309:B2508)</f>
        <v>1959.40465</v>
      </c>
      <c r="E2508" s="7" t="n">
        <f aca="false">B2508/MAX(B2257:B2508)-1</f>
        <v>-0.420313786938267</v>
      </c>
      <c r="F2508" s="7" t="str">
        <f aca="false">IFERROR(INDEX(02_轉折點45個!B:B,MATCH(A2508,02_轉折點45個!A:A,0)),"")</f>
        <v/>
      </c>
      <c r="G2508" s="7" t="s">
        <v>1994</v>
      </c>
    </row>
    <row r="2509" customFormat="false" ht="15" hidden="false" customHeight="false" outlineLevel="0" collapsed="false">
      <c r="A2509" s="7" t="s">
        <v>4038</v>
      </c>
      <c r="B2509" s="7" t="n">
        <v>1418.2</v>
      </c>
      <c r="C2509" s="7" t="n">
        <f aca="false">AVERAGE(B2460:B2509)</f>
        <v>1443.72</v>
      </c>
      <c r="D2509" s="7" t="n">
        <f aca="false">AVERAGE(B2310:B2509)</f>
        <v>1956.3527</v>
      </c>
      <c r="E2509" s="7" t="n">
        <f aca="false">B2509/MAX(B2258:B2509)-1</f>
        <v>-0.430201490588401</v>
      </c>
      <c r="F2509" s="7" t="str">
        <f aca="false">IFERROR(INDEX(02_轉折點45個!B:B,MATCH(A2509,02_轉折點45個!A:A,0)),"")</f>
        <v/>
      </c>
      <c r="G2509" s="7" t="s">
        <v>1994</v>
      </c>
    </row>
    <row r="2510" customFormat="false" ht="15" hidden="false" customHeight="false" outlineLevel="0" collapsed="false">
      <c r="A2510" s="7" t="s">
        <v>4039</v>
      </c>
      <c r="B2510" s="7" t="n">
        <v>1429.12</v>
      </c>
      <c r="C2510" s="7" t="n">
        <f aca="false">AVERAGE(B2461:B2510)</f>
        <v>1442.2436</v>
      </c>
      <c r="D2510" s="7" t="n">
        <f aca="false">AVERAGE(B2311:B2510)</f>
        <v>1953.39195</v>
      </c>
      <c r="E2510" s="7" t="n">
        <f aca="false">B2510/MAX(B2259:B2510)-1</f>
        <v>-0.42581409831455</v>
      </c>
      <c r="F2510" s="7" t="str">
        <f aca="false">IFERROR(INDEX(02_轉折點45個!B:B,MATCH(A2510,02_轉折點45個!A:A,0)),"")</f>
        <v/>
      </c>
      <c r="G2510" s="7" t="s">
        <v>1994</v>
      </c>
    </row>
    <row r="2511" customFormat="false" ht="15" hidden="false" customHeight="false" outlineLevel="0" collapsed="false">
      <c r="A2511" s="7" t="s">
        <v>4040</v>
      </c>
      <c r="B2511" s="7" t="n">
        <v>1399.91</v>
      </c>
      <c r="C2511" s="7" t="n">
        <f aca="false">AVERAGE(B2462:B2511)</f>
        <v>1440.1028</v>
      </c>
      <c r="D2511" s="7" t="n">
        <f aca="false">AVERAGE(B2312:B2511)</f>
        <v>1950.48225</v>
      </c>
      <c r="E2511" s="7" t="n">
        <f aca="false">B2511/MAX(B2260:B2511)-1</f>
        <v>-0.437549970871251</v>
      </c>
      <c r="F2511" s="7" t="str">
        <f aca="false">IFERROR(INDEX(02_轉折點45個!B:B,MATCH(A2511,02_轉折點45個!A:A,0)),"")</f>
        <v/>
      </c>
      <c r="G2511" s="7" t="s">
        <v>1994</v>
      </c>
    </row>
    <row r="2512" customFormat="false" ht="15" hidden="false" customHeight="false" outlineLevel="0" collapsed="false">
      <c r="A2512" s="7" t="s">
        <v>820</v>
      </c>
      <c r="B2512" s="7" t="n">
        <v>1390.04</v>
      </c>
      <c r="C2512" s="7" t="n">
        <f aca="false">AVERAGE(B2463:B2512)</f>
        <v>1434.2064</v>
      </c>
      <c r="D2512" s="7" t="n">
        <f aca="false">AVERAGE(B2313:B2512)</f>
        <v>1947.12845</v>
      </c>
      <c r="E2512" s="7" t="n">
        <f aca="false">B2512/MAX(B2261:B2512)-1</f>
        <v>-0.441515498503385</v>
      </c>
      <c r="F2512" s="7" t="str">
        <f aca="false">IFERROR(INDEX(02_轉折點45個!B:B,MATCH(A2512,02_轉折點45個!A:A,0)),"")</f>
        <v/>
      </c>
      <c r="G2512" s="7" t="s">
        <v>1994</v>
      </c>
    </row>
    <row r="2513" customFormat="false" ht="15" hidden="false" customHeight="false" outlineLevel="0" collapsed="false">
      <c r="A2513" s="7" t="s">
        <v>4041</v>
      </c>
      <c r="B2513" s="7" t="n">
        <v>1393.11</v>
      </c>
      <c r="C2513" s="7" t="n">
        <f aca="false">AVERAGE(B2464:B2513)</f>
        <v>1429.5636</v>
      </c>
      <c r="D2513" s="7" t="n">
        <f aca="false">AVERAGE(B2314:B2513)</f>
        <v>1943.8443</v>
      </c>
      <c r="E2513" s="7" t="n">
        <f aca="false">B2513/MAX(B2262:B2513)-1</f>
        <v>-0.430323377388118</v>
      </c>
      <c r="F2513" s="7" t="str">
        <f aca="false">IFERROR(INDEX(02_轉折點45個!B:B,MATCH(A2513,02_轉折點45個!A:A,0)),"")</f>
        <v/>
      </c>
      <c r="G2513" s="7" t="s">
        <v>1994</v>
      </c>
    </row>
    <row r="2514" customFormat="false" ht="15" hidden="false" customHeight="false" outlineLevel="0" collapsed="false">
      <c r="A2514" s="7" t="s">
        <v>4042</v>
      </c>
      <c r="B2514" s="7" t="n">
        <v>1397.99</v>
      </c>
      <c r="C2514" s="7" t="n">
        <f aca="false">AVERAGE(B2465:B2514)</f>
        <v>1427.7714</v>
      </c>
      <c r="D2514" s="7" t="n">
        <f aca="false">AVERAGE(B2315:B2514)</f>
        <v>1940.4944</v>
      </c>
      <c r="E2514" s="7" t="n">
        <f aca="false">B2514/MAX(B2263:B2514)-1</f>
        <v>-0.427829460854333</v>
      </c>
      <c r="F2514" s="7" t="str">
        <f aca="false">IFERROR(INDEX(02_轉折點45個!B:B,MATCH(A2514,02_轉折點45個!A:A,0)),"")</f>
        <v/>
      </c>
      <c r="G2514" s="7" t="s">
        <v>1994</v>
      </c>
    </row>
    <row r="2515" customFormat="false" ht="15" hidden="false" customHeight="false" outlineLevel="0" collapsed="false">
      <c r="A2515" s="7" t="s">
        <v>4043</v>
      </c>
      <c r="B2515" s="7" t="n">
        <v>1379.79</v>
      </c>
      <c r="C2515" s="7" t="n">
        <f aca="false">AVERAGE(B2466:B2515)</f>
        <v>1423.9822</v>
      </c>
      <c r="D2515" s="7" t="n">
        <f aca="false">AVERAGE(B2316:B2515)</f>
        <v>1937.287</v>
      </c>
      <c r="E2515" s="7" t="n">
        <f aca="false">B2515/MAX(B2264:B2515)-1</f>
        <v>-0.430556529993191</v>
      </c>
      <c r="F2515" s="7" t="str">
        <f aca="false">IFERROR(INDEX(02_轉折點45個!B:B,MATCH(A2515,02_轉折點45個!A:A,0)),"")</f>
        <v/>
      </c>
      <c r="G2515" s="7" t="s">
        <v>1994</v>
      </c>
    </row>
    <row r="2516" customFormat="false" ht="15" hidden="false" customHeight="false" outlineLevel="0" collapsed="false">
      <c r="A2516" s="7" t="s">
        <v>4044</v>
      </c>
      <c r="B2516" s="7" t="n">
        <v>1416.68</v>
      </c>
      <c r="C2516" s="7" t="n">
        <f aca="false">AVERAGE(B2467:B2516)</f>
        <v>1421.048</v>
      </c>
      <c r="D2516" s="7" t="n">
        <f aca="false">AVERAGE(B2317:B2516)</f>
        <v>1934.4261</v>
      </c>
      <c r="E2516" s="7" t="n">
        <f aca="false">B2516/MAX(B2265:B2516)-1</f>
        <v>-0.405777466454706</v>
      </c>
      <c r="F2516" s="7" t="str">
        <f aca="false">IFERROR(INDEX(02_轉折點45個!B:B,MATCH(A2516,02_轉折點45個!A:A,0)),"")</f>
        <v/>
      </c>
      <c r="G2516" s="7" t="s">
        <v>1994</v>
      </c>
    </row>
    <row r="2517" customFormat="false" ht="15" hidden="false" customHeight="false" outlineLevel="0" collapsed="false">
      <c r="A2517" s="7" t="s">
        <v>821</v>
      </c>
      <c r="B2517" s="7" t="n">
        <v>1440.73</v>
      </c>
      <c r="C2517" s="7" t="n">
        <f aca="false">AVERAGE(B2468:B2517)</f>
        <v>1417.5216</v>
      </c>
      <c r="D2517" s="7" t="n">
        <f aca="false">AVERAGE(B2318:B2517)</f>
        <v>1931.26865</v>
      </c>
      <c r="E2517" s="7" t="n">
        <f aca="false">B2517/MAX(B2266:B2517)-1</f>
        <v>-0.394075887186993</v>
      </c>
      <c r="F2517" s="7" t="str">
        <f aca="false">IFERROR(INDEX(02_轉折點45個!B:B,MATCH(A2517,02_轉折點45個!A:A,0)),"")</f>
        <v/>
      </c>
      <c r="G2517" s="7" t="s">
        <v>1994</v>
      </c>
    </row>
    <row r="2518" customFormat="false" ht="15" hidden="false" customHeight="false" outlineLevel="0" collapsed="false">
      <c r="A2518" s="7" t="s">
        <v>4045</v>
      </c>
      <c r="B2518" s="7" t="n">
        <v>1491.14</v>
      </c>
      <c r="C2518" s="7" t="n">
        <f aca="false">AVERAGE(B2469:B2518)</f>
        <v>1416.3436</v>
      </c>
      <c r="D2518" s="7" t="n">
        <f aca="false">AVERAGE(B2319:B2518)</f>
        <v>1928.62955</v>
      </c>
      <c r="E2518" s="7" t="n">
        <f aca="false">B2518/MAX(B2267:B2518)-1</f>
        <v>-0.359904874740294</v>
      </c>
      <c r="F2518" s="7" t="str">
        <f aca="false">IFERROR(INDEX(02_轉折點45個!B:B,MATCH(A2518,02_轉折點45個!A:A,0)),"")</f>
        <v/>
      </c>
      <c r="G2518" s="7" t="s">
        <v>1994</v>
      </c>
    </row>
    <row r="2519" customFormat="false" ht="15" hidden="false" customHeight="false" outlineLevel="0" collapsed="false">
      <c r="A2519" s="7" t="s">
        <v>4046</v>
      </c>
      <c r="B2519" s="7" t="n">
        <v>1487.32</v>
      </c>
      <c r="C2519" s="7" t="n">
        <f aca="false">AVERAGE(B2470:B2519)</f>
        <v>1416.568</v>
      </c>
      <c r="D2519" s="7" t="n">
        <f aca="false">AVERAGE(B2320:B2519)</f>
        <v>1925.7514</v>
      </c>
      <c r="E2519" s="7" t="n">
        <f aca="false">B2519/MAX(B2268:B2519)-1</f>
        <v>-0.361544669379625</v>
      </c>
      <c r="F2519" s="7" t="str">
        <f aca="false">IFERROR(INDEX(02_轉折點45個!B:B,MATCH(A2519,02_轉折點45個!A:A,0)),"")</f>
        <v/>
      </c>
      <c r="G2519" s="7" t="s">
        <v>1994</v>
      </c>
    </row>
    <row r="2520" customFormat="false" ht="15" hidden="false" customHeight="false" outlineLevel="0" collapsed="false">
      <c r="A2520" s="7" t="s">
        <v>138</v>
      </c>
      <c r="B2520" s="7" t="n">
        <v>1509.57</v>
      </c>
      <c r="C2520" s="7" t="n">
        <f aca="false">AVERAGE(B2471:B2520)</f>
        <v>1417.4536</v>
      </c>
      <c r="D2520" s="7" t="n">
        <f aca="false">AVERAGE(B2321:B2520)</f>
        <v>1922.67095</v>
      </c>
      <c r="E2520" s="7" t="n">
        <f aca="false">B2520/MAX(B2269:B2520)-1</f>
        <v>-0.351993509503941</v>
      </c>
      <c r="F2520" s="7" t="str">
        <f aca="false">IFERROR(INDEX(02_轉折點45個!B:B,MATCH(A2520,02_轉折點45個!A:A,0)),"")</f>
        <v>TOP</v>
      </c>
      <c r="G2520" s="7" t="s">
        <v>1994</v>
      </c>
    </row>
    <row r="2521" customFormat="false" ht="15" hidden="false" customHeight="false" outlineLevel="0" collapsed="false">
      <c r="A2521" s="7" t="s">
        <v>4047</v>
      </c>
      <c r="B2521" s="7" t="n">
        <v>1460.86</v>
      </c>
      <c r="C2521" s="7" t="n">
        <f aca="false">AVERAGE(B2472:B2521)</f>
        <v>1418.313</v>
      </c>
      <c r="D2521" s="7" t="n">
        <f aca="false">AVERAGE(B2322:B2521)</f>
        <v>1919.28165</v>
      </c>
      <c r="E2521" s="7" t="n">
        <f aca="false">B2521/MAX(B2270:B2521)-1</f>
        <v>-0.372903037483473</v>
      </c>
      <c r="F2521" s="7" t="str">
        <f aca="false">IFERROR(INDEX(02_轉折點45個!B:B,MATCH(A2521,02_轉折點45個!A:A,0)),"")</f>
        <v/>
      </c>
      <c r="G2521" s="7" t="s">
        <v>1994</v>
      </c>
    </row>
    <row r="2522" customFormat="false" ht="15" hidden="false" customHeight="false" outlineLevel="0" collapsed="false">
      <c r="A2522" s="7" t="s">
        <v>4048</v>
      </c>
      <c r="B2522" s="7" t="n">
        <v>1477.26</v>
      </c>
      <c r="C2522" s="7" t="n">
        <f aca="false">AVERAGE(B2473:B2522)</f>
        <v>1420.3432</v>
      </c>
      <c r="D2522" s="7" t="n">
        <f aca="false">AVERAGE(B2323:B2522)</f>
        <v>1916.0506</v>
      </c>
      <c r="E2522" s="7" t="n">
        <f aca="false">B2522/MAX(B2271:B2522)-1</f>
        <v>-0.365863081440272</v>
      </c>
      <c r="F2522" s="7" t="str">
        <f aca="false">IFERROR(INDEX(02_轉折點45個!B:B,MATCH(A2522,02_轉折點45個!A:A,0)),"")</f>
        <v/>
      </c>
      <c r="G2522" s="7" t="s">
        <v>1994</v>
      </c>
    </row>
    <row r="2523" customFormat="false" ht="15" hidden="false" customHeight="false" outlineLevel="0" collapsed="false">
      <c r="A2523" s="7" t="s">
        <v>4049</v>
      </c>
      <c r="B2523" s="7" t="n">
        <v>1435.76</v>
      </c>
      <c r="C2523" s="7" t="n">
        <f aca="false">AVERAGE(B2474:B2523)</f>
        <v>1418.9202</v>
      </c>
      <c r="D2523" s="7" t="n">
        <f aca="false">AVERAGE(B2324:B2523)</f>
        <v>1912.8109</v>
      </c>
      <c r="E2523" s="7" t="n">
        <f aca="false">B2523/MAX(B2272:B2523)-1</f>
        <v>-0.38367760435447</v>
      </c>
      <c r="F2523" s="7" t="str">
        <f aca="false">IFERROR(INDEX(02_轉折點45個!B:B,MATCH(A2523,02_轉折點45個!A:A,0)),"")</f>
        <v/>
      </c>
      <c r="G2523" s="7" t="s">
        <v>1994</v>
      </c>
    </row>
    <row r="2524" customFormat="false" ht="15" hidden="false" customHeight="false" outlineLevel="0" collapsed="false">
      <c r="A2524" s="7" t="s">
        <v>4050</v>
      </c>
      <c r="B2524" s="7" t="n">
        <v>1405.8</v>
      </c>
      <c r="C2524" s="7" t="n">
        <f aca="false">AVERAGE(B2475:B2524)</f>
        <v>1416.7566</v>
      </c>
      <c r="D2524" s="7" t="n">
        <f aca="false">AVERAGE(B2325:B2524)</f>
        <v>1909.51115</v>
      </c>
      <c r="E2524" s="7" t="n">
        <f aca="false">B2524/MAX(B2273:B2524)-1</f>
        <v>-0.396538402101684</v>
      </c>
      <c r="F2524" s="7" t="str">
        <f aca="false">IFERROR(INDEX(02_轉折點45個!B:B,MATCH(A2524,02_轉折點45個!A:A,0)),"")</f>
        <v/>
      </c>
      <c r="G2524" s="7" t="s">
        <v>1994</v>
      </c>
    </row>
    <row r="2525" customFormat="false" ht="15" hidden="false" customHeight="false" outlineLevel="0" collapsed="false">
      <c r="A2525" s="7" t="s">
        <v>4051</v>
      </c>
      <c r="B2525" s="7" t="n">
        <v>1412.8</v>
      </c>
      <c r="C2525" s="7" t="n">
        <f aca="false">AVERAGE(B2476:B2525)</f>
        <v>1413.9782</v>
      </c>
      <c r="D2525" s="7" t="n">
        <f aca="false">AVERAGE(B2326:B2525)</f>
        <v>1906.16455</v>
      </c>
      <c r="E2525" s="7" t="n">
        <f aca="false">B2525/MAX(B2274:B2525)-1</f>
        <v>-0.393533542814952</v>
      </c>
      <c r="F2525" s="7" t="str">
        <f aca="false">IFERROR(INDEX(02_轉折點45個!B:B,MATCH(A2525,02_轉折點45個!A:A,0)),"")</f>
        <v/>
      </c>
      <c r="G2525" s="7" t="s">
        <v>1994</v>
      </c>
    </row>
    <row r="2526" customFormat="false" ht="15" hidden="false" customHeight="false" outlineLevel="0" collapsed="false">
      <c r="A2526" s="7" t="s">
        <v>4052</v>
      </c>
      <c r="B2526" s="7" t="n">
        <v>1360.89</v>
      </c>
      <c r="C2526" s="7" t="n">
        <f aca="false">AVERAGE(B2477:B2526)</f>
        <v>1409.7518</v>
      </c>
      <c r="D2526" s="7" t="n">
        <f aca="false">AVERAGE(B2327:B2526)</f>
        <v>1902.1763</v>
      </c>
      <c r="E2526" s="7" t="n">
        <f aca="false">B2526/MAX(B2275:B2526)-1</f>
        <v>-0.415816720754134</v>
      </c>
      <c r="F2526" s="7" t="str">
        <f aca="false">IFERROR(INDEX(02_轉折點45個!B:B,MATCH(A2526,02_轉折點45個!A:A,0)),"")</f>
        <v/>
      </c>
      <c r="G2526" s="7" t="s">
        <v>1994</v>
      </c>
    </row>
    <row r="2527" customFormat="false" ht="15" hidden="false" customHeight="false" outlineLevel="0" collapsed="false">
      <c r="A2527" s="7" t="s">
        <v>4053</v>
      </c>
      <c r="B2527" s="7" t="n">
        <v>1381.18</v>
      </c>
      <c r="C2527" s="7" t="n">
        <f aca="false">AVERAGE(B2478:B2527)</f>
        <v>1405.8328</v>
      </c>
      <c r="D2527" s="7" t="n">
        <f aca="false">AVERAGE(B2328:B2527)</f>
        <v>1898.29565</v>
      </c>
      <c r="E2527" s="7" t="n">
        <f aca="false">B2527/MAX(B2276:B2527)-1</f>
        <v>-0.407106921478734</v>
      </c>
      <c r="F2527" s="7" t="str">
        <f aca="false">IFERROR(INDEX(02_轉折點45個!B:B,MATCH(A2527,02_轉折點45個!A:A,0)),"")</f>
        <v/>
      </c>
      <c r="G2527" s="7" t="s">
        <v>1994</v>
      </c>
    </row>
    <row r="2528" customFormat="false" ht="15" hidden="false" customHeight="false" outlineLevel="0" collapsed="false">
      <c r="A2528" s="7" t="s">
        <v>4054</v>
      </c>
      <c r="B2528" s="7" t="n">
        <v>1397.15</v>
      </c>
      <c r="C2528" s="7" t="n">
        <f aca="false">AVERAGE(B2479:B2528)</f>
        <v>1401.2504</v>
      </c>
      <c r="D2528" s="7" t="n">
        <f aca="false">AVERAGE(B2329:B2528)</f>
        <v>1894.48615</v>
      </c>
      <c r="E2528" s="7" t="n">
        <f aca="false">B2528/MAX(B2277:B2528)-1</f>
        <v>-0.400251549648861</v>
      </c>
      <c r="F2528" s="7" t="str">
        <f aca="false">IFERROR(INDEX(02_轉折點45個!B:B,MATCH(A2528,02_轉折點45個!A:A,0)),"")</f>
        <v/>
      </c>
      <c r="G2528" s="7" t="s">
        <v>1994</v>
      </c>
    </row>
    <row r="2529" customFormat="false" ht="15" hidden="false" customHeight="false" outlineLevel="0" collapsed="false">
      <c r="A2529" s="7" t="s">
        <v>4055</v>
      </c>
      <c r="B2529" s="7" t="n">
        <v>1316.33</v>
      </c>
      <c r="C2529" s="7" t="n">
        <f aca="false">AVERAGE(B2480:B2529)</f>
        <v>1396.851</v>
      </c>
      <c r="D2529" s="7" t="n">
        <f aca="false">AVERAGE(B2330:B2529)</f>
        <v>1890.2375</v>
      </c>
      <c r="E2529" s="7" t="n">
        <f aca="false">B2529/MAX(B2278:B2529)-1</f>
        <v>-0.434944796442247</v>
      </c>
      <c r="F2529" s="7" t="str">
        <f aca="false">IFERROR(INDEX(02_轉折點45個!B:B,MATCH(A2529,02_轉折點45個!A:A,0)),"")</f>
        <v/>
      </c>
      <c r="G2529" s="7" t="s">
        <v>1994</v>
      </c>
    </row>
    <row r="2530" customFormat="false" ht="15" hidden="false" customHeight="false" outlineLevel="0" collapsed="false">
      <c r="A2530" s="7" t="s">
        <v>4056</v>
      </c>
      <c r="B2530" s="7" t="n">
        <v>1376.82</v>
      </c>
      <c r="C2530" s="7" t="n">
        <f aca="false">AVERAGE(B2481:B2530)</f>
        <v>1394.9942</v>
      </c>
      <c r="D2530" s="7" t="n">
        <f aca="false">AVERAGE(B2331:B2530)</f>
        <v>1886.3194</v>
      </c>
      <c r="E2530" s="7" t="n">
        <f aca="false">B2530/MAX(B2279:B2530)-1</f>
        <v>-0.408978519548756</v>
      </c>
      <c r="F2530" s="7" t="str">
        <f aca="false">IFERROR(INDEX(02_轉折點45個!B:B,MATCH(A2530,02_轉折點45個!A:A,0)),"")</f>
        <v/>
      </c>
      <c r="G2530" s="7" t="s">
        <v>1994</v>
      </c>
    </row>
    <row r="2531" customFormat="false" ht="15" hidden="false" customHeight="false" outlineLevel="0" collapsed="false">
      <c r="A2531" s="7" t="s">
        <v>4057</v>
      </c>
      <c r="B2531" s="7" t="n">
        <v>1338.83</v>
      </c>
      <c r="C2531" s="7" t="n">
        <f aca="false">AVERAGE(B2482:B2531)</f>
        <v>1391.6704</v>
      </c>
      <c r="D2531" s="7" t="n">
        <f aca="false">AVERAGE(B2332:B2531)</f>
        <v>1882.28475</v>
      </c>
      <c r="E2531" s="7" t="n">
        <f aca="false">B2531/MAX(B2280:B2531)-1</f>
        <v>-0.425286320163464</v>
      </c>
      <c r="F2531" s="7" t="str">
        <f aca="false">IFERROR(INDEX(02_轉折點45個!B:B,MATCH(A2531,02_轉折點45個!A:A,0)),"")</f>
        <v/>
      </c>
      <c r="G2531" s="7" t="s">
        <v>1994</v>
      </c>
    </row>
    <row r="2532" customFormat="false" ht="15" hidden="false" customHeight="false" outlineLevel="0" collapsed="false">
      <c r="A2532" s="7" t="s">
        <v>4058</v>
      </c>
      <c r="B2532" s="7" t="n">
        <v>1349.61</v>
      </c>
      <c r="C2532" s="7" t="n">
        <f aca="false">AVERAGE(B2483:B2532)</f>
        <v>1389.1224</v>
      </c>
      <c r="D2532" s="7" t="n">
        <f aca="false">AVERAGE(B2333:B2532)</f>
        <v>1878.42565</v>
      </c>
      <c r="E2532" s="7" t="n">
        <f aca="false">B2532/MAX(B2281:B2532)-1</f>
        <v>-0.420658836861897</v>
      </c>
      <c r="F2532" s="7" t="str">
        <f aca="false">IFERROR(INDEX(02_轉折點45個!B:B,MATCH(A2532,02_轉折點45個!A:A,0)),"")</f>
        <v/>
      </c>
      <c r="G2532" s="7" t="s">
        <v>1994</v>
      </c>
    </row>
    <row r="2533" customFormat="false" ht="15" hidden="false" customHeight="false" outlineLevel="0" collapsed="false">
      <c r="A2533" s="7" t="s">
        <v>4059</v>
      </c>
      <c r="B2533" s="7" t="n">
        <v>1360.73</v>
      </c>
      <c r="C2533" s="7" t="n">
        <f aca="false">AVERAGE(B2484:B2533)</f>
        <v>1387.4516</v>
      </c>
      <c r="D2533" s="7" t="n">
        <f aca="false">AVERAGE(B2334:B2533)</f>
        <v>1874.48705</v>
      </c>
      <c r="E2533" s="7" t="n">
        <f aca="false">B2533/MAX(B2282:B2533)-1</f>
        <v>-0.415885403252116</v>
      </c>
      <c r="F2533" s="7" t="str">
        <f aca="false">IFERROR(INDEX(02_轉折點45個!B:B,MATCH(A2533,02_轉折點45個!A:A,0)),"")</f>
        <v/>
      </c>
      <c r="G2533" s="7" t="s">
        <v>1994</v>
      </c>
    </row>
    <row r="2534" customFormat="false" ht="15" hidden="false" customHeight="false" outlineLevel="0" collapsed="false">
      <c r="A2534" s="7" t="s">
        <v>4060</v>
      </c>
      <c r="B2534" s="7" t="n">
        <v>1374.84</v>
      </c>
      <c r="C2534" s="7" t="n">
        <f aca="false">AVERAGE(B2485:B2534)</f>
        <v>1387.5556</v>
      </c>
      <c r="D2534" s="7" t="n">
        <f aca="false">AVERAGE(B2335:B2534)</f>
        <v>1870.89975</v>
      </c>
      <c r="E2534" s="7" t="n">
        <f aca="false">B2534/MAX(B2283:B2534)-1</f>
        <v>-0.409828465461289</v>
      </c>
      <c r="F2534" s="7" t="str">
        <f aca="false">IFERROR(INDEX(02_轉折點45個!B:B,MATCH(A2534,02_轉折點45個!A:A,0)),"")</f>
        <v/>
      </c>
      <c r="G2534" s="7" t="s">
        <v>1994</v>
      </c>
    </row>
    <row r="2535" customFormat="false" ht="15" hidden="false" customHeight="false" outlineLevel="0" collapsed="false">
      <c r="A2535" s="7" t="s">
        <v>4061</v>
      </c>
      <c r="B2535" s="7" t="n">
        <v>1423.66</v>
      </c>
      <c r="C2535" s="7" t="n">
        <f aca="false">AVERAGE(B2486:B2535)</f>
        <v>1386.8548</v>
      </c>
      <c r="D2535" s="7" t="n">
        <f aca="false">AVERAGE(B2336:B2535)</f>
        <v>1867.6224</v>
      </c>
      <c r="E2535" s="7" t="n">
        <f aca="false">B2535/MAX(B2284:B2535)-1</f>
        <v>-0.388871718264393</v>
      </c>
      <c r="F2535" s="7" t="str">
        <f aca="false">IFERROR(INDEX(02_轉折點45個!B:B,MATCH(A2535,02_轉折點45個!A:A,0)),"")</f>
        <v/>
      </c>
      <c r="G2535" s="7" t="s">
        <v>1994</v>
      </c>
    </row>
    <row r="2536" customFormat="false" ht="15" hidden="false" customHeight="false" outlineLevel="0" collapsed="false">
      <c r="A2536" s="7" t="s">
        <v>4062</v>
      </c>
      <c r="B2536" s="7" t="n">
        <v>1377.52</v>
      </c>
      <c r="C2536" s="7" t="n">
        <f aca="false">AVERAGE(B2487:B2536)</f>
        <v>1386.6902</v>
      </c>
      <c r="D2536" s="7" t="n">
        <f aca="false">AVERAGE(B2337:B2536)</f>
        <v>1864.0677</v>
      </c>
      <c r="E2536" s="7" t="n">
        <f aca="false">B2536/MAX(B2285:B2536)-1</f>
        <v>-0.408678033620083</v>
      </c>
      <c r="F2536" s="7" t="str">
        <f aca="false">IFERROR(INDEX(02_轉折點45個!B:B,MATCH(A2536,02_轉折點45個!A:A,0)),"")</f>
        <v/>
      </c>
      <c r="G2536" s="7" t="s">
        <v>1994</v>
      </c>
    </row>
    <row r="2537" customFormat="false" ht="15" hidden="false" customHeight="false" outlineLevel="0" collapsed="false">
      <c r="A2537" s="7" t="s">
        <v>4063</v>
      </c>
      <c r="B2537" s="7" t="n">
        <v>1348.82</v>
      </c>
      <c r="C2537" s="7" t="n">
        <f aca="false">AVERAGE(B2488:B2537)</f>
        <v>1386.5874</v>
      </c>
      <c r="D2537" s="7" t="n">
        <f aca="false">AVERAGE(B2338:B2537)</f>
        <v>1860.0768</v>
      </c>
      <c r="E2537" s="7" t="n">
        <f aca="false">B2537/MAX(B2286:B2537)-1</f>
        <v>-0.420997956695685</v>
      </c>
      <c r="F2537" s="7" t="str">
        <f aca="false">IFERROR(INDEX(02_轉折點45個!B:B,MATCH(A2537,02_轉折點45個!A:A,0)),"")</f>
        <v/>
      </c>
      <c r="G2537" s="7" t="s">
        <v>1994</v>
      </c>
    </row>
    <row r="2538" customFormat="false" ht="15" hidden="false" customHeight="false" outlineLevel="0" collapsed="false">
      <c r="A2538" s="7" t="s">
        <v>4064</v>
      </c>
      <c r="B2538" s="7" t="n">
        <v>1365.27</v>
      </c>
      <c r="C2538" s="7" t="n">
        <f aca="false">AVERAGE(B2489:B2538)</f>
        <v>1386.7914</v>
      </c>
      <c r="D2538" s="7" t="n">
        <f aca="false">AVERAGE(B2339:B2538)</f>
        <v>1856.206</v>
      </c>
      <c r="E2538" s="7" t="n">
        <f aca="false">B2538/MAX(B2287:B2538)-1</f>
        <v>-0.413936537371864</v>
      </c>
      <c r="F2538" s="7" t="str">
        <f aca="false">IFERROR(INDEX(02_轉折點45個!B:B,MATCH(A2538,02_轉折點45個!A:A,0)),"")</f>
        <v/>
      </c>
      <c r="G2538" s="7" t="s">
        <v>1994</v>
      </c>
    </row>
    <row r="2539" customFormat="false" ht="15" hidden="false" customHeight="false" outlineLevel="0" collapsed="false">
      <c r="A2539" s="7" t="s">
        <v>4065</v>
      </c>
      <c r="B2539" s="7" t="n">
        <v>1385.25</v>
      </c>
      <c r="C2539" s="7" t="n">
        <f aca="false">AVERAGE(B2490:B2539)</f>
        <v>1389.1644</v>
      </c>
      <c r="D2539" s="7" t="n">
        <f aca="false">AVERAGE(B2340:B2539)</f>
        <v>1852.1558</v>
      </c>
      <c r="E2539" s="7" t="n">
        <f aca="false">B2539/MAX(B2288:B2539)-1</f>
        <v>-0.405359810436306</v>
      </c>
      <c r="F2539" s="7" t="str">
        <f aca="false">IFERROR(INDEX(02_轉折點45個!B:B,MATCH(A2539,02_轉折點45個!A:A,0)),"")</f>
        <v/>
      </c>
      <c r="G2539" s="7" t="s">
        <v>1994</v>
      </c>
    </row>
    <row r="2540" customFormat="false" ht="15" hidden="false" customHeight="false" outlineLevel="0" collapsed="false">
      <c r="A2540" s="7" t="s">
        <v>4066</v>
      </c>
      <c r="B2540" s="7" t="n">
        <v>1384.11</v>
      </c>
      <c r="C2540" s="7" t="n">
        <f aca="false">AVERAGE(B2491:B2540)</f>
        <v>1392.7992</v>
      </c>
      <c r="D2540" s="7" t="n">
        <f aca="false">AVERAGE(B2341:B2540)</f>
        <v>1848.07675</v>
      </c>
      <c r="E2540" s="7" t="n">
        <f aca="false">B2540/MAX(B2289:B2540)-1</f>
        <v>-0.405849173234431</v>
      </c>
      <c r="F2540" s="7" t="str">
        <f aca="false">IFERROR(INDEX(02_轉折點45個!B:B,MATCH(A2540,02_轉折點45個!A:A,0)),"")</f>
        <v/>
      </c>
      <c r="G2540" s="7" t="s">
        <v>1994</v>
      </c>
    </row>
    <row r="2541" customFormat="false" ht="15" hidden="false" customHeight="false" outlineLevel="0" collapsed="false">
      <c r="A2541" s="7" t="s">
        <v>4067</v>
      </c>
      <c r="B2541" s="7" t="n">
        <v>1412.6</v>
      </c>
      <c r="C2541" s="7" t="n">
        <f aca="false">AVERAGE(B2492:B2541)</f>
        <v>1395.7572</v>
      </c>
      <c r="D2541" s="7" t="n">
        <f aca="false">AVERAGE(B2342:B2541)</f>
        <v>1844.2822</v>
      </c>
      <c r="E2541" s="7" t="n">
        <f aca="false">B2541/MAX(B2290:B2541)-1</f>
        <v>-0.39361939593743</v>
      </c>
      <c r="F2541" s="7" t="str">
        <f aca="false">IFERROR(INDEX(02_轉折點45個!B:B,MATCH(A2541,02_轉折點45個!A:A,0)),"")</f>
        <v/>
      </c>
      <c r="G2541" s="7" t="s">
        <v>1994</v>
      </c>
    </row>
    <row r="2542" customFormat="false" ht="15" hidden="false" customHeight="false" outlineLevel="0" collapsed="false">
      <c r="A2542" s="7" t="s">
        <v>4068</v>
      </c>
      <c r="B2542" s="7" t="n">
        <v>1454.14</v>
      </c>
      <c r="C2542" s="7" t="n">
        <f aca="false">AVERAGE(B2493:B2542)</f>
        <v>1397.944</v>
      </c>
      <c r="D2542" s="7" t="n">
        <f aca="false">AVERAGE(B2343:B2542)</f>
        <v>1840.56625</v>
      </c>
      <c r="E2542" s="7" t="n">
        <f aca="false">B2542/MAX(B2291:B2542)-1</f>
        <v>-0.375787702398736</v>
      </c>
      <c r="F2542" s="7" t="str">
        <f aca="false">IFERROR(INDEX(02_轉折點45個!B:B,MATCH(A2542,02_轉折點45個!A:A,0)),"")</f>
        <v/>
      </c>
      <c r="G2542" s="7" t="s">
        <v>1994</v>
      </c>
    </row>
    <row r="2543" customFormat="false" ht="15" hidden="false" customHeight="false" outlineLevel="0" collapsed="false">
      <c r="A2543" s="7" t="s">
        <v>4069</v>
      </c>
      <c r="B2543" s="7" t="n">
        <v>1454.01</v>
      </c>
      <c r="C2543" s="7" t="n">
        <f aca="false">AVERAGE(B2494:B2543)</f>
        <v>1400.2614</v>
      </c>
      <c r="D2543" s="7" t="n">
        <f aca="false">AVERAGE(B2344:B2543)</f>
        <v>1836.74135</v>
      </c>
      <c r="E2543" s="7" t="n">
        <f aca="false">B2543/MAX(B2292:B2543)-1</f>
        <v>-0.375843506928347</v>
      </c>
      <c r="F2543" s="7" t="str">
        <f aca="false">IFERROR(INDEX(02_轉折點45個!B:B,MATCH(A2543,02_轉折點45個!A:A,0)),"")</f>
        <v/>
      </c>
      <c r="G2543" s="7" t="s">
        <v>1994</v>
      </c>
    </row>
    <row r="2544" customFormat="false" ht="15" hidden="false" customHeight="false" outlineLevel="0" collapsed="false">
      <c r="A2544" s="7" t="s">
        <v>4070</v>
      </c>
      <c r="B2544" s="7" t="n">
        <v>1392.95</v>
      </c>
      <c r="C2544" s="7" t="n">
        <f aca="false">AVERAGE(B2495:B2544)</f>
        <v>1400.1268</v>
      </c>
      <c r="D2544" s="7" t="n">
        <f aca="false">AVERAGE(B2345:B2544)</f>
        <v>1832.6385</v>
      </c>
      <c r="E2544" s="7" t="n">
        <f aca="false">B2544/MAX(B2293:B2544)-1</f>
        <v>-0.4020544652209</v>
      </c>
      <c r="F2544" s="7" t="str">
        <f aca="false">IFERROR(INDEX(02_轉折點45個!B:B,MATCH(A2544,02_轉折點45個!A:A,0)),"")</f>
        <v/>
      </c>
      <c r="G2544" s="7" t="s">
        <v>1994</v>
      </c>
    </row>
    <row r="2545" customFormat="false" ht="15" hidden="false" customHeight="false" outlineLevel="0" collapsed="false">
      <c r="A2545" s="7" t="s">
        <v>4071</v>
      </c>
      <c r="B2545" s="7" t="n">
        <v>1398.22</v>
      </c>
      <c r="C2545" s="7" t="n">
        <f aca="false">AVERAGE(B2496:B2545)</f>
        <v>1400.0342</v>
      </c>
      <c r="D2545" s="7" t="n">
        <f aca="false">AVERAGE(B2346:B2545)</f>
        <v>1828.55525</v>
      </c>
      <c r="E2545" s="7" t="n">
        <f aca="false">B2545/MAX(B2294:B2545)-1</f>
        <v>-0.399792235443603</v>
      </c>
      <c r="F2545" s="7" t="str">
        <f aca="false">IFERROR(INDEX(02_轉折點45個!B:B,MATCH(A2545,02_轉折點45個!A:A,0)),"")</f>
        <v/>
      </c>
      <c r="G2545" s="7" t="s">
        <v>1994</v>
      </c>
    </row>
    <row r="2546" customFormat="false" ht="15" hidden="false" customHeight="false" outlineLevel="0" collapsed="false">
      <c r="A2546" s="7" t="s">
        <v>4072</v>
      </c>
      <c r="B2546" s="7" t="n">
        <v>1408.46</v>
      </c>
      <c r="C2546" s="7" t="n">
        <f aca="false">AVERAGE(B2497:B2546)</f>
        <v>1402.6586</v>
      </c>
      <c r="D2546" s="7" t="n">
        <f aca="false">AVERAGE(B2347:B2546)</f>
        <v>1824.51545</v>
      </c>
      <c r="E2546" s="7" t="n">
        <f aca="false">B2546/MAX(B2295:B2546)-1</f>
        <v>-0.395396555572726</v>
      </c>
      <c r="F2546" s="7" t="str">
        <f aca="false">IFERROR(INDEX(02_轉折點45個!B:B,MATCH(A2546,02_轉折點45個!A:A,0)),"")</f>
        <v/>
      </c>
      <c r="G2546" s="7" t="s">
        <v>1994</v>
      </c>
    </row>
    <row r="2547" customFormat="false" ht="15" hidden="false" customHeight="false" outlineLevel="0" collapsed="false">
      <c r="A2547" s="7" t="s">
        <v>4073</v>
      </c>
      <c r="B2547" s="7" t="n">
        <v>1401.75</v>
      </c>
      <c r="C2547" s="7" t="n">
        <f aca="false">AVERAGE(B2498:B2547)</f>
        <v>1404.2036</v>
      </c>
      <c r="D2547" s="7" t="n">
        <f aca="false">AVERAGE(B2348:B2547)</f>
        <v>1820.50285</v>
      </c>
      <c r="E2547" s="7" t="n">
        <f aca="false">B2547/MAX(B2296:B2547)-1</f>
        <v>-0.398276927831865</v>
      </c>
      <c r="F2547" s="7" t="str">
        <f aca="false">IFERROR(INDEX(02_轉折點45個!B:B,MATCH(A2547,02_轉折點45個!A:A,0)),"")</f>
        <v/>
      </c>
      <c r="G2547" s="7" t="s">
        <v>1994</v>
      </c>
    </row>
    <row r="2548" customFormat="false" ht="15" hidden="false" customHeight="false" outlineLevel="0" collapsed="false">
      <c r="A2548" s="7" t="s">
        <v>4074</v>
      </c>
      <c r="B2548" s="7" t="n">
        <v>1343.55</v>
      </c>
      <c r="C2548" s="7" t="n">
        <f aca="false">AVERAGE(B2499:B2548)</f>
        <v>1403.8066</v>
      </c>
      <c r="D2548" s="7" t="n">
        <f aca="false">AVERAGE(B2349:B2548)</f>
        <v>1815.88905</v>
      </c>
      <c r="E2548" s="7" t="n">
        <f aca="false">B2548/MAX(B2297:B2548)-1</f>
        <v>-0.423260186472982</v>
      </c>
      <c r="F2548" s="7" t="str">
        <f aca="false">IFERROR(INDEX(02_轉折點45個!B:B,MATCH(A2548,02_轉折點45個!A:A,0)),"")</f>
        <v/>
      </c>
      <c r="G2548" s="7" t="s">
        <v>1994</v>
      </c>
    </row>
    <row r="2549" customFormat="false" ht="15" hidden="false" customHeight="false" outlineLevel="0" collapsed="false">
      <c r="A2549" s="7" t="s">
        <v>4075</v>
      </c>
      <c r="B2549" s="7" t="n">
        <v>1341.1</v>
      </c>
      <c r="C2549" s="7" t="n">
        <f aca="false">AVERAGE(B2500:B2549)</f>
        <v>1404.2162</v>
      </c>
      <c r="D2549" s="7" t="n">
        <f aca="false">AVERAGE(B2350:B2549)</f>
        <v>1811.28</v>
      </c>
      <c r="E2549" s="7" t="n">
        <f aca="false">B2549/MAX(B2298:B2549)-1</f>
        <v>-0.424311887223338</v>
      </c>
      <c r="F2549" s="7" t="str">
        <f aca="false">IFERROR(INDEX(02_轉折點45個!B:B,MATCH(A2549,02_轉折點45個!A:A,0)),"")</f>
        <v/>
      </c>
      <c r="G2549" s="7" t="s">
        <v>1994</v>
      </c>
    </row>
    <row r="2550" customFormat="false" ht="15" hidden="false" customHeight="false" outlineLevel="0" collapsed="false">
      <c r="A2550" s="7" t="s">
        <v>4076</v>
      </c>
      <c r="B2550" s="7" t="n">
        <v>1318.12</v>
      </c>
      <c r="C2550" s="7" t="n">
        <f aca="false">AVERAGE(B2501:B2550)</f>
        <v>1403.0014</v>
      </c>
      <c r="D2550" s="7" t="n">
        <f aca="false">AVERAGE(B2351:B2550)</f>
        <v>1806.61485</v>
      </c>
      <c r="E2550" s="7" t="n">
        <f aca="false">B2550/MAX(B2299:B2550)-1</f>
        <v>-0.434176410996068</v>
      </c>
      <c r="F2550" s="7" t="str">
        <f aca="false">IFERROR(INDEX(02_轉折點45個!B:B,MATCH(A2550,02_轉折點45個!A:A,0)),"")</f>
        <v/>
      </c>
      <c r="G2550" s="7" t="s">
        <v>1994</v>
      </c>
    </row>
    <row r="2551" customFormat="false" ht="15" hidden="false" customHeight="false" outlineLevel="0" collapsed="false">
      <c r="A2551" s="7" t="s">
        <v>4077</v>
      </c>
      <c r="B2551" s="7" t="n">
        <v>1316.67</v>
      </c>
      <c r="C2551" s="7" t="n">
        <f aca="false">AVERAGE(B2502:B2551)</f>
        <v>1400.6168</v>
      </c>
      <c r="D2551" s="7" t="n">
        <f aca="false">AVERAGE(B2352:B2551)</f>
        <v>1801.8548</v>
      </c>
      <c r="E2551" s="7" t="n">
        <f aca="false">B2551/MAX(B2300:B2551)-1</f>
        <v>-0.434798846134034</v>
      </c>
      <c r="F2551" s="7" t="str">
        <f aca="false">IFERROR(INDEX(02_轉折點45個!B:B,MATCH(A2551,02_轉折點45個!A:A,0)),"")</f>
        <v/>
      </c>
      <c r="G2551" s="7" t="s">
        <v>1994</v>
      </c>
    </row>
    <row r="2552" customFormat="false" ht="15" hidden="false" customHeight="false" outlineLevel="0" collapsed="false">
      <c r="A2552" s="7" t="s">
        <v>4078</v>
      </c>
      <c r="B2552" s="7" t="n">
        <v>1267.78</v>
      </c>
      <c r="C2552" s="7" t="n">
        <f aca="false">AVERAGE(B2503:B2552)</f>
        <v>1397.7002</v>
      </c>
      <c r="D2552" s="7" t="n">
        <f aca="false">AVERAGE(B2353:B2552)</f>
        <v>1797.055</v>
      </c>
      <c r="E2552" s="7" t="n">
        <f aca="false">B2552/MAX(B2301:B2552)-1</f>
        <v>-0.455785641923797</v>
      </c>
      <c r="F2552" s="7" t="str">
        <f aca="false">IFERROR(INDEX(02_轉折點45個!B:B,MATCH(A2552,02_轉折點45個!A:A,0)),"")</f>
        <v/>
      </c>
      <c r="G2552" s="7" t="s">
        <v>1994</v>
      </c>
    </row>
    <row r="2553" customFormat="false" ht="15" hidden="false" customHeight="false" outlineLevel="0" collapsed="false">
      <c r="A2553" s="7" t="s">
        <v>4079</v>
      </c>
      <c r="B2553" s="7" t="n">
        <v>1317.22</v>
      </c>
      <c r="C2553" s="7" t="n">
        <f aca="false">AVERAGE(B2504:B2553)</f>
        <v>1395.441</v>
      </c>
      <c r="D2553" s="7" t="n">
        <f aca="false">AVERAGE(B2354:B2553)</f>
        <v>1792.44415</v>
      </c>
      <c r="E2553" s="7" t="n">
        <f aca="false">B2553/MAX(B2302:B2553)-1</f>
        <v>-0.434562750047219</v>
      </c>
      <c r="F2553" s="7" t="str">
        <f aca="false">IFERROR(INDEX(02_轉折點45個!B:B,MATCH(A2553,02_轉折點45個!A:A,0)),"")</f>
        <v/>
      </c>
      <c r="G2553" s="7" t="s">
        <v>1994</v>
      </c>
    </row>
    <row r="2554" customFormat="false" ht="15" hidden="false" customHeight="false" outlineLevel="0" collapsed="false">
      <c r="A2554" s="7" t="s">
        <v>4080</v>
      </c>
      <c r="B2554" s="7" t="n">
        <v>1302.23</v>
      </c>
      <c r="C2554" s="7" t="n">
        <f aca="false">AVERAGE(B2505:B2554)</f>
        <v>1393.9344</v>
      </c>
      <c r="D2554" s="7" t="n">
        <f aca="false">AVERAGE(B2355:B2554)</f>
        <v>1787.7845</v>
      </c>
      <c r="E2554" s="7" t="n">
        <f aca="false">B2554/MAX(B2303:B2554)-1</f>
        <v>-0.44099744157695</v>
      </c>
      <c r="F2554" s="7" t="str">
        <f aca="false">IFERROR(INDEX(02_轉折點45個!B:B,MATCH(A2554,02_轉折點45個!A:A,0)),"")</f>
        <v/>
      </c>
      <c r="G2554" s="7" t="s">
        <v>1994</v>
      </c>
    </row>
    <row r="2555" customFormat="false" ht="15" hidden="false" customHeight="false" outlineLevel="0" collapsed="false">
      <c r="A2555" s="7" t="s">
        <v>4081</v>
      </c>
      <c r="B2555" s="7" t="n">
        <v>1271.21</v>
      </c>
      <c r="C2555" s="7" t="n">
        <f aca="false">AVERAGE(B2506:B2555)</f>
        <v>1391.2074</v>
      </c>
      <c r="D2555" s="7" t="n">
        <f aca="false">AVERAGE(B2356:B2555)</f>
        <v>1782.77345</v>
      </c>
      <c r="E2555" s="7" t="n">
        <f aca="false">B2555/MAX(B2304:B2555)-1</f>
        <v>-0.454313260873298</v>
      </c>
      <c r="F2555" s="7" t="str">
        <f aca="false">IFERROR(INDEX(02_轉折點45個!B:B,MATCH(A2555,02_轉折點45個!A:A,0)),"")</f>
        <v/>
      </c>
      <c r="G2555" s="7" t="s">
        <v>1994</v>
      </c>
    </row>
    <row r="2556" customFormat="false" ht="15" hidden="false" customHeight="false" outlineLevel="0" collapsed="false">
      <c r="A2556" s="7" t="s">
        <v>4082</v>
      </c>
      <c r="B2556" s="7" t="n">
        <v>1258.76</v>
      </c>
      <c r="C2556" s="7" t="n">
        <f aca="false">AVERAGE(B2507:B2556)</f>
        <v>1388.823</v>
      </c>
      <c r="D2556" s="7" t="n">
        <f aca="false">AVERAGE(B2357:B2556)</f>
        <v>1777.6699</v>
      </c>
      <c r="E2556" s="7" t="n">
        <f aca="false">B2556/MAX(B2305:B2556)-1</f>
        <v>-0.459657617747557</v>
      </c>
      <c r="F2556" s="7" t="str">
        <f aca="false">IFERROR(INDEX(02_轉折點45個!B:B,MATCH(A2556,02_轉折點45個!A:A,0)),"")</f>
        <v/>
      </c>
      <c r="G2556" s="7" t="s">
        <v>1994</v>
      </c>
    </row>
    <row r="2557" customFormat="false" ht="15" hidden="false" customHeight="false" outlineLevel="0" collapsed="false">
      <c r="A2557" s="7" t="s">
        <v>4083</v>
      </c>
      <c r="B2557" s="7" t="n">
        <v>1208.52</v>
      </c>
      <c r="C2557" s="7" t="n">
        <f aca="false">AVERAGE(B2508:B2557)</f>
        <v>1383.9438</v>
      </c>
      <c r="D2557" s="7" t="n">
        <f aca="false">AVERAGE(B2358:B2557)</f>
        <v>1772.3079</v>
      </c>
      <c r="E2557" s="7" t="n">
        <f aca="false">B2557/MAX(B2306:B2557)-1</f>
        <v>-0.481223922114047</v>
      </c>
      <c r="F2557" s="7" t="str">
        <f aca="false">IFERROR(INDEX(02_轉折點45個!B:B,MATCH(A2557,02_轉折點45個!A:A,0)),"")</f>
        <v/>
      </c>
      <c r="G2557" s="7" t="s">
        <v>1994</v>
      </c>
    </row>
    <row r="2558" customFormat="false" ht="15" hidden="false" customHeight="false" outlineLevel="0" collapsed="false">
      <c r="A2558" s="7" t="s">
        <v>4084</v>
      </c>
      <c r="B2558" s="7" t="n">
        <v>1206.84</v>
      </c>
      <c r="C2558" s="7" t="n">
        <f aca="false">AVERAGE(B2509:B2558)</f>
        <v>1379.2244</v>
      </c>
      <c r="D2558" s="7" t="n">
        <f aca="false">AVERAGE(B2359:B2558)</f>
        <v>1766.76835</v>
      </c>
      <c r="E2558" s="7" t="n">
        <f aca="false">B2558/MAX(B2307:B2558)-1</f>
        <v>-0.481945088342863</v>
      </c>
      <c r="F2558" s="7" t="str">
        <f aca="false">IFERROR(INDEX(02_轉折點45個!B:B,MATCH(A2558,02_轉折點45個!A:A,0)),"")</f>
        <v/>
      </c>
      <c r="G2558" s="7" t="s">
        <v>1994</v>
      </c>
    </row>
    <row r="2559" customFormat="false" ht="15" hidden="false" customHeight="false" outlineLevel="0" collapsed="false">
      <c r="A2559" s="7" t="s">
        <v>4085</v>
      </c>
      <c r="B2559" s="7" t="n">
        <v>1236.74</v>
      </c>
      <c r="C2559" s="7" t="n">
        <f aca="false">AVERAGE(B2510:B2559)</f>
        <v>1375.5952</v>
      </c>
      <c r="D2559" s="7" t="n">
        <f aca="false">AVERAGE(B2360:B2559)</f>
        <v>1761.4006</v>
      </c>
      <c r="E2559" s="7" t="n">
        <f aca="false">B2559/MAX(B2308:B2559)-1</f>
        <v>-0.469110046532392</v>
      </c>
      <c r="F2559" s="7" t="str">
        <f aca="false">IFERROR(INDEX(02_轉折點45個!B:B,MATCH(A2559,02_轉折點45個!A:A,0)),"")</f>
        <v/>
      </c>
      <c r="G2559" s="7" t="s">
        <v>1994</v>
      </c>
    </row>
    <row r="2560" customFormat="false" ht="15" hidden="false" customHeight="false" outlineLevel="0" collapsed="false">
      <c r="A2560" s="7" t="s">
        <v>822</v>
      </c>
      <c r="B2560" s="7" t="n">
        <v>1187.27</v>
      </c>
      <c r="C2560" s="7" t="n">
        <f aca="false">AVERAGE(B2511:B2560)</f>
        <v>1370.7582</v>
      </c>
      <c r="D2560" s="7" t="n">
        <f aca="false">AVERAGE(B2361:B2560)</f>
        <v>1755.8438</v>
      </c>
      <c r="E2560" s="7" t="n">
        <f aca="false">B2560/MAX(B2309:B2560)-1</f>
        <v>-0.490345816377342</v>
      </c>
      <c r="F2560" s="7" t="str">
        <f aca="false">IFERROR(INDEX(02_轉折點45個!B:B,MATCH(A2560,02_轉折點45個!A:A,0)),"")</f>
        <v/>
      </c>
      <c r="G2560" s="7" t="s">
        <v>1994</v>
      </c>
    </row>
    <row r="2561" customFormat="false" ht="15" hidden="false" customHeight="false" outlineLevel="0" collapsed="false">
      <c r="A2561" s="7" t="s">
        <v>4086</v>
      </c>
      <c r="B2561" s="7" t="n">
        <v>1182.03</v>
      </c>
      <c r="C2561" s="7" t="n">
        <f aca="false">AVERAGE(B2512:B2561)</f>
        <v>1366.4006</v>
      </c>
      <c r="D2561" s="7" t="n">
        <f aca="false">AVERAGE(B2362:B2561)</f>
        <v>1750.36965</v>
      </c>
      <c r="E2561" s="7" t="n">
        <f aca="false">B2561/MAX(B2310:B2561)-1</f>
        <v>-0.492595168186267</v>
      </c>
      <c r="F2561" s="7" t="str">
        <f aca="false">IFERROR(INDEX(02_轉折點45個!B:B,MATCH(A2561,02_轉折點45個!A:A,0)),"")</f>
        <v/>
      </c>
      <c r="G2561" s="7" t="s">
        <v>1994</v>
      </c>
    </row>
    <row r="2562" customFormat="false" ht="15" hidden="false" customHeight="false" outlineLevel="0" collapsed="false">
      <c r="A2562" s="7" t="s">
        <v>139</v>
      </c>
      <c r="B2562" s="7" t="n">
        <v>1158.99</v>
      </c>
      <c r="C2562" s="7" t="n">
        <f aca="false">AVERAGE(B2513:B2562)</f>
        <v>1361.7796</v>
      </c>
      <c r="D2562" s="7" t="n">
        <f aca="false">AVERAGE(B2363:B2562)</f>
        <v>1744.98125</v>
      </c>
      <c r="E2562" s="7" t="n">
        <f aca="false">B2562/MAX(B2311:B2562)-1</f>
        <v>-0.50248544789574</v>
      </c>
      <c r="F2562" s="7" t="str">
        <f aca="false">IFERROR(INDEX(02_轉折點45個!B:B,MATCH(A2562,02_轉折點45個!A:A,0)),"")</f>
        <v>BOTTOM</v>
      </c>
      <c r="G2562" s="7" t="s">
        <v>1994</v>
      </c>
    </row>
    <row r="2563" customFormat="false" ht="15" hidden="false" customHeight="false" outlineLevel="0" collapsed="false">
      <c r="A2563" s="7" t="s">
        <v>4087</v>
      </c>
      <c r="B2563" s="7" t="n">
        <v>1240.89</v>
      </c>
      <c r="C2563" s="7" t="n">
        <f aca="false">AVERAGE(B2514:B2563)</f>
        <v>1358.7352</v>
      </c>
      <c r="D2563" s="7" t="n">
        <f aca="false">AVERAGE(B2364:B2563)</f>
        <v>1739.92785</v>
      </c>
      <c r="E2563" s="7" t="n">
        <f aca="false">B2563/MAX(B2312:B2563)-1</f>
        <v>-0.467328594240973</v>
      </c>
      <c r="F2563" s="7" t="str">
        <f aca="false">IFERROR(INDEX(02_轉折點45個!B:B,MATCH(A2563,02_轉折點45個!A:A,0)),"")</f>
        <v/>
      </c>
      <c r="G2563" s="7" t="s">
        <v>1994</v>
      </c>
    </row>
    <row r="2564" customFormat="false" ht="15" hidden="false" customHeight="false" outlineLevel="0" collapsed="false">
      <c r="A2564" s="7" t="s">
        <v>4088</v>
      </c>
      <c r="B2564" s="7" t="n">
        <v>1253.09</v>
      </c>
      <c r="C2564" s="7" t="n">
        <f aca="false">AVERAGE(B2515:B2564)</f>
        <v>1355.8372</v>
      </c>
      <c r="D2564" s="7" t="n">
        <f aca="false">AVERAGE(B2365:B2564)</f>
        <v>1735.0264</v>
      </c>
      <c r="E2564" s="7" t="n">
        <f aca="false">B2564/MAX(B2313:B2564)-1</f>
        <v>-0.462091553769811</v>
      </c>
      <c r="F2564" s="7" t="str">
        <f aca="false">IFERROR(INDEX(02_轉折點45個!B:B,MATCH(A2564,02_轉折點45個!A:A,0)),"")</f>
        <v/>
      </c>
      <c r="G2564" s="7" t="s">
        <v>1994</v>
      </c>
    </row>
    <row r="2565" customFormat="false" ht="15" hidden="false" customHeight="false" outlineLevel="0" collapsed="false">
      <c r="A2565" s="7" t="s">
        <v>4089</v>
      </c>
      <c r="B2565" s="7" t="n">
        <v>1302.85</v>
      </c>
      <c r="C2565" s="7" t="n">
        <f aca="false">AVERAGE(B2516:B2565)</f>
        <v>1354.2984</v>
      </c>
      <c r="D2565" s="7" t="n">
        <f aca="false">AVERAGE(B2366:B2565)</f>
        <v>1730.2067</v>
      </c>
      <c r="E2565" s="7" t="n">
        <f aca="false">B2565/MAX(B2314:B2565)-1</f>
        <v>-0.440731296897268</v>
      </c>
      <c r="F2565" s="7" t="str">
        <f aca="false">IFERROR(INDEX(02_轉折點45個!B:B,MATCH(A2565,02_轉折點45個!A:A,0)),"")</f>
        <v/>
      </c>
      <c r="G2565" s="7" t="s">
        <v>1994</v>
      </c>
    </row>
    <row r="2566" customFormat="false" ht="15" hidden="false" customHeight="false" outlineLevel="0" collapsed="false">
      <c r="A2566" s="7" t="s">
        <v>4090</v>
      </c>
      <c r="B2566" s="7" t="n">
        <v>1307.78</v>
      </c>
      <c r="C2566" s="7" t="n">
        <f aca="false">AVERAGE(B2517:B2566)</f>
        <v>1352.1204</v>
      </c>
      <c r="D2566" s="7" t="n">
        <f aca="false">AVERAGE(B2367:B2566)</f>
        <v>1725.3867</v>
      </c>
      <c r="E2566" s="7" t="n">
        <f aca="false">B2566/MAX(B2315:B2566)-1</f>
        <v>-0.438615017428184</v>
      </c>
      <c r="F2566" s="7" t="str">
        <f aca="false">IFERROR(INDEX(02_轉折點45個!B:B,MATCH(A2566,02_轉折點45個!A:A,0)),"")</f>
        <v/>
      </c>
      <c r="G2566" s="7" t="s">
        <v>1994</v>
      </c>
    </row>
    <row r="2567" customFormat="false" ht="15" hidden="false" customHeight="false" outlineLevel="0" collapsed="false">
      <c r="A2567" s="7" t="s">
        <v>4091</v>
      </c>
      <c r="B2567" s="7" t="n">
        <v>1282.67</v>
      </c>
      <c r="C2567" s="7" t="n">
        <f aca="false">AVERAGE(B2518:B2567)</f>
        <v>1348.9592</v>
      </c>
      <c r="D2567" s="7" t="n">
        <f aca="false">AVERAGE(B2368:B2567)</f>
        <v>1720.3424</v>
      </c>
      <c r="E2567" s="7" t="n">
        <f aca="false">B2567/MAX(B2316:B2567)-1</f>
        <v>-0.449393876955305</v>
      </c>
      <c r="F2567" s="7" t="str">
        <f aca="false">IFERROR(INDEX(02_轉折點45個!B:B,MATCH(A2567,02_轉折點45個!A:A,0)),"")</f>
        <v/>
      </c>
      <c r="G2567" s="7" t="s">
        <v>1994</v>
      </c>
    </row>
    <row r="2568" customFormat="false" ht="15" hidden="false" customHeight="false" outlineLevel="0" collapsed="false">
      <c r="A2568" s="7" t="s">
        <v>4092</v>
      </c>
      <c r="B2568" s="7" t="n">
        <v>1335.74</v>
      </c>
      <c r="C2568" s="7" t="n">
        <f aca="false">AVERAGE(B2519:B2568)</f>
        <v>1345.8512</v>
      </c>
      <c r="D2568" s="7" t="n">
        <f aca="false">AVERAGE(B2369:B2568)</f>
        <v>1715.49795</v>
      </c>
      <c r="E2568" s="7" t="n">
        <f aca="false">B2568/MAX(B2317:B2568)-1</f>
        <v>-0.42661275090575</v>
      </c>
      <c r="F2568" s="7" t="str">
        <f aca="false">IFERROR(INDEX(02_轉折點45個!B:B,MATCH(A2568,02_轉折點45個!A:A,0)),"")</f>
        <v/>
      </c>
      <c r="G2568" s="7" t="s">
        <v>1994</v>
      </c>
    </row>
    <row r="2569" customFormat="false" ht="15" hidden="false" customHeight="false" outlineLevel="0" collapsed="false">
      <c r="A2569" s="7" t="s">
        <v>4093</v>
      </c>
      <c r="B2569" s="7" t="n">
        <v>1362.34</v>
      </c>
      <c r="C2569" s="7" t="n">
        <f aca="false">AVERAGE(B2520:B2569)</f>
        <v>1343.3516</v>
      </c>
      <c r="D2569" s="7" t="n">
        <f aca="false">AVERAGE(B2370:B2569)</f>
        <v>1710.9287</v>
      </c>
      <c r="E2569" s="7" t="n">
        <f aca="false">B2569/MAX(B2318:B2569)-1</f>
        <v>-0.415194285616168</v>
      </c>
      <c r="F2569" s="7" t="str">
        <f aca="false">IFERROR(INDEX(02_轉折點45個!B:B,MATCH(A2569,02_轉折點45個!A:A,0)),"")</f>
        <v/>
      </c>
      <c r="G2569" s="7" t="s">
        <v>1994</v>
      </c>
    </row>
    <row r="2570" customFormat="false" ht="15" hidden="false" customHeight="false" outlineLevel="0" collapsed="false">
      <c r="A2570" s="7" t="s">
        <v>4094</v>
      </c>
      <c r="B2570" s="7" t="n">
        <v>1355.27</v>
      </c>
      <c r="C2570" s="7" t="n">
        <f aca="false">AVERAGE(B2521:B2570)</f>
        <v>1340.2656</v>
      </c>
      <c r="D2570" s="7" t="n">
        <f aca="false">AVERAGE(B2371:B2570)</f>
        <v>1706.37455</v>
      </c>
      <c r="E2570" s="7" t="n">
        <f aca="false">B2570/MAX(B2319:B2570)-1</f>
        <v>-0.418229193495768</v>
      </c>
      <c r="F2570" s="7" t="str">
        <f aca="false">IFERROR(INDEX(02_轉折點45個!B:B,MATCH(A2570,02_轉折點45個!A:A,0)),"")</f>
        <v/>
      </c>
      <c r="G2570" s="7" t="s">
        <v>1994</v>
      </c>
    </row>
    <row r="2571" customFormat="false" ht="15" hidden="false" customHeight="false" outlineLevel="0" collapsed="false">
      <c r="A2571" s="7" t="s">
        <v>4095</v>
      </c>
      <c r="B2571" s="7" t="n">
        <v>1331.32</v>
      </c>
      <c r="C2571" s="7" t="n">
        <f aca="false">AVERAGE(B2522:B2571)</f>
        <v>1337.6748</v>
      </c>
      <c r="D2571" s="7" t="n">
        <f aca="false">AVERAGE(B2372:B2571)</f>
        <v>1701.59715</v>
      </c>
      <c r="E2571" s="7" t="n">
        <f aca="false">B2571/MAX(B2320:B2571)-1</f>
        <v>-0.428510104912516</v>
      </c>
      <c r="F2571" s="7" t="str">
        <f aca="false">IFERROR(INDEX(02_轉折點45個!B:B,MATCH(A2571,02_轉折點45個!A:A,0)),"")</f>
        <v/>
      </c>
      <c r="G2571" s="7" t="s">
        <v>1994</v>
      </c>
    </row>
    <row r="2572" customFormat="false" ht="15" hidden="false" customHeight="false" outlineLevel="0" collapsed="false">
      <c r="A2572" s="7" t="s">
        <v>4096</v>
      </c>
      <c r="B2572" s="7" t="n">
        <v>1421.31</v>
      </c>
      <c r="C2572" s="7" t="n">
        <f aca="false">AVERAGE(B2523:B2572)</f>
        <v>1336.5558</v>
      </c>
      <c r="D2572" s="7" t="n">
        <f aca="false">AVERAGE(B2373:B2572)</f>
        <v>1697.0559</v>
      </c>
      <c r="E2572" s="7" t="n">
        <f aca="false">B2572/MAX(B2321:B2572)-1</f>
        <v>-0.389880492453511</v>
      </c>
      <c r="F2572" s="7" t="str">
        <f aca="false">IFERROR(INDEX(02_轉折點45個!B:B,MATCH(A2572,02_轉折點45個!A:A,0)),"")</f>
        <v/>
      </c>
      <c r="G2572" s="7" t="s">
        <v>1994</v>
      </c>
    </row>
    <row r="2573" customFormat="false" ht="15" hidden="false" customHeight="false" outlineLevel="0" collapsed="false">
      <c r="A2573" s="7" t="s">
        <v>4097</v>
      </c>
      <c r="B2573" s="7" t="n">
        <v>1385.45</v>
      </c>
      <c r="C2573" s="7" t="n">
        <f aca="false">AVERAGE(B2524:B2573)</f>
        <v>1335.5496</v>
      </c>
      <c r="D2573" s="7" t="n">
        <f aca="false">AVERAGE(B2374:B2573)</f>
        <v>1692.6797</v>
      </c>
      <c r="E2573" s="7" t="n">
        <f aca="false">B2573/MAX(B2322:B2573)-1</f>
        <v>-0.405273957313827</v>
      </c>
      <c r="F2573" s="7" t="str">
        <f aca="false">IFERROR(INDEX(02_轉折點45個!B:B,MATCH(A2573,02_轉折點45個!A:A,0)),"")</f>
        <v/>
      </c>
      <c r="G2573" s="7" t="s">
        <v>1994</v>
      </c>
    </row>
    <row r="2574" customFormat="false" ht="15" hidden="false" customHeight="false" outlineLevel="0" collapsed="false">
      <c r="A2574" s="7" t="s">
        <v>4098</v>
      </c>
      <c r="B2574" s="7" t="n">
        <v>1396.81</v>
      </c>
      <c r="C2574" s="7" t="n">
        <f aca="false">AVERAGE(B2525:B2574)</f>
        <v>1335.3698</v>
      </c>
      <c r="D2574" s="7" t="n">
        <f aca="false">AVERAGE(B2375:B2574)</f>
        <v>1688.42925</v>
      </c>
      <c r="E2574" s="7" t="n">
        <f aca="false">B2574/MAX(B2323:B2574)-1</f>
        <v>-0.400397499957073</v>
      </c>
      <c r="F2574" s="7" t="str">
        <f aca="false">IFERROR(INDEX(02_轉折點45個!B:B,MATCH(A2574,02_轉折點45個!A:A,0)),"")</f>
        <v/>
      </c>
      <c r="G2574" s="7" t="s">
        <v>1994</v>
      </c>
    </row>
    <row r="2575" customFormat="false" ht="15" hidden="false" customHeight="false" outlineLevel="0" collapsed="false">
      <c r="A2575" s="7" t="s">
        <v>4099</v>
      </c>
      <c r="B2575" s="7" t="n">
        <v>1449.84</v>
      </c>
      <c r="C2575" s="7" t="n">
        <f aca="false">AVERAGE(B2526:B2575)</f>
        <v>1336.1106</v>
      </c>
      <c r="D2575" s="7" t="n">
        <f aca="false">AVERAGE(B2376:B2575)</f>
        <v>1684.49205</v>
      </c>
      <c r="E2575" s="7" t="n">
        <f aca="false">B2575/MAX(B2324:B2575)-1</f>
        <v>-0.377633544532015</v>
      </c>
      <c r="F2575" s="7" t="str">
        <f aca="false">IFERROR(INDEX(02_轉折點45個!B:B,MATCH(A2575,02_轉折點45個!A:A,0)),"")</f>
        <v/>
      </c>
      <c r="G2575" s="7" t="s">
        <v>1994</v>
      </c>
    </row>
    <row r="2576" customFormat="false" ht="15" hidden="false" customHeight="false" outlineLevel="0" collapsed="false">
      <c r="A2576" s="7" t="s">
        <v>4100</v>
      </c>
      <c r="B2576" s="7" t="n">
        <v>1411.65</v>
      </c>
      <c r="C2576" s="7" t="n">
        <f aca="false">AVERAGE(B2527:B2576)</f>
        <v>1337.1258</v>
      </c>
      <c r="D2576" s="7" t="n">
        <f aca="false">AVERAGE(B2377:B2576)</f>
        <v>1680.6148</v>
      </c>
      <c r="E2576" s="7" t="n">
        <f aca="false">B2576/MAX(B2325:B2576)-1</f>
        <v>-0.394027198269201</v>
      </c>
      <c r="F2576" s="7" t="str">
        <f aca="false">IFERROR(INDEX(02_轉折點45個!B:B,MATCH(A2576,02_轉折點45個!A:A,0)),"")</f>
        <v/>
      </c>
      <c r="G2576" s="7" t="s">
        <v>1994</v>
      </c>
    </row>
    <row r="2577" customFormat="false" ht="15" hidden="false" customHeight="false" outlineLevel="0" collapsed="false">
      <c r="A2577" s="7" t="s">
        <v>4101</v>
      </c>
      <c r="B2577" s="7" t="n">
        <v>1372</v>
      </c>
      <c r="C2577" s="7" t="n">
        <f aca="false">AVERAGE(B2528:B2577)</f>
        <v>1336.9422</v>
      </c>
      <c r="D2577" s="7" t="n">
        <f aca="false">AVERAGE(B2378:B2577)</f>
        <v>1676.49205</v>
      </c>
      <c r="E2577" s="7" t="n">
        <f aca="false">B2577/MAX(B2326:B2577)-1</f>
        <v>-0.411047579800477</v>
      </c>
      <c r="F2577" s="7" t="str">
        <f aca="false">IFERROR(INDEX(02_轉折點45個!B:B,MATCH(A2577,02_轉折點45個!A:A,0)),"")</f>
        <v/>
      </c>
      <c r="G2577" s="7" t="s">
        <v>1994</v>
      </c>
    </row>
    <row r="2578" customFormat="false" ht="15" hidden="false" customHeight="false" outlineLevel="0" collapsed="false">
      <c r="A2578" s="7" t="s">
        <v>823</v>
      </c>
      <c r="B2578" s="7" t="n">
        <v>1396.48</v>
      </c>
      <c r="C2578" s="7" t="n">
        <f aca="false">AVERAGE(B2529:B2578)</f>
        <v>1336.9288</v>
      </c>
      <c r="D2578" s="7" t="n">
        <f aca="false">AVERAGE(B2379:B2578)</f>
        <v>1672.26265</v>
      </c>
      <c r="E2578" s="7" t="n">
        <f aca="false">B2578/MAX(B2327:B2578)-1</f>
        <v>-0.400539157609162</v>
      </c>
      <c r="F2578" s="7" t="str">
        <f aca="false">IFERROR(INDEX(02_轉折點45個!B:B,MATCH(A2578,02_轉折點45個!A:A,0)),"")</f>
        <v/>
      </c>
      <c r="G2578" s="7" t="s">
        <v>1994</v>
      </c>
    </row>
    <row r="2579" customFormat="false" ht="15" hidden="false" customHeight="false" outlineLevel="0" collapsed="false">
      <c r="A2579" s="7" t="s">
        <v>4102</v>
      </c>
      <c r="B2579" s="7" t="n">
        <v>1417.5</v>
      </c>
      <c r="C2579" s="7" t="n">
        <f aca="false">AVERAGE(B2530:B2579)</f>
        <v>1338.9522</v>
      </c>
      <c r="D2579" s="7" t="n">
        <f aca="false">AVERAGE(B2380:B2579)</f>
        <v>1668.0457</v>
      </c>
      <c r="E2579" s="7" t="n">
        <f aca="false">B2579/MAX(B2328:B2579)-1</f>
        <v>-0.391515994436718</v>
      </c>
      <c r="F2579" s="7" t="str">
        <f aca="false">IFERROR(INDEX(02_轉折點45個!B:B,MATCH(A2579,02_轉折點45個!A:A,0)),"")</f>
        <v/>
      </c>
      <c r="G2579" s="7" t="s">
        <v>1994</v>
      </c>
    </row>
    <row r="2580" customFormat="false" ht="15" hidden="false" customHeight="false" outlineLevel="0" collapsed="false">
      <c r="A2580" s="7" t="s">
        <v>4103</v>
      </c>
      <c r="B2580" s="7" t="n">
        <v>1464.12</v>
      </c>
      <c r="C2580" s="7" t="n">
        <f aca="false">AVERAGE(B2531:B2580)</f>
        <v>1340.6982</v>
      </c>
      <c r="D2580" s="7" t="n">
        <f aca="false">AVERAGE(B2381:B2580)</f>
        <v>1664.13975</v>
      </c>
      <c r="E2580" s="7" t="n">
        <f aca="false">B2580/MAX(B2329:B2580)-1</f>
        <v>-0.371503631587081</v>
      </c>
      <c r="F2580" s="7" t="str">
        <f aca="false">IFERROR(INDEX(02_轉折點45個!B:B,MATCH(A2580,02_轉折點45個!A:A,0)),"")</f>
        <v/>
      </c>
      <c r="G2580" s="7" t="s">
        <v>1994</v>
      </c>
    </row>
    <row r="2581" customFormat="false" ht="15" hidden="false" customHeight="false" outlineLevel="0" collapsed="false">
      <c r="A2581" s="7" t="s">
        <v>4104</v>
      </c>
      <c r="B2581" s="7" t="n">
        <v>1481.7</v>
      </c>
      <c r="C2581" s="7" t="n">
        <f aca="false">AVERAGE(B2532:B2581)</f>
        <v>1343.5556</v>
      </c>
      <c r="D2581" s="7" t="n">
        <f aca="false">AVERAGE(B2382:B2581)</f>
        <v>1660.44965</v>
      </c>
      <c r="E2581" s="7" t="n">
        <f aca="false">B2581/MAX(B2330:B2581)-1</f>
        <v>-0.363957142121259</v>
      </c>
      <c r="F2581" s="7" t="str">
        <f aca="false">IFERROR(INDEX(02_轉折點45個!B:B,MATCH(A2581,02_轉折點45個!A:A,0)),"")</f>
        <v/>
      </c>
      <c r="G2581" s="7" t="s">
        <v>1994</v>
      </c>
    </row>
    <row r="2582" customFormat="false" ht="15" hidden="false" customHeight="false" outlineLevel="0" collapsed="false">
      <c r="A2582" s="7" t="s">
        <v>4105</v>
      </c>
      <c r="B2582" s="7" t="n">
        <v>1467.85</v>
      </c>
      <c r="C2582" s="7" t="n">
        <f aca="false">AVERAGE(B2533:B2582)</f>
        <v>1345.9204</v>
      </c>
      <c r="D2582" s="7" t="n">
        <f aca="false">AVERAGE(B2383:B2582)</f>
        <v>1656.54255</v>
      </c>
      <c r="E2582" s="7" t="n">
        <f aca="false">B2582/MAX(B2331:B2582)-1</f>
        <v>-0.369902470852865</v>
      </c>
      <c r="F2582" s="7" t="str">
        <f aca="false">IFERROR(INDEX(02_轉折點45個!B:B,MATCH(A2582,02_轉折點45個!A:A,0)),"")</f>
        <v/>
      </c>
      <c r="G2582" s="7" t="s">
        <v>1994</v>
      </c>
    </row>
    <row r="2583" customFormat="false" ht="15" hidden="false" customHeight="false" outlineLevel="0" collapsed="false">
      <c r="A2583" s="7" t="s">
        <v>4106</v>
      </c>
      <c r="B2583" s="7" t="n">
        <v>1426.64</v>
      </c>
      <c r="C2583" s="7" t="n">
        <f aca="false">AVERAGE(B2534:B2583)</f>
        <v>1347.2386</v>
      </c>
      <c r="D2583" s="7" t="n">
        <f aca="false">AVERAGE(B2384:B2583)</f>
        <v>1652.68505</v>
      </c>
      <c r="E2583" s="7" t="n">
        <f aca="false">B2583/MAX(B2332:B2583)-1</f>
        <v>-0.38759250673947</v>
      </c>
      <c r="F2583" s="7" t="str">
        <f aca="false">IFERROR(INDEX(02_轉折點45個!B:B,MATCH(A2583,02_轉折點45個!A:A,0)),"")</f>
        <v/>
      </c>
      <c r="G2583" s="7" t="s">
        <v>1994</v>
      </c>
    </row>
    <row r="2584" customFormat="false" ht="15" hidden="false" customHeight="false" outlineLevel="0" collapsed="false">
      <c r="A2584" s="7" t="s">
        <v>4107</v>
      </c>
      <c r="B2584" s="7" t="n">
        <v>1453.18</v>
      </c>
      <c r="C2584" s="7" t="n">
        <f aca="false">AVERAGE(B2535:B2584)</f>
        <v>1348.8054</v>
      </c>
      <c r="D2584" s="7" t="n">
        <f aca="false">AVERAGE(B2385:B2584)</f>
        <v>1649.0532</v>
      </c>
      <c r="E2584" s="7" t="n">
        <f aca="false">B2584/MAX(B2333:B2584)-1</f>
        <v>-0.376199797386631</v>
      </c>
      <c r="F2584" s="7" t="str">
        <f aca="false">IFERROR(INDEX(02_轉折點45個!B:B,MATCH(A2584,02_轉折點45個!A:A,0)),"")</f>
        <v/>
      </c>
      <c r="G2584" s="7" t="s">
        <v>1994</v>
      </c>
    </row>
    <row r="2585" customFormat="false" ht="15" hidden="false" customHeight="false" outlineLevel="0" collapsed="false">
      <c r="A2585" s="7" t="s">
        <v>4108</v>
      </c>
      <c r="B2585" s="7" t="n">
        <v>1509.72</v>
      </c>
      <c r="C2585" s="7" t="n">
        <f aca="false">AVERAGE(B2536:B2585)</f>
        <v>1350.5266</v>
      </c>
      <c r="D2585" s="7" t="n">
        <f aca="false">AVERAGE(B2386:B2585)</f>
        <v>1645.7838</v>
      </c>
      <c r="E2585" s="7" t="n">
        <f aca="false">B2585/MAX(B2334:B2585)-1</f>
        <v>-0.351929119662082</v>
      </c>
      <c r="F2585" s="7" t="str">
        <f aca="false">IFERROR(INDEX(02_轉折點45個!B:B,MATCH(A2585,02_轉折點45個!A:A,0)),"")</f>
        <v/>
      </c>
      <c r="G2585" s="7" t="s">
        <v>1994</v>
      </c>
    </row>
    <row r="2586" customFormat="false" ht="15" hidden="false" customHeight="false" outlineLevel="0" collapsed="false">
      <c r="A2586" s="7" t="s">
        <v>824</v>
      </c>
      <c r="B2586" s="7" t="n">
        <v>1510.42</v>
      </c>
      <c r="C2586" s="7" t="n">
        <f aca="false">AVERAGE(B2537:B2586)</f>
        <v>1353.1846</v>
      </c>
      <c r="D2586" s="7" t="n">
        <f aca="false">AVERAGE(B2387:B2586)</f>
        <v>1642.36725</v>
      </c>
      <c r="E2586" s="7" t="n">
        <f aca="false">B2586/MAX(B2335:B2586)-1</f>
        <v>-0.351628633733409</v>
      </c>
      <c r="F2586" s="7" t="str">
        <f aca="false">IFERROR(INDEX(02_轉折點45個!B:B,MATCH(A2586,02_轉折點45個!A:A,0)),"")</f>
        <v/>
      </c>
      <c r="G2586" s="7" t="s">
        <v>1994</v>
      </c>
    </row>
    <row r="2587" customFormat="false" ht="15" hidden="false" customHeight="false" outlineLevel="0" collapsed="false">
      <c r="A2587" s="7" t="s">
        <v>4109</v>
      </c>
      <c r="B2587" s="7" t="n">
        <v>1485.21</v>
      </c>
      <c r="C2587" s="7" t="n">
        <f aca="false">AVERAGE(B2538:B2587)</f>
        <v>1355.9124</v>
      </c>
      <c r="D2587" s="7" t="n">
        <f aca="false">AVERAGE(B2388:B2587)</f>
        <v>1639.1896</v>
      </c>
      <c r="E2587" s="7" t="n">
        <f aca="false">B2587/MAX(B2336:B2587)-1</f>
        <v>-0.362450419821769</v>
      </c>
      <c r="F2587" s="7" t="str">
        <f aca="false">IFERROR(INDEX(02_轉折點45個!B:B,MATCH(A2587,02_轉折點45個!A:A,0)),"")</f>
        <v/>
      </c>
      <c r="G2587" s="7" t="s">
        <v>1994</v>
      </c>
    </row>
    <row r="2588" customFormat="false" ht="15" hidden="false" customHeight="false" outlineLevel="0" collapsed="false">
      <c r="A2588" s="7" t="s">
        <v>4110</v>
      </c>
      <c r="B2588" s="7" t="n">
        <v>1486.2</v>
      </c>
      <c r="C2588" s="7" t="n">
        <f aca="false">AVERAGE(B2539:B2588)</f>
        <v>1358.331</v>
      </c>
      <c r="D2588" s="7" t="n">
        <f aca="false">AVERAGE(B2389:B2588)</f>
        <v>1636.0431</v>
      </c>
      <c r="E2588" s="7" t="n">
        <f aca="false">B2588/MAX(B2337:B2588)-1</f>
        <v>-0.362025446865502</v>
      </c>
      <c r="F2588" s="7" t="str">
        <f aca="false">IFERROR(INDEX(02_轉折點45個!B:B,MATCH(A2588,02_轉折點45個!A:A,0)),"")</f>
        <v/>
      </c>
      <c r="G2588" s="7" t="s">
        <v>1994</v>
      </c>
    </row>
    <row r="2589" customFormat="false" ht="15" hidden="false" customHeight="false" outlineLevel="0" collapsed="false">
      <c r="A2589" s="7" t="s">
        <v>4111</v>
      </c>
      <c r="B2589" s="7" t="n">
        <v>1526.07</v>
      </c>
      <c r="C2589" s="7" t="n">
        <f aca="false">AVERAGE(B2540:B2589)</f>
        <v>1361.1474</v>
      </c>
      <c r="D2589" s="7" t="n">
        <f aca="false">AVERAGE(B2390:B2589)</f>
        <v>1633.19945</v>
      </c>
      <c r="E2589" s="7" t="n">
        <f aca="false">B2589/MAX(B2338:B2589)-1</f>
        <v>-0.3449106268995</v>
      </c>
      <c r="F2589" s="7" t="str">
        <f aca="false">IFERROR(INDEX(02_轉折點45個!B:B,MATCH(A2589,02_轉折點45個!A:A,0)),"")</f>
        <v/>
      </c>
      <c r="G2589" s="7" t="s">
        <v>1994</v>
      </c>
    </row>
    <row r="2590" customFormat="false" ht="15" hidden="false" customHeight="false" outlineLevel="0" collapsed="false">
      <c r="A2590" s="7" t="s">
        <v>4112</v>
      </c>
      <c r="B2590" s="7" t="n">
        <v>1528.47</v>
      </c>
      <c r="C2590" s="7" t="n">
        <f aca="false">AVERAGE(B2541:B2590)</f>
        <v>1364.0346</v>
      </c>
      <c r="D2590" s="7" t="n">
        <f aca="false">AVERAGE(B2391:B2590)</f>
        <v>1630.313</v>
      </c>
      <c r="E2590" s="7" t="n">
        <f aca="false">B2590/MAX(B2339:B2590)-1</f>
        <v>-0.343880389429764</v>
      </c>
      <c r="F2590" s="7" t="str">
        <f aca="false">IFERROR(INDEX(02_轉折點45個!B:B,MATCH(A2590,02_轉折點45個!A:A,0)),"")</f>
        <v/>
      </c>
      <c r="G2590" s="7" t="s">
        <v>1994</v>
      </c>
    </row>
    <row r="2591" customFormat="false" ht="15" hidden="false" customHeight="false" outlineLevel="0" collapsed="false">
      <c r="A2591" s="7" t="s">
        <v>4113</v>
      </c>
      <c r="B2591" s="7" t="n">
        <v>1469.22</v>
      </c>
      <c r="C2591" s="7" t="n">
        <f aca="false">AVERAGE(B2542:B2591)</f>
        <v>1365.167</v>
      </c>
      <c r="D2591" s="7" t="n">
        <f aca="false">AVERAGE(B2392:B2591)</f>
        <v>1627.37475</v>
      </c>
      <c r="E2591" s="7" t="n">
        <f aca="false">B2591/MAX(B2340:B2591)-1</f>
        <v>-0.36931437696389</v>
      </c>
      <c r="F2591" s="7" t="str">
        <f aca="false">IFERROR(INDEX(02_轉折點45個!B:B,MATCH(A2591,02_轉折點45個!A:A,0)),"")</f>
        <v/>
      </c>
      <c r="G2591" s="7" t="s">
        <v>1994</v>
      </c>
    </row>
    <row r="2592" customFormat="false" ht="15" hidden="false" customHeight="false" outlineLevel="0" collapsed="false">
      <c r="A2592" s="7" t="s">
        <v>4114</v>
      </c>
      <c r="B2592" s="7" t="n">
        <v>1501.78</v>
      </c>
      <c r="C2592" s="7" t="n">
        <f aca="false">AVERAGE(B2543:B2592)</f>
        <v>1366.1198</v>
      </c>
      <c r="D2592" s="7" t="n">
        <f aca="false">AVERAGE(B2393:B2592)</f>
        <v>1624.62705</v>
      </c>
      <c r="E2592" s="7" t="n">
        <f aca="false">B2592/MAX(B2341:B2592)-1</f>
        <v>-0.355337488624461</v>
      </c>
      <c r="F2592" s="7" t="str">
        <f aca="false">IFERROR(INDEX(02_轉折點45個!B:B,MATCH(A2592,02_轉折點45個!A:A,0)),"")</f>
        <v/>
      </c>
      <c r="G2592" s="7" t="s">
        <v>1994</v>
      </c>
    </row>
    <row r="2593" customFormat="false" ht="15" hidden="false" customHeight="false" outlineLevel="0" collapsed="false">
      <c r="A2593" s="7" t="s">
        <v>4115</v>
      </c>
      <c r="B2593" s="7" t="n">
        <v>1503.85</v>
      </c>
      <c r="C2593" s="7" t="n">
        <f aca="false">AVERAGE(B2544:B2593)</f>
        <v>1367.1166</v>
      </c>
      <c r="D2593" s="7" t="n">
        <f aca="false">AVERAGE(B2394:B2593)</f>
        <v>1621.8991</v>
      </c>
      <c r="E2593" s="7" t="n">
        <f aca="false">B2593/MAX(B2342:B2593)-1</f>
        <v>-0.354448908806813</v>
      </c>
      <c r="F2593" s="7" t="str">
        <f aca="false">IFERROR(INDEX(02_轉折點45個!B:B,MATCH(A2593,02_轉折點45個!A:A,0)),"")</f>
        <v/>
      </c>
      <c r="G2593" s="7" t="s">
        <v>1994</v>
      </c>
    </row>
    <row r="2594" customFormat="false" ht="15" hidden="false" customHeight="false" outlineLevel="0" collapsed="false">
      <c r="A2594" s="7" t="s">
        <v>4116</v>
      </c>
      <c r="B2594" s="7" t="n">
        <v>1509.41</v>
      </c>
      <c r="C2594" s="7" t="n">
        <f aca="false">AVERAGE(B2545:B2594)</f>
        <v>1369.4458</v>
      </c>
      <c r="D2594" s="7" t="n">
        <f aca="false">AVERAGE(B2395:B2594)</f>
        <v>1618.96545</v>
      </c>
      <c r="E2594" s="7" t="n">
        <f aca="false">B2594/MAX(B2343:B2594)-1</f>
        <v>-0.352062192001923</v>
      </c>
      <c r="F2594" s="7" t="str">
        <f aca="false">IFERROR(INDEX(02_轉折點45個!B:B,MATCH(A2594,02_轉折點45個!A:A,0)),"")</f>
        <v/>
      </c>
      <c r="G2594" s="7" t="s">
        <v>1994</v>
      </c>
    </row>
    <row r="2595" customFormat="false" ht="15" hidden="false" customHeight="false" outlineLevel="0" collapsed="false">
      <c r="A2595" s="7" t="s">
        <v>4117</v>
      </c>
      <c r="B2595" s="7" t="n">
        <v>1547.86</v>
      </c>
      <c r="C2595" s="7" t="n">
        <f aca="false">AVERAGE(B2546:B2595)</f>
        <v>1372.4386</v>
      </c>
      <c r="D2595" s="7" t="n">
        <f aca="false">AVERAGE(B2396:B2595)</f>
        <v>1616.4961</v>
      </c>
      <c r="E2595" s="7" t="n">
        <f aca="false">B2595/MAX(B2344:B2595)-1</f>
        <v>-0.335556929205515</v>
      </c>
      <c r="F2595" s="7" t="str">
        <f aca="false">IFERROR(INDEX(02_轉折點45個!B:B,MATCH(A2595,02_轉折點45個!A:A,0)),"")</f>
        <v/>
      </c>
      <c r="G2595" s="7" t="s">
        <v>1994</v>
      </c>
    </row>
    <row r="2596" customFormat="false" ht="15" hidden="false" customHeight="false" outlineLevel="0" collapsed="false">
      <c r="A2596" s="7" t="s">
        <v>4118</v>
      </c>
      <c r="B2596" s="7" t="n">
        <v>1534.26</v>
      </c>
      <c r="C2596" s="7" t="n">
        <f aca="false">AVERAGE(B2547:B2596)</f>
        <v>1374.9546</v>
      </c>
      <c r="D2596" s="7" t="n">
        <f aca="false">AVERAGE(B2397:B2596)</f>
        <v>1613.85385</v>
      </c>
      <c r="E2596" s="7" t="n">
        <f aca="false">B2596/MAX(B2345:B2596)-1</f>
        <v>-0.341394941534024</v>
      </c>
      <c r="F2596" s="7" t="str">
        <f aca="false">IFERROR(INDEX(02_轉折點45個!B:B,MATCH(A2596,02_轉折點45個!A:A,0)),"")</f>
        <v/>
      </c>
      <c r="G2596" s="7" t="s">
        <v>1994</v>
      </c>
    </row>
    <row r="2597" customFormat="false" ht="15" hidden="false" customHeight="false" outlineLevel="0" collapsed="false">
      <c r="A2597" s="7" t="s">
        <v>4119</v>
      </c>
      <c r="B2597" s="7" t="n">
        <v>1529.15</v>
      </c>
      <c r="C2597" s="7" t="n">
        <f aca="false">AVERAGE(B2548:B2597)</f>
        <v>1377.5026</v>
      </c>
      <c r="D2597" s="7" t="n">
        <f aca="false">AVERAGE(B2398:B2597)</f>
        <v>1611.2718</v>
      </c>
      <c r="E2597" s="7" t="n">
        <f aca="false">B2597/MAX(B2346:B2597)-1</f>
        <v>-0.343588488813338</v>
      </c>
      <c r="F2597" s="7" t="str">
        <f aca="false">IFERROR(INDEX(02_轉折點45個!B:B,MATCH(A2597,02_轉折點45個!A:A,0)),"")</f>
        <v/>
      </c>
      <c r="G2597" s="7" t="s">
        <v>1994</v>
      </c>
    </row>
    <row r="2598" customFormat="false" ht="15" hidden="false" customHeight="false" outlineLevel="0" collapsed="false">
      <c r="A2598" s="7" t="s">
        <v>4120</v>
      </c>
      <c r="B2598" s="7" t="n">
        <v>1563.98</v>
      </c>
      <c r="C2598" s="7" t="n">
        <f aca="false">AVERAGE(B2549:B2598)</f>
        <v>1381.9112</v>
      </c>
      <c r="D2598" s="7" t="n">
        <f aca="false">AVERAGE(B2399:B2598)</f>
        <v>1608.9836</v>
      </c>
      <c r="E2598" s="7" t="n">
        <f aca="false">B2598/MAX(B2347:B2598)-1</f>
        <v>-0.328637167533783</v>
      </c>
      <c r="F2598" s="7" t="str">
        <f aca="false">IFERROR(INDEX(02_轉折點45個!B:B,MATCH(A2598,02_轉折點45個!A:A,0)),"")</f>
        <v/>
      </c>
      <c r="G2598" s="7" t="s">
        <v>1994</v>
      </c>
    </row>
    <row r="2599" customFormat="false" ht="15" hidden="false" customHeight="false" outlineLevel="0" collapsed="false">
      <c r="A2599" s="7" t="s">
        <v>4121</v>
      </c>
      <c r="B2599" s="7" t="n">
        <v>1568.88</v>
      </c>
      <c r="C2599" s="7" t="n">
        <f aca="false">AVERAGE(B2550:B2599)</f>
        <v>1386.4668</v>
      </c>
      <c r="D2599" s="7" t="n">
        <f aca="false">AVERAGE(B2400:B2599)</f>
        <v>1606.70695</v>
      </c>
      <c r="E2599" s="7" t="n">
        <f aca="false">B2599/MAX(B2348:B2599)-1</f>
        <v>-0.326533766033071</v>
      </c>
      <c r="F2599" s="7" t="str">
        <f aca="false">IFERROR(INDEX(02_轉折點45個!B:B,MATCH(A2599,02_轉折點45個!A:A,0)),"")</f>
        <v/>
      </c>
      <c r="G2599" s="7" t="s">
        <v>1994</v>
      </c>
    </row>
    <row r="2600" customFormat="false" ht="15" hidden="false" customHeight="false" outlineLevel="0" collapsed="false">
      <c r="A2600" s="7" t="s">
        <v>4122</v>
      </c>
      <c r="B2600" s="7" t="n">
        <v>1570.61</v>
      </c>
      <c r="C2600" s="7" t="n">
        <f aca="false">AVERAGE(B2551:B2600)</f>
        <v>1391.5166</v>
      </c>
      <c r="D2600" s="7" t="n">
        <f aca="false">AVERAGE(B2401:B2600)</f>
        <v>1604.1231</v>
      </c>
      <c r="E2600" s="7" t="n">
        <f aca="false">B2600/MAX(B2349:B2600)-1</f>
        <v>-0.325791136523635</v>
      </c>
      <c r="F2600" s="7" t="str">
        <f aca="false">IFERROR(INDEX(02_轉折點45個!B:B,MATCH(A2600,02_轉折點45個!A:A,0)),"")</f>
        <v/>
      </c>
      <c r="G2600" s="7" t="s">
        <v>1994</v>
      </c>
    </row>
    <row r="2601" customFormat="false" ht="15" hidden="false" customHeight="false" outlineLevel="0" collapsed="false">
      <c r="A2601" s="7" t="s">
        <v>825</v>
      </c>
      <c r="B2601" s="7" t="n">
        <v>1611.14</v>
      </c>
      <c r="C2601" s="7" t="n">
        <f aca="false">AVERAGE(B2552:B2601)</f>
        <v>1397.406</v>
      </c>
      <c r="D2601" s="7" t="n">
        <f aca="false">AVERAGE(B2402:B2601)</f>
        <v>1601.61655</v>
      </c>
      <c r="E2601" s="7" t="n">
        <f aca="false">B2601/MAX(B2350:B2601)-1</f>
        <v>-0.308393001253456</v>
      </c>
      <c r="F2601" s="7" t="str">
        <f aca="false">IFERROR(INDEX(02_轉折點45個!B:B,MATCH(A2601,02_轉折點45個!A:A,0)),"")</f>
        <v/>
      </c>
      <c r="G2601" s="7" t="s">
        <v>1994</v>
      </c>
    </row>
    <row r="2602" customFormat="false" ht="15" hidden="false" customHeight="false" outlineLevel="0" collapsed="false">
      <c r="A2602" s="7" t="s">
        <v>4123</v>
      </c>
      <c r="B2602" s="7" t="n">
        <v>1602.52</v>
      </c>
      <c r="C2602" s="7" t="n">
        <f aca="false">AVERAGE(B2553:B2602)</f>
        <v>1404.1008</v>
      </c>
      <c r="D2602" s="7" t="n">
        <f aca="false">AVERAGE(B2403:B2602)</f>
        <v>1599.2017</v>
      </c>
      <c r="E2602" s="7" t="n">
        <f aca="false">B2602/MAX(B2351:B2602)-1</f>
        <v>-0.31209327083226</v>
      </c>
      <c r="F2602" s="7" t="str">
        <f aca="false">IFERROR(INDEX(02_轉折點45個!B:B,MATCH(A2602,02_轉折點45個!A:A,0)),"")</f>
        <v/>
      </c>
      <c r="G2602" s="7" t="s">
        <v>1994</v>
      </c>
    </row>
    <row r="2603" customFormat="false" ht="15" hidden="false" customHeight="false" outlineLevel="0" collapsed="false">
      <c r="A2603" s="7" t="s">
        <v>4124</v>
      </c>
      <c r="B2603" s="7" t="n">
        <v>1607.07</v>
      </c>
      <c r="C2603" s="7" t="n">
        <f aca="false">AVERAGE(B2554:B2603)</f>
        <v>1409.8978</v>
      </c>
      <c r="D2603" s="7" t="n">
        <f aca="false">AVERAGE(B2404:B2603)</f>
        <v>1596.82445</v>
      </c>
      <c r="E2603" s="7" t="n">
        <f aca="false">B2603/MAX(B2352:B2603)-1</f>
        <v>-0.310140112295884</v>
      </c>
      <c r="F2603" s="7" t="str">
        <f aca="false">IFERROR(INDEX(02_轉折點45個!B:B,MATCH(A2603,02_轉折點45個!A:A,0)),"")</f>
        <v/>
      </c>
      <c r="G2603" s="7" t="s">
        <v>1994</v>
      </c>
    </row>
    <row r="2604" customFormat="false" ht="15" hidden="false" customHeight="false" outlineLevel="0" collapsed="false">
      <c r="A2604" s="7" t="s">
        <v>826</v>
      </c>
      <c r="B2604" s="7" t="n">
        <v>1567.91</v>
      </c>
      <c r="C2604" s="7" t="n">
        <f aca="false">AVERAGE(B2555:B2604)</f>
        <v>1415.2114</v>
      </c>
      <c r="D2604" s="7" t="n">
        <f aca="false">AVERAGE(B2405:B2604)</f>
        <v>1594.13985</v>
      </c>
      <c r="E2604" s="7" t="n">
        <f aca="false">B2604/MAX(B2353:B2604)-1</f>
        <v>-0.326950153677089</v>
      </c>
      <c r="F2604" s="7" t="str">
        <f aca="false">IFERROR(INDEX(02_轉折點45個!B:B,MATCH(A2604,02_轉折點45個!A:A,0)),"")</f>
        <v/>
      </c>
      <c r="G2604" s="7" t="s">
        <v>1994</v>
      </c>
    </row>
    <row r="2605" customFormat="false" ht="15" hidden="false" customHeight="false" outlineLevel="0" collapsed="false">
      <c r="A2605" s="7" t="s">
        <v>4125</v>
      </c>
      <c r="B2605" s="7" t="n">
        <v>1588.7</v>
      </c>
      <c r="C2605" s="7" t="n">
        <f aca="false">AVERAGE(B2556:B2605)</f>
        <v>1421.5612</v>
      </c>
      <c r="D2605" s="7" t="n">
        <f aca="false">AVERAGE(B2406:B2605)</f>
        <v>1591.45905</v>
      </c>
      <c r="E2605" s="7" t="n">
        <f aca="false">B2605/MAX(B2354:B2605)-1</f>
        <v>-0.318025721595494</v>
      </c>
      <c r="F2605" s="7" t="str">
        <f aca="false">IFERROR(INDEX(02_轉折點45個!B:B,MATCH(A2605,02_轉折點45個!A:A,0)),"")</f>
        <v/>
      </c>
      <c r="G2605" s="7" t="s">
        <v>1994</v>
      </c>
    </row>
    <row r="2606" customFormat="false" ht="15" hidden="false" customHeight="false" outlineLevel="0" collapsed="false">
      <c r="A2606" s="7" t="s">
        <v>4126</v>
      </c>
      <c r="B2606" s="7" t="n">
        <v>1581.61</v>
      </c>
      <c r="C2606" s="7" t="n">
        <f aca="false">AVERAGE(B2557:B2606)</f>
        <v>1428.0182</v>
      </c>
      <c r="D2606" s="7" t="n">
        <f aca="false">AVERAGE(B2407:B2606)</f>
        <v>1588.95185</v>
      </c>
      <c r="E2606" s="7" t="n">
        <f aca="false">B2606/MAX(B2355:B2606)-1</f>
        <v>-0.321069214787342</v>
      </c>
      <c r="F2606" s="7" t="str">
        <f aca="false">IFERROR(INDEX(02_轉折點45個!B:B,MATCH(A2606,02_轉折點45個!A:A,0)),"")</f>
        <v/>
      </c>
      <c r="G2606" s="7" t="s">
        <v>1994</v>
      </c>
    </row>
    <row r="2607" customFormat="false" ht="15" hidden="false" customHeight="false" outlineLevel="0" collapsed="false">
      <c r="A2607" s="7" t="s">
        <v>4127</v>
      </c>
      <c r="B2607" s="7" t="n">
        <v>1567.62</v>
      </c>
      <c r="C2607" s="7" t="n">
        <f aca="false">AVERAGE(B2558:B2607)</f>
        <v>1435.2002</v>
      </c>
      <c r="D2607" s="7" t="n">
        <f aca="false">AVERAGE(B2408:B2607)</f>
        <v>1586.23575</v>
      </c>
      <c r="E2607" s="7" t="n">
        <f aca="false">B2607/MAX(B2356:B2607)-1</f>
        <v>-0.327074640704683</v>
      </c>
      <c r="F2607" s="7" t="str">
        <f aca="false">IFERROR(INDEX(02_轉折點45個!B:B,MATCH(A2607,02_轉折點45個!A:A,0)),"")</f>
        <v/>
      </c>
      <c r="G2607" s="7" t="s">
        <v>1994</v>
      </c>
    </row>
    <row r="2608" customFormat="false" ht="15" hidden="false" customHeight="false" outlineLevel="0" collapsed="false">
      <c r="A2608" s="7" t="s">
        <v>4128</v>
      </c>
      <c r="B2608" s="7" t="n">
        <v>1520.36</v>
      </c>
      <c r="C2608" s="7" t="n">
        <f aca="false">AVERAGE(B2559:B2608)</f>
        <v>1441.4706</v>
      </c>
      <c r="D2608" s="7" t="n">
        <f aca="false">AVERAGE(B2409:B2608)</f>
        <v>1583.4949</v>
      </c>
      <c r="E2608" s="7" t="n">
        <f aca="false">B2608/MAX(B2357:B2608)-1</f>
        <v>-0.347361733546249</v>
      </c>
      <c r="F2608" s="7" t="str">
        <f aca="false">IFERROR(INDEX(02_轉折點45個!B:B,MATCH(A2608,02_轉折點45個!A:A,0)),"")</f>
        <v/>
      </c>
      <c r="G2608" s="7" t="s">
        <v>1994</v>
      </c>
    </row>
    <row r="2609" customFormat="false" ht="15" hidden="false" customHeight="false" outlineLevel="0" collapsed="false">
      <c r="A2609" s="7" t="s">
        <v>4129</v>
      </c>
      <c r="B2609" s="7" t="n">
        <v>1543.22</v>
      </c>
      <c r="C2609" s="7" t="n">
        <f aca="false">AVERAGE(B2560:B2609)</f>
        <v>1447.6002</v>
      </c>
      <c r="D2609" s="7" t="n">
        <f aca="false">AVERAGE(B2410:B2609)</f>
        <v>1580.6153</v>
      </c>
      <c r="E2609" s="7" t="n">
        <f aca="false">B2609/MAX(B2358:B2609)-1</f>
        <v>-0.337548721647006</v>
      </c>
      <c r="F2609" s="7" t="str">
        <f aca="false">IFERROR(INDEX(02_轉折點45個!B:B,MATCH(A2609,02_轉折點45個!A:A,0)),"")</f>
        <v/>
      </c>
      <c r="G2609" s="7" t="s">
        <v>1994</v>
      </c>
    </row>
    <row r="2610" customFormat="false" ht="15" hidden="false" customHeight="false" outlineLevel="0" collapsed="false">
      <c r="A2610" s="7" t="s">
        <v>4130</v>
      </c>
      <c r="B2610" s="7" t="n">
        <v>1534.93</v>
      </c>
      <c r="C2610" s="7" t="n">
        <f aca="false">AVERAGE(B2561:B2610)</f>
        <v>1454.5534</v>
      </c>
      <c r="D2610" s="7" t="n">
        <f aca="false">AVERAGE(B2411:B2610)</f>
        <v>1577.6481</v>
      </c>
      <c r="E2610" s="7" t="n">
        <f aca="false">B2610/MAX(B2359:B2610)-1</f>
        <v>-0.341107333573722</v>
      </c>
      <c r="F2610" s="7" t="str">
        <f aca="false">IFERROR(INDEX(02_轉折點45個!B:B,MATCH(A2610,02_轉折點45個!A:A,0)),"")</f>
        <v/>
      </c>
      <c r="G2610" s="7" t="s">
        <v>1994</v>
      </c>
    </row>
    <row r="2611" customFormat="false" ht="15" hidden="false" customHeight="false" outlineLevel="0" collapsed="false">
      <c r="A2611" s="7" t="s">
        <v>827</v>
      </c>
      <c r="B2611" s="7" t="n">
        <v>1582.64</v>
      </c>
      <c r="C2611" s="7" t="n">
        <f aca="false">AVERAGE(B2562:B2611)</f>
        <v>1462.5656</v>
      </c>
      <c r="D2611" s="7" t="n">
        <f aca="false">AVERAGE(B2412:B2611)</f>
        <v>1574.9385</v>
      </c>
      <c r="E2611" s="7" t="n">
        <f aca="false">B2611/MAX(B2360:B2611)-1</f>
        <v>-0.32062707120658</v>
      </c>
      <c r="F2611" s="7" t="str">
        <f aca="false">IFERROR(INDEX(02_轉折點45個!B:B,MATCH(A2611,02_轉折點45個!A:A,0)),"")</f>
        <v/>
      </c>
      <c r="G2611" s="7" t="s">
        <v>1994</v>
      </c>
    </row>
    <row r="2612" customFormat="false" ht="15" hidden="false" customHeight="false" outlineLevel="0" collapsed="false">
      <c r="A2612" s="7" t="s">
        <v>4131</v>
      </c>
      <c r="B2612" s="7" t="n">
        <v>1584.63</v>
      </c>
      <c r="C2612" s="7" t="n">
        <f aca="false">AVERAGE(B2563:B2612)</f>
        <v>1471.0784</v>
      </c>
      <c r="D2612" s="7" t="n">
        <f aca="false">AVERAGE(B2413:B2612)</f>
        <v>1572.3055</v>
      </c>
      <c r="E2612" s="7" t="n">
        <f aca="false">B2612/MAX(B2361:B2612)-1</f>
        <v>-0.319772832637923</v>
      </c>
      <c r="F2612" s="7" t="str">
        <f aca="false">IFERROR(INDEX(02_轉折點45個!B:B,MATCH(A2612,02_轉折點45個!A:A,0)),"")</f>
        <v/>
      </c>
      <c r="G2612" s="7" t="s">
        <v>1994</v>
      </c>
    </row>
    <row r="2613" customFormat="false" ht="15" hidden="false" customHeight="false" outlineLevel="0" collapsed="false">
      <c r="A2613" s="7" t="s">
        <v>4132</v>
      </c>
      <c r="B2613" s="7" t="n">
        <v>1578.51</v>
      </c>
      <c r="C2613" s="7" t="n">
        <f aca="false">AVERAGE(B2564:B2613)</f>
        <v>1477.8308</v>
      </c>
      <c r="D2613" s="7" t="n">
        <f aca="false">AVERAGE(B2414:B2613)</f>
        <v>1569.7579</v>
      </c>
      <c r="E2613" s="7" t="n">
        <f aca="false">B2613/MAX(B2362:B2613)-1</f>
        <v>-0.322399938185752</v>
      </c>
      <c r="F2613" s="7" t="str">
        <f aca="false">IFERROR(INDEX(02_轉折點45個!B:B,MATCH(A2613,02_轉折點45個!A:A,0)),"")</f>
        <v/>
      </c>
      <c r="G2613" s="7" t="s">
        <v>1994</v>
      </c>
    </row>
    <row r="2614" customFormat="false" ht="15" hidden="false" customHeight="false" outlineLevel="0" collapsed="false">
      <c r="A2614" s="7" t="s">
        <v>828</v>
      </c>
      <c r="B2614" s="7" t="n">
        <v>1548.73</v>
      </c>
      <c r="C2614" s="7" t="n">
        <f aca="false">AVERAGE(B2565:B2614)</f>
        <v>1483.7436</v>
      </c>
      <c r="D2614" s="7" t="n">
        <f aca="false">AVERAGE(B2415:B2614)</f>
        <v>1566.76785</v>
      </c>
      <c r="E2614" s="7" t="n">
        <f aca="false">B2614/MAX(B2363:B2614)-1</f>
        <v>-0.335183468122736</v>
      </c>
      <c r="F2614" s="7" t="str">
        <f aca="false">IFERROR(INDEX(02_轉折點45個!B:B,MATCH(A2614,02_轉折點45個!A:A,0)),"")</f>
        <v/>
      </c>
      <c r="G2614" s="7" t="s">
        <v>1994</v>
      </c>
    </row>
    <row r="2615" customFormat="false" ht="15" hidden="false" customHeight="false" outlineLevel="0" collapsed="false">
      <c r="A2615" s="7" t="s">
        <v>4133</v>
      </c>
      <c r="B2615" s="7" t="n">
        <v>1545.77</v>
      </c>
      <c r="C2615" s="7" t="n">
        <f aca="false">AVERAGE(B2566:B2615)</f>
        <v>1488.602</v>
      </c>
      <c r="D2615" s="7" t="n">
        <f aca="false">AVERAGE(B2416:B2615)</f>
        <v>1563.63265</v>
      </c>
      <c r="E2615" s="7" t="n">
        <f aca="false">B2615/MAX(B2364:B2615)-1</f>
        <v>-0.336454094335411</v>
      </c>
      <c r="F2615" s="7" t="str">
        <f aca="false">IFERROR(INDEX(02_轉折點45個!B:B,MATCH(A2615,02_轉折點45個!A:A,0)),"")</f>
        <v/>
      </c>
      <c r="G2615" s="7" t="s">
        <v>1994</v>
      </c>
    </row>
    <row r="2616" customFormat="false" ht="15" hidden="false" customHeight="false" outlineLevel="0" collapsed="false">
      <c r="A2616" s="7" t="s">
        <v>829</v>
      </c>
      <c r="B2616" s="7" t="n">
        <v>1599.14</v>
      </c>
      <c r="C2616" s="7" t="n">
        <f aca="false">AVERAGE(B2567:B2616)</f>
        <v>1494.4292</v>
      </c>
      <c r="D2616" s="7" t="n">
        <f aca="false">AVERAGE(B2417:B2616)</f>
        <v>1560.8677</v>
      </c>
      <c r="E2616" s="7" t="n">
        <f aca="false">B2616/MAX(B2365:B2616)-1</f>
        <v>-0.313544188602139</v>
      </c>
      <c r="F2616" s="7" t="str">
        <f aca="false">IFERROR(INDEX(02_轉折點45個!B:B,MATCH(A2616,02_轉折點45個!A:A,0)),"")</f>
        <v/>
      </c>
      <c r="G2616" s="7" t="s">
        <v>1994</v>
      </c>
    </row>
    <row r="2617" customFormat="false" ht="15" hidden="false" customHeight="false" outlineLevel="0" collapsed="false">
      <c r="A2617" s="7" t="s">
        <v>4134</v>
      </c>
      <c r="B2617" s="7" t="n">
        <v>1581.47</v>
      </c>
      <c r="C2617" s="7" t="n">
        <f aca="false">AVERAGE(B2568:B2617)</f>
        <v>1500.4052</v>
      </c>
      <c r="D2617" s="7" t="n">
        <f aca="false">AVERAGE(B2418:B2617)</f>
        <v>1557.74775</v>
      </c>
      <c r="E2617" s="7" t="n">
        <f aca="false">B2617/MAX(B2366:B2617)-1</f>
        <v>-0.321129311973077</v>
      </c>
      <c r="F2617" s="7" t="str">
        <f aca="false">IFERROR(INDEX(02_轉折點45個!B:B,MATCH(A2617,02_轉折點45個!A:A,0)),"")</f>
        <v/>
      </c>
      <c r="G2617" s="7" t="s">
        <v>1994</v>
      </c>
    </row>
    <row r="2618" customFormat="false" ht="15" hidden="false" customHeight="false" outlineLevel="0" collapsed="false">
      <c r="A2618" s="7" t="s">
        <v>4135</v>
      </c>
      <c r="B2618" s="7" t="n">
        <v>1600.39</v>
      </c>
      <c r="C2618" s="7" t="n">
        <f aca="false">AVERAGE(B2569:B2618)</f>
        <v>1505.6982</v>
      </c>
      <c r="D2618" s="7" t="n">
        <f aca="false">AVERAGE(B2419:B2618)</f>
        <v>1554.60435</v>
      </c>
      <c r="E2618" s="7" t="n">
        <f aca="false">B2618/MAX(B2367:B2618)-1</f>
        <v>-0.313007606586652</v>
      </c>
      <c r="F2618" s="7" t="str">
        <f aca="false">IFERROR(INDEX(02_轉折點45個!B:B,MATCH(A2618,02_轉折點45個!A:A,0)),"")</f>
        <v/>
      </c>
      <c r="G2618" s="7" t="s">
        <v>1994</v>
      </c>
    </row>
    <row r="2619" customFormat="false" ht="15" hidden="false" customHeight="false" outlineLevel="0" collapsed="false">
      <c r="A2619" s="7" t="s">
        <v>830</v>
      </c>
      <c r="B2619" s="7" t="n">
        <v>1620.98</v>
      </c>
      <c r="C2619" s="7" t="n">
        <f aca="false">AVERAGE(B2570:B2619)</f>
        <v>1510.871</v>
      </c>
      <c r="D2619" s="7" t="n">
        <f aca="false">AVERAGE(B2420:B2619)</f>
        <v>1551.60655</v>
      </c>
      <c r="E2619" s="7" t="n">
        <f aca="false">B2619/MAX(B2368:B2619)-1</f>
        <v>-0.304169027627535</v>
      </c>
      <c r="F2619" s="7" t="str">
        <f aca="false">IFERROR(INDEX(02_轉折點45個!B:B,MATCH(A2619,02_轉折點45個!A:A,0)),"")</f>
        <v/>
      </c>
      <c r="G2619" s="7" t="s">
        <v>1994</v>
      </c>
    </row>
    <row r="2620" customFormat="false" ht="15" hidden="false" customHeight="false" outlineLevel="0" collapsed="false">
      <c r="A2620" s="7" t="s">
        <v>4136</v>
      </c>
      <c r="B2620" s="7" t="n">
        <v>1670.63</v>
      </c>
      <c r="C2620" s="7" t="n">
        <f aca="false">AVERAGE(B2571:B2620)</f>
        <v>1517.1782</v>
      </c>
      <c r="D2620" s="7" t="n">
        <f aca="false">AVERAGE(B2421:B2620)</f>
        <v>1548.8661</v>
      </c>
      <c r="E2620" s="7" t="n">
        <f aca="false">B2620/MAX(B2369:B2620)-1</f>
        <v>-0.282855989972355</v>
      </c>
      <c r="F2620" s="7" t="str">
        <f aca="false">IFERROR(INDEX(02_轉折點45個!B:B,MATCH(A2620,02_轉折點45個!A:A,0)),"")</f>
        <v/>
      </c>
      <c r="G2620" s="7" t="s">
        <v>1994</v>
      </c>
    </row>
    <row r="2621" customFormat="false" ht="15" hidden="false" customHeight="false" outlineLevel="0" collapsed="false">
      <c r="A2621" s="7" t="s">
        <v>4137</v>
      </c>
      <c r="B2621" s="7" t="n">
        <v>1678.05</v>
      </c>
      <c r="C2621" s="7" t="n">
        <f aca="false">AVERAGE(B2572:B2621)</f>
        <v>1524.1128</v>
      </c>
      <c r="D2621" s="7" t="n">
        <f aca="false">AVERAGE(B2422:B2621)</f>
        <v>1546.0483</v>
      </c>
      <c r="E2621" s="7" t="n">
        <f aca="false">B2621/MAX(B2370:B2621)-1</f>
        <v>-0.279670839128419</v>
      </c>
      <c r="F2621" s="7" t="str">
        <f aca="false">IFERROR(INDEX(02_轉折點45個!B:B,MATCH(A2621,02_轉折點45個!A:A,0)),"")</f>
        <v/>
      </c>
      <c r="G2621" s="7" t="s">
        <v>1994</v>
      </c>
    </row>
    <row r="2622" customFormat="false" ht="15" hidden="false" customHeight="false" outlineLevel="0" collapsed="false">
      <c r="A2622" s="7" t="s">
        <v>4138</v>
      </c>
      <c r="B2622" s="7" t="n">
        <v>1668.11</v>
      </c>
      <c r="C2622" s="7" t="n">
        <f aca="false">AVERAGE(B2573:B2622)</f>
        <v>1529.0488</v>
      </c>
      <c r="D2622" s="7" t="n">
        <f aca="false">AVERAGE(B2423:B2622)</f>
        <v>1543.18605</v>
      </c>
      <c r="E2622" s="7" t="n">
        <f aca="false">B2622/MAX(B2371:B2622)-1</f>
        <v>-0.283937739315579</v>
      </c>
      <c r="F2622" s="7" t="str">
        <f aca="false">IFERROR(INDEX(02_轉折點45個!B:B,MATCH(A2622,02_轉折點45個!A:A,0)),"")</f>
        <v/>
      </c>
      <c r="G2622" s="7" t="s">
        <v>1994</v>
      </c>
    </row>
    <row r="2623" customFormat="false" ht="15" hidden="false" customHeight="false" outlineLevel="0" collapsed="false">
      <c r="A2623" s="7" t="s">
        <v>4139</v>
      </c>
      <c r="B2623" s="7" t="n">
        <v>1690.13</v>
      </c>
      <c r="C2623" s="7" t="n">
        <f aca="false">AVERAGE(B2574:B2623)</f>
        <v>1535.1424</v>
      </c>
      <c r="D2623" s="7" t="n">
        <f aca="false">AVERAGE(B2424:B2623)</f>
        <v>1540.59625</v>
      </c>
      <c r="E2623" s="7" t="n">
        <f aca="false">B2623/MAX(B2372:B2623)-1</f>
        <v>-0.274485310530744</v>
      </c>
      <c r="F2623" s="7" t="str">
        <f aca="false">IFERROR(INDEX(02_轉折點45個!B:B,MATCH(A2623,02_轉折點45個!A:A,0)),"")</f>
        <v/>
      </c>
      <c r="G2623" s="7" t="s">
        <v>1994</v>
      </c>
    </row>
    <row r="2624" customFormat="false" ht="15" hidden="false" customHeight="false" outlineLevel="0" collapsed="false">
      <c r="A2624" s="7" t="s">
        <v>4140</v>
      </c>
      <c r="B2624" s="7" t="n">
        <v>1689.58</v>
      </c>
      <c r="C2624" s="7" t="n">
        <f aca="false">AVERAGE(B2575:B2624)</f>
        <v>1540.9978</v>
      </c>
      <c r="D2624" s="7" t="n">
        <f aca="false">AVERAGE(B2425:B2624)</f>
        <v>1538.1527</v>
      </c>
      <c r="E2624" s="7" t="n">
        <f aca="false">B2624/MAX(B2373:B2624)-1</f>
        <v>-0.252692523740651</v>
      </c>
      <c r="F2624" s="7" t="str">
        <f aca="false">IFERROR(INDEX(02_轉折點45個!B:B,MATCH(A2624,02_轉折點45個!A:A,0)),"")</f>
        <v/>
      </c>
      <c r="G2624" s="7" t="s">
        <v>1994</v>
      </c>
    </row>
    <row r="2625" customFormat="false" ht="15" hidden="false" customHeight="false" outlineLevel="0" collapsed="false">
      <c r="A2625" s="7" t="s">
        <v>4141</v>
      </c>
      <c r="B2625" s="7" t="n">
        <v>1683.17</v>
      </c>
      <c r="C2625" s="7" t="n">
        <f aca="false">AVERAGE(B2576:B2625)</f>
        <v>1545.6644</v>
      </c>
      <c r="D2625" s="7" t="n">
        <f aca="false">AVERAGE(B2426:B2625)</f>
        <v>1535.65555</v>
      </c>
      <c r="E2625" s="7" t="n">
        <f aca="false">B2625/MAX(B2374:B2625)-1</f>
        <v>-0.255527690422798</v>
      </c>
      <c r="F2625" s="7" t="str">
        <f aca="false">IFERROR(INDEX(02_轉折點45個!B:B,MATCH(A2625,02_轉折點45個!A:A,0)),"")</f>
        <v/>
      </c>
      <c r="G2625" s="7" t="s">
        <v>1994</v>
      </c>
    </row>
    <row r="2626" customFormat="false" ht="15" hidden="false" customHeight="false" outlineLevel="0" collapsed="false">
      <c r="A2626" s="7" t="s">
        <v>4142</v>
      </c>
      <c r="B2626" s="7" t="n">
        <v>1699.36</v>
      </c>
      <c r="C2626" s="7" t="n">
        <f aca="false">AVERAGE(B2577:B2626)</f>
        <v>1551.4186</v>
      </c>
      <c r="D2626" s="7" t="n">
        <f aca="false">AVERAGE(B2427:B2626)</f>
        <v>1533.2791</v>
      </c>
      <c r="E2626" s="7" t="n">
        <f aca="false">B2626/MAX(B2375:B2626)-1</f>
        <v>-0.248366793607827</v>
      </c>
      <c r="F2626" s="7" t="str">
        <f aca="false">IFERROR(INDEX(02_轉折點45個!B:B,MATCH(A2626,02_轉折點45個!A:A,0)),"")</f>
        <v/>
      </c>
      <c r="G2626" s="7" t="s">
        <v>1994</v>
      </c>
    </row>
    <row r="2627" customFormat="false" ht="15" hidden="false" customHeight="false" outlineLevel="0" collapsed="false">
      <c r="A2627" s="7" t="s">
        <v>4143</v>
      </c>
      <c r="B2627" s="7" t="n">
        <v>1692.92</v>
      </c>
      <c r="C2627" s="7" t="n">
        <f aca="false">AVERAGE(B2578:B2627)</f>
        <v>1557.837</v>
      </c>
      <c r="D2627" s="7" t="n">
        <f aca="false">AVERAGE(B2428:B2627)</f>
        <v>1530.71365</v>
      </c>
      <c r="E2627" s="7" t="n">
        <f aca="false">B2627/MAX(B2376:B2627)-1</f>
        <v>-0.251215229400811</v>
      </c>
      <c r="F2627" s="7" t="str">
        <f aca="false">IFERROR(INDEX(02_轉折點45個!B:B,MATCH(A2627,02_轉折點45個!A:A,0)),"")</f>
        <v/>
      </c>
      <c r="G2627" s="7" t="s">
        <v>1994</v>
      </c>
    </row>
    <row r="2628" customFormat="false" ht="15" hidden="false" customHeight="false" outlineLevel="0" collapsed="false">
      <c r="A2628" s="7" t="s">
        <v>4144</v>
      </c>
      <c r="B2628" s="7" t="n">
        <v>1701.41</v>
      </c>
      <c r="C2628" s="7" t="n">
        <f aca="false">AVERAGE(B2579:B2628)</f>
        <v>1563.9356</v>
      </c>
      <c r="D2628" s="7" t="n">
        <f aca="false">AVERAGE(B2429:B2628)</f>
        <v>1528.415</v>
      </c>
      <c r="E2628" s="7" t="n">
        <f aca="false">B2628/MAX(B2377:B2628)-1</f>
        <v>-0.247460071033973</v>
      </c>
      <c r="F2628" s="7" t="str">
        <f aca="false">IFERROR(INDEX(02_轉折點45個!B:B,MATCH(A2628,02_轉折點45個!A:A,0)),"")</f>
        <v/>
      </c>
      <c r="G2628" s="7" t="s">
        <v>1994</v>
      </c>
    </row>
    <row r="2629" customFormat="false" ht="15" hidden="false" customHeight="false" outlineLevel="0" collapsed="false">
      <c r="A2629" s="7" t="s">
        <v>4145</v>
      </c>
      <c r="B2629" s="7" t="n">
        <v>1698.15</v>
      </c>
      <c r="C2629" s="7" t="n">
        <f aca="false">AVERAGE(B2580:B2629)</f>
        <v>1569.5486</v>
      </c>
      <c r="D2629" s="7" t="n">
        <f aca="false">AVERAGE(B2430:B2629)</f>
        <v>1526.1166</v>
      </c>
      <c r="E2629" s="7" t="n">
        <f aca="false">B2629/MAX(B2378:B2629)-1</f>
        <v>-0.248901981078248</v>
      </c>
      <c r="F2629" s="7" t="str">
        <f aca="false">IFERROR(INDEX(02_轉折點45個!B:B,MATCH(A2629,02_轉折點45個!A:A,0)),"")</f>
        <v/>
      </c>
      <c r="G2629" s="7" t="s">
        <v>1994</v>
      </c>
    </row>
    <row r="2630" customFormat="false" ht="15" hidden="false" customHeight="false" outlineLevel="0" collapsed="false">
      <c r="A2630" s="7" t="s">
        <v>4146</v>
      </c>
      <c r="B2630" s="7" t="n">
        <v>1659.4</v>
      </c>
      <c r="C2630" s="7" t="n">
        <f aca="false">AVERAGE(B2581:B2630)</f>
        <v>1573.4542</v>
      </c>
      <c r="D2630" s="7" t="n">
        <f aca="false">AVERAGE(B2431:B2630)</f>
        <v>1523.53085</v>
      </c>
      <c r="E2630" s="7" t="n">
        <f aca="false">B2630/MAX(B2379:B2630)-1</f>
        <v>-0.266041249242555</v>
      </c>
      <c r="F2630" s="7" t="str">
        <f aca="false">IFERROR(INDEX(02_轉折點45個!B:B,MATCH(A2630,02_轉折點45個!A:A,0)),"")</f>
        <v/>
      </c>
      <c r="G2630" s="7" t="s">
        <v>1994</v>
      </c>
    </row>
    <row r="2631" customFormat="false" ht="15" hidden="false" customHeight="false" outlineLevel="0" collapsed="false">
      <c r="A2631" s="7" t="s">
        <v>4147</v>
      </c>
      <c r="B2631" s="7" t="n">
        <v>1640.94</v>
      </c>
      <c r="C2631" s="7" t="n">
        <f aca="false">AVERAGE(B2582:B2631)</f>
        <v>1576.639</v>
      </c>
      <c r="D2631" s="7" t="n">
        <f aca="false">AVERAGE(B2432:B2631)</f>
        <v>1520.7195</v>
      </c>
      <c r="E2631" s="7" t="n">
        <f aca="false">B2631/MAX(B2380:B2631)-1</f>
        <v>-0.27045663704224</v>
      </c>
      <c r="F2631" s="7" t="str">
        <f aca="false">IFERROR(INDEX(02_轉折點45個!B:B,MATCH(A2631,02_轉折點45個!A:A,0)),"")</f>
        <v/>
      </c>
      <c r="G2631" s="7" t="s">
        <v>1994</v>
      </c>
    </row>
    <row r="2632" customFormat="false" ht="15" hidden="false" customHeight="false" outlineLevel="0" collapsed="false">
      <c r="A2632" s="7" t="s">
        <v>4148</v>
      </c>
      <c r="B2632" s="7" t="n">
        <v>1651.79</v>
      </c>
      <c r="C2632" s="7" t="n">
        <f aca="false">AVERAGE(B2583:B2632)</f>
        <v>1580.3178</v>
      </c>
      <c r="D2632" s="7" t="n">
        <f aca="false">AVERAGE(B2433:B2632)</f>
        <v>1518.16395</v>
      </c>
      <c r="E2632" s="7" t="n">
        <f aca="false">B2632/MAX(B2381:B2632)-1</f>
        <v>-0.265632849769036</v>
      </c>
      <c r="F2632" s="7" t="str">
        <f aca="false">IFERROR(INDEX(02_轉折點45個!B:B,MATCH(A2632,02_轉折點45個!A:A,0)),"")</f>
        <v/>
      </c>
      <c r="G2632" s="7" t="s">
        <v>1994</v>
      </c>
    </row>
    <row r="2633" customFormat="false" ht="15" hidden="false" customHeight="false" outlineLevel="0" collapsed="false">
      <c r="A2633" s="7" t="s">
        <v>4149</v>
      </c>
      <c r="B2633" s="7" t="n">
        <v>1651.48</v>
      </c>
      <c r="C2633" s="7" t="n">
        <f aca="false">AVERAGE(B2584:B2633)</f>
        <v>1584.8146</v>
      </c>
      <c r="D2633" s="7" t="n">
        <f aca="false">AVERAGE(B2434:B2633)</f>
        <v>1515.69035</v>
      </c>
      <c r="E2633" s="7" t="n">
        <f aca="false">B2633/MAX(B2382:B2633)-1</f>
        <v>-0.265770672262556</v>
      </c>
      <c r="F2633" s="7" t="str">
        <f aca="false">IFERROR(INDEX(02_轉折點45個!B:B,MATCH(A2633,02_轉折點45個!A:A,0)),"")</f>
        <v/>
      </c>
      <c r="G2633" s="7" t="s">
        <v>1994</v>
      </c>
    </row>
    <row r="2634" customFormat="false" ht="15" hidden="false" customHeight="false" outlineLevel="0" collapsed="false">
      <c r="A2634" s="7" t="s">
        <v>4150</v>
      </c>
      <c r="B2634" s="7" t="n">
        <v>1669.53</v>
      </c>
      <c r="C2634" s="7" t="n">
        <f aca="false">AVERAGE(B2585:B2634)</f>
        <v>1589.1416</v>
      </c>
      <c r="D2634" s="7" t="n">
        <f aca="false">AVERAGE(B2435:B2634)</f>
        <v>1513.37785</v>
      </c>
      <c r="E2634" s="7" t="n">
        <f aca="false">B2634/MAX(B2383:B2634)-1</f>
        <v>-0.255209425368374</v>
      </c>
      <c r="F2634" s="7" t="str">
        <f aca="false">IFERROR(INDEX(02_轉折點45個!B:B,MATCH(A2634,02_轉折點45個!A:A,0)),"")</f>
        <v/>
      </c>
      <c r="G2634" s="7" t="s">
        <v>1994</v>
      </c>
    </row>
    <row r="2635" customFormat="false" ht="15" hidden="false" customHeight="false" outlineLevel="0" collapsed="false">
      <c r="A2635" s="7" t="s">
        <v>832</v>
      </c>
      <c r="B2635" s="7" t="n">
        <v>1613.54</v>
      </c>
      <c r="C2635" s="7" t="n">
        <f aca="false">AVERAGE(B2586:B2635)</f>
        <v>1591.218</v>
      </c>
      <c r="D2635" s="7" t="n">
        <f aca="false">AVERAGE(B2436:B2635)</f>
        <v>1511.12655</v>
      </c>
      <c r="E2635" s="7" t="n">
        <f aca="false">B2635/MAX(B2384:B2635)-1</f>
        <v>-0.280187008444823</v>
      </c>
      <c r="F2635" s="7" t="str">
        <f aca="false">IFERROR(INDEX(02_轉折點45個!B:B,MATCH(A2635,02_轉折點45個!A:A,0)),"")</f>
        <v/>
      </c>
      <c r="G2635" s="7" t="s">
        <v>1994</v>
      </c>
    </row>
    <row r="2636" customFormat="false" ht="15" hidden="false" customHeight="false" outlineLevel="0" collapsed="false">
      <c r="A2636" s="7" t="s">
        <v>4151</v>
      </c>
      <c r="B2636" s="7" t="n">
        <v>1612.38</v>
      </c>
      <c r="C2636" s="7" t="n">
        <f aca="false">AVERAGE(B2587:B2636)</f>
        <v>1593.2572</v>
      </c>
      <c r="D2636" s="7" t="n">
        <f aca="false">AVERAGE(B2437:B2636)</f>
        <v>1508.8839</v>
      </c>
      <c r="E2636" s="7" t="n">
        <f aca="false">B2636/MAX(B2385:B2636)-1</f>
        <v>-0.280704493645193</v>
      </c>
      <c r="F2636" s="7" t="str">
        <f aca="false">IFERROR(INDEX(02_轉折點45個!B:B,MATCH(A2636,02_轉折點45個!A:A,0)),"")</f>
        <v/>
      </c>
      <c r="G2636" s="7" t="s">
        <v>1994</v>
      </c>
    </row>
    <row r="2637" customFormat="false" ht="15" hidden="false" customHeight="false" outlineLevel="0" collapsed="false">
      <c r="A2637" s="7" t="s">
        <v>4152</v>
      </c>
      <c r="B2637" s="7" t="n">
        <v>1637.43</v>
      </c>
      <c r="C2637" s="7" t="n">
        <f aca="false">AVERAGE(B2588:B2637)</f>
        <v>1596.3016</v>
      </c>
      <c r="D2637" s="7" t="n">
        <f aca="false">AVERAGE(B2438:B2637)</f>
        <v>1506.7031</v>
      </c>
      <c r="E2637" s="7" t="n">
        <f aca="false">B2637/MAX(B2386:B2637)-1</f>
        <v>-0.269529489964802</v>
      </c>
      <c r="F2637" s="7" t="str">
        <f aca="false">IFERROR(INDEX(02_轉折點45個!B:B,MATCH(A2637,02_轉折點45個!A:A,0)),"")</f>
        <v/>
      </c>
      <c r="G2637" s="7" t="s">
        <v>1994</v>
      </c>
    </row>
    <row r="2638" customFormat="false" ht="15" hidden="false" customHeight="false" outlineLevel="0" collapsed="false">
      <c r="A2638" s="7" t="s">
        <v>4153</v>
      </c>
      <c r="B2638" s="7" t="n">
        <v>1671.42</v>
      </c>
      <c r="C2638" s="7" t="n">
        <f aca="false">AVERAGE(B2589:B2638)</f>
        <v>1600.006</v>
      </c>
      <c r="D2638" s="7" t="n">
        <f aca="false">AVERAGE(B2439:B2638)</f>
        <v>1504.9661</v>
      </c>
      <c r="E2638" s="7" t="n">
        <f aca="false">B2638/MAX(B2387:B2638)-1</f>
        <v>-0.254366281378117</v>
      </c>
      <c r="F2638" s="7" t="str">
        <f aca="false">IFERROR(INDEX(02_轉折點45個!B:B,MATCH(A2638,02_轉折點45個!A:A,0)),"")</f>
        <v/>
      </c>
      <c r="G2638" s="7" t="s">
        <v>1994</v>
      </c>
    </row>
    <row r="2639" customFormat="false" ht="15" hidden="false" customHeight="false" outlineLevel="0" collapsed="false">
      <c r="A2639" s="7" t="s">
        <v>4154</v>
      </c>
      <c r="B2639" s="7" t="n">
        <v>1679.35</v>
      </c>
      <c r="C2639" s="7" t="n">
        <f aca="false">AVERAGE(B2590:B2639)</f>
        <v>1603.0716</v>
      </c>
      <c r="D2639" s="7" t="n">
        <f aca="false">AVERAGE(B2440:B2639)</f>
        <v>1503.18245</v>
      </c>
      <c r="E2639" s="7" t="n">
        <f aca="false">B2639/MAX(B2388:B2639)-1</f>
        <v>-0.250828645482488</v>
      </c>
      <c r="F2639" s="7" t="str">
        <f aca="false">IFERROR(INDEX(02_轉折點45個!B:B,MATCH(A2639,02_轉折點45個!A:A,0)),"")</f>
        <v/>
      </c>
      <c r="G2639" s="7" t="s">
        <v>1994</v>
      </c>
    </row>
    <row r="2640" customFormat="false" ht="15" hidden="false" customHeight="false" outlineLevel="0" collapsed="false">
      <c r="A2640" s="7" t="s">
        <v>4155</v>
      </c>
      <c r="B2640" s="7" t="n">
        <v>1684.68</v>
      </c>
      <c r="C2640" s="7" t="n">
        <f aca="false">AVERAGE(B2591:B2640)</f>
        <v>1606.1958</v>
      </c>
      <c r="D2640" s="7" t="n">
        <f aca="false">AVERAGE(B2441:B2640)</f>
        <v>1501.2906</v>
      </c>
      <c r="E2640" s="7" t="n">
        <f aca="false">B2640/MAX(B2389:B2640)-1</f>
        <v>-0.248450890208377</v>
      </c>
      <c r="F2640" s="7" t="str">
        <f aca="false">IFERROR(INDEX(02_轉折點45個!B:B,MATCH(A2640,02_轉折點45個!A:A,0)),"")</f>
        <v/>
      </c>
      <c r="G2640" s="7" t="s">
        <v>1994</v>
      </c>
    </row>
    <row r="2641" customFormat="false" ht="15" hidden="false" customHeight="false" outlineLevel="0" collapsed="false">
      <c r="A2641" s="7" t="s">
        <v>4156</v>
      </c>
      <c r="B2641" s="7" t="n">
        <v>1676.44</v>
      </c>
      <c r="C2641" s="7" t="n">
        <f aca="false">AVERAGE(B2592:B2641)</f>
        <v>1610.3402</v>
      </c>
      <c r="D2641" s="7" t="n">
        <f aca="false">AVERAGE(B2442:B2641)</f>
        <v>1499.34365</v>
      </c>
      <c r="E2641" s="7" t="n">
        <f aca="false">B2641/MAX(B2390:B2641)-1</f>
        <v>-0.252126819562725</v>
      </c>
      <c r="F2641" s="7" t="str">
        <f aca="false">IFERROR(INDEX(02_轉折點45個!B:B,MATCH(A2641,02_轉折點45個!A:A,0)),"")</f>
        <v/>
      </c>
      <c r="G2641" s="7" t="s">
        <v>1994</v>
      </c>
    </row>
    <row r="2642" customFormat="false" ht="15" hidden="false" customHeight="false" outlineLevel="0" collapsed="false">
      <c r="A2642" s="7" t="s">
        <v>4157</v>
      </c>
      <c r="B2642" s="7" t="n">
        <v>1686.2</v>
      </c>
      <c r="C2642" s="7" t="n">
        <f aca="false">AVERAGE(B2593:B2642)</f>
        <v>1614.0286</v>
      </c>
      <c r="D2642" s="7" t="n">
        <f aca="false">AVERAGE(B2443:B2642)</f>
        <v>1497.8171</v>
      </c>
      <c r="E2642" s="7" t="n">
        <f aca="false">B2642/MAX(B2391:B2642)-1</f>
        <v>-0.247772806152721</v>
      </c>
      <c r="F2642" s="7" t="str">
        <f aca="false">IFERROR(INDEX(02_轉折點45個!B:B,MATCH(A2642,02_轉折點45個!A:A,0)),"")</f>
        <v/>
      </c>
      <c r="G2642" s="7" t="s">
        <v>1994</v>
      </c>
    </row>
    <row r="2643" customFormat="false" ht="15" hidden="false" customHeight="false" outlineLevel="0" collapsed="false">
      <c r="A2643" s="7" t="s">
        <v>4158</v>
      </c>
      <c r="B2643" s="7" t="n">
        <v>1641.25</v>
      </c>
      <c r="C2643" s="7" t="n">
        <f aca="false">AVERAGE(B2594:B2643)</f>
        <v>1616.7766</v>
      </c>
      <c r="D2643" s="7" t="n">
        <f aca="false">AVERAGE(B2444:B2643)</f>
        <v>1495.93795</v>
      </c>
      <c r="E2643" s="7" t="n">
        <f aca="false">B2643/MAX(B2392:B2643)-1</f>
        <v>-0.267825357667034</v>
      </c>
      <c r="F2643" s="7" t="str">
        <f aca="false">IFERROR(INDEX(02_轉折點45個!B:B,MATCH(A2643,02_轉折點45個!A:A,0)),"")</f>
        <v/>
      </c>
      <c r="G2643" s="7" t="s">
        <v>1994</v>
      </c>
    </row>
    <row r="2644" customFormat="false" ht="15" hidden="false" customHeight="false" outlineLevel="0" collapsed="false">
      <c r="A2644" s="7" t="s">
        <v>4159</v>
      </c>
      <c r="B2644" s="7" t="n">
        <v>1632.92</v>
      </c>
      <c r="C2644" s="7" t="n">
        <f aca="false">AVERAGE(B2595:B2644)</f>
        <v>1619.2468</v>
      </c>
      <c r="D2644" s="7" t="n">
        <f aca="false">AVERAGE(B2445:B2644)</f>
        <v>1494.5153</v>
      </c>
      <c r="E2644" s="7" t="n">
        <f aca="false">B2644/MAX(B2393:B2644)-1</f>
        <v>-0.271541436735204</v>
      </c>
      <c r="F2644" s="7" t="str">
        <f aca="false">IFERROR(INDEX(02_轉折點45個!B:B,MATCH(A2644,02_轉折點45個!A:A,0)),"")</f>
        <v/>
      </c>
      <c r="G2644" s="7" t="s">
        <v>1994</v>
      </c>
    </row>
    <row r="2645" customFormat="false" ht="15" hidden="false" customHeight="false" outlineLevel="0" collapsed="false">
      <c r="A2645" s="7" t="s">
        <v>4160</v>
      </c>
      <c r="B2645" s="7" t="n">
        <v>1595.25</v>
      </c>
      <c r="C2645" s="7" t="n">
        <f aca="false">AVERAGE(B2596:B2645)</f>
        <v>1620.1946</v>
      </c>
      <c r="D2645" s="7" t="n">
        <f aca="false">AVERAGE(B2446:B2645)</f>
        <v>1492.44635</v>
      </c>
      <c r="E2645" s="7" t="n">
        <f aca="false">B2645/MAX(B2394:B2645)-1</f>
        <v>-0.288346322509268</v>
      </c>
      <c r="F2645" s="7" t="str">
        <f aca="false">IFERROR(INDEX(02_轉折點45個!B:B,MATCH(A2645,02_轉折點45個!A:A,0)),"")</f>
        <v/>
      </c>
      <c r="G2645" s="7" t="s">
        <v>1994</v>
      </c>
    </row>
    <row r="2646" customFormat="false" ht="15" hidden="false" customHeight="false" outlineLevel="0" collapsed="false">
      <c r="A2646" s="7" t="s">
        <v>4161</v>
      </c>
      <c r="B2646" s="7" t="n">
        <v>1596.17</v>
      </c>
      <c r="C2646" s="7" t="n">
        <f aca="false">AVERAGE(B2597:B2646)</f>
        <v>1621.4328</v>
      </c>
      <c r="D2646" s="7" t="n">
        <f aca="false">AVERAGE(B2447:B2646)</f>
        <v>1490.04035</v>
      </c>
      <c r="E2646" s="7" t="n">
        <f aca="false">B2646/MAX(B2395:B2646)-1</f>
        <v>-0.287935903212423</v>
      </c>
      <c r="F2646" s="7" t="str">
        <f aca="false">IFERROR(INDEX(02_轉折點45個!B:B,MATCH(A2646,02_轉折點45個!A:A,0)),"")</f>
        <v/>
      </c>
      <c r="G2646" s="7" t="s">
        <v>1994</v>
      </c>
    </row>
    <row r="2647" customFormat="false" ht="15" hidden="false" customHeight="false" outlineLevel="0" collapsed="false">
      <c r="A2647" s="7" t="s">
        <v>4162</v>
      </c>
      <c r="B2647" s="7" t="n">
        <v>1601.08</v>
      </c>
      <c r="C2647" s="7" t="n">
        <f aca="false">AVERAGE(B2598:B2647)</f>
        <v>1622.8714</v>
      </c>
      <c r="D2647" s="7" t="n">
        <f aca="false">AVERAGE(B2448:B2647)</f>
        <v>1488.09245</v>
      </c>
      <c r="E2647" s="7" t="n">
        <f aca="false">B2647/MAX(B2396:B2647)-1</f>
        <v>-0.285745513269481</v>
      </c>
      <c r="F2647" s="7" t="str">
        <f aca="false">IFERROR(INDEX(02_轉折點45個!B:B,MATCH(A2647,02_轉折點45個!A:A,0)),"")</f>
        <v/>
      </c>
      <c r="G2647" s="7" t="s">
        <v>1994</v>
      </c>
    </row>
    <row r="2648" customFormat="false" ht="15" hidden="false" customHeight="false" outlineLevel="0" collapsed="false">
      <c r="A2648" s="7" t="s">
        <v>4163</v>
      </c>
      <c r="B2648" s="7" t="n">
        <v>1604.26</v>
      </c>
      <c r="C2648" s="7" t="n">
        <f aca="false">AVERAGE(B2599:B2648)</f>
        <v>1623.677</v>
      </c>
      <c r="D2648" s="7" t="n">
        <f aca="false">AVERAGE(B2449:B2648)</f>
        <v>1486.27765</v>
      </c>
      <c r="E2648" s="7" t="n">
        <f aca="false">B2648/MAX(B2397:B2648)-1</f>
        <v>-0.284326890047778</v>
      </c>
      <c r="F2648" s="7" t="str">
        <f aca="false">IFERROR(INDEX(02_轉折點45個!B:B,MATCH(A2648,02_轉折點45個!A:A,0)),"")</f>
        <v/>
      </c>
      <c r="G2648" s="7" t="s">
        <v>1994</v>
      </c>
    </row>
    <row r="2649" customFormat="false" ht="15" hidden="false" customHeight="false" outlineLevel="0" collapsed="false">
      <c r="A2649" s="7" t="s">
        <v>4164</v>
      </c>
      <c r="B2649" s="7" t="n">
        <v>1638.23</v>
      </c>
      <c r="C2649" s="7" t="n">
        <f aca="false">AVERAGE(B2600:B2649)</f>
        <v>1625.064</v>
      </c>
      <c r="D2649" s="7" t="n">
        <f aca="false">AVERAGE(B2450:B2649)</f>
        <v>1484.62195</v>
      </c>
      <c r="E2649" s="7" t="n">
        <f aca="false">B2649/MAX(B2398:B2649)-1</f>
        <v>-0.26917260361972</v>
      </c>
      <c r="F2649" s="7" t="str">
        <f aca="false">IFERROR(INDEX(02_轉折點45個!B:B,MATCH(A2649,02_轉折點45個!A:A,0)),"")</f>
        <v/>
      </c>
      <c r="G2649" s="7" t="s">
        <v>1994</v>
      </c>
    </row>
    <row r="2650" customFormat="false" ht="15" hidden="false" customHeight="false" outlineLevel="0" collapsed="false">
      <c r="A2650" s="7" t="s">
        <v>4165</v>
      </c>
      <c r="B2650" s="7" t="n">
        <v>1644.18</v>
      </c>
      <c r="C2650" s="7" t="n">
        <f aca="false">AVERAGE(B2601:B2650)</f>
        <v>1626.5354</v>
      </c>
      <c r="D2650" s="7" t="n">
        <f aca="false">AVERAGE(B2451:B2650)</f>
        <v>1482.8549</v>
      </c>
      <c r="E2650" s="7" t="n">
        <f aca="false">B2650/MAX(B2399:B2650)-1</f>
        <v>-0.26651826142817</v>
      </c>
      <c r="F2650" s="7" t="str">
        <f aca="false">IFERROR(INDEX(02_轉折點45個!B:B,MATCH(A2650,02_轉折點45個!A:A,0)),"")</f>
        <v/>
      </c>
      <c r="G2650" s="7" t="s">
        <v>1994</v>
      </c>
    </row>
    <row r="2651" customFormat="false" ht="15" hidden="false" customHeight="false" outlineLevel="0" collapsed="false">
      <c r="A2651" s="7" t="s">
        <v>833</v>
      </c>
      <c r="B2651" s="7" t="n">
        <v>1701.89</v>
      </c>
      <c r="C2651" s="7" t="n">
        <f aca="false">AVERAGE(B2602:B2651)</f>
        <v>1628.3504</v>
      </c>
      <c r="D2651" s="7" t="n">
        <f aca="false">AVERAGE(B2452:B2651)</f>
        <v>1481.39115</v>
      </c>
      <c r="E2651" s="7" t="n">
        <f aca="false">B2651/MAX(B2400:B2651)-1</f>
        <v>-0.240773372709793</v>
      </c>
      <c r="F2651" s="7" t="str">
        <f aca="false">IFERROR(INDEX(02_轉折點45個!B:B,MATCH(A2651,02_轉折點45個!A:A,0)),"")</f>
        <v/>
      </c>
      <c r="G2651" s="7" t="s">
        <v>1994</v>
      </c>
    </row>
    <row r="2652" customFormat="false" ht="15" hidden="false" customHeight="false" outlineLevel="0" collapsed="false">
      <c r="A2652" s="7" t="s">
        <v>834</v>
      </c>
      <c r="B2652" s="7" t="n">
        <v>1722.11</v>
      </c>
      <c r="C2652" s="7" t="n">
        <f aca="false">AVERAGE(B2603:B2652)</f>
        <v>1630.7422</v>
      </c>
      <c r="D2652" s="7" t="n">
        <f aca="false">AVERAGE(B2453:B2652)</f>
        <v>1480.9403</v>
      </c>
      <c r="E2652" s="7" t="n">
        <f aca="false">B2652/MAX(B2401:B2652)-1</f>
        <v>-0.231753070337838</v>
      </c>
      <c r="F2652" s="7" t="str">
        <f aca="false">IFERROR(INDEX(02_轉折點45個!B:B,MATCH(A2652,02_轉折點45個!A:A,0)),"")</f>
        <v/>
      </c>
      <c r="G2652" s="7" t="s">
        <v>1994</v>
      </c>
    </row>
    <row r="2653" customFormat="false" ht="15" hidden="false" customHeight="false" outlineLevel="0" collapsed="false">
      <c r="A2653" s="7" t="s">
        <v>835</v>
      </c>
      <c r="B2653" s="7" t="n">
        <v>1723.56</v>
      </c>
      <c r="C2653" s="7" t="n">
        <f aca="false">AVERAGE(B2604:B2653)</f>
        <v>1633.072</v>
      </c>
      <c r="D2653" s="7" t="n">
        <f aca="false">AVERAGE(B2454:B2653)</f>
        <v>1480.0027</v>
      </c>
      <c r="E2653" s="7" t="n">
        <f aca="false">B2653/MAX(B2402:B2653)-1</f>
        <v>-0.231106213837376</v>
      </c>
      <c r="F2653" s="7" t="str">
        <f aca="false">IFERROR(INDEX(02_轉折點45個!B:B,MATCH(A2653,02_轉折點45個!A:A,0)),"")</f>
        <v/>
      </c>
      <c r="G2653" s="7" t="s">
        <v>1994</v>
      </c>
    </row>
    <row r="2654" customFormat="false" ht="15" hidden="false" customHeight="false" outlineLevel="0" collapsed="false">
      <c r="A2654" s="7" t="s">
        <v>4166</v>
      </c>
      <c r="B2654" s="7" t="n">
        <v>1744.28</v>
      </c>
      <c r="C2654" s="7" t="n">
        <f aca="false">AVERAGE(B2605:B2654)</f>
        <v>1636.5994</v>
      </c>
      <c r="D2654" s="7" t="n">
        <f aca="false">AVERAGE(B2455:B2654)</f>
        <v>1479.27135</v>
      </c>
      <c r="E2654" s="7" t="n">
        <f aca="false">B2654/MAX(B2403:B2654)-1</f>
        <v>-0.221862857499744</v>
      </c>
      <c r="F2654" s="7" t="str">
        <f aca="false">IFERROR(INDEX(02_轉折點45個!B:B,MATCH(A2654,02_轉折點45個!A:A,0)),"")</f>
        <v/>
      </c>
      <c r="G2654" s="7" t="s">
        <v>1994</v>
      </c>
    </row>
    <row r="2655" customFormat="false" ht="15" hidden="false" customHeight="false" outlineLevel="0" collapsed="false">
      <c r="A2655" s="7" t="s">
        <v>4167</v>
      </c>
      <c r="B2655" s="7" t="n">
        <v>1750.59</v>
      </c>
      <c r="C2655" s="7" t="n">
        <f aca="false">AVERAGE(B2606:B2655)</f>
        <v>1639.8372</v>
      </c>
      <c r="D2655" s="7" t="n">
        <f aca="false">AVERAGE(B2456:B2655)</f>
        <v>1478.9949</v>
      </c>
      <c r="E2655" s="7" t="n">
        <f aca="false">B2655/MAX(B2404:B2655)-1</f>
        <v>-0.219047916452907</v>
      </c>
      <c r="F2655" s="7" t="str">
        <f aca="false">IFERROR(INDEX(02_轉折點45個!B:B,MATCH(A2655,02_轉折點45個!A:A,0)),"")</f>
        <v/>
      </c>
      <c r="G2655" s="7" t="s">
        <v>1994</v>
      </c>
    </row>
    <row r="2656" customFormat="false" ht="15" hidden="false" customHeight="false" outlineLevel="0" collapsed="false">
      <c r="A2656" s="7" t="s">
        <v>4168</v>
      </c>
      <c r="B2656" s="7" t="n">
        <v>1759.89</v>
      </c>
      <c r="C2656" s="7" t="n">
        <f aca="false">AVERAGE(B2607:B2656)</f>
        <v>1643.4028</v>
      </c>
      <c r="D2656" s="7" t="n">
        <f aca="false">AVERAGE(B2457:B2656)</f>
        <v>1478.89895</v>
      </c>
      <c r="E2656" s="7" t="n">
        <f aca="false">B2656/MAX(B2405:B2656)-1</f>
        <v>-0.214899112691325</v>
      </c>
      <c r="F2656" s="7" t="str">
        <f aca="false">IFERROR(INDEX(02_轉折點45個!B:B,MATCH(A2656,02_轉折點45個!A:A,0)),"")</f>
        <v/>
      </c>
      <c r="G2656" s="7" t="s">
        <v>1994</v>
      </c>
    </row>
    <row r="2657" customFormat="false" ht="15" hidden="false" customHeight="false" outlineLevel="0" collapsed="false">
      <c r="A2657" s="7" t="s">
        <v>4169</v>
      </c>
      <c r="B2657" s="7" t="n">
        <v>1803.03</v>
      </c>
      <c r="C2657" s="7" t="n">
        <f aca="false">AVERAGE(B2608:B2657)</f>
        <v>1648.111</v>
      </c>
      <c r="D2657" s="7" t="n">
        <f aca="false">AVERAGE(B2458:B2657)</f>
        <v>1479.40435</v>
      </c>
      <c r="E2657" s="7" t="n">
        <f aca="false">B2657/MAX(B2406:B2657)-1</f>
        <v>-0.19565401653276</v>
      </c>
      <c r="F2657" s="7" t="str">
        <f aca="false">IFERROR(INDEX(02_轉折點45個!B:B,MATCH(A2657,02_轉折點45個!A:A,0)),"")</f>
        <v/>
      </c>
      <c r="G2657" s="7" t="s">
        <v>1994</v>
      </c>
    </row>
    <row r="2658" customFormat="false" ht="15" hidden="false" customHeight="false" outlineLevel="0" collapsed="false">
      <c r="A2658" s="7" t="s">
        <v>4170</v>
      </c>
      <c r="B2658" s="7" t="n">
        <v>1796.05</v>
      </c>
      <c r="C2658" s="7" t="n">
        <f aca="false">AVERAGE(B2609:B2658)</f>
        <v>1653.6248</v>
      </c>
      <c r="D2658" s="7" t="n">
        <f aca="false">AVERAGE(B2459:B2658)</f>
        <v>1480.36855</v>
      </c>
      <c r="E2658" s="7" t="n">
        <f aca="false">B2658/MAX(B2407:B2658)-1</f>
        <v>-0.198767849893603</v>
      </c>
      <c r="F2658" s="7" t="str">
        <f aca="false">IFERROR(INDEX(02_轉折點45個!B:B,MATCH(A2658,02_轉折點45個!A:A,0)),"")</f>
        <v/>
      </c>
      <c r="G2658" s="7" t="s">
        <v>1994</v>
      </c>
    </row>
    <row r="2659" customFormat="false" ht="15" hidden="false" customHeight="false" outlineLevel="0" collapsed="false">
      <c r="A2659" s="7" t="s">
        <v>4171</v>
      </c>
      <c r="B2659" s="7" t="n">
        <v>1797.81</v>
      </c>
      <c r="C2659" s="7" t="n">
        <f aca="false">AVERAGE(B2610:B2659)</f>
        <v>1658.7166</v>
      </c>
      <c r="D2659" s="7" t="n">
        <f aca="false">AVERAGE(B2460:B2659)</f>
        <v>1481.408</v>
      </c>
      <c r="E2659" s="7" t="n">
        <f aca="false">B2659/MAX(B2408:B2659)-1</f>
        <v>-0.197982699934422</v>
      </c>
      <c r="F2659" s="7" t="str">
        <f aca="false">IFERROR(INDEX(02_轉折點45個!B:B,MATCH(A2659,02_轉折點45個!A:A,0)),"")</f>
        <v/>
      </c>
      <c r="G2659" s="7" t="s">
        <v>1994</v>
      </c>
    </row>
    <row r="2660" customFormat="false" ht="15" hidden="false" customHeight="false" outlineLevel="0" collapsed="false">
      <c r="A2660" s="7" t="s">
        <v>4172</v>
      </c>
      <c r="B2660" s="7" t="n">
        <v>1804.77</v>
      </c>
      <c r="C2660" s="7" t="n">
        <f aca="false">AVERAGE(B2611:B2660)</f>
        <v>1664.1134</v>
      </c>
      <c r="D2660" s="7" t="n">
        <f aca="false">AVERAGE(B2461:B2660)</f>
        <v>1482.91715</v>
      </c>
      <c r="E2660" s="7" t="n">
        <f aca="false">B2660/MAX(B2409:B2660)-1</f>
        <v>-0.194877788732206</v>
      </c>
      <c r="F2660" s="7" t="str">
        <f aca="false">IFERROR(INDEX(02_轉折點45個!B:B,MATCH(A2660,02_轉折點45個!A:A,0)),"")</f>
        <v/>
      </c>
      <c r="G2660" s="7" t="s">
        <v>1994</v>
      </c>
    </row>
    <row r="2661" customFormat="false" ht="15" hidden="false" customHeight="false" outlineLevel="0" collapsed="false">
      <c r="A2661" s="7" t="s">
        <v>4173</v>
      </c>
      <c r="B2661" s="7" t="n">
        <v>1797.69</v>
      </c>
      <c r="C2661" s="7" t="n">
        <f aca="false">AVERAGE(B2612:B2661)</f>
        <v>1668.4144</v>
      </c>
      <c r="D2661" s="7" t="n">
        <f aca="false">AVERAGE(B2462:B2661)</f>
        <v>1484.37085</v>
      </c>
      <c r="E2661" s="7" t="n">
        <f aca="false">B2661/MAX(B2410:B2661)-1</f>
        <v>-0.198036232886185</v>
      </c>
      <c r="F2661" s="7" t="str">
        <f aca="false">IFERROR(INDEX(02_轉折點45個!B:B,MATCH(A2661,02_轉折點45個!A:A,0)),"")</f>
        <v/>
      </c>
      <c r="G2661" s="7" t="s">
        <v>1994</v>
      </c>
    </row>
    <row r="2662" customFormat="false" ht="15" hidden="false" customHeight="false" outlineLevel="0" collapsed="false">
      <c r="A2662" s="7" t="s">
        <v>4174</v>
      </c>
      <c r="B2662" s="7" t="n">
        <v>1812.8</v>
      </c>
      <c r="C2662" s="7" t="n">
        <f aca="false">AVERAGE(B2613:B2662)</f>
        <v>1672.9778</v>
      </c>
      <c r="D2662" s="7" t="n">
        <f aca="false">AVERAGE(B2463:B2662)</f>
        <v>1485.01055</v>
      </c>
      <c r="E2662" s="7" t="n">
        <f aca="false">B2662/MAX(B2411:B2662)-1</f>
        <v>-0.191295542043442</v>
      </c>
      <c r="F2662" s="7" t="str">
        <f aca="false">IFERROR(INDEX(02_轉折點45個!B:B,MATCH(A2662,02_轉折點45個!A:A,0)),"")</f>
        <v/>
      </c>
      <c r="G2662" s="7" t="s">
        <v>1994</v>
      </c>
    </row>
    <row r="2663" customFormat="false" ht="15" hidden="false" customHeight="false" outlineLevel="0" collapsed="false">
      <c r="A2663" s="7" t="s">
        <v>4175</v>
      </c>
      <c r="B2663" s="7" t="n">
        <v>1807.5</v>
      </c>
      <c r="C2663" s="7" t="n">
        <f aca="false">AVERAGE(B2614:B2663)</f>
        <v>1677.5576</v>
      </c>
      <c r="D2663" s="7" t="n">
        <f aca="false">AVERAGE(B2464:B2663)</f>
        <v>1485.9218</v>
      </c>
      <c r="E2663" s="7" t="n">
        <f aca="false">B2663/MAX(B2412:B2663)-1</f>
        <v>-0.193659914079612</v>
      </c>
      <c r="F2663" s="7" t="str">
        <f aca="false">IFERROR(INDEX(02_轉折點45個!B:B,MATCH(A2663,02_轉折點45個!A:A,0)),"")</f>
        <v/>
      </c>
      <c r="G2663" s="7" t="s">
        <v>1994</v>
      </c>
    </row>
    <row r="2664" customFormat="false" ht="15" hidden="false" customHeight="false" outlineLevel="0" collapsed="false">
      <c r="A2664" s="7" t="s">
        <v>4176</v>
      </c>
      <c r="B2664" s="7" t="n">
        <v>1835.01</v>
      </c>
      <c r="C2664" s="7" t="n">
        <f aca="false">AVERAGE(B2615:B2664)</f>
        <v>1683.2832</v>
      </c>
      <c r="D2664" s="7" t="n">
        <f aca="false">AVERAGE(B2465:B2664)</f>
        <v>1487.65885</v>
      </c>
      <c r="E2664" s="7" t="n">
        <f aca="false">B2664/MAX(B2413:B2664)-1</f>
        <v>-0.181387484888094</v>
      </c>
      <c r="F2664" s="7" t="str">
        <f aca="false">IFERROR(INDEX(02_轉折點45個!B:B,MATCH(A2664,02_轉折點45個!A:A,0)),"")</f>
        <v/>
      </c>
      <c r="G2664" s="7" t="s">
        <v>1994</v>
      </c>
    </row>
    <row r="2665" customFormat="false" ht="15" hidden="false" customHeight="false" outlineLevel="0" collapsed="false">
      <c r="A2665" s="7" t="s">
        <v>4177</v>
      </c>
      <c r="B2665" s="7" t="n">
        <v>1837.48</v>
      </c>
      <c r="C2665" s="7" t="n">
        <f aca="false">AVERAGE(B2616:B2665)</f>
        <v>1689.1174</v>
      </c>
      <c r="D2665" s="7" t="n">
        <f aca="false">AVERAGE(B2466:B2665)</f>
        <v>1489</v>
      </c>
      <c r="E2665" s="7" t="n">
        <f aca="false">B2665/MAX(B2414:B2665)-1</f>
        <v>-0.180285598297652</v>
      </c>
      <c r="F2665" s="7" t="str">
        <f aca="false">IFERROR(INDEX(02_轉折點45個!B:B,MATCH(A2665,02_轉折點45個!A:A,0)),"")</f>
        <v/>
      </c>
      <c r="G2665" s="7" t="s">
        <v>1994</v>
      </c>
    </row>
    <row r="2666" customFormat="false" ht="15" hidden="false" customHeight="false" outlineLevel="0" collapsed="false">
      <c r="A2666" s="7" t="s">
        <v>4178</v>
      </c>
      <c r="B2666" s="7" t="n">
        <v>1820.8</v>
      </c>
      <c r="C2666" s="7" t="n">
        <f aca="false">AVERAGE(B2617:B2666)</f>
        <v>1693.5506</v>
      </c>
      <c r="D2666" s="7" t="n">
        <f aca="false">AVERAGE(B2467:B2666)</f>
        <v>1490.28705</v>
      </c>
      <c r="E2666" s="7" t="n">
        <f aca="false">B2666/MAX(B2415:B2666)-1</f>
        <v>-0.187726678592619</v>
      </c>
      <c r="F2666" s="7" t="str">
        <f aca="false">IFERROR(INDEX(02_轉折點45個!B:B,MATCH(A2666,02_轉折點45個!A:A,0)),"")</f>
        <v/>
      </c>
      <c r="G2666" s="7" t="s">
        <v>1994</v>
      </c>
    </row>
    <row r="2667" customFormat="false" ht="15" hidden="false" customHeight="false" outlineLevel="0" collapsed="false">
      <c r="A2667" s="7" t="s">
        <v>4179</v>
      </c>
      <c r="B2667" s="7" t="n">
        <v>1802.62</v>
      </c>
      <c r="C2667" s="7" t="n">
        <f aca="false">AVERAGE(B2618:B2667)</f>
        <v>1697.9736</v>
      </c>
      <c r="D2667" s="7" t="n">
        <f aca="false">AVERAGE(B2468:B2667)</f>
        <v>1491.2149</v>
      </c>
      <c r="E2667" s="7" t="n">
        <f aca="false">B2667/MAX(B2416:B2667)-1</f>
        <v>-0.195836920784615</v>
      </c>
      <c r="F2667" s="7" t="str">
        <f aca="false">IFERROR(INDEX(02_轉折點45個!B:B,MATCH(A2667,02_轉折點45個!A:A,0)),"")</f>
        <v/>
      </c>
      <c r="G2667" s="7" t="s">
        <v>1994</v>
      </c>
    </row>
    <row r="2668" customFormat="false" ht="15" hidden="false" customHeight="false" outlineLevel="0" collapsed="false">
      <c r="A2668" s="7" t="s">
        <v>4180</v>
      </c>
      <c r="B2668" s="7" t="n">
        <v>1827.37</v>
      </c>
      <c r="C2668" s="7" t="n">
        <f aca="false">AVERAGE(B2619:B2668)</f>
        <v>1702.5132</v>
      </c>
      <c r="D2668" s="7" t="n">
        <f aca="false">AVERAGE(B2469:B2668)</f>
        <v>1492.60155</v>
      </c>
      <c r="E2668" s="7" t="n">
        <f aca="false">B2668/MAX(B2417:B2668)-1</f>
        <v>-0.18479574948363</v>
      </c>
      <c r="F2668" s="7" t="str">
        <f aca="false">IFERROR(INDEX(02_轉折點45個!B:B,MATCH(A2668,02_轉折點45個!A:A,0)),"")</f>
        <v/>
      </c>
      <c r="G2668" s="7" t="s">
        <v>1994</v>
      </c>
    </row>
    <row r="2669" customFormat="false" ht="15" hidden="false" customHeight="false" outlineLevel="0" collapsed="false">
      <c r="A2669" s="7" t="s">
        <v>4181</v>
      </c>
      <c r="B2669" s="7" t="n">
        <v>1820.06</v>
      </c>
      <c r="C2669" s="7" t="n">
        <f aca="false">AVERAGE(B2620:B2669)</f>
        <v>1706.4948</v>
      </c>
      <c r="D2669" s="7" t="n">
        <f aca="false">AVERAGE(B2470:B2669)</f>
        <v>1494.32135</v>
      </c>
      <c r="E2669" s="7" t="n">
        <f aca="false">B2669/MAX(B2418:B2669)-1</f>
        <v>-0.18805679846182</v>
      </c>
      <c r="F2669" s="7" t="str">
        <f aca="false">IFERROR(INDEX(02_轉折點45個!B:B,MATCH(A2669,02_轉折點45個!A:A,0)),"")</f>
        <v/>
      </c>
      <c r="G2669" s="7" t="s">
        <v>1994</v>
      </c>
    </row>
    <row r="2670" customFormat="false" ht="15" hidden="false" customHeight="false" outlineLevel="0" collapsed="false">
      <c r="A2670" s="7" t="s">
        <v>4182</v>
      </c>
      <c r="B2670" s="7" t="n">
        <v>1799.49</v>
      </c>
      <c r="C2670" s="7" t="n">
        <f aca="false">AVERAGE(B2621:B2670)</f>
        <v>1709.072</v>
      </c>
      <c r="D2670" s="7" t="n">
        <f aca="false">AVERAGE(B2471:B2670)</f>
        <v>1495.99235</v>
      </c>
      <c r="E2670" s="7" t="n">
        <f aca="false">B2670/MAX(B2419:B2670)-1</f>
        <v>-0.197233238609749</v>
      </c>
      <c r="F2670" s="7" t="str">
        <f aca="false">IFERROR(INDEX(02_轉折點45個!B:B,MATCH(A2670,02_轉折點45個!A:A,0)),"")</f>
        <v/>
      </c>
      <c r="G2670" s="7" t="s">
        <v>1994</v>
      </c>
    </row>
    <row r="2671" customFormat="false" ht="15" hidden="false" customHeight="false" outlineLevel="0" collapsed="false">
      <c r="A2671" s="7" t="s">
        <v>4183</v>
      </c>
      <c r="B2671" s="7" t="n">
        <v>1825.98</v>
      </c>
      <c r="C2671" s="7" t="n">
        <f aca="false">AVERAGE(B2622:B2671)</f>
        <v>1712.0306</v>
      </c>
      <c r="D2671" s="7" t="n">
        <f aca="false">AVERAGE(B2472:B2671)</f>
        <v>1498.0328</v>
      </c>
      <c r="E2671" s="7" t="n">
        <f aca="false">B2671/MAX(B2420:B2671)-1</f>
        <v>-0.185415839508211</v>
      </c>
      <c r="F2671" s="7" t="str">
        <f aca="false">IFERROR(INDEX(02_轉折點45個!B:B,MATCH(A2671,02_轉折點45個!A:A,0)),"")</f>
        <v/>
      </c>
      <c r="G2671" s="7" t="s">
        <v>1994</v>
      </c>
    </row>
    <row r="2672" customFormat="false" ht="15" hidden="false" customHeight="false" outlineLevel="0" collapsed="false">
      <c r="A2672" s="7" t="s">
        <v>4184</v>
      </c>
      <c r="B2672" s="7" t="n">
        <v>1835.69</v>
      </c>
      <c r="C2672" s="7" t="n">
        <f aca="false">AVERAGE(B2623:B2672)</f>
        <v>1715.3822</v>
      </c>
      <c r="D2672" s="7" t="n">
        <f aca="false">AVERAGE(B2473:B2672)</f>
        <v>1500.3325</v>
      </c>
      <c r="E2672" s="7" t="n">
        <f aca="false">B2672/MAX(B2421:B2672)-1</f>
        <v>-0.181084131494774</v>
      </c>
      <c r="F2672" s="7" t="str">
        <f aca="false">IFERROR(INDEX(02_轉折點45個!B:B,MATCH(A2672,02_轉折點45個!A:A,0)),"")</f>
        <v/>
      </c>
      <c r="G2672" s="7" t="s">
        <v>1994</v>
      </c>
    </row>
    <row r="2673" customFormat="false" ht="15" hidden="false" customHeight="false" outlineLevel="0" collapsed="false">
      <c r="A2673" s="7" t="s">
        <v>4185</v>
      </c>
      <c r="B2673" s="7" t="n">
        <v>1813.92</v>
      </c>
      <c r="C2673" s="7" t="n">
        <f aca="false">AVERAGE(B2624:B2673)</f>
        <v>1717.858</v>
      </c>
      <c r="D2673" s="7" t="n">
        <f aca="false">AVERAGE(B2474:B2673)</f>
        <v>1501.86755</v>
      </c>
      <c r="E2673" s="7" t="n">
        <f aca="false">B2673/MAX(B2422:B2673)-1</f>
        <v>-0.1904166815439</v>
      </c>
      <c r="F2673" s="7" t="str">
        <f aca="false">IFERROR(INDEX(02_轉折點45個!B:B,MATCH(A2673,02_轉折點45個!A:A,0)),"")</f>
        <v/>
      </c>
      <c r="G2673" s="7" t="s">
        <v>1994</v>
      </c>
    </row>
    <row r="2674" customFormat="false" ht="15" hidden="false" customHeight="false" outlineLevel="0" collapsed="false">
      <c r="A2674" s="7" t="s">
        <v>4186</v>
      </c>
      <c r="B2674" s="7" t="n">
        <v>1763.96</v>
      </c>
      <c r="C2674" s="7" t="n">
        <f aca="false">AVERAGE(B2625:B2674)</f>
        <v>1719.3456</v>
      </c>
      <c r="D2674" s="7" t="n">
        <f aca="false">AVERAGE(B2475:B2674)</f>
        <v>1503.11745</v>
      </c>
      <c r="E2674" s="7" t="n">
        <f aca="false">B2674/MAX(B2423:B2674)-1</f>
        <v>-0.201137634788437</v>
      </c>
      <c r="F2674" s="7" t="str">
        <f aca="false">IFERROR(INDEX(02_轉折點45個!B:B,MATCH(A2674,02_轉折點45個!A:A,0)),"")</f>
        <v/>
      </c>
      <c r="G2674" s="7" t="s">
        <v>1994</v>
      </c>
    </row>
    <row r="2675" customFormat="false" ht="15" hidden="false" customHeight="false" outlineLevel="0" collapsed="false">
      <c r="A2675" s="7" t="s">
        <v>4187</v>
      </c>
      <c r="B2675" s="7" t="n">
        <v>1786.87</v>
      </c>
      <c r="C2675" s="7" t="n">
        <f aca="false">AVERAGE(B2626:B2675)</f>
        <v>1721.4196</v>
      </c>
      <c r="D2675" s="7" t="n">
        <f aca="false">AVERAGE(B2476:B2675)</f>
        <v>1504.2932</v>
      </c>
      <c r="E2675" s="7" t="n">
        <f aca="false">B2675/MAX(B2424:B2675)-1</f>
        <v>-0.189999138716506</v>
      </c>
      <c r="F2675" s="7" t="str">
        <f aca="false">IFERROR(INDEX(02_轉折點45個!B:B,MATCH(A2675,02_轉折點45個!A:A,0)),"")</f>
        <v/>
      </c>
      <c r="G2675" s="7" t="s">
        <v>1994</v>
      </c>
    </row>
    <row r="2676" customFormat="false" ht="15" hidden="false" customHeight="false" outlineLevel="0" collapsed="false">
      <c r="A2676" s="7" t="s">
        <v>4188</v>
      </c>
      <c r="B2676" s="7" t="n">
        <v>1799.04</v>
      </c>
      <c r="C2676" s="7" t="n">
        <f aca="false">AVERAGE(B2627:B2676)</f>
        <v>1723.4132</v>
      </c>
      <c r="D2676" s="7" t="n">
        <f aca="false">AVERAGE(B2477:B2676)</f>
        <v>1505.42735</v>
      </c>
      <c r="E2676" s="7" t="n">
        <f aca="false">B2676/MAX(B2425:B2676)-1</f>
        <v>-0.184482391285624</v>
      </c>
      <c r="F2676" s="7" t="str">
        <f aca="false">IFERROR(INDEX(02_轉折點45個!B:B,MATCH(A2676,02_轉折點45個!A:A,0)),"")</f>
        <v/>
      </c>
      <c r="G2676" s="7" t="s">
        <v>1994</v>
      </c>
    </row>
    <row r="2677" customFormat="false" ht="15" hidden="false" customHeight="false" outlineLevel="0" collapsed="false">
      <c r="A2677" s="7" t="s">
        <v>4189</v>
      </c>
      <c r="B2677" s="7" t="n">
        <v>1817.3</v>
      </c>
      <c r="C2677" s="7" t="n">
        <f aca="false">AVERAGE(B2628:B2677)</f>
        <v>1725.9008</v>
      </c>
      <c r="D2677" s="7" t="n">
        <f aca="false">AVERAGE(B2478:B2677)</f>
        <v>1506.6282</v>
      </c>
      <c r="E2677" s="7" t="n">
        <f aca="false">B2677/MAX(B2426:B2677)-1</f>
        <v>-0.176205003603792</v>
      </c>
      <c r="F2677" s="7" t="str">
        <f aca="false">IFERROR(INDEX(02_轉折點45個!B:B,MATCH(A2677,02_轉折點45個!A:A,0)),"")</f>
        <v/>
      </c>
      <c r="G2677" s="7" t="s">
        <v>1994</v>
      </c>
    </row>
    <row r="2678" customFormat="false" ht="15" hidden="false" customHeight="false" outlineLevel="0" collapsed="false">
      <c r="A2678" s="7" t="s">
        <v>836</v>
      </c>
      <c r="B2678" s="7" t="n">
        <v>1846.24</v>
      </c>
      <c r="C2678" s="7" t="n">
        <f aca="false">AVERAGE(B2629:B2678)</f>
        <v>1728.7974</v>
      </c>
      <c r="D2678" s="7" t="n">
        <f aca="false">AVERAGE(B2479:B2678)</f>
        <v>1507.72805</v>
      </c>
      <c r="E2678" s="7" t="n">
        <f aca="false">B2678/MAX(B2427:B2678)-1</f>
        <v>-0.163086296073001</v>
      </c>
      <c r="F2678" s="7" t="str">
        <f aca="false">IFERROR(INDEX(02_轉折點45個!B:B,MATCH(A2678,02_轉折點45個!A:A,0)),"")</f>
        <v/>
      </c>
      <c r="G2678" s="7" t="s">
        <v>1994</v>
      </c>
    </row>
    <row r="2679" customFormat="false" ht="15" hidden="false" customHeight="false" outlineLevel="0" collapsed="false">
      <c r="A2679" s="7" t="s">
        <v>4190</v>
      </c>
      <c r="B2679" s="7" t="n">
        <v>1843.57</v>
      </c>
      <c r="C2679" s="7" t="n">
        <f aca="false">AVERAGE(B2630:B2679)</f>
        <v>1731.7058</v>
      </c>
      <c r="D2679" s="7" t="n">
        <f aca="false">AVERAGE(B2480:B2679)</f>
        <v>1509.2644</v>
      </c>
      <c r="E2679" s="7" t="n">
        <f aca="false">B2679/MAX(B2428:B2679)-1</f>
        <v>-0.163234553220074</v>
      </c>
      <c r="F2679" s="7" t="str">
        <f aca="false">IFERROR(INDEX(02_轉折點45個!B:B,MATCH(A2679,02_轉折點45個!A:A,0)),"")</f>
        <v/>
      </c>
      <c r="G2679" s="7" t="s">
        <v>1994</v>
      </c>
    </row>
    <row r="2680" customFormat="false" ht="15" hidden="false" customHeight="false" outlineLevel="0" collapsed="false">
      <c r="A2680" s="7" t="s">
        <v>837</v>
      </c>
      <c r="B2680" s="7" t="n">
        <v>1849.28</v>
      </c>
      <c r="C2680" s="7" t="n">
        <f aca="false">AVERAGE(B2631:B2680)</f>
        <v>1735.5034</v>
      </c>
      <c r="D2680" s="7" t="n">
        <f aca="false">AVERAGE(B2481:B2680)</f>
        <v>1511.1625</v>
      </c>
      <c r="E2680" s="7" t="n">
        <f aca="false">B2680/MAX(B2429:B2680)-1</f>
        <v>-0.160642880161219</v>
      </c>
      <c r="F2680" s="7" t="str">
        <f aca="false">IFERROR(INDEX(02_轉折點45個!B:B,MATCH(A2680,02_轉折點45個!A:A,0)),"")</f>
        <v/>
      </c>
      <c r="G2680" s="7" t="s">
        <v>1994</v>
      </c>
    </row>
    <row r="2681" customFormat="false" ht="15" hidden="false" customHeight="false" outlineLevel="0" collapsed="false">
      <c r="A2681" s="7" t="s">
        <v>838</v>
      </c>
      <c r="B2681" s="7" t="n">
        <v>1849.46</v>
      </c>
      <c r="C2681" s="7" t="n">
        <f aca="false">AVERAGE(B2632:B2681)</f>
        <v>1739.6738</v>
      </c>
      <c r="D2681" s="7" t="n">
        <f aca="false">AVERAGE(B2482:B2681)</f>
        <v>1512.8847</v>
      </c>
      <c r="E2681" s="7" t="n">
        <f aca="false">B2681/MAX(B2430:B2681)-1</f>
        <v>-0.160561181185634</v>
      </c>
      <c r="F2681" s="7" t="str">
        <f aca="false">IFERROR(INDEX(02_轉折點45個!B:B,MATCH(A2681,02_轉折點45個!A:A,0)),"")</f>
        <v/>
      </c>
      <c r="G2681" s="7" t="s">
        <v>1994</v>
      </c>
    </row>
    <row r="2682" customFormat="false" ht="15" hidden="false" customHeight="false" outlineLevel="0" collapsed="false">
      <c r="A2682" s="7" t="s">
        <v>839</v>
      </c>
      <c r="B2682" s="7" t="n">
        <v>1852.48</v>
      </c>
      <c r="C2682" s="7" t="n">
        <f aca="false">AVERAGE(B2633:B2682)</f>
        <v>1743.6876</v>
      </c>
      <c r="D2682" s="7" t="n">
        <f aca="false">AVERAGE(B2483:B2682)</f>
        <v>1514.76205</v>
      </c>
      <c r="E2682" s="7" t="n">
        <f aca="false">B2682/MAX(B2431:B2682)-1</f>
        <v>-0.159190453928586</v>
      </c>
      <c r="F2682" s="7" t="str">
        <f aca="false">IFERROR(INDEX(02_轉折點45個!B:B,MATCH(A2682,02_轉折點45個!A:A,0)),"")</f>
        <v/>
      </c>
      <c r="G2682" s="7" t="s">
        <v>1994</v>
      </c>
    </row>
    <row r="2683" customFormat="false" ht="15" hidden="false" customHeight="false" outlineLevel="0" collapsed="false">
      <c r="A2683" s="7" t="s">
        <v>840</v>
      </c>
      <c r="B2683" s="7" t="n">
        <v>1853.43</v>
      </c>
      <c r="C2683" s="7" t="n">
        <f aca="false">AVERAGE(B2634:B2683)</f>
        <v>1747.7266</v>
      </c>
      <c r="D2683" s="7" t="n">
        <f aca="false">AVERAGE(B2484:B2683)</f>
        <v>1516.80785</v>
      </c>
      <c r="E2683" s="7" t="n">
        <f aca="false">B2683/MAX(B2432:B2683)-1</f>
        <v>-0.143081048592168</v>
      </c>
      <c r="F2683" s="7" t="str">
        <f aca="false">IFERROR(INDEX(02_轉折點45個!B:B,MATCH(A2683,02_轉折點45個!A:A,0)),"")</f>
        <v/>
      </c>
      <c r="G2683" s="7" t="s">
        <v>1994</v>
      </c>
    </row>
    <row r="2684" customFormat="false" ht="15" hidden="false" customHeight="false" outlineLevel="0" collapsed="false">
      <c r="A2684" s="7" t="s">
        <v>841</v>
      </c>
      <c r="B2684" s="7" t="n">
        <v>1835.42</v>
      </c>
      <c r="C2684" s="7" t="n">
        <f aca="false">AVERAGE(B2635:B2684)</f>
        <v>1751.0444</v>
      </c>
      <c r="D2684" s="7" t="n">
        <f aca="false">AVERAGE(B2485:B2684)</f>
        <v>1519.13675</v>
      </c>
      <c r="E2684" s="7" t="n">
        <f aca="false">B2684/MAX(B2433:B2684)-1</f>
        <v>-0.144804771223558</v>
      </c>
      <c r="F2684" s="7" t="str">
        <f aca="false">IFERROR(INDEX(02_轉折點45個!B:B,MATCH(A2684,02_轉折點45個!A:A,0)),"")</f>
        <v/>
      </c>
      <c r="G2684" s="7" t="s">
        <v>1994</v>
      </c>
    </row>
    <row r="2685" customFormat="false" ht="15" hidden="false" customHeight="false" outlineLevel="0" collapsed="false">
      <c r="A2685" s="7" t="s">
        <v>4191</v>
      </c>
      <c r="B2685" s="7" t="n">
        <v>1798.72</v>
      </c>
      <c r="C2685" s="7" t="n">
        <f aca="false">AVERAGE(B2636:B2685)</f>
        <v>1754.748</v>
      </c>
      <c r="D2685" s="7" t="n">
        <f aca="false">AVERAGE(B2486:B2685)</f>
        <v>1520.83685</v>
      </c>
      <c r="E2685" s="7" t="n">
        <f aca="false">B2685/MAX(B2434:B2685)-1</f>
        <v>-0.156334573153286</v>
      </c>
      <c r="F2685" s="7" t="str">
        <f aca="false">IFERROR(INDEX(02_轉折點45個!B:B,MATCH(A2685,02_轉折點45個!A:A,0)),"")</f>
        <v/>
      </c>
      <c r="G2685" s="7" t="s">
        <v>1994</v>
      </c>
    </row>
    <row r="2686" customFormat="false" ht="15" hidden="false" customHeight="false" outlineLevel="0" collapsed="false">
      <c r="A2686" s="7" t="s">
        <v>4192</v>
      </c>
      <c r="B2686" s="7" t="n">
        <v>1797.06</v>
      </c>
      <c r="C2686" s="7" t="n">
        <f aca="false">AVERAGE(B2637:B2686)</f>
        <v>1758.4416</v>
      </c>
      <c r="D2686" s="7" t="n">
        <f aca="false">AVERAGE(B2487:B2686)</f>
        <v>1522.8934</v>
      </c>
      <c r="E2686" s="7" t="n">
        <f aca="false">B2686/MAX(B2435:B2686)-1</f>
        <v>-0.134935038052923</v>
      </c>
      <c r="F2686" s="7" t="str">
        <f aca="false">IFERROR(INDEX(02_轉折點45個!B:B,MATCH(A2686,02_轉折點45個!A:A,0)),"")</f>
        <v/>
      </c>
      <c r="G2686" s="7" t="s">
        <v>1994</v>
      </c>
    </row>
    <row r="2687" customFormat="false" ht="15" hidden="false" customHeight="false" outlineLevel="0" collapsed="false">
      <c r="A2687" s="7" t="s">
        <v>4193</v>
      </c>
      <c r="B2687" s="7" t="n">
        <v>1811.8</v>
      </c>
      <c r="C2687" s="7" t="n">
        <f aca="false">AVERAGE(B2638:B2687)</f>
        <v>1761.929</v>
      </c>
      <c r="D2687" s="7" t="n">
        <f aca="false">AVERAGE(B2488:B2687)</f>
        <v>1525.1826</v>
      </c>
      <c r="E2687" s="7" t="n">
        <f aca="false">B2687/MAX(B2436:B2687)-1</f>
        <v>-0.12783952786456</v>
      </c>
      <c r="F2687" s="7" t="str">
        <f aca="false">IFERROR(INDEX(02_轉折點45個!B:B,MATCH(A2687,02_轉折點45個!A:A,0)),"")</f>
        <v/>
      </c>
      <c r="G2687" s="7" t="s">
        <v>1994</v>
      </c>
    </row>
    <row r="2688" customFormat="false" ht="15" hidden="false" customHeight="false" outlineLevel="0" collapsed="false">
      <c r="A2688" s="7" t="s">
        <v>4194</v>
      </c>
      <c r="B2688" s="7" t="n">
        <v>1844.3</v>
      </c>
      <c r="C2688" s="7" t="n">
        <f aca="false">AVERAGE(B2639:B2688)</f>
        <v>1765.3866</v>
      </c>
      <c r="D2688" s="7" t="n">
        <f aca="false">AVERAGE(B2489:B2688)</f>
        <v>1527.62875</v>
      </c>
      <c r="E2688" s="7" t="n">
        <f aca="false">B2688/MAX(B2437:B2688)-1</f>
        <v>-0.112194746241642</v>
      </c>
      <c r="F2688" s="7" t="str">
        <f aca="false">IFERROR(INDEX(02_轉折點45個!B:B,MATCH(A2688,02_轉折點45個!A:A,0)),"")</f>
        <v/>
      </c>
      <c r="G2688" s="7" t="s">
        <v>1994</v>
      </c>
    </row>
    <row r="2689" customFormat="false" ht="15" hidden="false" customHeight="false" outlineLevel="0" collapsed="false">
      <c r="A2689" s="7" t="s">
        <v>4195</v>
      </c>
      <c r="B2689" s="7" t="n">
        <v>1861.65</v>
      </c>
      <c r="C2689" s="7" t="n">
        <f aca="false">AVERAGE(B2640:B2689)</f>
        <v>1769.0326</v>
      </c>
      <c r="D2689" s="7" t="n">
        <f aca="false">AVERAGE(B2490:B2689)</f>
        <v>1530.604</v>
      </c>
      <c r="E2689" s="7" t="n">
        <f aca="false">B2689/MAX(B2438:B2689)-1</f>
        <v>-0.103842839744485</v>
      </c>
      <c r="F2689" s="7" t="str">
        <f aca="false">IFERROR(INDEX(02_轉折點45個!B:B,MATCH(A2689,02_轉折點45個!A:A,0)),"")</f>
        <v/>
      </c>
      <c r="G2689" s="7" t="s">
        <v>1994</v>
      </c>
    </row>
    <row r="2690" customFormat="false" ht="15" hidden="false" customHeight="false" outlineLevel="0" collapsed="false">
      <c r="A2690" s="7" t="s">
        <v>4196</v>
      </c>
      <c r="B2690" s="7" t="n">
        <v>1882.32</v>
      </c>
      <c r="C2690" s="7" t="n">
        <f aca="false">AVERAGE(B2641:B2690)</f>
        <v>1772.9854</v>
      </c>
      <c r="D2690" s="7" t="n">
        <f aca="false">AVERAGE(B2491:B2690)</f>
        <v>1534.00375</v>
      </c>
      <c r="E2690" s="7" t="n">
        <f aca="false">B2690/MAX(B2439:B2690)-1</f>
        <v>-0.0938927586323091</v>
      </c>
      <c r="F2690" s="7" t="str">
        <f aca="false">IFERROR(INDEX(02_轉折點45個!B:B,MATCH(A2690,02_轉折點45個!A:A,0)),"")</f>
        <v/>
      </c>
      <c r="G2690" s="7" t="s">
        <v>1994</v>
      </c>
    </row>
    <row r="2691" customFormat="false" ht="15" hidden="false" customHeight="false" outlineLevel="0" collapsed="false">
      <c r="A2691" s="7" t="s">
        <v>4197</v>
      </c>
      <c r="B2691" s="7" t="n">
        <v>1903.9</v>
      </c>
      <c r="C2691" s="7" t="n">
        <f aca="false">AVERAGE(B2642:B2691)</f>
        <v>1777.5346</v>
      </c>
      <c r="D2691" s="7" t="n">
        <f aca="false">AVERAGE(B2492:B2691)</f>
        <v>1537.19975</v>
      </c>
      <c r="E2691" s="7" t="n">
        <f aca="false">B2691/MAX(B2440:B2691)-1</f>
        <v>-0.0835046236346918</v>
      </c>
      <c r="F2691" s="7" t="str">
        <f aca="false">IFERROR(INDEX(02_轉折點45個!B:B,MATCH(A2691,02_轉折點45個!A:A,0)),"")</f>
        <v/>
      </c>
      <c r="G2691" s="7" t="s">
        <v>1994</v>
      </c>
    </row>
    <row r="2692" customFormat="false" ht="15" hidden="false" customHeight="false" outlineLevel="0" collapsed="false">
      <c r="A2692" s="7" t="s">
        <v>4198</v>
      </c>
      <c r="B2692" s="7" t="n">
        <v>1901.05</v>
      </c>
      <c r="C2692" s="7" t="n">
        <f aca="false">AVERAGE(B2643:B2692)</f>
        <v>1781.8316</v>
      </c>
      <c r="D2692" s="7" t="n">
        <f aca="false">AVERAGE(B2493:B2692)</f>
        <v>1539.981</v>
      </c>
      <c r="E2692" s="7" t="n">
        <f aca="false">B2692/MAX(B2441:B2692)-1</f>
        <v>-0.0848765506385477</v>
      </c>
      <c r="F2692" s="7" t="str">
        <f aca="false">IFERROR(INDEX(02_轉折點45個!B:B,MATCH(A2692,02_轉折點45個!A:A,0)),"")</f>
        <v/>
      </c>
      <c r="G2692" s="7" t="s">
        <v>1994</v>
      </c>
    </row>
    <row r="2693" customFormat="false" ht="15" hidden="false" customHeight="false" outlineLevel="0" collapsed="false">
      <c r="A2693" s="7" t="s">
        <v>4199</v>
      </c>
      <c r="B2693" s="7" t="n">
        <v>1910.99</v>
      </c>
      <c r="C2693" s="7" t="n">
        <f aca="false">AVERAGE(B2644:B2693)</f>
        <v>1787.2264</v>
      </c>
      <c r="D2693" s="7" t="n">
        <f aca="false">AVERAGE(B2494:B2693)</f>
        <v>1542.84525</v>
      </c>
      <c r="E2693" s="7" t="n">
        <f aca="false">B2693/MAX(B2442:B2693)-1</f>
        <v>-0.0800916543514154</v>
      </c>
      <c r="F2693" s="7" t="str">
        <f aca="false">IFERROR(INDEX(02_轉折點45個!B:B,MATCH(A2693,02_轉折點45個!A:A,0)),"")</f>
        <v/>
      </c>
      <c r="G2693" s="7" t="s">
        <v>1994</v>
      </c>
    </row>
    <row r="2694" customFormat="false" ht="15" hidden="false" customHeight="false" outlineLevel="0" collapsed="false">
      <c r="A2694" s="7" t="s">
        <v>4200</v>
      </c>
      <c r="B2694" s="7" t="n">
        <v>1920.91</v>
      </c>
      <c r="C2694" s="7" t="n">
        <f aca="false">AVERAGE(B2645:B2694)</f>
        <v>1792.9862</v>
      </c>
      <c r="D2694" s="7" t="n">
        <f aca="false">AVERAGE(B2495:B2694)</f>
        <v>1545.4514</v>
      </c>
      <c r="E2694" s="7" t="n">
        <f aca="false">B2694/MAX(B2443:B2694)-1</f>
        <v>-0.0753163856222049</v>
      </c>
      <c r="F2694" s="7" t="str">
        <f aca="false">IFERROR(INDEX(02_轉折點45個!B:B,MATCH(A2694,02_轉折點45個!A:A,0)),"")</f>
        <v/>
      </c>
      <c r="G2694" s="7" t="s">
        <v>1994</v>
      </c>
    </row>
    <row r="2695" customFormat="false" ht="15" hidden="false" customHeight="false" outlineLevel="0" collapsed="false">
      <c r="A2695" s="7" t="s">
        <v>4201</v>
      </c>
      <c r="B2695" s="7" t="n">
        <v>1948.79</v>
      </c>
      <c r="C2695" s="7" t="n">
        <f aca="false">AVERAGE(B2646:B2695)</f>
        <v>1800.057</v>
      </c>
      <c r="D2695" s="7" t="n">
        <f aca="false">AVERAGE(B2496:B2695)</f>
        <v>1548.1811</v>
      </c>
      <c r="E2695" s="7" t="n">
        <f aca="false">B2695/MAX(B2444:B2695)-1</f>
        <v>-0.0618955698792223</v>
      </c>
      <c r="F2695" s="7" t="str">
        <f aca="false">IFERROR(INDEX(02_轉折點45個!B:B,MATCH(A2695,02_轉折點45個!A:A,0)),"")</f>
        <v/>
      </c>
      <c r="G2695" s="7" t="s">
        <v>1994</v>
      </c>
    </row>
    <row r="2696" customFormat="false" ht="15" hidden="false" customHeight="false" outlineLevel="0" collapsed="false">
      <c r="A2696" s="7" t="s">
        <v>4202</v>
      </c>
      <c r="B2696" s="7" t="n">
        <v>1942.94</v>
      </c>
      <c r="C2696" s="7" t="n">
        <f aca="false">AVERAGE(B2647:B2696)</f>
        <v>1806.9924</v>
      </c>
      <c r="D2696" s="7" t="n">
        <f aca="false">AVERAGE(B2497:B2696)</f>
        <v>1551.5096</v>
      </c>
      <c r="E2696" s="7" t="n">
        <f aca="false">B2696/MAX(B2445:B2696)-1</f>
        <v>-0.0647116305713473</v>
      </c>
      <c r="F2696" s="7" t="str">
        <f aca="false">IFERROR(INDEX(02_轉折點45個!B:B,MATCH(A2696,02_轉折點45個!A:A,0)),"")</f>
        <v/>
      </c>
      <c r="G2696" s="7" t="s">
        <v>1994</v>
      </c>
    </row>
    <row r="2697" customFormat="false" ht="15" hidden="false" customHeight="false" outlineLevel="0" collapsed="false">
      <c r="A2697" s="7" t="s">
        <v>4203</v>
      </c>
      <c r="B2697" s="7" t="n">
        <v>1948.52</v>
      </c>
      <c r="C2697" s="7" t="n">
        <f aca="false">AVERAGE(B2648:B2697)</f>
        <v>1813.9412</v>
      </c>
      <c r="D2697" s="7" t="n">
        <f aca="false">AVERAGE(B2498:B2697)</f>
        <v>1554.6297</v>
      </c>
      <c r="E2697" s="7" t="n">
        <f aca="false">B2697/MAX(B2446:B2697)-1</f>
        <v>-0.0620255419111665</v>
      </c>
      <c r="F2697" s="7" t="str">
        <f aca="false">IFERROR(INDEX(02_轉折點45個!B:B,MATCH(A2697,02_轉折點45個!A:A,0)),"")</f>
        <v/>
      </c>
      <c r="G2697" s="7" t="s">
        <v>1994</v>
      </c>
    </row>
    <row r="2698" customFormat="false" ht="15" hidden="false" customHeight="false" outlineLevel="0" collapsed="false">
      <c r="A2698" s="7" t="s">
        <v>4204</v>
      </c>
      <c r="B2698" s="7" t="n">
        <v>1953.25</v>
      </c>
      <c r="C2698" s="7" t="n">
        <f aca="false">AVERAGE(B2649:B2698)</f>
        <v>1820.921</v>
      </c>
      <c r="D2698" s="7" t="n">
        <f aca="false">AVERAGE(B2499:B2698)</f>
        <v>1557.57895</v>
      </c>
      <c r="E2698" s="7" t="n">
        <f aca="false">B2698/MAX(B2447:B2698)-1</f>
        <v>-0.0221967470802317</v>
      </c>
      <c r="F2698" s="7" t="str">
        <f aca="false">IFERROR(INDEX(02_轉折點45個!B:B,MATCH(A2698,02_轉折點45個!A:A,0)),"")</f>
        <v/>
      </c>
      <c r="G2698" s="7" t="s">
        <v>1994</v>
      </c>
    </row>
    <row r="2699" customFormat="false" ht="15" hidden="false" customHeight="false" outlineLevel="0" collapsed="false">
      <c r="A2699" s="7" t="s">
        <v>4205</v>
      </c>
      <c r="B2699" s="7" t="n">
        <v>1960.8</v>
      </c>
      <c r="C2699" s="7" t="n">
        <f aca="false">AVERAGE(B2650:B2699)</f>
        <v>1827.3724</v>
      </c>
      <c r="D2699" s="7" t="n">
        <f aca="false">AVERAGE(B2500:B2699)</f>
        <v>1560.77985</v>
      </c>
      <c r="E2699" s="7" t="n">
        <f aca="false">B2699/MAX(B2448:B2699)-1</f>
        <v>-0.0184171927172242</v>
      </c>
      <c r="F2699" s="7" t="str">
        <f aca="false">IFERROR(INDEX(02_轉折點45個!B:B,MATCH(A2699,02_轉折點45個!A:A,0)),"")</f>
        <v/>
      </c>
      <c r="G2699" s="7" t="s">
        <v>1994</v>
      </c>
    </row>
    <row r="2700" customFormat="false" ht="15" hidden="false" customHeight="false" outlineLevel="0" collapsed="false">
      <c r="A2700" s="7" t="s">
        <v>4206</v>
      </c>
      <c r="B2700" s="7" t="n">
        <v>1947.21</v>
      </c>
      <c r="C2700" s="7" t="n">
        <f aca="false">AVERAGE(B2651:B2700)</f>
        <v>1833.433</v>
      </c>
      <c r="D2700" s="7" t="n">
        <f aca="false">AVERAGE(B2501:B2700)</f>
        <v>1563.6216</v>
      </c>
      <c r="E2700" s="7" t="n">
        <f aca="false">B2700/MAX(B2449:B2700)-1</f>
        <v>-0.0252203905706375</v>
      </c>
      <c r="F2700" s="7" t="str">
        <f aca="false">IFERROR(INDEX(02_轉折點45個!B:B,MATCH(A2700,02_轉折點45個!A:A,0)),"")</f>
        <v/>
      </c>
      <c r="G2700" s="7" t="s">
        <v>1994</v>
      </c>
    </row>
    <row r="2701" customFormat="false" ht="15" hidden="false" customHeight="false" outlineLevel="0" collapsed="false">
      <c r="A2701" s="7" t="s">
        <v>4207</v>
      </c>
      <c r="B2701" s="7" t="n">
        <v>1925.45</v>
      </c>
      <c r="C2701" s="7" t="n">
        <f aca="false">AVERAGE(B2652:B2701)</f>
        <v>1837.9042</v>
      </c>
      <c r="D2701" s="7" t="n">
        <f aca="false">AVERAGE(B2502:B2701)</f>
        <v>1566.06935</v>
      </c>
      <c r="E2701" s="7" t="n">
        <f aca="false">B2701/MAX(B2450:B2701)-1</f>
        <v>-0.0361135167877291</v>
      </c>
      <c r="F2701" s="7" t="str">
        <f aca="false">IFERROR(INDEX(02_轉折點45個!B:B,MATCH(A2701,02_轉折點45個!A:A,0)),"")</f>
        <v/>
      </c>
      <c r="G2701" s="7" t="s">
        <v>1994</v>
      </c>
    </row>
    <row r="2702" customFormat="false" ht="15" hidden="false" customHeight="false" outlineLevel="0" collapsed="false">
      <c r="A2702" s="7" t="s">
        <v>4208</v>
      </c>
      <c r="B2702" s="7" t="n">
        <v>1910.21</v>
      </c>
      <c r="C2702" s="7" t="n">
        <f aca="false">AVERAGE(B2653:B2702)</f>
        <v>1841.6662</v>
      </c>
      <c r="D2702" s="7" t="n">
        <f aca="false">AVERAGE(B2503:B2702)</f>
        <v>1568.55235</v>
      </c>
      <c r="E2702" s="7" t="n">
        <f aca="false">B2702/MAX(B2451:B2702)-1</f>
        <v>-0.0423284402197891</v>
      </c>
      <c r="F2702" s="7" t="str">
        <f aca="false">IFERROR(INDEX(02_轉折點45個!B:B,MATCH(A2702,02_轉折點45個!A:A,0)),"")</f>
        <v/>
      </c>
      <c r="G2702" s="7" t="s">
        <v>1994</v>
      </c>
    </row>
    <row r="2703" customFormat="false" ht="15" hidden="false" customHeight="false" outlineLevel="0" collapsed="false">
      <c r="A2703" s="7" t="s">
        <v>842</v>
      </c>
      <c r="B2703" s="7" t="n">
        <v>1946.59</v>
      </c>
      <c r="C2703" s="7" t="n">
        <f aca="false">AVERAGE(B2654:B2703)</f>
        <v>1846.1268</v>
      </c>
      <c r="D2703" s="7" t="n">
        <f aca="false">AVERAGE(B2504:B2703)</f>
        <v>1571.1344</v>
      </c>
      <c r="E2703" s="7" t="n">
        <f aca="false">B2703/MAX(B2452:B2703)-1</f>
        <v>-0.00724704202366377</v>
      </c>
      <c r="F2703" s="7" t="str">
        <f aca="false">IFERROR(INDEX(02_轉折點45個!B:B,MATCH(A2703,02_轉折點45個!A:A,0)),"")</f>
        <v/>
      </c>
      <c r="G2703" s="7" t="s">
        <v>1994</v>
      </c>
    </row>
    <row r="2704" customFormat="false" ht="15" hidden="false" customHeight="false" outlineLevel="0" collapsed="false">
      <c r="A2704" s="7" t="s">
        <v>4209</v>
      </c>
      <c r="B2704" s="7" t="n">
        <v>1940.46</v>
      </c>
      <c r="C2704" s="7" t="n">
        <f aca="false">AVERAGE(B2655:B2704)</f>
        <v>1850.0504</v>
      </c>
      <c r="D2704" s="7" t="n">
        <f aca="false">AVERAGE(B2505:B2704)</f>
        <v>1573.9489</v>
      </c>
      <c r="E2704" s="7" t="n">
        <f aca="false">B2704/MAX(B2453:B2704)-1</f>
        <v>-0.0103733170134639</v>
      </c>
      <c r="F2704" s="7" t="str">
        <f aca="false">IFERROR(INDEX(02_轉折點45個!B:B,MATCH(A2704,02_轉折點45個!A:A,0)),"")</f>
        <v/>
      </c>
      <c r="G2704" s="7" t="s">
        <v>1994</v>
      </c>
    </row>
    <row r="2705" customFormat="false" ht="15" hidden="false" customHeight="false" outlineLevel="0" collapsed="false">
      <c r="A2705" s="7" t="s">
        <v>4210</v>
      </c>
      <c r="B2705" s="7" t="n">
        <v>1938.98</v>
      </c>
      <c r="C2705" s="7" t="n">
        <f aca="false">AVERAGE(B2656:B2705)</f>
        <v>1853.8182</v>
      </c>
      <c r="D2705" s="7" t="n">
        <f aca="false">AVERAGE(B2506:B2705)</f>
        <v>1576.606</v>
      </c>
      <c r="E2705" s="7" t="n">
        <f aca="false">B2705/MAX(B2454:B2705)-1</f>
        <v>-0.0111281109751121</v>
      </c>
      <c r="F2705" s="7" t="str">
        <f aca="false">IFERROR(INDEX(02_轉折點45個!B:B,MATCH(A2705,02_轉折點45個!A:A,0)),"")</f>
        <v/>
      </c>
      <c r="G2705" s="7" t="s">
        <v>1994</v>
      </c>
    </row>
    <row r="2706" customFormat="false" ht="15" hidden="false" customHeight="false" outlineLevel="0" collapsed="false">
      <c r="A2706" s="7" t="s">
        <v>843</v>
      </c>
      <c r="B2706" s="7" t="n">
        <v>1879.66</v>
      </c>
      <c r="C2706" s="7" t="n">
        <f aca="false">AVERAGE(B2657:B2706)</f>
        <v>1856.2136</v>
      </c>
      <c r="D2706" s="7" t="n">
        <f aca="false">AVERAGE(B2507:B2706)</f>
        <v>1579.1144</v>
      </c>
      <c r="E2706" s="7" t="n">
        <f aca="false">B2706/MAX(B2455:B2706)-1</f>
        <v>-0.0413810689514483</v>
      </c>
      <c r="F2706" s="7" t="str">
        <f aca="false">IFERROR(INDEX(02_轉折點45個!B:B,MATCH(A2706,02_轉折點45個!A:A,0)),"")</f>
        <v/>
      </c>
      <c r="G2706" s="7" t="s">
        <v>1994</v>
      </c>
    </row>
    <row r="2707" customFormat="false" ht="15" hidden="false" customHeight="false" outlineLevel="0" collapsed="false">
      <c r="A2707" s="7" t="s">
        <v>4211</v>
      </c>
      <c r="B2707" s="7" t="n">
        <v>1871.1</v>
      </c>
      <c r="C2707" s="7" t="n">
        <f aca="false">AVERAGE(B2658:B2707)</f>
        <v>1857.575</v>
      </c>
      <c r="D2707" s="7" t="n">
        <f aca="false">AVERAGE(B2508:B2707)</f>
        <v>1581.2075</v>
      </c>
      <c r="E2707" s="7" t="n">
        <f aca="false">B2707/MAX(B2456:B2707)-1</f>
        <v>-0.0457466340269278</v>
      </c>
      <c r="F2707" s="7" t="str">
        <f aca="false">IFERROR(INDEX(02_轉折點45個!B:B,MATCH(A2707,02_轉折點45個!A:A,0)),"")</f>
        <v/>
      </c>
      <c r="G2707" s="7" t="s">
        <v>1994</v>
      </c>
    </row>
    <row r="2708" customFormat="false" ht="15" hidden="false" customHeight="false" outlineLevel="0" collapsed="false">
      <c r="A2708" s="7" t="s">
        <v>4212</v>
      </c>
      <c r="B2708" s="7" t="n">
        <v>1889.41</v>
      </c>
      <c r="C2708" s="7" t="n">
        <f aca="false">AVERAGE(B2659:B2708)</f>
        <v>1859.4422</v>
      </c>
      <c r="D2708" s="7" t="n">
        <f aca="false">AVERAGE(B2509:B2708)</f>
        <v>1583.4405</v>
      </c>
      <c r="E2708" s="7" t="n">
        <f aca="false">B2708/MAX(B2457:B2708)-1</f>
        <v>-0.0364086087311301</v>
      </c>
      <c r="F2708" s="7" t="str">
        <f aca="false">IFERROR(INDEX(02_轉折點45個!B:B,MATCH(A2708,02_轉折點45個!A:A,0)),"")</f>
        <v/>
      </c>
      <c r="G2708" s="7" t="s">
        <v>1994</v>
      </c>
    </row>
    <row r="2709" customFormat="false" ht="15" hidden="false" customHeight="false" outlineLevel="0" collapsed="false">
      <c r="A2709" s="7" t="s">
        <v>4213</v>
      </c>
      <c r="B2709" s="7" t="n">
        <v>1921.76</v>
      </c>
      <c r="C2709" s="7" t="n">
        <f aca="false">AVERAGE(B2660:B2709)</f>
        <v>1861.9212</v>
      </c>
      <c r="D2709" s="7" t="n">
        <f aca="false">AVERAGE(B2510:B2709)</f>
        <v>1585.9583</v>
      </c>
      <c r="E2709" s="7" t="n">
        <f aca="false">B2709/MAX(B2458:B2709)-1</f>
        <v>-0.0199102407180742</v>
      </c>
      <c r="F2709" s="7" t="str">
        <f aca="false">IFERROR(INDEX(02_轉折點45個!B:B,MATCH(A2709,02_轉折點45個!A:A,0)),"")</f>
        <v/>
      </c>
      <c r="G2709" s="7" t="s">
        <v>1994</v>
      </c>
    </row>
    <row r="2710" customFormat="false" ht="15" hidden="false" customHeight="false" outlineLevel="0" collapsed="false">
      <c r="A2710" s="7" t="s">
        <v>4214</v>
      </c>
      <c r="B2710" s="7" t="n">
        <v>1927.94</v>
      </c>
      <c r="C2710" s="7" t="n">
        <f aca="false">AVERAGE(B2661:B2710)</f>
        <v>1864.3846</v>
      </c>
      <c r="D2710" s="7" t="n">
        <f aca="false">AVERAGE(B2511:B2710)</f>
        <v>1588.4524</v>
      </c>
      <c r="E2710" s="7" t="n">
        <f aca="false">B2710/MAX(B2459:B2710)-1</f>
        <v>-0.0167584659322725</v>
      </c>
      <c r="F2710" s="7" t="str">
        <f aca="false">IFERROR(INDEX(02_轉折點45個!B:B,MATCH(A2710,02_轉折點45個!A:A,0)),"")</f>
        <v/>
      </c>
      <c r="G2710" s="7" t="s">
        <v>1994</v>
      </c>
    </row>
    <row r="2711" customFormat="false" ht="15" hidden="false" customHeight="false" outlineLevel="0" collapsed="false">
      <c r="A2711" s="7" t="s">
        <v>4215</v>
      </c>
      <c r="B2711" s="7" t="n">
        <v>1940.36</v>
      </c>
      <c r="C2711" s="7" t="n">
        <f aca="false">AVERAGE(B2662:B2711)</f>
        <v>1867.238</v>
      </c>
      <c r="D2711" s="7" t="n">
        <f aca="false">AVERAGE(B2512:B2711)</f>
        <v>1591.15465</v>
      </c>
      <c r="E2711" s="7" t="n">
        <f aca="false">B2711/MAX(B2460:B2711)-1</f>
        <v>-0.0104243166054672</v>
      </c>
      <c r="F2711" s="7" t="str">
        <f aca="false">IFERROR(INDEX(02_轉折點45個!B:B,MATCH(A2711,02_轉折點45個!A:A,0)),"")</f>
        <v/>
      </c>
      <c r="G2711" s="7" t="s">
        <v>1994</v>
      </c>
    </row>
    <row r="2712" customFormat="false" ht="15" hidden="false" customHeight="false" outlineLevel="0" collapsed="false">
      <c r="A2712" s="7" t="s">
        <v>4216</v>
      </c>
      <c r="B2712" s="7" t="n">
        <v>1954.39</v>
      </c>
      <c r="C2712" s="7" t="n">
        <f aca="false">AVERAGE(B2663:B2712)</f>
        <v>1870.0698</v>
      </c>
      <c r="D2712" s="7" t="n">
        <f aca="false">AVERAGE(B2513:B2712)</f>
        <v>1593.9764</v>
      </c>
      <c r="E2712" s="7" t="n">
        <f aca="false">B2712/MAX(B2461:B2712)-1</f>
        <v>-0.00326907384740915</v>
      </c>
      <c r="F2712" s="7" t="str">
        <f aca="false">IFERROR(INDEX(02_轉折點45個!B:B,MATCH(A2712,02_轉折點45個!A:A,0)),"")</f>
        <v/>
      </c>
      <c r="G2712" s="7" t="s">
        <v>1994</v>
      </c>
    </row>
    <row r="2713" customFormat="false" ht="15" hidden="false" customHeight="false" outlineLevel="0" collapsed="false">
      <c r="A2713" s="7" t="s">
        <v>4217</v>
      </c>
      <c r="B2713" s="7" t="n">
        <v>1954.26</v>
      </c>
      <c r="C2713" s="7" t="n">
        <f aca="false">AVERAGE(B2664:B2713)</f>
        <v>1873.005</v>
      </c>
      <c r="D2713" s="7" t="n">
        <f aca="false">AVERAGE(B2514:B2713)</f>
        <v>1596.78215</v>
      </c>
      <c r="E2713" s="7" t="n">
        <f aca="false">B2713/MAX(B2462:B2713)-1</f>
        <v>-0.00333537331701339</v>
      </c>
      <c r="F2713" s="7" t="str">
        <f aca="false">IFERROR(INDEX(02_轉折點45個!B:B,MATCH(A2713,02_轉折點45個!A:A,0)),"")</f>
        <v/>
      </c>
      <c r="G2713" s="7" t="s">
        <v>1994</v>
      </c>
    </row>
    <row r="2714" customFormat="false" ht="15" hidden="false" customHeight="false" outlineLevel="0" collapsed="false">
      <c r="A2714" s="7" t="s">
        <v>4218</v>
      </c>
      <c r="B2714" s="7" t="n">
        <v>1954.94</v>
      </c>
      <c r="C2714" s="7" t="n">
        <f aca="false">AVERAGE(B2665:B2714)</f>
        <v>1875.4036</v>
      </c>
      <c r="D2714" s="7" t="n">
        <f aca="false">AVERAGE(B2515:B2714)</f>
        <v>1599.5669</v>
      </c>
      <c r="E2714" s="7" t="n">
        <f aca="false">B2714/MAX(B2463:B2714)-1</f>
        <v>-0.00298857609139125</v>
      </c>
      <c r="F2714" s="7" t="str">
        <f aca="false">IFERROR(INDEX(02_轉折點45個!B:B,MATCH(A2714,02_轉折點45個!A:A,0)),"")</f>
        <v/>
      </c>
      <c r="G2714" s="7" t="s">
        <v>1994</v>
      </c>
    </row>
    <row r="2715" customFormat="false" ht="15" hidden="false" customHeight="false" outlineLevel="0" collapsed="false">
      <c r="A2715" s="7" t="s">
        <v>844</v>
      </c>
      <c r="B2715" s="7" t="n">
        <v>1984.49</v>
      </c>
      <c r="C2715" s="7" t="n">
        <f aca="false">AVERAGE(B2666:B2715)</f>
        <v>1878.3438</v>
      </c>
      <c r="D2715" s="7" t="n">
        <f aca="false">AVERAGE(B2516:B2715)</f>
        <v>1602.5904</v>
      </c>
      <c r="E2715" s="7" t="n">
        <f aca="false">B2715/MAX(B2464:B2715)-1</f>
        <v>0</v>
      </c>
      <c r="F2715" s="7" t="str">
        <f aca="false">IFERROR(INDEX(02_轉折點45個!B:B,MATCH(A2715,02_轉折點45個!A:A,0)),"")</f>
        <v/>
      </c>
      <c r="G2715" s="7" t="s">
        <v>1994</v>
      </c>
    </row>
    <row r="2716" customFormat="false" ht="15" hidden="false" customHeight="false" outlineLevel="0" collapsed="false">
      <c r="A2716" s="7" t="s">
        <v>845</v>
      </c>
      <c r="B2716" s="7" t="n">
        <v>1985.46</v>
      </c>
      <c r="C2716" s="7" t="n">
        <f aca="false">AVERAGE(B2667:B2716)</f>
        <v>1881.637</v>
      </c>
      <c r="D2716" s="7" t="n">
        <f aca="false">AVERAGE(B2517:B2716)</f>
        <v>1605.4343</v>
      </c>
      <c r="E2716" s="7" t="n">
        <f aca="false">B2716/MAX(B2465:B2716)-1</f>
        <v>0</v>
      </c>
      <c r="F2716" s="7" t="str">
        <f aca="false">IFERROR(INDEX(02_轉折點45個!B:B,MATCH(A2716,02_轉折點45個!A:A,0)),"")</f>
        <v/>
      </c>
      <c r="G2716" s="7" t="s">
        <v>1994</v>
      </c>
    </row>
    <row r="2717" customFormat="false" ht="15" hidden="false" customHeight="false" outlineLevel="0" collapsed="false">
      <c r="A2717" s="7" t="s">
        <v>4219</v>
      </c>
      <c r="B2717" s="7" t="n">
        <v>1970.39</v>
      </c>
      <c r="C2717" s="7" t="n">
        <f aca="false">AVERAGE(B2668:B2717)</f>
        <v>1884.9924</v>
      </c>
      <c r="D2717" s="7" t="n">
        <f aca="false">AVERAGE(B2518:B2717)</f>
        <v>1608.0826</v>
      </c>
      <c r="E2717" s="7" t="n">
        <f aca="false">B2717/MAX(B2466:B2717)-1</f>
        <v>-0.00759018061305694</v>
      </c>
      <c r="F2717" s="7" t="str">
        <f aca="false">IFERROR(INDEX(02_轉折點45個!B:B,MATCH(A2717,02_轉折點45個!A:A,0)),"")</f>
        <v/>
      </c>
      <c r="G2717" s="7" t="s">
        <v>1994</v>
      </c>
    </row>
    <row r="2718" customFormat="false" ht="15" hidden="false" customHeight="false" outlineLevel="0" collapsed="false">
      <c r="A2718" s="7" t="s">
        <v>846</v>
      </c>
      <c r="B2718" s="7" t="n">
        <v>1988.23</v>
      </c>
      <c r="C2718" s="7" t="n">
        <f aca="false">AVERAGE(B2669:B2718)</f>
        <v>1888.2096</v>
      </c>
      <c r="D2718" s="7" t="n">
        <f aca="false">AVERAGE(B2519:B2718)</f>
        <v>1610.56805</v>
      </c>
      <c r="E2718" s="7" t="n">
        <f aca="false">B2718/MAX(B2467:B2718)-1</f>
        <v>0</v>
      </c>
      <c r="F2718" s="7" t="str">
        <f aca="false">IFERROR(INDEX(02_轉折點45個!B:B,MATCH(A2718,02_轉折點45個!A:A,0)),"")</f>
        <v/>
      </c>
      <c r="G2718" s="7" t="s">
        <v>1994</v>
      </c>
    </row>
    <row r="2719" customFormat="false" ht="15" hidden="false" customHeight="false" outlineLevel="0" collapsed="false">
      <c r="A2719" s="7" t="s">
        <v>4220</v>
      </c>
      <c r="B2719" s="7" t="n">
        <v>1976.49</v>
      </c>
      <c r="C2719" s="7" t="n">
        <f aca="false">AVERAGE(B2670:B2719)</f>
        <v>1891.3382</v>
      </c>
      <c r="D2719" s="7" t="n">
        <f aca="false">AVERAGE(B2520:B2719)</f>
        <v>1613.0139</v>
      </c>
      <c r="E2719" s="7" t="n">
        <f aca="false">B2719/MAX(B2468:B2719)-1</f>
        <v>-0.00590474945051633</v>
      </c>
      <c r="F2719" s="7" t="str">
        <f aca="false">IFERROR(INDEX(02_轉折點45個!B:B,MATCH(A2719,02_轉折點45個!A:A,0)),"")</f>
        <v/>
      </c>
      <c r="G2719" s="7" t="s">
        <v>1994</v>
      </c>
    </row>
    <row r="2720" customFormat="false" ht="15" hidden="false" customHeight="false" outlineLevel="0" collapsed="false">
      <c r="A2720" s="7" t="s">
        <v>847</v>
      </c>
      <c r="B2720" s="7" t="n">
        <v>1964.85</v>
      </c>
      <c r="C2720" s="7" t="n">
        <f aca="false">AVERAGE(B2671:B2720)</f>
        <v>1894.6454</v>
      </c>
      <c r="D2720" s="7" t="n">
        <f aca="false">AVERAGE(B2521:B2720)</f>
        <v>1615.2903</v>
      </c>
      <c r="E2720" s="7" t="n">
        <f aca="false">B2720/MAX(B2469:B2720)-1</f>
        <v>-0.0117592029091202</v>
      </c>
      <c r="F2720" s="7" t="str">
        <f aca="false">IFERROR(INDEX(02_轉折點45個!B:B,MATCH(A2720,02_轉折點45個!A:A,0)),"")</f>
        <v/>
      </c>
      <c r="G2720" s="7" t="s">
        <v>1994</v>
      </c>
    </row>
    <row r="2721" customFormat="false" ht="15" hidden="false" customHeight="false" outlineLevel="0" collapsed="false">
      <c r="A2721" s="7" t="s">
        <v>4221</v>
      </c>
      <c r="B2721" s="7" t="n">
        <v>1978.15</v>
      </c>
      <c r="C2721" s="7" t="n">
        <f aca="false">AVERAGE(B2672:B2721)</f>
        <v>1897.6888</v>
      </c>
      <c r="D2721" s="7" t="n">
        <f aca="false">AVERAGE(B2522:B2721)</f>
        <v>1617.87675</v>
      </c>
      <c r="E2721" s="7" t="n">
        <f aca="false">B2721/MAX(B2470:B2721)-1</f>
        <v>-0.00506983598477029</v>
      </c>
      <c r="F2721" s="7" t="str">
        <f aca="false">IFERROR(INDEX(02_轉折點45個!B:B,MATCH(A2721,02_轉折點45個!A:A,0)),"")</f>
        <v/>
      </c>
      <c r="G2721" s="7" t="s">
        <v>1994</v>
      </c>
    </row>
    <row r="2722" customFormat="false" ht="15" hidden="false" customHeight="false" outlineLevel="0" collapsed="false">
      <c r="A2722" s="7" t="s">
        <v>4222</v>
      </c>
      <c r="B2722" s="7" t="n">
        <v>1968.26</v>
      </c>
      <c r="C2722" s="7" t="n">
        <f aca="false">AVERAGE(B2673:B2722)</f>
        <v>1900.3402</v>
      </c>
      <c r="D2722" s="7" t="n">
        <f aca="false">AVERAGE(B2523:B2722)</f>
        <v>1620.33175</v>
      </c>
      <c r="E2722" s="7" t="n">
        <f aca="false">B2722/MAX(B2471:B2722)-1</f>
        <v>-0.0100441095849072</v>
      </c>
      <c r="F2722" s="7" t="str">
        <f aca="false">IFERROR(INDEX(02_轉折點45個!B:B,MATCH(A2722,02_轉折點45個!A:A,0)),"")</f>
        <v/>
      </c>
      <c r="G2722" s="7" t="s">
        <v>1994</v>
      </c>
    </row>
    <row r="2723" customFormat="false" ht="15" hidden="false" customHeight="false" outlineLevel="0" collapsed="false">
      <c r="A2723" s="7" t="s">
        <v>848</v>
      </c>
      <c r="B2723" s="7" t="n">
        <v>1956.74</v>
      </c>
      <c r="C2723" s="7" t="n">
        <f aca="false">AVERAGE(B2674:B2723)</f>
        <v>1903.1966</v>
      </c>
      <c r="D2723" s="7" t="n">
        <f aca="false">AVERAGE(B2524:B2723)</f>
        <v>1622.93665</v>
      </c>
      <c r="E2723" s="7" t="n">
        <f aca="false">B2723/MAX(B2472:B2723)-1</f>
        <v>-0.0158382078532162</v>
      </c>
      <c r="F2723" s="7" t="str">
        <f aca="false">IFERROR(INDEX(02_轉折點45個!B:B,MATCH(A2723,02_轉折點45個!A:A,0)),"")</f>
        <v/>
      </c>
      <c r="G2723" s="7" t="s">
        <v>1994</v>
      </c>
    </row>
    <row r="2724" customFormat="false" ht="15" hidden="false" customHeight="false" outlineLevel="0" collapsed="false">
      <c r="A2724" s="7" t="s">
        <v>849</v>
      </c>
      <c r="B2724" s="7" t="n">
        <v>1933.2</v>
      </c>
      <c r="C2724" s="7" t="n">
        <f aca="false">AVERAGE(B2675:B2724)</f>
        <v>1906.5814</v>
      </c>
      <c r="D2724" s="7" t="n">
        <f aca="false">AVERAGE(B2525:B2724)</f>
        <v>1625.57365</v>
      </c>
      <c r="E2724" s="7" t="n">
        <f aca="false">B2724/MAX(B2473:B2724)-1</f>
        <v>-0.0276778843493962</v>
      </c>
      <c r="F2724" s="7" t="str">
        <f aca="false">IFERROR(INDEX(02_轉折點45個!B:B,MATCH(A2724,02_轉折點45個!A:A,0)),"")</f>
        <v/>
      </c>
      <c r="G2724" s="7" t="s">
        <v>1994</v>
      </c>
    </row>
    <row r="2725" customFormat="false" ht="15" hidden="false" customHeight="false" outlineLevel="0" collapsed="false">
      <c r="A2725" s="7" t="s">
        <v>4223</v>
      </c>
      <c r="B2725" s="7" t="n">
        <v>1881.6</v>
      </c>
      <c r="C2725" s="7" t="n">
        <f aca="false">AVERAGE(B2676:B2725)</f>
        <v>1908.476</v>
      </c>
      <c r="D2725" s="7" t="n">
        <f aca="false">AVERAGE(B2526:B2725)</f>
        <v>1627.91765</v>
      </c>
      <c r="E2725" s="7" t="n">
        <f aca="false">B2725/MAX(B2474:B2725)-1</f>
        <v>-0.053630616176197</v>
      </c>
      <c r="F2725" s="7" t="str">
        <f aca="false">IFERROR(INDEX(02_轉折點45個!B:B,MATCH(A2725,02_轉折點45個!A:A,0)),"")</f>
        <v/>
      </c>
      <c r="G2725" s="7" t="s">
        <v>1994</v>
      </c>
    </row>
    <row r="2726" customFormat="false" ht="15" hidden="false" customHeight="false" outlineLevel="0" collapsed="false">
      <c r="A2726" s="7" t="s">
        <v>850</v>
      </c>
      <c r="B2726" s="7" t="n">
        <v>1916.26</v>
      </c>
      <c r="C2726" s="7" t="n">
        <f aca="false">AVERAGE(B2677:B2726)</f>
        <v>1910.8204</v>
      </c>
      <c r="D2726" s="7" t="n">
        <f aca="false">AVERAGE(B2527:B2726)</f>
        <v>1630.6945</v>
      </c>
      <c r="E2726" s="7" t="n">
        <f aca="false">B2726/MAX(B2475:B2726)-1</f>
        <v>-0.0361980253793576</v>
      </c>
      <c r="F2726" s="7" t="str">
        <f aca="false">IFERROR(INDEX(02_轉折點45個!B:B,MATCH(A2726,02_轉折點45個!A:A,0)),"")</f>
        <v/>
      </c>
      <c r="G2726" s="7" t="s">
        <v>1994</v>
      </c>
    </row>
    <row r="2727" customFormat="false" ht="15" hidden="false" customHeight="false" outlineLevel="0" collapsed="false">
      <c r="A2727" s="7" t="s">
        <v>851</v>
      </c>
      <c r="B2727" s="7" t="n">
        <v>1868.36</v>
      </c>
      <c r="C2727" s="7" t="n">
        <f aca="false">AVERAGE(B2678:B2727)</f>
        <v>1911.8416</v>
      </c>
      <c r="D2727" s="7" t="n">
        <f aca="false">AVERAGE(B2528:B2727)</f>
        <v>1633.1304</v>
      </c>
      <c r="E2727" s="7" t="n">
        <f aca="false">B2727/MAX(B2476:B2727)-1</f>
        <v>-0.0602898055053993</v>
      </c>
      <c r="F2727" s="7" t="str">
        <f aca="false">IFERROR(INDEX(02_轉折點45個!B:B,MATCH(A2727,02_轉折點45個!A:A,0)),"")</f>
        <v/>
      </c>
      <c r="G2727" s="7" t="s">
        <v>1994</v>
      </c>
    </row>
    <row r="2728" customFormat="false" ht="15" hidden="false" customHeight="false" outlineLevel="0" collapsed="false">
      <c r="A2728" s="7" t="s">
        <v>4224</v>
      </c>
      <c r="B2728" s="7" t="n">
        <v>1872.09</v>
      </c>
      <c r="C2728" s="7" t="n">
        <f aca="false">AVERAGE(B2679:B2728)</f>
        <v>1912.3586</v>
      </c>
      <c r="D2728" s="7" t="n">
        <f aca="false">AVERAGE(B2529:B2728)</f>
        <v>1635.5051</v>
      </c>
      <c r="E2728" s="7" t="n">
        <f aca="false">B2728/MAX(B2477:B2728)-1</f>
        <v>-0.0584137650070666</v>
      </c>
      <c r="F2728" s="7" t="str">
        <f aca="false">IFERROR(INDEX(02_轉折點45個!B:B,MATCH(A2728,02_轉折點45個!A:A,0)),"")</f>
        <v/>
      </c>
      <c r="G2728" s="7" t="s">
        <v>1994</v>
      </c>
    </row>
    <row r="2729" customFormat="false" ht="15" hidden="false" customHeight="false" outlineLevel="0" collapsed="false">
      <c r="A2729" s="7" t="s">
        <v>4225</v>
      </c>
      <c r="B2729" s="7" t="n">
        <v>1879.51</v>
      </c>
      <c r="C2729" s="7" t="n">
        <f aca="false">AVERAGE(B2680:B2729)</f>
        <v>1913.0774</v>
      </c>
      <c r="D2729" s="7" t="n">
        <f aca="false">AVERAGE(B2530:B2729)</f>
        <v>1638.321</v>
      </c>
      <c r="E2729" s="7" t="n">
        <f aca="false">B2729/MAX(B2478:B2729)-1</f>
        <v>-0.0546818024071661</v>
      </c>
      <c r="F2729" s="7" t="str">
        <f aca="false">IFERROR(INDEX(02_轉折點45個!B:B,MATCH(A2729,02_轉折點45個!A:A,0)),"")</f>
        <v/>
      </c>
      <c r="G2729" s="7" t="s">
        <v>1994</v>
      </c>
    </row>
    <row r="2730" customFormat="false" ht="15" hidden="false" customHeight="false" outlineLevel="0" collapsed="false">
      <c r="A2730" s="7" t="s">
        <v>4226</v>
      </c>
      <c r="B2730" s="7" t="n">
        <v>1877.87</v>
      </c>
      <c r="C2730" s="7" t="n">
        <f aca="false">AVERAGE(B2681:B2730)</f>
        <v>1913.6492</v>
      </c>
      <c r="D2730" s="7" t="n">
        <f aca="false">AVERAGE(B2531:B2730)</f>
        <v>1640.82625</v>
      </c>
      <c r="E2730" s="7" t="n">
        <f aca="false">B2730/MAX(B2479:B2730)-1</f>
        <v>-0.0555066566745297</v>
      </c>
      <c r="F2730" s="7" t="str">
        <f aca="false">IFERROR(INDEX(02_轉折點45個!B:B,MATCH(A2730,02_轉折點45個!A:A,0)),"")</f>
        <v/>
      </c>
      <c r="G2730" s="7" t="s">
        <v>1994</v>
      </c>
    </row>
    <row r="2731" customFormat="false" ht="15" hidden="false" customHeight="false" outlineLevel="0" collapsed="false">
      <c r="A2731" s="7" t="s">
        <v>852</v>
      </c>
      <c r="B2731" s="7" t="n">
        <v>1923.36</v>
      </c>
      <c r="C2731" s="7" t="n">
        <f aca="false">AVERAGE(B2682:B2731)</f>
        <v>1915.1272</v>
      </c>
      <c r="D2731" s="7" t="n">
        <f aca="false">AVERAGE(B2532:B2731)</f>
        <v>1643.7489</v>
      </c>
      <c r="E2731" s="7" t="n">
        <f aca="false">B2731/MAX(B2480:B2731)-1</f>
        <v>-0.0326270099535768</v>
      </c>
      <c r="F2731" s="7" t="str">
        <f aca="false">IFERROR(INDEX(02_轉折點45個!B:B,MATCH(A2731,02_轉折點45個!A:A,0)),"")</f>
        <v/>
      </c>
      <c r="G2731" s="7" t="s">
        <v>1994</v>
      </c>
    </row>
    <row r="2732" customFormat="false" ht="15" hidden="false" customHeight="false" outlineLevel="0" collapsed="false">
      <c r="A2732" s="7" t="s">
        <v>853</v>
      </c>
      <c r="B2732" s="7" t="n">
        <v>1929.87</v>
      </c>
      <c r="C2732" s="7" t="n">
        <f aca="false">AVERAGE(B2683:B2732)</f>
        <v>1916.675</v>
      </c>
      <c r="D2732" s="7" t="n">
        <f aca="false">AVERAGE(B2533:B2732)</f>
        <v>1646.6502</v>
      </c>
      <c r="E2732" s="7" t="n">
        <f aca="false">B2732/MAX(B2481:B2732)-1</f>
        <v>-0.0293527408800793</v>
      </c>
      <c r="F2732" s="7" t="str">
        <f aca="false">IFERROR(INDEX(02_轉折點45個!B:B,MATCH(A2732,02_轉折點45個!A:A,0)),"")</f>
        <v/>
      </c>
      <c r="G2732" s="7" t="s">
        <v>1994</v>
      </c>
    </row>
    <row r="2733" customFormat="false" ht="15" hidden="false" customHeight="false" outlineLevel="0" collapsed="false">
      <c r="A2733" s="7" t="s">
        <v>4227</v>
      </c>
      <c r="B2733" s="7" t="n">
        <v>1967.89</v>
      </c>
      <c r="C2733" s="7" t="n">
        <f aca="false">AVERAGE(B2684:B2733)</f>
        <v>1918.9642</v>
      </c>
      <c r="D2733" s="7" t="n">
        <f aca="false">AVERAGE(B2534:B2733)</f>
        <v>1649.686</v>
      </c>
      <c r="E2733" s="7" t="n">
        <f aca="false">B2733/MAX(B2482:B2733)-1</f>
        <v>-0.010230204754983</v>
      </c>
      <c r="F2733" s="7" t="str">
        <f aca="false">IFERROR(INDEX(02_轉折點45個!B:B,MATCH(A2733,02_轉折點45個!A:A,0)),"")</f>
        <v/>
      </c>
      <c r="G2733" s="7" t="s">
        <v>1994</v>
      </c>
    </row>
    <row r="2734" customFormat="false" ht="15" hidden="false" customHeight="false" outlineLevel="0" collapsed="false">
      <c r="A2734" s="7" t="s">
        <v>4228</v>
      </c>
      <c r="B2734" s="7" t="n">
        <v>1965.17</v>
      </c>
      <c r="C2734" s="7" t="n">
        <f aca="false">AVERAGE(B2685:B2734)</f>
        <v>1921.5592</v>
      </c>
      <c r="D2734" s="7" t="n">
        <f aca="false">AVERAGE(B2535:B2734)</f>
        <v>1652.63765</v>
      </c>
      <c r="E2734" s="7" t="n">
        <f aca="false">B2734/MAX(B2483:B2734)-1</f>
        <v>-0.0115982557350004</v>
      </c>
      <c r="F2734" s="7" t="str">
        <f aca="false">IFERROR(INDEX(02_轉折點45個!B:B,MATCH(A2734,02_轉折點45個!A:A,0)),"")</f>
        <v/>
      </c>
      <c r="G2734" s="7" t="s">
        <v>1994</v>
      </c>
    </row>
    <row r="2735" customFormat="false" ht="15" hidden="false" customHeight="false" outlineLevel="0" collapsed="false">
      <c r="A2735" s="7" t="s">
        <v>4229</v>
      </c>
      <c r="B2735" s="7" t="n">
        <v>1979.62</v>
      </c>
      <c r="C2735" s="7" t="n">
        <f aca="false">AVERAGE(B2686:B2735)</f>
        <v>1925.1772</v>
      </c>
      <c r="D2735" s="7" t="n">
        <f aca="false">AVERAGE(B2536:B2735)</f>
        <v>1655.41745</v>
      </c>
      <c r="E2735" s="7" t="n">
        <f aca="false">B2735/MAX(B2484:B2735)-1</f>
        <v>-0.00433048490365806</v>
      </c>
      <c r="F2735" s="7" t="str">
        <f aca="false">IFERROR(INDEX(02_轉折點45個!B:B,MATCH(A2735,02_轉折點45個!A:A,0)),"")</f>
        <v/>
      </c>
      <c r="G2735" s="7" t="s">
        <v>1994</v>
      </c>
    </row>
    <row r="2736" customFormat="false" ht="15" hidden="false" customHeight="false" outlineLevel="0" collapsed="false">
      <c r="A2736" s="7" t="s">
        <v>4230</v>
      </c>
      <c r="B2736" s="7" t="n">
        <v>1963.29</v>
      </c>
      <c r="C2736" s="7" t="n">
        <f aca="false">AVERAGE(B2687:B2736)</f>
        <v>1928.5018</v>
      </c>
      <c r="D2736" s="7" t="n">
        <f aca="false">AVERAGE(B2537:B2736)</f>
        <v>1658.3463</v>
      </c>
      <c r="E2736" s="7" t="n">
        <f aca="false">B2736/MAX(B2485:B2736)-1</f>
        <v>-0.0125438203829538</v>
      </c>
      <c r="F2736" s="7" t="str">
        <f aca="false">IFERROR(INDEX(02_轉折點45個!B:B,MATCH(A2736,02_轉折點45個!A:A,0)),"")</f>
        <v/>
      </c>
      <c r="G2736" s="7" t="s">
        <v>1994</v>
      </c>
    </row>
    <row r="2737" customFormat="false" ht="15" hidden="false" customHeight="false" outlineLevel="0" collapsed="false">
      <c r="A2737" s="7" t="s">
        <v>4231</v>
      </c>
      <c r="B2737" s="7" t="n">
        <v>1980.52</v>
      </c>
      <c r="C2737" s="7" t="n">
        <f aca="false">AVERAGE(B2688:B2737)</f>
        <v>1931.8762</v>
      </c>
      <c r="D2737" s="7" t="n">
        <f aca="false">AVERAGE(B2538:B2737)</f>
        <v>1661.5048</v>
      </c>
      <c r="E2737" s="7" t="n">
        <f aca="false">B2737/MAX(B2486:B2737)-1</f>
        <v>-0.0038778209764464</v>
      </c>
      <c r="F2737" s="7" t="str">
        <f aca="false">IFERROR(INDEX(02_轉折點45個!B:B,MATCH(A2737,02_轉折點45個!A:A,0)),"")</f>
        <v/>
      </c>
      <c r="G2737" s="7" t="s">
        <v>1994</v>
      </c>
    </row>
    <row r="2738" customFormat="false" ht="15" hidden="false" customHeight="false" outlineLevel="0" collapsed="false">
      <c r="A2738" s="7" t="s">
        <v>854</v>
      </c>
      <c r="B2738" s="7" t="n">
        <v>2007.9</v>
      </c>
      <c r="C2738" s="7" t="n">
        <f aca="false">AVERAGE(B2689:B2738)</f>
        <v>1935.1482</v>
      </c>
      <c r="D2738" s="7" t="n">
        <f aca="false">AVERAGE(B2539:B2738)</f>
        <v>1664.71795</v>
      </c>
      <c r="E2738" s="7" t="n">
        <f aca="false">B2738/MAX(B2487:B2738)-1</f>
        <v>0</v>
      </c>
      <c r="F2738" s="7" t="str">
        <f aca="false">IFERROR(INDEX(02_轉折點45個!B:B,MATCH(A2738,02_轉折點45個!A:A,0)),"")</f>
        <v/>
      </c>
      <c r="G2738" s="7" t="s">
        <v>1994</v>
      </c>
    </row>
    <row r="2739" customFormat="false" ht="15" hidden="false" customHeight="false" outlineLevel="0" collapsed="false">
      <c r="A2739" s="7" t="s">
        <v>855</v>
      </c>
      <c r="B2739" s="7" t="n">
        <v>2013.31</v>
      </c>
      <c r="C2739" s="7" t="n">
        <f aca="false">AVERAGE(B2690:B2739)</f>
        <v>1938.1814</v>
      </c>
      <c r="D2739" s="7" t="n">
        <f aca="false">AVERAGE(B2540:B2739)</f>
        <v>1667.85825</v>
      </c>
      <c r="E2739" s="7" t="n">
        <f aca="false">B2739/MAX(B2488:B2739)-1</f>
        <v>0</v>
      </c>
      <c r="F2739" s="7" t="str">
        <f aca="false">IFERROR(INDEX(02_轉折點45個!B:B,MATCH(A2739,02_轉折點45個!A:A,0)),"")</f>
        <v/>
      </c>
      <c r="G2739" s="7" t="s">
        <v>1994</v>
      </c>
    </row>
    <row r="2740" customFormat="false" ht="15" hidden="false" customHeight="false" outlineLevel="0" collapsed="false">
      <c r="A2740" s="7" t="s">
        <v>4232</v>
      </c>
      <c r="B2740" s="7" t="n">
        <v>2003.59</v>
      </c>
      <c r="C2740" s="7" t="n">
        <f aca="false">AVERAGE(B2691:B2740)</f>
        <v>1940.6068</v>
      </c>
      <c r="D2740" s="7" t="n">
        <f aca="false">AVERAGE(B2541:B2740)</f>
        <v>1670.95565</v>
      </c>
      <c r="E2740" s="7" t="n">
        <f aca="false">B2740/MAX(B2489:B2740)-1</f>
        <v>-0.00482787052167821</v>
      </c>
      <c r="F2740" s="7" t="str">
        <f aca="false">IFERROR(INDEX(02_轉折點45個!B:B,MATCH(A2740,02_轉折點45個!A:A,0)),"")</f>
        <v/>
      </c>
      <c r="G2740" s="7" t="s">
        <v>1994</v>
      </c>
    </row>
    <row r="2741" customFormat="false" ht="15" hidden="false" customHeight="false" outlineLevel="0" collapsed="false">
      <c r="A2741" s="7" t="s">
        <v>4233</v>
      </c>
      <c r="B2741" s="7" t="n">
        <v>1970.41</v>
      </c>
      <c r="C2741" s="7" t="n">
        <f aca="false">AVERAGE(B2692:B2741)</f>
        <v>1941.937</v>
      </c>
      <c r="D2741" s="7" t="n">
        <f aca="false">AVERAGE(B2542:B2741)</f>
        <v>1673.7447</v>
      </c>
      <c r="E2741" s="7" t="n">
        <f aca="false">B2741/MAX(B2490:B2741)-1</f>
        <v>-0.0213081939691353</v>
      </c>
      <c r="F2741" s="7" t="str">
        <f aca="false">IFERROR(INDEX(02_轉折點45個!B:B,MATCH(A2741,02_轉折點45個!A:A,0)),"")</f>
        <v/>
      </c>
      <c r="G2741" s="7" t="s">
        <v>1994</v>
      </c>
    </row>
    <row r="2742" customFormat="false" ht="15" hidden="false" customHeight="false" outlineLevel="0" collapsed="false">
      <c r="A2742" s="7" t="s">
        <v>4234</v>
      </c>
      <c r="B2742" s="7" t="n">
        <v>1960.56</v>
      </c>
      <c r="C2742" s="7" t="n">
        <f aca="false">AVERAGE(B2693:B2742)</f>
        <v>1943.1272</v>
      </c>
      <c r="D2742" s="7" t="n">
        <f aca="false">AVERAGE(B2543:B2742)</f>
        <v>1676.2768</v>
      </c>
      <c r="E2742" s="7" t="n">
        <f aca="false">B2742/MAX(B2491:B2742)-1</f>
        <v>-0.0262006347755686</v>
      </c>
      <c r="F2742" s="7" t="str">
        <f aca="false">IFERROR(INDEX(02_轉折點45個!B:B,MATCH(A2742,02_轉折點45個!A:A,0)),"")</f>
        <v/>
      </c>
      <c r="G2742" s="7" t="s">
        <v>1994</v>
      </c>
    </row>
    <row r="2743" customFormat="false" ht="15" hidden="false" customHeight="false" outlineLevel="0" collapsed="false">
      <c r="A2743" s="7" t="s">
        <v>4235</v>
      </c>
      <c r="B2743" s="7" t="n">
        <v>1987.94</v>
      </c>
      <c r="C2743" s="7" t="n">
        <f aca="false">AVERAGE(B2694:B2743)</f>
        <v>1944.6662</v>
      </c>
      <c r="D2743" s="7" t="n">
        <f aca="false">AVERAGE(B2544:B2743)</f>
        <v>1678.94645</v>
      </c>
      <c r="E2743" s="7" t="n">
        <f aca="false">B2743/MAX(B2492:B2743)-1</f>
        <v>-0.0126011394171787</v>
      </c>
      <c r="F2743" s="7" t="str">
        <f aca="false">IFERROR(INDEX(02_轉折點45個!B:B,MATCH(A2743,02_轉折點45個!A:A,0)),"")</f>
        <v/>
      </c>
      <c r="G2743" s="7" t="s">
        <v>1994</v>
      </c>
    </row>
    <row r="2744" customFormat="false" ht="15" hidden="false" customHeight="false" outlineLevel="0" collapsed="false">
      <c r="A2744" s="7" t="s">
        <v>856</v>
      </c>
      <c r="B2744" s="7" t="n">
        <v>1981.7</v>
      </c>
      <c r="C2744" s="7" t="n">
        <f aca="false">AVERAGE(B2695:B2744)</f>
        <v>1945.882</v>
      </c>
      <c r="D2744" s="7" t="n">
        <f aca="false">AVERAGE(B2545:B2744)</f>
        <v>1681.8902</v>
      </c>
      <c r="E2744" s="7" t="n">
        <f aca="false">B2744/MAX(B2493:B2744)-1</f>
        <v>-0.0157005130854165</v>
      </c>
      <c r="F2744" s="7" t="str">
        <f aca="false">IFERROR(INDEX(02_轉折點45個!B:B,MATCH(A2744,02_轉折點45個!A:A,0)),"")</f>
        <v/>
      </c>
      <c r="G2744" s="7" t="s">
        <v>1994</v>
      </c>
    </row>
    <row r="2745" customFormat="false" ht="15" hidden="false" customHeight="false" outlineLevel="0" collapsed="false">
      <c r="A2745" s="7" t="s">
        <v>4236</v>
      </c>
      <c r="B2745" s="7" t="n">
        <v>1987.98</v>
      </c>
      <c r="C2745" s="7" t="n">
        <f aca="false">AVERAGE(B2696:B2745)</f>
        <v>1946.6658</v>
      </c>
      <c r="D2745" s="7" t="n">
        <f aca="false">AVERAGE(B2546:B2745)</f>
        <v>1684.839</v>
      </c>
      <c r="E2745" s="7" t="n">
        <f aca="false">B2745/MAX(B2494:B2745)-1</f>
        <v>-0.0125812716372541</v>
      </c>
      <c r="F2745" s="7" t="str">
        <f aca="false">IFERROR(INDEX(02_轉折點45個!B:B,MATCH(A2745,02_轉折點45個!A:A,0)),"")</f>
        <v/>
      </c>
      <c r="G2745" s="7" t="s">
        <v>1994</v>
      </c>
    </row>
    <row r="2746" customFormat="false" ht="15" hidden="false" customHeight="false" outlineLevel="0" collapsed="false">
      <c r="A2746" s="7" t="s">
        <v>4237</v>
      </c>
      <c r="B2746" s="7" t="n">
        <v>1953.62</v>
      </c>
      <c r="C2746" s="7" t="n">
        <f aca="false">AVERAGE(B2697:B2746)</f>
        <v>1946.8794</v>
      </c>
      <c r="D2746" s="7" t="n">
        <f aca="false">AVERAGE(B2547:B2746)</f>
        <v>1687.5648</v>
      </c>
      <c r="E2746" s="7" t="n">
        <f aca="false">B2746/MAX(B2495:B2746)-1</f>
        <v>-0.0296476945924871</v>
      </c>
      <c r="F2746" s="7" t="str">
        <f aca="false">IFERROR(INDEX(02_轉折點45個!B:B,MATCH(A2746,02_轉折點45個!A:A,0)),"")</f>
        <v/>
      </c>
      <c r="G2746" s="7" t="s">
        <v>1994</v>
      </c>
    </row>
    <row r="2747" customFormat="false" ht="15" hidden="false" customHeight="false" outlineLevel="0" collapsed="false">
      <c r="A2747" s="7" t="s">
        <v>4238</v>
      </c>
      <c r="B2747" s="7" t="n">
        <v>1959.25</v>
      </c>
      <c r="C2747" s="7" t="n">
        <f aca="false">AVERAGE(B2698:B2747)</f>
        <v>1947.094</v>
      </c>
      <c r="D2747" s="7" t="n">
        <f aca="false">AVERAGE(B2548:B2747)</f>
        <v>1690.3523</v>
      </c>
      <c r="E2747" s="7" t="n">
        <f aca="false">B2747/MAX(B2496:B2747)-1</f>
        <v>-0.0268513045680993</v>
      </c>
      <c r="F2747" s="7" t="str">
        <f aca="false">IFERROR(INDEX(02_轉折點45個!B:B,MATCH(A2747,02_轉折點45個!A:A,0)),"")</f>
        <v/>
      </c>
      <c r="G2747" s="7" t="s">
        <v>1994</v>
      </c>
    </row>
    <row r="2748" customFormat="false" ht="15" hidden="false" customHeight="false" outlineLevel="0" collapsed="false">
      <c r="A2748" s="7" t="s">
        <v>4239</v>
      </c>
      <c r="B2748" s="7" t="n">
        <v>1987.76</v>
      </c>
      <c r="C2748" s="7" t="n">
        <f aca="false">AVERAGE(B2699:B2748)</f>
        <v>1947.7842</v>
      </c>
      <c r="D2748" s="7" t="n">
        <f aca="false">AVERAGE(B2549:B2748)</f>
        <v>1693.57335</v>
      </c>
      <c r="E2748" s="7" t="n">
        <f aca="false">B2748/MAX(B2497:B2748)-1</f>
        <v>-0.0126905444268394</v>
      </c>
      <c r="F2748" s="7" t="str">
        <f aca="false">IFERROR(INDEX(02_轉折點45個!B:B,MATCH(A2748,02_轉折點45個!A:A,0)),"")</f>
        <v/>
      </c>
      <c r="G2748" s="7" t="s">
        <v>1994</v>
      </c>
    </row>
    <row r="2749" customFormat="false" ht="15" hidden="false" customHeight="false" outlineLevel="0" collapsed="false">
      <c r="A2749" s="7" t="s">
        <v>4240</v>
      </c>
      <c r="B2749" s="7" t="n">
        <v>1996.18</v>
      </c>
      <c r="C2749" s="7" t="n">
        <f aca="false">AVERAGE(B2700:B2749)</f>
        <v>1948.4918</v>
      </c>
      <c r="D2749" s="7" t="n">
        <f aca="false">AVERAGE(B2550:B2749)</f>
        <v>1696.84875</v>
      </c>
      <c r="E2749" s="7" t="n">
        <f aca="false">B2749/MAX(B2498:B2749)-1</f>
        <v>-0.00850837675271066</v>
      </c>
      <c r="F2749" s="7" t="str">
        <f aca="false">IFERROR(INDEX(02_轉折點45個!B:B,MATCH(A2749,02_轉折點45個!A:A,0)),"")</f>
        <v/>
      </c>
      <c r="G2749" s="7" t="s">
        <v>1994</v>
      </c>
    </row>
    <row r="2750" customFormat="false" ht="15" hidden="false" customHeight="false" outlineLevel="0" collapsed="false">
      <c r="A2750" s="7" t="s">
        <v>4241</v>
      </c>
      <c r="B2750" s="7" t="n">
        <v>1985.32</v>
      </c>
      <c r="C2750" s="7" t="n">
        <f aca="false">AVERAGE(B2701:B2750)</f>
        <v>1949.254</v>
      </c>
      <c r="D2750" s="7" t="n">
        <f aca="false">AVERAGE(B2551:B2750)</f>
        <v>1700.18475</v>
      </c>
      <c r="E2750" s="7" t="n">
        <f aca="false">B2750/MAX(B2499:B2750)-1</f>
        <v>-0.0139024790022401</v>
      </c>
      <c r="F2750" s="7" t="str">
        <f aca="false">IFERROR(INDEX(02_轉折點45個!B:B,MATCH(A2750,02_轉折點45個!A:A,0)),"")</f>
        <v/>
      </c>
      <c r="G2750" s="7" t="s">
        <v>1994</v>
      </c>
    </row>
    <row r="2751" customFormat="false" ht="15" hidden="false" customHeight="false" outlineLevel="0" collapsed="false">
      <c r="A2751" s="7" t="s">
        <v>4242</v>
      </c>
      <c r="B2751" s="7" t="n">
        <v>2004.7</v>
      </c>
      <c r="C2751" s="7" t="n">
        <f aca="false">AVERAGE(B2702:B2751)</f>
        <v>1950.839</v>
      </c>
      <c r="D2751" s="7" t="n">
        <f aca="false">AVERAGE(B2552:B2751)</f>
        <v>1703.6249</v>
      </c>
      <c r="E2751" s="7" t="n">
        <f aca="false">B2751/MAX(B2500:B2751)-1</f>
        <v>-0.0042765396287705</v>
      </c>
      <c r="F2751" s="7" t="str">
        <f aca="false">IFERROR(INDEX(02_轉折點45個!B:B,MATCH(A2751,02_轉折點45個!A:A,0)),"")</f>
        <v/>
      </c>
      <c r="G2751" s="7" t="s">
        <v>1994</v>
      </c>
    </row>
    <row r="2752" customFormat="false" ht="15" hidden="false" customHeight="false" outlineLevel="0" collapsed="false">
      <c r="A2752" s="7" t="s">
        <v>4243</v>
      </c>
      <c r="B2752" s="7" t="n">
        <v>2000.37</v>
      </c>
      <c r="C2752" s="7" t="n">
        <f aca="false">AVERAGE(B2703:B2752)</f>
        <v>1952.6422</v>
      </c>
      <c r="D2752" s="7" t="n">
        <f aca="false">AVERAGE(B2553:B2752)</f>
        <v>1707.28785</v>
      </c>
      <c r="E2752" s="7" t="n">
        <f aca="false">B2752/MAX(B2501:B2752)-1</f>
        <v>-0.0064272268056087</v>
      </c>
      <c r="F2752" s="7" t="str">
        <f aca="false">IFERROR(INDEX(02_轉折點45個!B:B,MATCH(A2752,02_轉折點45個!A:A,0)),"")</f>
        <v/>
      </c>
      <c r="G2752" s="7" t="s">
        <v>1994</v>
      </c>
    </row>
    <row r="2753" customFormat="false" ht="15" hidden="false" customHeight="false" outlineLevel="0" collapsed="false">
      <c r="A2753" s="7" t="s">
        <v>4244</v>
      </c>
      <c r="B2753" s="7" t="n">
        <v>1985.18</v>
      </c>
      <c r="C2753" s="7" t="n">
        <f aca="false">AVERAGE(B2704:B2753)</f>
        <v>1953.414</v>
      </c>
      <c r="D2753" s="7" t="n">
        <f aca="false">AVERAGE(B2554:B2753)</f>
        <v>1710.62765</v>
      </c>
      <c r="E2753" s="7" t="n">
        <f aca="false">B2753/MAX(B2502:B2753)-1</f>
        <v>-0.0139720162319762</v>
      </c>
      <c r="F2753" s="7" t="str">
        <f aca="false">IFERROR(INDEX(02_轉折點45個!B:B,MATCH(A2753,02_轉折點45個!A:A,0)),"")</f>
        <v/>
      </c>
      <c r="G2753" s="7" t="s">
        <v>1994</v>
      </c>
    </row>
    <row r="2754" customFormat="false" ht="15" hidden="false" customHeight="false" outlineLevel="0" collapsed="false">
      <c r="A2754" s="7" t="s">
        <v>4245</v>
      </c>
      <c r="B2754" s="7" t="n">
        <v>1995</v>
      </c>
      <c r="C2754" s="7" t="n">
        <f aca="false">AVERAGE(B2705:B2754)</f>
        <v>1954.5048</v>
      </c>
      <c r="D2754" s="7" t="n">
        <f aca="false">AVERAGE(B2555:B2754)</f>
        <v>1714.0915</v>
      </c>
      <c r="E2754" s="7" t="n">
        <f aca="false">B2754/MAX(B2503:B2754)-1</f>
        <v>-0.00909447626048643</v>
      </c>
      <c r="F2754" s="7" t="str">
        <f aca="false">IFERROR(INDEX(02_轉折點45個!B:B,MATCH(A2754,02_轉折點45個!A:A,0)),"")</f>
        <v/>
      </c>
      <c r="G2754" s="7" t="s">
        <v>1994</v>
      </c>
    </row>
    <row r="2755" customFormat="false" ht="15" hidden="false" customHeight="false" outlineLevel="0" collapsed="false">
      <c r="A2755" s="7" t="s">
        <v>4246</v>
      </c>
      <c r="B2755" s="7" t="n">
        <v>2001.51</v>
      </c>
      <c r="C2755" s="7" t="n">
        <f aca="false">AVERAGE(B2706:B2755)</f>
        <v>1955.7554</v>
      </c>
      <c r="D2755" s="7" t="n">
        <f aca="false">AVERAGE(B2556:B2755)</f>
        <v>1717.743</v>
      </c>
      <c r="E2755" s="7" t="n">
        <f aca="false">B2755/MAX(B2504:B2755)-1</f>
        <v>-0.0058609950777575</v>
      </c>
      <c r="F2755" s="7" t="str">
        <f aca="false">IFERROR(INDEX(02_轉折點45個!B:B,MATCH(A2755,02_轉折點45個!A:A,0)),"")</f>
        <v/>
      </c>
      <c r="G2755" s="7" t="s">
        <v>1994</v>
      </c>
    </row>
    <row r="2756" customFormat="false" ht="15" hidden="false" customHeight="false" outlineLevel="0" collapsed="false">
      <c r="A2756" s="7" t="s">
        <v>4247</v>
      </c>
      <c r="B2756" s="7" t="n">
        <v>2001.01</v>
      </c>
      <c r="C2756" s="7" t="n">
        <f aca="false">AVERAGE(B2707:B2756)</f>
        <v>1958.1824</v>
      </c>
      <c r="D2756" s="7" t="n">
        <f aca="false">AVERAGE(B2557:B2756)</f>
        <v>1721.45425</v>
      </c>
      <c r="E2756" s="7" t="n">
        <f aca="false">B2756/MAX(B2505:B2756)-1</f>
        <v>-0.00610934232681504</v>
      </c>
      <c r="F2756" s="7" t="str">
        <f aca="false">IFERROR(INDEX(02_轉折點45個!B:B,MATCH(A2756,02_轉折點45個!A:A,0)),"")</f>
        <v/>
      </c>
      <c r="G2756" s="7" t="s">
        <v>1994</v>
      </c>
    </row>
    <row r="2757" customFormat="false" ht="15" hidden="false" customHeight="false" outlineLevel="0" collapsed="false">
      <c r="A2757" s="7" t="s">
        <v>857</v>
      </c>
      <c r="B2757" s="7" t="n">
        <v>2020.91</v>
      </c>
      <c r="C2757" s="7" t="n">
        <f aca="false">AVERAGE(B2708:B2757)</f>
        <v>1961.1786</v>
      </c>
      <c r="D2757" s="7" t="n">
        <f aca="false">AVERAGE(B2558:B2757)</f>
        <v>1725.5162</v>
      </c>
      <c r="E2757" s="7" t="n">
        <f aca="false">B2757/MAX(B2506:B2757)-1</f>
        <v>0</v>
      </c>
      <c r="F2757" s="7" t="str">
        <f aca="false">IFERROR(INDEX(02_轉折點45個!B:B,MATCH(A2757,02_轉折點45個!A:A,0)),"")</f>
        <v/>
      </c>
      <c r="G2757" s="7" t="s">
        <v>1994</v>
      </c>
    </row>
    <row r="2758" customFormat="false" ht="15" hidden="false" customHeight="false" outlineLevel="0" collapsed="false">
      <c r="A2758" s="7" t="s">
        <v>858</v>
      </c>
      <c r="B2758" s="7" t="n">
        <v>2010.82</v>
      </c>
      <c r="C2758" s="7" t="n">
        <f aca="false">AVERAGE(B2709:B2758)</f>
        <v>1963.6068</v>
      </c>
      <c r="D2758" s="7" t="n">
        <f aca="false">AVERAGE(B2559:B2758)</f>
        <v>1729.5361</v>
      </c>
      <c r="E2758" s="7" t="n">
        <f aca="false">B2758/MAX(B2507:B2758)-1</f>
        <v>-0.0049928002731443</v>
      </c>
      <c r="F2758" s="7" t="str">
        <f aca="false">IFERROR(INDEX(02_轉折點45個!B:B,MATCH(A2758,02_轉折點45個!A:A,0)),"")</f>
        <v/>
      </c>
      <c r="G2758" s="7" t="s">
        <v>1994</v>
      </c>
    </row>
    <row r="2759" customFormat="false" ht="15" hidden="false" customHeight="false" outlineLevel="0" collapsed="false">
      <c r="A2759" s="7" t="s">
        <v>4248</v>
      </c>
      <c r="B2759" s="7" t="n">
        <v>2016.17</v>
      </c>
      <c r="C2759" s="7" t="n">
        <f aca="false">AVERAGE(B2710:B2759)</f>
        <v>1965.495</v>
      </c>
      <c r="D2759" s="7" t="n">
        <f aca="false">AVERAGE(B2560:B2759)</f>
        <v>1733.43325</v>
      </c>
      <c r="E2759" s="7" t="n">
        <f aca="false">B2759/MAX(B2508:B2759)-1</f>
        <v>-0.0023454780272254</v>
      </c>
      <c r="F2759" s="7" t="str">
        <f aca="false">IFERROR(INDEX(02_轉折點45個!B:B,MATCH(A2759,02_轉折點45個!A:A,0)),"")</f>
        <v/>
      </c>
      <c r="G2759" s="7" t="s">
        <v>1994</v>
      </c>
    </row>
    <row r="2760" customFormat="false" ht="15" hidden="false" customHeight="false" outlineLevel="0" collapsed="false">
      <c r="A2760" s="7" t="s">
        <v>4249</v>
      </c>
      <c r="B2760" s="7" t="n">
        <v>1991.63</v>
      </c>
      <c r="C2760" s="7" t="n">
        <f aca="false">AVERAGE(B2711:B2760)</f>
        <v>1966.7688</v>
      </c>
      <c r="D2760" s="7" t="n">
        <f aca="false">AVERAGE(B2561:B2760)</f>
        <v>1737.45505</v>
      </c>
      <c r="E2760" s="7" t="n">
        <f aca="false">B2760/MAX(B2509:B2760)-1</f>
        <v>-0.0144885224972908</v>
      </c>
      <c r="F2760" s="7" t="str">
        <f aca="false">IFERROR(INDEX(02_轉折點45個!B:B,MATCH(A2760,02_轉折點45個!A:A,0)),"")</f>
        <v/>
      </c>
      <c r="G2760" s="7" t="s">
        <v>1994</v>
      </c>
    </row>
    <row r="2761" customFormat="false" ht="15" hidden="false" customHeight="false" outlineLevel="0" collapsed="false">
      <c r="A2761" s="7" t="s">
        <v>4250</v>
      </c>
      <c r="B2761" s="7" t="n">
        <v>2020.54</v>
      </c>
      <c r="C2761" s="7" t="n">
        <f aca="false">AVERAGE(B2712:B2761)</f>
        <v>1968.3724</v>
      </c>
      <c r="D2761" s="7" t="n">
        <f aca="false">AVERAGE(B2562:B2761)</f>
        <v>1741.6476</v>
      </c>
      <c r="E2761" s="7" t="n">
        <f aca="false">B2761/MAX(B2510:B2761)-1</f>
        <v>-0.00018308583756832</v>
      </c>
      <c r="F2761" s="7" t="str">
        <f aca="false">IFERROR(INDEX(02_轉折點45個!B:B,MATCH(A2761,02_轉折點45個!A:A,0)),"")</f>
        <v/>
      </c>
      <c r="G2761" s="7" t="s">
        <v>1994</v>
      </c>
    </row>
    <row r="2762" customFormat="false" ht="15" hidden="false" customHeight="false" outlineLevel="0" collapsed="false">
      <c r="A2762" s="7" t="s">
        <v>4251</v>
      </c>
      <c r="B2762" s="7" t="n">
        <v>2044.26</v>
      </c>
      <c r="C2762" s="7" t="n">
        <f aca="false">AVERAGE(B2713:B2762)</f>
        <v>1970.1698</v>
      </c>
      <c r="D2762" s="7" t="n">
        <f aca="false">AVERAGE(B2563:B2762)</f>
        <v>1746.07395</v>
      </c>
      <c r="E2762" s="7" t="n">
        <f aca="false">B2762/MAX(B2511:B2762)-1</f>
        <v>0</v>
      </c>
      <c r="F2762" s="7" t="str">
        <f aca="false">IFERROR(INDEX(02_轉折點45個!B:B,MATCH(A2762,02_轉折點45個!A:A,0)),"")</f>
        <v/>
      </c>
      <c r="G2762" s="7" t="s">
        <v>1994</v>
      </c>
    </row>
    <row r="2763" customFormat="false" ht="15" hidden="false" customHeight="false" outlineLevel="0" collapsed="false">
      <c r="A2763" s="7" t="s">
        <v>859</v>
      </c>
      <c r="B2763" s="7" t="n">
        <v>2057.98</v>
      </c>
      <c r="C2763" s="7" t="n">
        <f aca="false">AVERAGE(B2714:B2763)</f>
        <v>1972.2442</v>
      </c>
      <c r="D2763" s="7" t="n">
        <f aca="false">AVERAGE(B2564:B2763)</f>
        <v>1750.1594</v>
      </c>
      <c r="E2763" s="7" t="n">
        <f aca="false">B2763/MAX(B2512:B2763)-1</f>
        <v>0</v>
      </c>
      <c r="F2763" s="7" t="str">
        <f aca="false">IFERROR(INDEX(02_轉折點45個!B:B,MATCH(A2763,02_轉折點45個!A:A,0)),"")</f>
        <v/>
      </c>
      <c r="G2763" s="7" t="s">
        <v>1994</v>
      </c>
    </row>
    <row r="2764" customFormat="false" ht="15" hidden="false" customHeight="false" outlineLevel="0" collapsed="false">
      <c r="A2764" s="7" t="s">
        <v>4252</v>
      </c>
      <c r="B2764" s="7" t="n">
        <v>2073.48</v>
      </c>
      <c r="C2764" s="7" t="n">
        <f aca="false">AVERAGE(B2715:B2764)</f>
        <v>1974.615</v>
      </c>
      <c r="D2764" s="7" t="n">
        <f aca="false">AVERAGE(B2565:B2764)</f>
        <v>1754.26135</v>
      </c>
      <c r="E2764" s="7" t="n">
        <f aca="false">B2764/MAX(B2513:B2764)-1</f>
        <v>0</v>
      </c>
      <c r="F2764" s="7" t="str">
        <f aca="false">IFERROR(INDEX(02_轉折點45個!B:B,MATCH(A2764,02_轉折點45個!A:A,0)),"")</f>
        <v/>
      </c>
      <c r="G2764" s="7" t="s">
        <v>1994</v>
      </c>
    </row>
    <row r="2765" customFormat="false" ht="15" hidden="false" customHeight="false" outlineLevel="0" collapsed="false">
      <c r="A2765" s="7" t="s">
        <v>4253</v>
      </c>
      <c r="B2765" s="7" t="n">
        <v>2088.14</v>
      </c>
      <c r="C2765" s="7" t="n">
        <f aca="false">AVERAGE(B2716:B2765)</f>
        <v>1976.688</v>
      </c>
      <c r="D2765" s="7" t="n">
        <f aca="false">AVERAGE(B2566:B2765)</f>
        <v>1758.1878</v>
      </c>
      <c r="E2765" s="7" t="n">
        <f aca="false">B2765/MAX(B2514:B2765)-1</f>
        <v>0</v>
      </c>
      <c r="F2765" s="7" t="str">
        <f aca="false">IFERROR(INDEX(02_轉折點45個!B:B,MATCH(A2765,02_轉折點45個!A:A,0)),"")</f>
        <v/>
      </c>
      <c r="G2765" s="7" t="s">
        <v>1994</v>
      </c>
    </row>
    <row r="2766" customFormat="false" ht="15" hidden="false" customHeight="false" outlineLevel="0" collapsed="false">
      <c r="A2766" s="7" t="s">
        <v>4254</v>
      </c>
      <c r="B2766" s="7" t="n">
        <v>2093.07</v>
      </c>
      <c r="C2766" s="7" t="n">
        <f aca="false">AVERAGE(B2717:B2766)</f>
        <v>1978.8402</v>
      </c>
      <c r="D2766" s="7" t="n">
        <f aca="false">AVERAGE(B2567:B2766)</f>
        <v>1762.11425</v>
      </c>
      <c r="E2766" s="7" t="n">
        <f aca="false">B2766/MAX(B2515:B2766)-1</f>
        <v>0</v>
      </c>
      <c r="F2766" s="7" t="str">
        <f aca="false">IFERROR(INDEX(02_轉折點45個!B:B,MATCH(A2766,02_轉折點45個!A:A,0)),"")</f>
        <v/>
      </c>
      <c r="G2766" s="7" t="s">
        <v>1994</v>
      </c>
    </row>
    <row r="2767" customFormat="false" ht="15" hidden="false" customHeight="false" outlineLevel="0" collapsed="false">
      <c r="A2767" s="7" t="s">
        <v>4255</v>
      </c>
      <c r="B2767" s="7" t="n">
        <v>2090.62</v>
      </c>
      <c r="C2767" s="7" t="n">
        <f aca="false">AVERAGE(B2718:B2767)</f>
        <v>1981.2448</v>
      </c>
      <c r="D2767" s="7" t="n">
        <f aca="false">AVERAGE(B2568:B2767)</f>
        <v>1766.154</v>
      </c>
      <c r="E2767" s="7" t="n">
        <f aca="false">B2767/MAX(B2516:B2767)-1</f>
        <v>-0.00117052941373208</v>
      </c>
      <c r="F2767" s="7" t="str">
        <f aca="false">IFERROR(INDEX(02_轉折點45個!B:B,MATCH(A2767,02_轉折點45個!A:A,0)),"")</f>
        <v/>
      </c>
      <c r="G2767" s="7" t="s">
        <v>1994</v>
      </c>
    </row>
    <row r="2768" customFormat="false" ht="15" hidden="false" customHeight="false" outlineLevel="0" collapsed="false">
      <c r="A2768" s="7" t="s">
        <v>4256</v>
      </c>
      <c r="B2768" s="7" t="n">
        <v>2093.25</v>
      </c>
      <c r="C2768" s="7" t="n">
        <f aca="false">AVERAGE(B2719:B2768)</f>
        <v>1983.3452</v>
      </c>
      <c r="D2768" s="7" t="n">
        <f aca="false">AVERAGE(B2569:B2768)</f>
        <v>1769.94155</v>
      </c>
      <c r="E2768" s="7" t="n">
        <f aca="false">B2768/MAX(B2517:B2768)-1</f>
        <v>0</v>
      </c>
      <c r="F2768" s="7" t="str">
        <f aca="false">IFERROR(INDEX(02_轉折點45個!B:B,MATCH(A2768,02_轉折點45個!A:A,0)),"")</f>
        <v/>
      </c>
      <c r="G2768" s="7" t="s">
        <v>1994</v>
      </c>
    </row>
    <row r="2769" customFormat="false" ht="15" hidden="false" customHeight="false" outlineLevel="0" collapsed="false">
      <c r="A2769" s="7" t="s">
        <v>4257</v>
      </c>
      <c r="B2769" s="7" t="n">
        <v>2073.03</v>
      </c>
      <c r="C2769" s="7" t="n">
        <f aca="false">AVERAGE(B2720:B2769)</f>
        <v>1985.276</v>
      </c>
      <c r="D2769" s="7" t="n">
        <f aca="false">AVERAGE(B2570:B2769)</f>
        <v>1773.495</v>
      </c>
      <c r="E2769" s="7" t="n">
        <f aca="false">B2769/MAX(B2518:B2769)-1</f>
        <v>-0.00965962020781075</v>
      </c>
      <c r="F2769" s="7" t="str">
        <f aca="false">IFERROR(INDEX(02_轉折點45個!B:B,MATCH(A2769,02_轉折點45個!A:A,0)),"")</f>
        <v/>
      </c>
      <c r="G2769" s="7" t="s">
        <v>1994</v>
      </c>
    </row>
    <row r="2770" customFormat="false" ht="15" hidden="false" customHeight="false" outlineLevel="0" collapsed="false">
      <c r="A2770" s="7" t="s">
        <v>4258</v>
      </c>
      <c r="B2770" s="7" t="n">
        <v>2108.91</v>
      </c>
      <c r="C2770" s="7" t="n">
        <f aca="false">AVERAGE(B2721:B2770)</f>
        <v>1988.1572</v>
      </c>
      <c r="D2770" s="7" t="n">
        <f aca="false">AVERAGE(B2571:B2770)</f>
        <v>1777.2632</v>
      </c>
      <c r="E2770" s="7" t="n">
        <f aca="false">B2770/MAX(B2519:B2770)-1</f>
        <v>0</v>
      </c>
      <c r="F2770" s="7" t="str">
        <f aca="false">IFERROR(INDEX(02_轉折點45個!B:B,MATCH(A2770,02_轉折點45個!A:A,0)),"")</f>
        <v/>
      </c>
      <c r="G2770" s="7" t="s">
        <v>1994</v>
      </c>
    </row>
    <row r="2771" customFormat="false" ht="15" hidden="false" customHeight="false" outlineLevel="0" collapsed="false">
      <c r="A2771" s="7" t="s">
        <v>4259</v>
      </c>
      <c r="B2771" s="7" t="n">
        <v>2109.17</v>
      </c>
      <c r="C2771" s="7" t="n">
        <f aca="false">AVERAGE(B2722:B2771)</f>
        <v>1990.7776</v>
      </c>
      <c r="D2771" s="7" t="n">
        <f aca="false">AVERAGE(B2572:B2771)</f>
        <v>1781.15245</v>
      </c>
      <c r="E2771" s="7" t="n">
        <f aca="false">B2771/MAX(B2520:B2771)-1</f>
        <v>0</v>
      </c>
      <c r="F2771" s="7" t="str">
        <f aca="false">IFERROR(INDEX(02_轉折點45個!B:B,MATCH(A2771,02_轉折點45個!A:A,0)),"")</f>
        <v/>
      </c>
      <c r="G2771" s="7" t="s">
        <v>1994</v>
      </c>
    </row>
    <row r="2772" customFormat="false" ht="15" hidden="false" customHeight="false" outlineLevel="0" collapsed="false">
      <c r="A2772" s="7" t="s">
        <v>4260</v>
      </c>
      <c r="B2772" s="7" t="n">
        <v>2102.21</v>
      </c>
      <c r="C2772" s="7" t="n">
        <f aca="false">AVERAGE(B2723:B2772)</f>
        <v>1993.4566</v>
      </c>
      <c r="D2772" s="7" t="n">
        <f aca="false">AVERAGE(B2573:B2772)</f>
        <v>1784.55695</v>
      </c>
      <c r="E2772" s="7" t="n">
        <f aca="false">B2772/MAX(B2521:B2772)-1</f>
        <v>-0.00329987625464045</v>
      </c>
      <c r="F2772" s="7" t="str">
        <f aca="false">IFERROR(INDEX(02_轉折點45個!B:B,MATCH(A2772,02_轉折點45個!A:A,0)),"")</f>
        <v/>
      </c>
      <c r="G2772" s="7" t="s">
        <v>1994</v>
      </c>
    </row>
    <row r="2773" customFormat="false" ht="15" hidden="false" customHeight="false" outlineLevel="0" collapsed="false">
      <c r="A2773" s="7" t="s">
        <v>4261</v>
      </c>
      <c r="B2773" s="7" t="n">
        <v>2101.26</v>
      </c>
      <c r="C2773" s="7" t="n">
        <f aca="false">AVERAGE(B2724:B2773)</f>
        <v>1996.347</v>
      </c>
      <c r="D2773" s="7" t="n">
        <f aca="false">AVERAGE(B2574:B2773)</f>
        <v>1788.136</v>
      </c>
      <c r="E2773" s="7" t="n">
        <f aca="false">B2773/MAX(B2522:B2773)-1</f>
        <v>-0.00375029039859276</v>
      </c>
      <c r="F2773" s="7" t="str">
        <f aca="false">IFERROR(INDEX(02_轉折點45個!B:B,MATCH(A2773,02_轉折點45個!A:A,0)),"")</f>
        <v/>
      </c>
      <c r="G2773" s="7" t="s">
        <v>1994</v>
      </c>
    </row>
    <row r="2774" customFormat="false" ht="15" hidden="false" customHeight="false" outlineLevel="0" collapsed="false">
      <c r="A2774" s="7" t="s">
        <v>4262</v>
      </c>
      <c r="B2774" s="7" t="n">
        <v>2116.9</v>
      </c>
      <c r="C2774" s="7" t="n">
        <f aca="false">AVERAGE(B2725:B2774)</f>
        <v>2000.021</v>
      </c>
      <c r="D2774" s="7" t="n">
        <f aca="false">AVERAGE(B2575:B2774)</f>
        <v>1791.73645</v>
      </c>
      <c r="E2774" s="7" t="n">
        <f aca="false">B2774/MAX(B2523:B2774)-1</f>
        <v>0</v>
      </c>
      <c r="F2774" s="7" t="str">
        <f aca="false">IFERROR(INDEX(02_轉折點45個!B:B,MATCH(A2774,02_轉折點45個!A:A,0)),"")</f>
        <v/>
      </c>
      <c r="G2774" s="7" t="s">
        <v>1994</v>
      </c>
    </row>
    <row r="2775" customFormat="false" ht="15" hidden="false" customHeight="false" outlineLevel="0" collapsed="false">
      <c r="A2775" s="7" t="s">
        <v>4263</v>
      </c>
      <c r="B2775" s="7" t="n">
        <v>2112.55</v>
      </c>
      <c r="C2775" s="7" t="n">
        <f aca="false">AVERAGE(B2726:B2775)</f>
        <v>2004.64</v>
      </c>
      <c r="D2775" s="7" t="n">
        <f aca="false">AVERAGE(B2576:B2775)</f>
        <v>1795.05</v>
      </c>
      <c r="E2775" s="7" t="n">
        <f aca="false">B2775/MAX(B2524:B2775)-1</f>
        <v>-0.0020548915867542</v>
      </c>
      <c r="F2775" s="7" t="str">
        <f aca="false">IFERROR(INDEX(02_轉折點45個!B:B,MATCH(A2775,02_轉折點45個!A:A,0)),"")</f>
        <v/>
      </c>
      <c r="G2775" s="7" t="s">
        <v>1994</v>
      </c>
    </row>
    <row r="2776" customFormat="false" ht="15" hidden="false" customHeight="false" outlineLevel="0" collapsed="false">
      <c r="A2776" s="7" t="s">
        <v>4264</v>
      </c>
      <c r="B2776" s="7" t="n">
        <v>2085.06</v>
      </c>
      <c r="C2776" s="7" t="n">
        <f aca="false">AVERAGE(B2727:B2776)</f>
        <v>2008.016</v>
      </c>
      <c r="D2776" s="7" t="n">
        <f aca="false">AVERAGE(B2577:B2776)</f>
        <v>1798.41705</v>
      </c>
      <c r="E2776" s="7" t="n">
        <f aca="false">B2776/MAX(B2525:B2776)-1</f>
        <v>-0.0150408616372999</v>
      </c>
      <c r="F2776" s="7" t="str">
        <f aca="false">IFERROR(INDEX(02_轉折點45個!B:B,MATCH(A2776,02_轉折點45個!A:A,0)),"")</f>
        <v/>
      </c>
      <c r="G2776" s="7" t="s">
        <v>1994</v>
      </c>
    </row>
    <row r="2777" customFormat="false" ht="15" hidden="false" customHeight="false" outlineLevel="0" collapsed="false">
      <c r="A2777" s="7" t="s">
        <v>4265</v>
      </c>
      <c r="B2777" s="7" t="n">
        <v>2108.43</v>
      </c>
      <c r="C2777" s="7" t="n">
        <f aca="false">AVERAGE(B2728:B2777)</f>
        <v>2012.8174</v>
      </c>
      <c r="D2777" s="7" t="n">
        <f aca="false">AVERAGE(B2578:B2777)</f>
        <v>1802.0992</v>
      </c>
      <c r="E2777" s="7" t="n">
        <f aca="false">B2777/MAX(B2526:B2777)-1</f>
        <v>-0.00400113373328936</v>
      </c>
      <c r="F2777" s="7" t="str">
        <f aca="false">IFERROR(INDEX(02_轉折點45個!B:B,MATCH(A2777,02_轉折點45個!A:A,0)),"")</f>
        <v/>
      </c>
      <c r="G2777" s="7" t="s">
        <v>1994</v>
      </c>
    </row>
    <row r="2778" customFormat="false" ht="15" hidden="false" customHeight="false" outlineLevel="0" collapsed="false">
      <c r="A2778" s="7" t="s">
        <v>4266</v>
      </c>
      <c r="B2778" s="7" t="n">
        <v>2116.51</v>
      </c>
      <c r="C2778" s="7" t="n">
        <f aca="false">AVERAGE(B2729:B2778)</f>
        <v>2017.7058</v>
      </c>
      <c r="D2778" s="7" t="n">
        <f aca="false">AVERAGE(B2579:B2778)</f>
        <v>1805.69935</v>
      </c>
      <c r="E2778" s="7" t="n">
        <f aca="false">B2778/MAX(B2527:B2778)-1</f>
        <v>-0.000184231659501988</v>
      </c>
      <c r="F2778" s="7" t="str">
        <f aca="false">IFERROR(INDEX(02_轉折點45個!B:B,MATCH(A2778,02_轉折點45個!A:A,0)),"")</f>
        <v/>
      </c>
      <c r="G2778" s="7" t="s">
        <v>1994</v>
      </c>
    </row>
    <row r="2779" customFormat="false" ht="15" hidden="false" customHeight="false" outlineLevel="0" collapsed="false">
      <c r="A2779" s="7" t="s">
        <v>860</v>
      </c>
      <c r="B2779" s="7" t="n">
        <v>2090.25</v>
      </c>
      <c r="C2779" s="7" t="n">
        <f aca="false">AVERAGE(B2730:B2779)</f>
        <v>2021.9206</v>
      </c>
      <c r="D2779" s="7" t="n">
        <f aca="false">AVERAGE(B2580:B2779)</f>
        <v>1809.0631</v>
      </c>
      <c r="E2779" s="7" t="n">
        <f aca="false">B2779/MAX(B2528:B2779)-1</f>
        <v>-0.0125891633993104</v>
      </c>
      <c r="F2779" s="7" t="str">
        <f aca="false">IFERROR(INDEX(02_轉折點45個!B:B,MATCH(A2779,02_轉折點45個!A:A,0)),"")</f>
        <v/>
      </c>
      <c r="G2779" s="7" t="s">
        <v>1994</v>
      </c>
    </row>
    <row r="2780" customFormat="false" ht="15" hidden="false" customHeight="false" outlineLevel="0" collapsed="false">
      <c r="A2780" s="7" t="s">
        <v>861</v>
      </c>
      <c r="B2780" s="7" t="n">
        <v>2119.85</v>
      </c>
      <c r="C2780" s="7" t="n">
        <f aca="false">AVERAGE(B2731:B2780)</f>
        <v>2026.7602</v>
      </c>
      <c r="D2780" s="7" t="n">
        <f aca="false">AVERAGE(B2581:B2780)</f>
        <v>1812.34175</v>
      </c>
      <c r="E2780" s="7" t="n">
        <f aca="false">B2780/MAX(B2529:B2780)-1</f>
        <v>0</v>
      </c>
      <c r="F2780" s="7" t="str">
        <f aca="false">IFERROR(INDEX(02_轉折點45個!B:B,MATCH(A2780,02_轉折點45個!A:A,0)),"")</f>
        <v/>
      </c>
      <c r="G2780" s="7" t="s">
        <v>1994</v>
      </c>
    </row>
    <row r="2781" customFormat="false" ht="15" hidden="false" customHeight="false" outlineLevel="0" collapsed="false">
      <c r="A2781" s="7" t="s">
        <v>4267</v>
      </c>
      <c r="B2781" s="7" t="n">
        <v>2093.22</v>
      </c>
      <c r="C2781" s="7" t="n">
        <f aca="false">AVERAGE(B2732:B2781)</f>
        <v>2030.1574</v>
      </c>
      <c r="D2781" s="7" t="n">
        <f aca="false">AVERAGE(B2582:B2781)</f>
        <v>1815.39935</v>
      </c>
      <c r="E2781" s="7" t="n">
        <f aca="false">B2781/MAX(B2530:B2781)-1</f>
        <v>-0.0125622095903013</v>
      </c>
      <c r="F2781" s="7" t="str">
        <f aca="false">IFERROR(INDEX(02_轉折點45個!B:B,MATCH(A2781,02_轉折點45個!A:A,0)),"")</f>
        <v/>
      </c>
      <c r="G2781" s="7" t="s">
        <v>1994</v>
      </c>
    </row>
    <row r="2782" customFormat="false" ht="15" hidden="false" customHeight="false" outlineLevel="0" collapsed="false">
      <c r="A2782" s="7" t="s">
        <v>862</v>
      </c>
      <c r="B2782" s="7" t="n">
        <v>2069.88</v>
      </c>
      <c r="C2782" s="7" t="n">
        <f aca="false">AVERAGE(B2733:B2782)</f>
        <v>2032.9576</v>
      </c>
      <c r="D2782" s="7" t="n">
        <f aca="false">AVERAGE(B2583:B2782)</f>
        <v>1818.4095</v>
      </c>
      <c r="E2782" s="7" t="n">
        <f aca="false">B2782/MAX(B2531:B2782)-1</f>
        <v>-0.023572422577069</v>
      </c>
      <c r="F2782" s="7" t="str">
        <f aca="false">IFERROR(INDEX(02_轉折點45個!B:B,MATCH(A2782,02_轉折點45個!A:A,0)),"")</f>
        <v/>
      </c>
      <c r="G2782" s="7" t="s">
        <v>1994</v>
      </c>
    </row>
    <row r="2783" customFormat="false" ht="15" hidden="false" customHeight="false" outlineLevel="0" collapsed="false">
      <c r="A2783" s="7" t="s">
        <v>863</v>
      </c>
      <c r="B2783" s="7" t="n">
        <v>2014.69</v>
      </c>
      <c r="C2783" s="7" t="n">
        <f aca="false">AVERAGE(B2734:B2783)</f>
        <v>2033.8936</v>
      </c>
      <c r="D2783" s="7" t="n">
        <f aca="false">AVERAGE(B2584:B2783)</f>
        <v>1821.34975</v>
      </c>
      <c r="E2783" s="7" t="n">
        <f aca="false">B2783/MAX(B2532:B2783)-1</f>
        <v>-0.0496072835342123</v>
      </c>
      <c r="F2783" s="7" t="str">
        <f aca="false">IFERROR(INDEX(02_轉折點45個!B:B,MATCH(A2783,02_轉折點45個!A:A,0)),"")</f>
        <v/>
      </c>
      <c r="G2783" s="7" t="s">
        <v>1994</v>
      </c>
    </row>
    <row r="2784" customFormat="false" ht="15" hidden="false" customHeight="false" outlineLevel="0" collapsed="false">
      <c r="A2784" s="7" t="s">
        <v>4268</v>
      </c>
      <c r="B2784" s="7" t="n">
        <v>2019.73</v>
      </c>
      <c r="C2784" s="7" t="n">
        <f aca="false">AVERAGE(B2735:B2784)</f>
        <v>2034.9848</v>
      </c>
      <c r="D2784" s="7" t="n">
        <f aca="false">AVERAGE(B2585:B2784)</f>
        <v>1824.1825</v>
      </c>
      <c r="E2784" s="7" t="n">
        <f aca="false">B2784/MAX(B2533:B2784)-1</f>
        <v>-0.0472297568224166</v>
      </c>
      <c r="F2784" s="7" t="str">
        <f aca="false">IFERROR(INDEX(02_轉折點45個!B:B,MATCH(A2784,02_轉折點45個!A:A,0)),"")</f>
        <v/>
      </c>
      <c r="G2784" s="7" t="s">
        <v>1994</v>
      </c>
    </row>
    <row r="2785" customFormat="false" ht="15" hidden="false" customHeight="false" outlineLevel="0" collapsed="false">
      <c r="A2785" s="7" t="s">
        <v>4269</v>
      </c>
      <c r="B2785" s="7" t="n">
        <v>2013.27</v>
      </c>
      <c r="C2785" s="7" t="n">
        <f aca="false">AVERAGE(B2736:B2785)</f>
        <v>2035.6578</v>
      </c>
      <c r="D2785" s="7" t="n">
        <f aca="false">AVERAGE(B2586:B2785)</f>
        <v>1826.70025</v>
      </c>
      <c r="E2785" s="7" t="n">
        <f aca="false">B2785/MAX(B2534:B2785)-1</f>
        <v>-0.050277142250631</v>
      </c>
      <c r="F2785" s="7" t="str">
        <f aca="false">IFERROR(INDEX(02_轉折點45個!B:B,MATCH(A2785,02_轉折點45個!A:A,0)),"")</f>
        <v/>
      </c>
      <c r="G2785" s="7" t="s">
        <v>1994</v>
      </c>
    </row>
    <row r="2786" customFormat="false" ht="15" hidden="false" customHeight="false" outlineLevel="0" collapsed="false">
      <c r="A2786" s="7" t="s">
        <v>864</v>
      </c>
      <c r="B2786" s="7" t="n">
        <v>2029.42</v>
      </c>
      <c r="C2786" s="7" t="n">
        <f aca="false">AVERAGE(B2737:B2786)</f>
        <v>2036.9804</v>
      </c>
      <c r="D2786" s="7" t="n">
        <f aca="false">AVERAGE(B2587:B2786)</f>
        <v>1829.29525</v>
      </c>
      <c r="E2786" s="7" t="n">
        <f aca="false">B2786/MAX(B2535:B2786)-1</f>
        <v>-0.0426586786800952</v>
      </c>
      <c r="F2786" s="7" t="str">
        <f aca="false">IFERROR(INDEX(02_轉折點45個!B:B,MATCH(A2786,02_轉折點45個!A:A,0)),"")</f>
        <v/>
      </c>
      <c r="G2786" s="7" t="s">
        <v>1994</v>
      </c>
    </row>
    <row r="2787" customFormat="false" ht="15" hidden="false" customHeight="false" outlineLevel="0" collapsed="false">
      <c r="A2787" s="7" t="s">
        <v>865</v>
      </c>
      <c r="B2787" s="7" t="n">
        <v>1990.67</v>
      </c>
      <c r="C2787" s="7" t="n">
        <f aca="false">AVERAGE(B2738:B2787)</f>
        <v>2037.1834</v>
      </c>
      <c r="D2787" s="7" t="n">
        <f aca="false">AVERAGE(B2588:B2787)</f>
        <v>1831.82255</v>
      </c>
      <c r="E2787" s="7" t="n">
        <f aca="false">B2787/MAX(B2536:B2787)-1</f>
        <v>-0.0609382739344764</v>
      </c>
      <c r="F2787" s="7" t="str">
        <f aca="false">IFERROR(INDEX(02_轉折點45個!B:B,MATCH(A2787,02_轉折點45個!A:A,0)),"")</f>
        <v/>
      </c>
      <c r="G2787" s="7" t="s">
        <v>1994</v>
      </c>
    </row>
    <row r="2788" customFormat="false" ht="15" hidden="false" customHeight="false" outlineLevel="0" collapsed="false">
      <c r="A2788" s="7" t="s">
        <v>4270</v>
      </c>
      <c r="B2788" s="7" t="n">
        <v>1961.76</v>
      </c>
      <c r="C2788" s="7" t="n">
        <f aca="false">AVERAGE(B2739:B2788)</f>
        <v>2036.2606</v>
      </c>
      <c r="D2788" s="7" t="n">
        <f aca="false">AVERAGE(B2589:B2788)</f>
        <v>1834.20035</v>
      </c>
      <c r="E2788" s="7" t="n">
        <f aca="false">B2788/MAX(B2537:B2788)-1</f>
        <v>-0.074576031322971</v>
      </c>
      <c r="F2788" s="7" t="str">
        <f aca="false">IFERROR(INDEX(02_轉折點45個!B:B,MATCH(A2788,02_轉折點45個!A:A,0)),"")</f>
        <v/>
      </c>
      <c r="G2788" s="7" t="s">
        <v>1994</v>
      </c>
    </row>
    <row r="2789" customFormat="false" ht="15" hidden="false" customHeight="false" outlineLevel="0" collapsed="false">
      <c r="A2789" s="7" t="s">
        <v>4271</v>
      </c>
      <c r="B2789" s="7" t="n">
        <v>1983.55</v>
      </c>
      <c r="C2789" s="7" t="n">
        <f aca="false">AVERAGE(B2740:B2789)</f>
        <v>2035.6654</v>
      </c>
      <c r="D2789" s="7" t="n">
        <f aca="false">AVERAGE(B2590:B2789)</f>
        <v>1836.48775</v>
      </c>
      <c r="E2789" s="7" t="n">
        <f aca="false">B2789/MAX(B2538:B2789)-1</f>
        <v>-0.0642970021463782</v>
      </c>
      <c r="F2789" s="7" t="str">
        <f aca="false">IFERROR(INDEX(02_轉折點45個!B:B,MATCH(A2789,02_轉折點45個!A:A,0)),"")</f>
        <v/>
      </c>
      <c r="G2789" s="7" t="s">
        <v>1994</v>
      </c>
    </row>
    <row r="2790" customFormat="false" ht="15" hidden="false" customHeight="false" outlineLevel="0" collapsed="false">
      <c r="A2790" s="7" t="s">
        <v>4272</v>
      </c>
      <c r="B2790" s="7" t="n">
        <v>2000.78</v>
      </c>
      <c r="C2790" s="7" t="n">
        <f aca="false">AVERAGE(B2741:B2790)</f>
        <v>2035.6092</v>
      </c>
      <c r="D2790" s="7" t="n">
        <f aca="false">AVERAGE(B2591:B2790)</f>
        <v>1838.8493</v>
      </c>
      <c r="E2790" s="7" t="n">
        <f aca="false">B2790/MAX(B2539:B2790)-1</f>
        <v>-0.0561690685661721</v>
      </c>
      <c r="F2790" s="7" t="str">
        <f aca="false">IFERROR(INDEX(02_轉折點45個!B:B,MATCH(A2790,02_轉折點45個!A:A,0)),"")</f>
        <v/>
      </c>
      <c r="G2790" s="7" t="s">
        <v>1994</v>
      </c>
    </row>
    <row r="2791" customFormat="false" ht="15" hidden="false" customHeight="false" outlineLevel="0" collapsed="false">
      <c r="A2791" s="7" t="s">
        <v>4273</v>
      </c>
      <c r="B2791" s="7" t="n">
        <v>2001.56</v>
      </c>
      <c r="C2791" s="7" t="n">
        <f aca="false">AVERAGE(B2742:B2791)</f>
        <v>2036.2322</v>
      </c>
      <c r="D2791" s="7" t="n">
        <f aca="false">AVERAGE(B2592:B2791)</f>
        <v>1841.511</v>
      </c>
      <c r="E2791" s="7" t="n">
        <f aca="false">B2791/MAX(B2540:B2791)-1</f>
        <v>-0.0558011180036323</v>
      </c>
      <c r="F2791" s="7" t="str">
        <f aca="false">IFERROR(INDEX(02_轉折點45個!B:B,MATCH(A2791,02_轉折點45個!A:A,0)),"")</f>
        <v/>
      </c>
      <c r="G2791" s="7" t="s">
        <v>1994</v>
      </c>
    </row>
    <row r="2792" customFormat="false" ht="15" hidden="false" customHeight="false" outlineLevel="0" collapsed="false">
      <c r="A2792" s="7" t="s">
        <v>866</v>
      </c>
      <c r="B2792" s="7" t="n">
        <v>1941.73</v>
      </c>
      <c r="C2792" s="7" t="n">
        <f aca="false">AVERAGE(B2743:B2792)</f>
        <v>2035.8556</v>
      </c>
      <c r="D2792" s="7" t="n">
        <f aca="false">AVERAGE(B2593:B2792)</f>
        <v>1843.71075</v>
      </c>
      <c r="E2792" s="7" t="n">
        <f aca="false">B2792/MAX(B2541:B2792)-1</f>
        <v>-0.0840248130763969</v>
      </c>
      <c r="F2792" s="7" t="str">
        <f aca="false">IFERROR(INDEX(02_轉折點45個!B:B,MATCH(A2792,02_轉折點45個!A:A,0)),"")</f>
        <v/>
      </c>
      <c r="G2792" s="7" t="s">
        <v>1994</v>
      </c>
    </row>
    <row r="2793" customFormat="false" ht="15" hidden="false" customHeight="false" outlineLevel="0" collapsed="false">
      <c r="A2793" s="7" t="s">
        <v>867</v>
      </c>
      <c r="B2793" s="7" t="n">
        <v>1956.07</v>
      </c>
      <c r="C2793" s="7" t="n">
        <f aca="false">AVERAGE(B2744:B2793)</f>
        <v>2035.2182</v>
      </c>
      <c r="D2793" s="7" t="n">
        <f aca="false">AVERAGE(B2594:B2793)</f>
        <v>1845.97185</v>
      </c>
      <c r="E2793" s="7" t="n">
        <f aca="false">B2793/MAX(B2542:B2793)-1</f>
        <v>-0.0772601835035498</v>
      </c>
      <c r="F2793" s="7" t="str">
        <f aca="false">IFERROR(INDEX(02_轉折點45個!B:B,MATCH(A2793,02_轉折點45個!A:A,0)),"")</f>
        <v/>
      </c>
      <c r="G2793" s="7" t="s">
        <v>1994</v>
      </c>
    </row>
    <row r="2794" customFormat="false" ht="15" hidden="false" customHeight="false" outlineLevel="0" collapsed="false">
      <c r="A2794" s="7" t="s">
        <v>4274</v>
      </c>
      <c r="B2794" s="7" t="n">
        <v>1942.3</v>
      </c>
      <c r="C2794" s="7" t="n">
        <f aca="false">AVERAGE(B2745:B2794)</f>
        <v>2034.4302</v>
      </c>
      <c r="D2794" s="7" t="n">
        <f aca="false">AVERAGE(B2595:B2794)</f>
        <v>1848.1363</v>
      </c>
      <c r="E2794" s="7" t="n">
        <f aca="false">B2794/MAX(B2543:B2794)-1</f>
        <v>-0.0837559261268486</v>
      </c>
      <c r="F2794" s="7" t="str">
        <f aca="false">IFERROR(INDEX(02_轉折點45個!B:B,MATCH(A2794,02_轉折點45個!A:A,0)),"")</f>
        <v/>
      </c>
      <c r="G2794" s="7" t="s">
        <v>1994</v>
      </c>
    </row>
    <row r="2795" customFormat="false" ht="15" hidden="false" customHeight="false" outlineLevel="0" collapsed="false">
      <c r="A2795" s="7" t="s">
        <v>868</v>
      </c>
      <c r="B2795" s="7" t="n">
        <v>1964.98</v>
      </c>
      <c r="C2795" s="7" t="n">
        <f aca="false">AVERAGE(B2746:B2795)</f>
        <v>2033.9702</v>
      </c>
      <c r="D2795" s="7" t="n">
        <f aca="false">AVERAGE(B2596:B2795)</f>
        <v>1850.2219</v>
      </c>
      <c r="E2795" s="7" t="n">
        <f aca="false">B2795/MAX(B2544:B2795)-1</f>
        <v>-0.0730570559237681</v>
      </c>
      <c r="F2795" s="7" t="str">
        <f aca="false">IFERROR(INDEX(02_轉折點45個!B:B,MATCH(A2795,02_轉折點45個!A:A,0)),"")</f>
        <v/>
      </c>
      <c r="G2795" s="7" t="s">
        <v>1994</v>
      </c>
    </row>
    <row r="2796" customFormat="false" ht="15" hidden="false" customHeight="false" outlineLevel="0" collapsed="false">
      <c r="A2796" s="7" t="s">
        <v>4275</v>
      </c>
      <c r="B2796" s="7" t="n">
        <v>1962.24</v>
      </c>
      <c r="C2796" s="7" t="n">
        <f aca="false">AVERAGE(B2747:B2796)</f>
        <v>2034.1426</v>
      </c>
      <c r="D2796" s="7" t="n">
        <f aca="false">AVERAGE(B2597:B2796)</f>
        <v>1852.3618</v>
      </c>
      <c r="E2796" s="7" t="n">
        <f aca="false">B2796/MAX(B2545:B2796)-1</f>
        <v>-0.0743496002075618</v>
      </c>
      <c r="F2796" s="7" t="str">
        <f aca="false">IFERROR(INDEX(02_轉折點45個!B:B,MATCH(A2796,02_轉折點45個!A:A,0)),"")</f>
        <v/>
      </c>
      <c r="G2796" s="7" t="s">
        <v>1994</v>
      </c>
    </row>
    <row r="2797" customFormat="false" ht="15" hidden="false" customHeight="false" outlineLevel="0" collapsed="false">
      <c r="A2797" s="7" t="s">
        <v>4276</v>
      </c>
      <c r="B2797" s="7" t="n">
        <v>1989.22</v>
      </c>
      <c r="C2797" s="7" t="n">
        <f aca="false">AVERAGE(B2748:B2797)</f>
        <v>2034.742</v>
      </c>
      <c r="D2797" s="7" t="n">
        <f aca="false">AVERAGE(B2598:B2797)</f>
        <v>1854.66215</v>
      </c>
      <c r="E2797" s="7" t="n">
        <f aca="false">B2797/MAX(B2546:B2797)-1</f>
        <v>-0.0616222845956081</v>
      </c>
      <c r="F2797" s="7" t="str">
        <f aca="false">IFERROR(INDEX(02_轉折點45個!B:B,MATCH(A2797,02_轉折點45個!A:A,0)),"")</f>
        <v/>
      </c>
      <c r="G2797" s="7" t="s">
        <v>1994</v>
      </c>
    </row>
    <row r="2798" customFormat="false" ht="15" hidden="false" customHeight="false" outlineLevel="0" collapsed="false">
      <c r="A2798" s="7" t="s">
        <v>4277</v>
      </c>
      <c r="B2798" s="7" t="n">
        <v>1994.81</v>
      </c>
      <c r="C2798" s="7" t="n">
        <f aca="false">AVERAGE(B2749:B2798)</f>
        <v>2034.883</v>
      </c>
      <c r="D2798" s="7" t="n">
        <f aca="false">AVERAGE(B2599:B2798)</f>
        <v>1856.8163</v>
      </c>
      <c r="E2798" s="7" t="n">
        <f aca="false">B2798/MAX(B2547:B2798)-1</f>
        <v>-0.0589853055640729</v>
      </c>
      <c r="F2798" s="7" t="str">
        <f aca="false">IFERROR(INDEX(02_轉折點45個!B:B,MATCH(A2798,02_轉折點45個!A:A,0)),"")</f>
        <v/>
      </c>
      <c r="G2798" s="7" t="s">
        <v>1994</v>
      </c>
    </row>
    <row r="2799" customFormat="false" ht="15" hidden="false" customHeight="false" outlineLevel="0" collapsed="false">
      <c r="A2799" s="7" t="s">
        <v>869</v>
      </c>
      <c r="B2799" s="7" t="n">
        <v>2022.82</v>
      </c>
      <c r="C2799" s="7" t="n">
        <f aca="false">AVERAGE(B2750:B2799)</f>
        <v>2035.4158</v>
      </c>
      <c r="D2799" s="7" t="n">
        <f aca="false">AVERAGE(B2600:B2799)</f>
        <v>1859.086</v>
      </c>
      <c r="E2799" s="7" t="n">
        <f aca="false">B2799/MAX(B2548:B2799)-1</f>
        <v>-0.0457721065169705</v>
      </c>
      <c r="F2799" s="7" t="str">
        <f aca="false">IFERROR(INDEX(02_轉折點45個!B:B,MATCH(A2799,02_轉折點45個!A:A,0)),"")</f>
        <v/>
      </c>
      <c r="G2799" s="7" t="s">
        <v>1994</v>
      </c>
    </row>
    <row r="2800" customFormat="false" ht="15" hidden="false" customHeight="false" outlineLevel="0" collapsed="false">
      <c r="A2800" s="7" t="s">
        <v>4278</v>
      </c>
      <c r="B2800" s="7" t="n">
        <v>2033.88</v>
      </c>
      <c r="C2800" s="7" t="n">
        <f aca="false">AVERAGE(B2751:B2800)</f>
        <v>2036.387</v>
      </c>
      <c r="D2800" s="7" t="n">
        <f aca="false">AVERAGE(B2601:B2800)</f>
        <v>1861.40235</v>
      </c>
      <c r="E2800" s="7" t="n">
        <f aca="false">B2800/MAX(B2549:B2800)-1</f>
        <v>-0.0405547562327522</v>
      </c>
      <c r="F2800" s="7" t="str">
        <f aca="false">IFERROR(INDEX(02_轉折點45個!B:B,MATCH(A2800,02_轉折點45個!A:A,0)),"")</f>
        <v/>
      </c>
      <c r="G2800" s="7" t="s">
        <v>1994</v>
      </c>
    </row>
    <row r="2801" customFormat="false" ht="15" hidden="false" customHeight="false" outlineLevel="0" collapsed="false">
      <c r="A2801" s="7" t="s">
        <v>4279</v>
      </c>
      <c r="B2801" s="7" t="n">
        <v>2047.96</v>
      </c>
      <c r="C2801" s="7" t="n">
        <f aca="false">AVERAGE(B2752:B2801)</f>
        <v>2037.2522</v>
      </c>
      <c r="D2801" s="7" t="n">
        <f aca="false">AVERAGE(B2602:B2801)</f>
        <v>1863.58645</v>
      </c>
      <c r="E2801" s="7" t="n">
        <f aca="false">B2801/MAX(B2550:B2801)-1</f>
        <v>-0.0339127768474183</v>
      </c>
      <c r="F2801" s="7" t="str">
        <f aca="false">IFERROR(INDEX(02_轉折點45個!B:B,MATCH(A2801,02_轉折點45個!A:A,0)),"")</f>
        <v/>
      </c>
      <c r="G2801" s="7" t="s">
        <v>1994</v>
      </c>
    </row>
    <row r="2802" customFormat="false" ht="15" hidden="false" customHeight="false" outlineLevel="0" collapsed="false">
      <c r="A2802" s="7" t="s">
        <v>4280</v>
      </c>
      <c r="B2802" s="7" t="n">
        <v>2049.94</v>
      </c>
      <c r="C2802" s="7" t="n">
        <f aca="false">AVERAGE(B2753:B2802)</f>
        <v>2038.2436</v>
      </c>
      <c r="D2802" s="7" t="n">
        <f aca="false">AVERAGE(B2603:B2802)</f>
        <v>1865.82355</v>
      </c>
      <c r="E2802" s="7" t="n">
        <f aca="false">B2802/MAX(B2551:B2802)-1</f>
        <v>-0.0329787484963559</v>
      </c>
      <c r="F2802" s="7" t="str">
        <f aca="false">IFERROR(INDEX(02_轉折點45個!B:B,MATCH(A2802,02_轉折點45個!A:A,0)),"")</f>
        <v/>
      </c>
      <c r="G2802" s="7" t="s">
        <v>1994</v>
      </c>
    </row>
    <row r="2803" customFormat="false" ht="15" hidden="false" customHeight="false" outlineLevel="0" collapsed="false">
      <c r="A2803" s="7" t="s">
        <v>4281</v>
      </c>
      <c r="B2803" s="7" t="n">
        <v>2048.26</v>
      </c>
      <c r="C2803" s="7" t="n">
        <f aca="false">AVERAGE(B2754:B2803)</f>
        <v>2039.5052</v>
      </c>
      <c r="D2803" s="7" t="n">
        <f aca="false">AVERAGE(B2604:B2803)</f>
        <v>1868.0295</v>
      </c>
      <c r="E2803" s="7" t="n">
        <f aca="false">B2803/MAX(B2552:B2803)-1</f>
        <v>-0.0337712574002876</v>
      </c>
      <c r="F2803" s="7" t="str">
        <f aca="false">IFERROR(INDEX(02_轉折點45個!B:B,MATCH(A2803,02_轉折點45個!A:A,0)),"")</f>
        <v/>
      </c>
      <c r="G2803" s="7" t="s">
        <v>1994</v>
      </c>
    </row>
    <row r="2804" customFormat="false" ht="15" hidden="false" customHeight="false" outlineLevel="0" collapsed="false">
      <c r="A2804" s="7" t="s">
        <v>4282</v>
      </c>
      <c r="B2804" s="7" t="n">
        <v>2022.14</v>
      </c>
      <c r="C2804" s="7" t="n">
        <f aca="false">AVERAGE(B2755:B2804)</f>
        <v>2040.048</v>
      </c>
      <c r="D2804" s="7" t="n">
        <f aca="false">AVERAGE(B2605:B2804)</f>
        <v>1870.30065</v>
      </c>
      <c r="E2804" s="7" t="n">
        <f aca="false">B2804/MAX(B2553:B2804)-1</f>
        <v>-0.0460928839304667</v>
      </c>
      <c r="F2804" s="7" t="str">
        <f aca="false">IFERROR(INDEX(02_轉折點45個!B:B,MATCH(A2804,02_轉折點45個!A:A,0)),"")</f>
        <v/>
      </c>
      <c r="G2804" s="7" t="s">
        <v>1994</v>
      </c>
    </row>
    <row r="2805" customFormat="false" ht="15" hidden="false" customHeight="false" outlineLevel="0" collapsed="false">
      <c r="A2805" s="7" t="s">
        <v>4283</v>
      </c>
      <c r="B2805" s="7" t="n">
        <v>2042.66</v>
      </c>
      <c r="C2805" s="7" t="n">
        <f aca="false">AVERAGE(B2756:B2805)</f>
        <v>2040.871</v>
      </c>
      <c r="D2805" s="7" t="n">
        <f aca="false">AVERAGE(B2606:B2805)</f>
        <v>1872.57045</v>
      </c>
      <c r="E2805" s="7" t="n">
        <f aca="false">B2805/MAX(B2554:B2805)-1</f>
        <v>-0.0364129537467273</v>
      </c>
      <c r="F2805" s="7" t="str">
        <f aca="false">IFERROR(INDEX(02_轉折點45個!B:B,MATCH(A2805,02_轉折點45個!A:A,0)),"")</f>
        <v/>
      </c>
      <c r="G2805" s="7" t="s">
        <v>1994</v>
      </c>
    </row>
    <row r="2806" customFormat="false" ht="15" hidden="false" customHeight="false" outlineLevel="0" collapsed="false">
      <c r="A2806" s="7" t="s">
        <v>4284</v>
      </c>
      <c r="B2806" s="7" t="n">
        <v>2041.12</v>
      </c>
      <c r="C2806" s="7" t="n">
        <f aca="false">AVERAGE(B2757:B2806)</f>
        <v>2041.6732</v>
      </c>
      <c r="D2806" s="7" t="n">
        <f aca="false">AVERAGE(B2607:B2806)</f>
        <v>1874.868</v>
      </c>
      <c r="E2806" s="7" t="n">
        <f aca="false">B2806/MAX(B2555:B2806)-1</f>
        <v>-0.0371394202419982</v>
      </c>
      <c r="F2806" s="7" t="str">
        <f aca="false">IFERROR(INDEX(02_轉折點45個!B:B,MATCH(A2806,02_轉折點45個!A:A,0)),"")</f>
        <v/>
      </c>
      <c r="G2806" s="7" t="s">
        <v>1994</v>
      </c>
    </row>
    <row r="2807" customFormat="false" ht="15" hidden="false" customHeight="false" outlineLevel="0" collapsed="false">
      <c r="A2807" s="7" t="s">
        <v>4285</v>
      </c>
      <c r="B2807" s="7" t="n">
        <v>2044.81</v>
      </c>
      <c r="C2807" s="7" t="n">
        <f aca="false">AVERAGE(B2758:B2807)</f>
        <v>2042.1512</v>
      </c>
      <c r="D2807" s="7" t="n">
        <f aca="false">AVERAGE(B2608:B2807)</f>
        <v>1877.25395</v>
      </c>
      <c r="E2807" s="7" t="n">
        <f aca="false">B2807/MAX(B2556:B2807)-1</f>
        <v>-0.0353987310422907</v>
      </c>
      <c r="F2807" s="7" t="str">
        <f aca="false">IFERROR(INDEX(02_轉折點45個!B:B,MATCH(A2807,02_轉折點45個!A:A,0)),"")</f>
        <v/>
      </c>
      <c r="G2807" s="7" t="s">
        <v>1994</v>
      </c>
    </row>
    <row r="2808" customFormat="false" ht="15" hidden="false" customHeight="false" outlineLevel="0" collapsed="false">
      <c r="A2808" s="7" t="s">
        <v>4286</v>
      </c>
      <c r="B2808" s="7" t="n">
        <v>2077.07</v>
      </c>
      <c r="C2808" s="7" t="n">
        <f aca="false">AVERAGE(B2759:B2808)</f>
        <v>2043.4762</v>
      </c>
      <c r="D2808" s="7" t="n">
        <f aca="false">AVERAGE(B2609:B2808)</f>
        <v>1880.0375</v>
      </c>
      <c r="E2808" s="7" t="n">
        <f aca="false">B2808/MAX(B2557:B2808)-1</f>
        <v>-0.0201806731608367</v>
      </c>
      <c r="F2808" s="7" t="str">
        <f aca="false">IFERROR(INDEX(02_轉折點45個!B:B,MATCH(A2808,02_轉折點45個!A:A,0)),"")</f>
        <v/>
      </c>
      <c r="G2808" s="7" t="s">
        <v>1994</v>
      </c>
    </row>
    <row r="2809" customFormat="false" ht="15" hidden="false" customHeight="false" outlineLevel="0" collapsed="false">
      <c r="A2809" s="7" t="s">
        <v>4287</v>
      </c>
      <c r="B2809" s="7" t="n">
        <v>2083.67</v>
      </c>
      <c r="C2809" s="7" t="n">
        <f aca="false">AVERAGE(B2760:B2809)</f>
        <v>2044.8262</v>
      </c>
      <c r="D2809" s="7" t="n">
        <f aca="false">AVERAGE(B2610:B2809)</f>
        <v>1882.73975</v>
      </c>
      <c r="E2809" s="7" t="n">
        <f aca="false">B2809/MAX(B2558:B2809)-1</f>
        <v>-0.0170672453239615</v>
      </c>
      <c r="F2809" s="7" t="str">
        <f aca="false">IFERROR(INDEX(02_轉折點45個!B:B,MATCH(A2809,02_轉折點45個!A:A,0)),"")</f>
        <v/>
      </c>
      <c r="G2809" s="7" t="s">
        <v>1994</v>
      </c>
    </row>
    <row r="2810" customFormat="false" ht="15" hidden="false" customHeight="false" outlineLevel="0" collapsed="false">
      <c r="A2810" s="7" t="s">
        <v>4288</v>
      </c>
      <c r="B2810" s="7" t="n">
        <v>2083.57</v>
      </c>
      <c r="C2810" s="7" t="n">
        <f aca="false">AVERAGE(B2761:B2810)</f>
        <v>2046.665</v>
      </c>
      <c r="D2810" s="7" t="n">
        <f aca="false">AVERAGE(B2611:B2810)</f>
        <v>1885.48295</v>
      </c>
      <c r="E2810" s="7" t="n">
        <f aca="false">B2810/MAX(B2559:B2810)-1</f>
        <v>-0.0171144184730051</v>
      </c>
      <c r="F2810" s="7" t="str">
        <f aca="false">IFERROR(INDEX(02_轉折點45個!B:B,MATCH(A2810,02_轉折點45個!A:A,0)),"")</f>
        <v/>
      </c>
      <c r="G2810" s="7" t="s">
        <v>1994</v>
      </c>
    </row>
    <row r="2811" customFormat="false" ht="15" hidden="false" customHeight="false" outlineLevel="0" collapsed="false">
      <c r="A2811" s="7" t="s">
        <v>4289</v>
      </c>
      <c r="B2811" s="7" t="n">
        <v>2094.19</v>
      </c>
      <c r="C2811" s="7" t="n">
        <f aca="false">AVERAGE(B2762:B2811)</f>
        <v>2048.138</v>
      </c>
      <c r="D2811" s="7" t="n">
        <f aca="false">AVERAGE(B2612:B2811)</f>
        <v>1888.0407</v>
      </c>
      <c r="E2811" s="7" t="n">
        <f aca="false">B2811/MAX(B2560:B2811)-1</f>
        <v>-0.0121046300445785</v>
      </c>
      <c r="F2811" s="7" t="str">
        <f aca="false">IFERROR(INDEX(02_轉折點45個!B:B,MATCH(A2811,02_轉折點45個!A:A,0)),"")</f>
        <v/>
      </c>
      <c r="G2811" s="7" t="s">
        <v>1994</v>
      </c>
    </row>
    <row r="2812" customFormat="false" ht="15" hidden="false" customHeight="false" outlineLevel="0" collapsed="false">
      <c r="A2812" s="7" t="s">
        <v>4290</v>
      </c>
      <c r="B2812" s="7" t="n">
        <v>2125.29</v>
      </c>
      <c r="C2812" s="7" t="n">
        <f aca="false">AVERAGE(B2763:B2812)</f>
        <v>2049.7586</v>
      </c>
      <c r="D2812" s="7" t="n">
        <f aca="false">AVERAGE(B2613:B2812)</f>
        <v>1890.744</v>
      </c>
      <c r="E2812" s="7" t="n">
        <f aca="false">B2812/MAX(B2561:B2812)-1</f>
        <v>0</v>
      </c>
      <c r="F2812" s="7" t="str">
        <f aca="false">IFERROR(INDEX(02_轉折點45個!B:B,MATCH(A2812,02_轉折點45個!A:A,0)),"")</f>
        <v/>
      </c>
      <c r="G2812" s="7" t="s">
        <v>1994</v>
      </c>
    </row>
    <row r="2813" customFormat="false" ht="15" hidden="false" customHeight="false" outlineLevel="0" collapsed="false">
      <c r="A2813" s="7" t="s">
        <v>4291</v>
      </c>
      <c r="B2813" s="7" t="n">
        <v>2130.64</v>
      </c>
      <c r="C2813" s="7" t="n">
        <f aca="false">AVERAGE(B2764:B2813)</f>
        <v>2051.2118</v>
      </c>
      <c r="D2813" s="7" t="n">
        <f aca="false">AVERAGE(B2614:B2813)</f>
        <v>1893.50465</v>
      </c>
      <c r="E2813" s="7" t="n">
        <f aca="false">B2813/MAX(B2562:B2813)-1</f>
        <v>0</v>
      </c>
      <c r="F2813" s="7" t="str">
        <f aca="false">IFERROR(INDEX(02_轉折點45個!B:B,MATCH(A2813,02_轉折點45個!A:A,0)),"")</f>
        <v/>
      </c>
      <c r="G2813" s="7" t="s">
        <v>1994</v>
      </c>
    </row>
    <row r="2814" customFormat="false" ht="15" hidden="false" customHeight="false" outlineLevel="0" collapsed="false">
      <c r="A2814" s="7" t="s">
        <v>4292</v>
      </c>
      <c r="B2814" s="7" t="n">
        <v>2138.38</v>
      </c>
      <c r="C2814" s="7" t="n">
        <f aca="false">AVERAGE(B2765:B2814)</f>
        <v>2052.5098</v>
      </c>
      <c r="D2814" s="7" t="n">
        <f aca="false">AVERAGE(B2615:B2814)</f>
        <v>1896.4529</v>
      </c>
      <c r="E2814" s="7" t="n">
        <f aca="false">B2814/MAX(B2563:B2814)-1</f>
        <v>0</v>
      </c>
      <c r="F2814" s="7" t="str">
        <f aca="false">IFERROR(INDEX(02_轉折點45個!B:B,MATCH(A2814,02_轉折點45個!A:A,0)),"")</f>
        <v/>
      </c>
      <c r="G2814" s="7" t="s">
        <v>1994</v>
      </c>
    </row>
    <row r="2815" customFormat="false" ht="15" hidden="false" customHeight="false" outlineLevel="0" collapsed="false">
      <c r="A2815" s="7" t="s">
        <v>4293</v>
      </c>
      <c r="B2815" s="7" t="n">
        <v>2155.07</v>
      </c>
      <c r="C2815" s="7" t="n">
        <f aca="false">AVERAGE(B2766:B2815)</f>
        <v>2053.8484</v>
      </c>
      <c r="D2815" s="7" t="n">
        <f aca="false">AVERAGE(B2616:B2815)</f>
        <v>1899.4994</v>
      </c>
      <c r="E2815" s="7" t="n">
        <f aca="false">B2815/MAX(B2564:B2815)-1</f>
        <v>0</v>
      </c>
      <c r="F2815" s="7" t="str">
        <f aca="false">IFERROR(INDEX(02_轉折點45個!B:B,MATCH(A2815,02_轉折點45個!A:A,0)),"")</f>
        <v/>
      </c>
      <c r="G2815" s="7" t="s">
        <v>1994</v>
      </c>
    </row>
    <row r="2816" customFormat="false" ht="15" hidden="false" customHeight="false" outlineLevel="0" collapsed="false">
      <c r="A2816" s="7" t="s">
        <v>4294</v>
      </c>
      <c r="B2816" s="7" t="n">
        <v>2163.76</v>
      </c>
      <c r="C2816" s="7" t="n">
        <f aca="false">AVERAGE(B2767:B2816)</f>
        <v>2055.2622</v>
      </c>
      <c r="D2816" s="7" t="n">
        <f aca="false">AVERAGE(B2617:B2816)</f>
        <v>1902.3225</v>
      </c>
      <c r="E2816" s="7" t="n">
        <f aca="false">B2816/MAX(B2565:B2816)-1</f>
        <v>0</v>
      </c>
      <c r="F2816" s="7" t="str">
        <f aca="false">IFERROR(INDEX(02_轉折點45個!B:B,MATCH(A2816,02_轉折點45個!A:A,0)),"")</f>
        <v/>
      </c>
      <c r="G2816" s="7" t="s">
        <v>1994</v>
      </c>
    </row>
    <row r="2817" customFormat="false" ht="15" hidden="false" customHeight="false" outlineLevel="0" collapsed="false">
      <c r="A2817" s="7" t="s">
        <v>4295</v>
      </c>
      <c r="B2817" s="7" t="n">
        <v>2163.03</v>
      </c>
      <c r="C2817" s="7" t="n">
        <f aca="false">AVERAGE(B2768:B2817)</f>
        <v>2056.7104</v>
      </c>
      <c r="D2817" s="7" t="n">
        <f aca="false">AVERAGE(B2618:B2817)</f>
        <v>1905.2303</v>
      </c>
      <c r="E2817" s="7" t="n">
        <f aca="false">B2817/MAX(B2566:B2817)-1</f>
        <v>-0.000337375679372975</v>
      </c>
      <c r="F2817" s="7" t="str">
        <f aca="false">IFERROR(INDEX(02_轉折點45個!B:B,MATCH(A2817,02_轉折點45個!A:A,0)),"")</f>
        <v/>
      </c>
      <c r="G2817" s="7" t="s">
        <v>1994</v>
      </c>
    </row>
    <row r="2818" customFormat="false" ht="15" hidden="false" customHeight="false" outlineLevel="0" collapsed="false">
      <c r="A2818" s="7" t="s">
        <v>4296</v>
      </c>
      <c r="B2818" s="7" t="n">
        <v>2158.05</v>
      </c>
      <c r="C2818" s="7" t="n">
        <f aca="false">AVERAGE(B2769:B2818)</f>
        <v>2058.0064</v>
      </c>
      <c r="D2818" s="7" t="n">
        <f aca="false">AVERAGE(B2619:B2818)</f>
        <v>1908.0186</v>
      </c>
      <c r="E2818" s="7" t="n">
        <f aca="false">B2818/MAX(B2567:B2818)-1</f>
        <v>-0.00263892483454731</v>
      </c>
      <c r="F2818" s="7" t="str">
        <f aca="false">IFERROR(INDEX(02_轉折點45個!B:B,MATCH(A2818,02_轉折點45個!A:A,0)),"")</f>
        <v/>
      </c>
      <c r="G2818" s="7" t="s">
        <v>1994</v>
      </c>
    </row>
    <row r="2819" customFormat="false" ht="15" hidden="false" customHeight="false" outlineLevel="0" collapsed="false">
      <c r="A2819" s="7" t="s">
        <v>4297</v>
      </c>
      <c r="B2819" s="7" t="n">
        <v>2172.48</v>
      </c>
      <c r="C2819" s="7" t="n">
        <f aca="false">AVERAGE(B2770:B2819)</f>
        <v>2059.9954</v>
      </c>
      <c r="D2819" s="7" t="n">
        <f aca="false">AVERAGE(B2620:B2819)</f>
        <v>1910.7761</v>
      </c>
      <c r="E2819" s="7" t="n">
        <f aca="false">B2819/MAX(B2568:B2819)-1</f>
        <v>0</v>
      </c>
      <c r="F2819" s="7" t="str">
        <f aca="false">IFERROR(INDEX(02_轉折點45個!B:B,MATCH(A2819,02_轉折點45個!A:A,0)),"")</f>
        <v/>
      </c>
      <c r="G2819" s="7" t="s">
        <v>1994</v>
      </c>
    </row>
    <row r="2820" customFormat="false" ht="15" hidden="false" customHeight="false" outlineLevel="0" collapsed="false">
      <c r="A2820" s="7" t="s">
        <v>4298</v>
      </c>
      <c r="B2820" s="7" t="n">
        <v>2182.61</v>
      </c>
      <c r="C2820" s="7" t="n">
        <f aca="false">AVERAGE(B2771:B2820)</f>
        <v>2061.4694</v>
      </c>
      <c r="D2820" s="7" t="n">
        <f aca="false">AVERAGE(B2621:B2820)</f>
        <v>1913.336</v>
      </c>
      <c r="E2820" s="7" t="n">
        <f aca="false">B2820/MAX(B2569:B2820)-1</f>
        <v>0</v>
      </c>
      <c r="F2820" s="7" t="str">
        <f aca="false">IFERROR(INDEX(02_轉折點45個!B:B,MATCH(A2820,02_轉折點45個!A:A,0)),"")</f>
        <v/>
      </c>
      <c r="G2820" s="7" t="s">
        <v>1994</v>
      </c>
    </row>
    <row r="2821" customFormat="false" ht="15" hidden="false" customHeight="false" outlineLevel="0" collapsed="false">
      <c r="A2821" s="7" t="s">
        <v>4299</v>
      </c>
      <c r="B2821" s="7" t="n">
        <v>2184.61</v>
      </c>
      <c r="C2821" s="7" t="n">
        <f aca="false">AVERAGE(B2772:B2821)</f>
        <v>2062.9782</v>
      </c>
      <c r="D2821" s="7" t="n">
        <f aca="false">AVERAGE(B2622:B2821)</f>
        <v>1915.8688</v>
      </c>
      <c r="E2821" s="7" t="n">
        <f aca="false">B2821/MAX(B2570:B2821)-1</f>
        <v>0</v>
      </c>
      <c r="F2821" s="7" t="str">
        <f aca="false">IFERROR(INDEX(02_轉折點45個!B:B,MATCH(A2821,02_轉折點45個!A:A,0)),"")</f>
        <v/>
      </c>
      <c r="G2821" s="7" t="s">
        <v>1994</v>
      </c>
    </row>
    <row r="2822" customFormat="false" ht="15" hidden="false" customHeight="false" outlineLevel="0" collapsed="false">
      <c r="A2822" s="7" t="s">
        <v>4300</v>
      </c>
      <c r="B2822" s="7" t="n">
        <v>2169.2</v>
      </c>
      <c r="C2822" s="7" t="n">
        <f aca="false">AVERAGE(B2773:B2822)</f>
        <v>2064.318</v>
      </c>
      <c r="D2822" s="7" t="n">
        <f aca="false">AVERAGE(B2623:B2822)</f>
        <v>1918.37425</v>
      </c>
      <c r="E2822" s="7" t="n">
        <f aca="false">B2822/MAX(B2571:B2822)-1</f>
        <v>-0.00705389062578687</v>
      </c>
      <c r="F2822" s="7" t="str">
        <f aca="false">IFERROR(INDEX(02_轉折點45個!B:B,MATCH(A2822,02_轉折點45個!A:A,0)),"")</f>
        <v/>
      </c>
      <c r="G2822" s="7" t="s">
        <v>1994</v>
      </c>
    </row>
    <row r="2823" customFormat="false" ht="15" hidden="false" customHeight="false" outlineLevel="0" collapsed="false">
      <c r="A2823" s="7" t="s">
        <v>4301</v>
      </c>
      <c r="B2823" s="7" t="n">
        <v>2188.37</v>
      </c>
      <c r="C2823" s="7" t="n">
        <f aca="false">AVERAGE(B2774:B2823)</f>
        <v>2066.0602</v>
      </c>
      <c r="D2823" s="7" t="n">
        <f aca="false">AVERAGE(B2624:B2823)</f>
        <v>1920.86545</v>
      </c>
      <c r="E2823" s="7" t="n">
        <f aca="false">B2823/MAX(B2572:B2823)-1</f>
        <v>0</v>
      </c>
      <c r="F2823" s="7" t="str">
        <f aca="false">IFERROR(INDEX(02_轉折點45個!B:B,MATCH(A2823,02_轉折點45個!A:A,0)),"")</f>
        <v/>
      </c>
      <c r="G2823" s="7" t="s">
        <v>1994</v>
      </c>
    </row>
    <row r="2824" customFormat="false" ht="15" hidden="false" customHeight="false" outlineLevel="0" collapsed="false">
      <c r="A2824" s="7" t="s">
        <v>4302</v>
      </c>
      <c r="B2824" s="7" t="n">
        <v>2206.5</v>
      </c>
      <c r="C2824" s="7" t="n">
        <f aca="false">AVERAGE(B2775:B2824)</f>
        <v>2067.8522</v>
      </c>
      <c r="D2824" s="7" t="n">
        <f aca="false">AVERAGE(B2625:B2824)</f>
        <v>1923.45005</v>
      </c>
      <c r="E2824" s="7" t="n">
        <f aca="false">B2824/MAX(B2573:B2824)-1</f>
        <v>0</v>
      </c>
      <c r="F2824" s="7" t="str">
        <f aca="false">IFERROR(INDEX(02_轉折點45個!B:B,MATCH(A2824,02_轉折點45個!A:A,0)),"")</f>
        <v/>
      </c>
      <c r="G2824" s="7" t="s">
        <v>1994</v>
      </c>
    </row>
    <row r="2825" customFormat="false" ht="15" hidden="false" customHeight="false" outlineLevel="0" collapsed="false">
      <c r="A2825" s="7" t="s">
        <v>4303</v>
      </c>
      <c r="B2825" s="7" t="n">
        <v>2191.44</v>
      </c>
      <c r="C2825" s="7" t="n">
        <f aca="false">AVERAGE(B2776:B2825)</f>
        <v>2069.43</v>
      </c>
      <c r="D2825" s="7" t="n">
        <f aca="false">AVERAGE(B2626:B2825)</f>
        <v>1925.9914</v>
      </c>
      <c r="E2825" s="7" t="n">
        <f aca="false">B2825/MAX(B2574:B2825)-1</f>
        <v>-0.00682528891910261</v>
      </c>
      <c r="F2825" s="7" t="str">
        <f aca="false">IFERROR(INDEX(02_轉折點45個!B:B,MATCH(A2825,02_轉折點45個!A:A,0)),"")</f>
        <v/>
      </c>
      <c r="G2825" s="7" t="s">
        <v>1994</v>
      </c>
    </row>
    <row r="2826" customFormat="false" ht="15" hidden="false" customHeight="false" outlineLevel="0" collapsed="false">
      <c r="A2826" s="7" t="s">
        <v>4304</v>
      </c>
      <c r="B2826" s="7" t="n">
        <v>2190.21</v>
      </c>
      <c r="C2826" s="7" t="n">
        <f aca="false">AVERAGE(B2777:B2826)</f>
        <v>2071.533</v>
      </c>
      <c r="D2826" s="7" t="n">
        <f aca="false">AVERAGE(B2627:B2826)</f>
        <v>1928.44565</v>
      </c>
      <c r="E2826" s="7" t="n">
        <f aca="false">B2826/MAX(B2575:B2826)-1</f>
        <v>-0.00738273283480628</v>
      </c>
      <c r="F2826" s="7" t="str">
        <f aca="false">IFERROR(INDEX(02_轉折點45個!B:B,MATCH(A2826,02_轉折點45個!A:A,0)),"")</f>
        <v/>
      </c>
      <c r="G2826" s="7" t="s">
        <v>1994</v>
      </c>
    </row>
    <row r="2827" customFormat="false" ht="15" hidden="false" customHeight="false" outlineLevel="0" collapsed="false">
      <c r="A2827" s="7" t="s">
        <v>4305</v>
      </c>
      <c r="B2827" s="7" t="n">
        <v>2188.13</v>
      </c>
      <c r="C2827" s="7" t="n">
        <f aca="false">AVERAGE(B2778:B2827)</f>
        <v>2073.127</v>
      </c>
      <c r="D2827" s="7" t="n">
        <f aca="false">AVERAGE(B2628:B2827)</f>
        <v>1930.9217</v>
      </c>
      <c r="E2827" s="7" t="n">
        <f aca="false">B2827/MAX(B2576:B2827)-1</f>
        <v>-0.00832540222071143</v>
      </c>
      <c r="F2827" s="7" t="str">
        <f aca="false">IFERROR(INDEX(02_轉折點45個!B:B,MATCH(A2827,02_轉折點45個!A:A,0)),"")</f>
        <v/>
      </c>
      <c r="G2827" s="7" t="s">
        <v>1994</v>
      </c>
    </row>
    <row r="2828" customFormat="false" ht="15" hidden="false" customHeight="false" outlineLevel="0" collapsed="false">
      <c r="A2828" s="7" t="s">
        <v>4306</v>
      </c>
      <c r="B2828" s="7" t="n">
        <v>2196.56</v>
      </c>
      <c r="C2828" s="7" t="n">
        <f aca="false">AVERAGE(B2779:B2828)</f>
        <v>2074.728</v>
      </c>
      <c r="D2828" s="7" t="n">
        <f aca="false">AVERAGE(B2629:B2828)</f>
        <v>1933.39745</v>
      </c>
      <c r="E2828" s="7" t="n">
        <f aca="false">B2828/MAX(B2577:B2828)-1</f>
        <v>-0.00450487196918203</v>
      </c>
      <c r="F2828" s="7" t="str">
        <f aca="false">IFERROR(INDEX(02_轉折點45個!B:B,MATCH(A2828,02_轉折點45個!A:A,0)),"")</f>
        <v/>
      </c>
      <c r="G2828" s="7" t="s">
        <v>1994</v>
      </c>
    </row>
    <row r="2829" customFormat="false" ht="15" hidden="false" customHeight="false" outlineLevel="0" collapsed="false">
      <c r="A2829" s="7" t="s">
        <v>4307</v>
      </c>
      <c r="B2829" s="7" t="n">
        <v>2202.34</v>
      </c>
      <c r="C2829" s="7" t="n">
        <f aca="false">AVERAGE(B2780:B2829)</f>
        <v>2076.9698</v>
      </c>
      <c r="D2829" s="7" t="n">
        <f aca="false">AVERAGE(B2630:B2829)</f>
        <v>1935.9184</v>
      </c>
      <c r="E2829" s="7" t="n">
        <f aca="false">B2829/MAX(B2578:B2829)-1</f>
        <v>-0.00188533877181052</v>
      </c>
      <c r="F2829" s="7" t="str">
        <f aca="false">IFERROR(INDEX(02_轉折點45個!B:B,MATCH(A2829,02_轉折點45個!A:A,0)),"")</f>
        <v/>
      </c>
      <c r="G2829" s="7" t="s">
        <v>1994</v>
      </c>
    </row>
    <row r="2830" customFormat="false" ht="15" hidden="false" customHeight="false" outlineLevel="0" collapsed="false">
      <c r="A2830" s="7" t="s">
        <v>4308</v>
      </c>
      <c r="B2830" s="7" t="n">
        <v>2190.71</v>
      </c>
      <c r="C2830" s="7" t="n">
        <f aca="false">AVERAGE(B2781:B2830)</f>
        <v>2078.387</v>
      </c>
      <c r="D2830" s="7" t="n">
        <f aca="false">AVERAGE(B2631:B2830)</f>
        <v>1938.57495</v>
      </c>
      <c r="E2830" s="7" t="n">
        <f aca="false">B2830/MAX(B2579:B2830)-1</f>
        <v>-0.0071561296170406</v>
      </c>
      <c r="F2830" s="7" t="str">
        <f aca="false">IFERROR(INDEX(02_轉折點45個!B:B,MATCH(A2830,02_轉折點45個!A:A,0)),"")</f>
        <v/>
      </c>
      <c r="G2830" s="7" t="s">
        <v>1994</v>
      </c>
    </row>
    <row r="2831" customFormat="false" ht="15" hidden="false" customHeight="false" outlineLevel="0" collapsed="false">
      <c r="A2831" s="7" t="s">
        <v>4309</v>
      </c>
      <c r="B2831" s="7" t="n">
        <v>2194.93</v>
      </c>
      <c r="C2831" s="7" t="n">
        <f aca="false">AVERAGE(B2782:B2831)</f>
        <v>2080.4212</v>
      </c>
      <c r="D2831" s="7" t="n">
        <f aca="false">AVERAGE(B2632:B2831)</f>
        <v>1941.3449</v>
      </c>
      <c r="E2831" s="7" t="n">
        <f aca="false">B2831/MAX(B2580:B2831)-1</f>
        <v>-0.00524359845909816</v>
      </c>
      <c r="F2831" s="7" t="str">
        <f aca="false">IFERROR(INDEX(02_轉折點45個!B:B,MATCH(A2831,02_轉折點45個!A:A,0)),"")</f>
        <v/>
      </c>
      <c r="G2831" s="7" t="s">
        <v>1994</v>
      </c>
    </row>
    <row r="2832" customFormat="false" ht="15" hidden="false" customHeight="false" outlineLevel="0" collapsed="false">
      <c r="A2832" s="7" t="s">
        <v>870</v>
      </c>
      <c r="B2832" s="7" t="n">
        <v>2219.55</v>
      </c>
      <c r="C2832" s="7" t="n">
        <f aca="false">AVERAGE(B2783:B2832)</f>
        <v>2083.4146</v>
      </c>
      <c r="D2832" s="7" t="n">
        <f aca="false">AVERAGE(B2633:B2832)</f>
        <v>1944.1837</v>
      </c>
      <c r="E2832" s="7" t="n">
        <f aca="false">B2832/MAX(B2581:B2832)-1</f>
        <v>0</v>
      </c>
      <c r="F2832" s="7" t="str">
        <f aca="false">IFERROR(INDEX(02_轉折點45個!B:B,MATCH(A2832,02_轉折點45個!A:A,0)),"")</f>
        <v/>
      </c>
      <c r="G2832" s="7" t="s">
        <v>1994</v>
      </c>
    </row>
    <row r="2833" customFormat="false" ht="15" hidden="false" customHeight="false" outlineLevel="0" collapsed="false">
      <c r="A2833" s="7" t="s">
        <v>4310</v>
      </c>
      <c r="B2833" s="7" t="n">
        <v>2226.2</v>
      </c>
      <c r="C2833" s="7" t="n">
        <f aca="false">AVERAGE(B2784:B2833)</f>
        <v>2087.6448</v>
      </c>
      <c r="D2833" s="7" t="n">
        <f aca="false">AVERAGE(B2634:B2833)</f>
        <v>1947.0573</v>
      </c>
      <c r="E2833" s="7" t="n">
        <f aca="false">B2833/MAX(B2582:B2833)-1</f>
        <v>0</v>
      </c>
      <c r="F2833" s="7" t="str">
        <f aca="false">IFERROR(INDEX(02_轉折點45個!B:B,MATCH(A2833,02_轉折點45個!A:A,0)),"")</f>
        <v/>
      </c>
      <c r="G2833" s="7" t="s">
        <v>1994</v>
      </c>
    </row>
    <row r="2834" customFormat="false" ht="15" hidden="false" customHeight="false" outlineLevel="0" collapsed="false">
      <c r="A2834" s="7" t="s">
        <v>4311</v>
      </c>
      <c r="B2834" s="7" t="n">
        <v>2221.04</v>
      </c>
      <c r="C2834" s="7" t="n">
        <f aca="false">AVERAGE(B2785:B2834)</f>
        <v>2091.671</v>
      </c>
      <c r="D2834" s="7" t="n">
        <f aca="false">AVERAGE(B2635:B2834)</f>
        <v>1949.81485</v>
      </c>
      <c r="E2834" s="7" t="n">
        <f aca="false">B2834/MAX(B2583:B2834)-1</f>
        <v>-0.00231785104662652</v>
      </c>
      <c r="F2834" s="7" t="str">
        <f aca="false">IFERROR(INDEX(02_轉折點45個!B:B,MATCH(A2834,02_轉折點45個!A:A,0)),"")</f>
        <v/>
      </c>
      <c r="G2834" s="7" t="s">
        <v>1994</v>
      </c>
    </row>
    <row r="2835" customFormat="false" ht="15" hidden="false" customHeight="false" outlineLevel="0" collapsed="false">
      <c r="A2835" s="7" t="s">
        <v>4312</v>
      </c>
      <c r="B2835" s="7" t="n">
        <v>2226.2</v>
      </c>
      <c r="C2835" s="7" t="n">
        <f aca="false">AVERAGE(B2786:B2835)</f>
        <v>2095.9296</v>
      </c>
      <c r="D2835" s="7" t="n">
        <f aca="false">AVERAGE(B2636:B2835)</f>
        <v>1952.87815</v>
      </c>
      <c r="E2835" s="7" t="n">
        <f aca="false">B2835/MAX(B2584:B2835)-1</f>
        <v>0</v>
      </c>
      <c r="F2835" s="7" t="str">
        <f aca="false">IFERROR(INDEX(02_轉折點45個!B:B,MATCH(A2835,02_轉折點45個!A:A,0)),"")</f>
        <v/>
      </c>
      <c r="G2835" s="7" t="s">
        <v>1994</v>
      </c>
    </row>
    <row r="2836" customFormat="false" ht="15" hidden="false" customHeight="false" outlineLevel="0" collapsed="false">
      <c r="A2836" s="7" t="s">
        <v>4313</v>
      </c>
      <c r="B2836" s="7" t="n">
        <v>2241.95</v>
      </c>
      <c r="C2836" s="7" t="n">
        <f aca="false">AVERAGE(B2787:B2836)</f>
        <v>2100.1802</v>
      </c>
      <c r="D2836" s="7" t="n">
        <f aca="false">AVERAGE(B2637:B2836)</f>
        <v>1956.026</v>
      </c>
      <c r="E2836" s="7" t="n">
        <f aca="false">B2836/MAX(B2585:B2836)-1</f>
        <v>0</v>
      </c>
      <c r="F2836" s="7" t="str">
        <f aca="false">IFERROR(INDEX(02_轉折點45個!B:B,MATCH(A2836,02_轉折點45個!A:A,0)),"")</f>
        <v/>
      </c>
      <c r="G2836" s="7" t="s">
        <v>1994</v>
      </c>
    </row>
    <row r="2837" customFormat="false" ht="15" hidden="false" customHeight="false" outlineLevel="0" collapsed="false">
      <c r="A2837" s="7" t="s">
        <v>4314</v>
      </c>
      <c r="B2837" s="7" t="n">
        <v>2245.44</v>
      </c>
      <c r="C2837" s="7" t="n">
        <f aca="false">AVERAGE(B2788:B2837)</f>
        <v>2105.2756</v>
      </c>
      <c r="D2837" s="7" t="n">
        <f aca="false">AVERAGE(B2638:B2837)</f>
        <v>1959.06605</v>
      </c>
      <c r="E2837" s="7" t="n">
        <f aca="false">B2837/MAX(B2586:B2837)-1</f>
        <v>0</v>
      </c>
      <c r="F2837" s="7" t="str">
        <f aca="false">IFERROR(INDEX(02_轉折點45個!B:B,MATCH(A2837,02_轉折點45個!A:A,0)),"")</f>
        <v/>
      </c>
      <c r="G2837" s="7" t="s">
        <v>1994</v>
      </c>
    </row>
    <row r="2838" customFormat="false" ht="15" hidden="false" customHeight="false" outlineLevel="0" collapsed="false">
      <c r="A2838" s="7" t="s">
        <v>4315</v>
      </c>
      <c r="B2838" s="7" t="n">
        <v>2252.86</v>
      </c>
      <c r="C2838" s="7" t="n">
        <f aca="false">AVERAGE(B2789:B2838)</f>
        <v>2111.0976</v>
      </c>
      <c r="D2838" s="7" t="n">
        <f aca="false">AVERAGE(B2639:B2838)</f>
        <v>1961.97325</v>
      </c>
      <c r="E2838" s="7" t="n">
        <f aca="false">B2838/MAX(B2587:B2838)-1</f>
        <v>0</v>
      </c>
      <c r="F2838" s="7" t="str">
        <f aca="false">IFERROR(INDEX(02_轉折點45個!B:B,MATCH(A2838,02_轉折點45個!A:A,0)),"")</f>
        <v/>
      </c>
      <c r="G2838" s="7" t="s">
        <v>1994</v>
      </c>
    </row>
    <row r="2839" customFormat="false" ht="15" hidden="false" customHeight="false" outlineLevel="0" collapsed="false">
      <c r="A2839" s="7" t="s">
        <v>4316</v>
      </c>
      <c r="B2839" s="7" t="n">
        <v>2288.37</v>
      </c>
      <c r="C2839" s="7" t="n">
        <f aca="false">AVERAGE(B2790:B2839)</f>
        <v>2117.194</v>
      </c>
      <c r="D2839" s="7" t="n">
        <f aca="false">AVERAGE(B2640:B2839)</f>
        <v>1965.01835</v>
      </c>
      <c r="E2839" s="7" t="n">
        <f aca="false">B2839/MAX(B2588:B2839)-1</f>
        <v>0</v>
      </c>
      <c r="F2839" s="7" t="str">
        <f aca="false">IFERROR(INDEX(02_轉折點45個!B:B,MATCH(A2839,02_轉折點45個!A:A,0)),"")</f>
        <v/>
      </c>
      <c r="G2839" s="7" t="s">
        <v>1994</v>
      </c>
    </row>
    <row r="2840" customFormat="false" ht="15" hidden="false" customHeight="false" outlineLevel="0" collapsed="false">
      <c r="A2840" s="7" t="s">
        <v>4317</v>
      </c>
      <c r="B2840" s="7" t="n">
        <v>2298.27</v>
      </c>
      <c r="C2840" s="7" t="n">
        <f aca="false">AVERAGE(B2791:B2840)</f>
        <v>2123.1438</v>
      </c>
      <c r="D2840" s="7" t="n">
        <f aca="false">AVERAGE(B2641:B2840)</f>
        <v>1968.0863</v>
      </c>
      <c r="E2840" s="7" t="n">
        <f aca="false">B2840/MAX(B2589:B2840)-1</f>
        <v>0</v>
      </c>
      <c r="F2840" s="7" t="str">
        <f aca="false">IFERROR(INDEX(02_轉折點45個!B:B,MATCH(A2840,02_轉折點45個!A:A,0)),"")</f>
        <v/>
      </c>
      <c r="G2840" s="7" t="s">
        <v>1994</v>
      </c>
    </row>
    <row r="2841" customFormat="false" ht="15" hidden="false" customHeight="false" outlineLevel="0" collapsed="false">
      <c r="A2841" s="7" t="s">
        <v>871</v>
      </c>
      <c r="B2841" s="7" t="n">
        <v>2266.81</v>
      </c>
      <c r="C2841" s="7" t="n">
        <f aca="false">AVERAGE(B2792:B2841)</f>
        <v>2128.4488</v>
      </c>
      <c r="D2841" s="7" t="n">
        <f aca="false">AVERAGE(B2642:B2841)</f>
        <v>1971.03815</v>
      </c>
      <c r="E2841" s="7" t="n">
        <f aca="false">B2841/MAX(B2590:B2841)-1</f>
        <v>-0.0136885570450818</v>
      </c>
      <c r="F2841" s="7" t="str">
        <f aca="false">IFERROR(INDEX(02_轉折點45個!B:B,MATCH(A2841,02_轉折點45個!A:A,0)),"")</f>
        <v/>
      </c>
      <c r="G2841" s="7" t="s">
        <v>1994</v>
      </c>
    </row>
    <row r="2842" customFormat="false" ht="15" hidden="false" customHeight="false" outlineLevel="0" collapsed="false">
      <c r="A2842" s="7" t="s">
        <v>4318</v>
      </c>
      <c r="B2842" s="7" t="n">
        <v>2265.76</v>
      </c>
      <c r="C2842" s="7" t="n">
        <f aca="false">AVERAGE(B2793:B2842)</f>
        <v>2134.9294</v>
      </c>
      <c r="D2842" s="7" t="n">
        <f aca="false">AVERAGE(B2643:B2842)</f>
        <v>1973.93595</v>
      </c>
      <c r="E2842" s="7" t="n">
        <f aca="false">B2842/MAX(B2591:B2842)-1</f>
        <v>-0.0141454224264337</v>
      </c>
      <c r="F2842" s="7" t="str">
        <f aca="false">IFERROR(INDEX(02_轉折點45個!B:B,MATCH(A2842,02_轉折點45個!A:A,0)),"")</f>
        <v/>
      </c>
      <c r="G2842" s="7" t="s">
        <v>1994</v>
      </c>
    </row>
    <row r="2843" customFormat="false" ht="15" hidden="false" customHeight="false" outlineLevel="0" collapsed="false">
      <c r="A2843" s="7" t="s">
        <v>4319</v>
      </c>
      <c r="B2843" s="7" t="n">
        <v>2284.21</v>
      </c>
      <c r="C2843" s="7" t="n">
        <f aca="false">AVERAGE(B2794:B2843)</f>
        <v>2141.4922</v>
      </c>
      <c r="D2843" s="7" t="n">
        <f aca="false">AVERAGE(B2644:B2843)</f>
        <v>1977.15075</v>
      </c>
      <c r="E2843" s="7" t="n">
        <f aca="false">B2843/MAX(B2592:B2843)-1</f>
        <v>-0.00611764501124756</v>
      </c>
      <c r="F2843" s="7" t="str">
        <f aca="false">IFERROR(INDEX(02_轉折點45個!B:B,MATCH(A2843,02_轉折點45個!A:A,0)),"")</f>
        <v/>
      </c>
      <c r="G2843" s="7" t="s">
        <v>1994</v>
      </c>
    </row>
    <row r="2844" customFormat="false" ht="15" hidden="false" customHeight="false" outlineLevel="0" collapsed="false">
      <c r="A2844" s="7" t="s">
        <v>4320</v>
      </c>
      <c r="B2844" s="7" t="n">
        <v>2288.14</v>
      </c>
      <c r="C2844" s="7" t="n">
        <f aca="false">AVERAGE(B2795:B2844)</f>
        <v>2148.409</v>
      </c>
      <c r="D2844" s="7" t="n">
        <f aca="false">AVERAGE(B2645:B2844)</f>
        <v>1980.42685</v>
      </c>
      <c r="E2844" s="7" t="n">
        <f aca="false">B2844/MAX(B2593:B2844)-1</f>
        <v>-0.00440766315532992</v>
      </c>
      <c r="F2844" s="7" t="str">
        <f aca="false">IFERROR(INDEX(02_轉折點45個!B:B,MATCH(A2844,02_轉折點45個!A:A,0)),"")</f>
        <v/>
      </c>
      <c r="G2844" s="7" t="s">
        <v>1994</v>
      </c>
    </row>
    <row r="2845" customFormat="false" ht="15" hidden="false" customHeight="false" outlineLevel="0" collapsed="false">
      <c r="A2845" s="7" t="s">
        <v>4321</v>
      </c>
      <c r="B2845" s="7" t="n">
        <v>2301.35</v>
      </c>
      <c r="C2845" s="7" t="n">
        <f aca="false">AVERAGE(B2796:B2845)</f>
        <v>2155.1364</v>
      </c>
      <c r="D2845" s="7" t="n">
        <f aca="false">AVERAGE(B2646:B2845)</f>
        <v>1983.95735</v>
      </c>
      <c r="E2845" s="7" t="n">
        <f aca="false">B2845/MAX(B2594:B2845)-1</f>
        <v>0</v>
      </c>
      <c r="F2845" s="7" t="str">
        <f aca="false">IFERROR(INDEX(02_轉折點45個!B:B,MATCH(A2845,02_轉折點45個!A:A,0)),"")</f>
        <v/>
      </c>
      <c r="G2845" s="7" t="s">
        <v>1994</v>
      </c>
    </row>
    <row r="2846" customFormat="false" ht="15" hidden="false" customHeight="false" outlineLevel="0" collapsed="false">
      <c r="A2846" s="7" t="s">
        <v>140</v>
      </c>
      <c r="B2846" s="7" t="n">
        <v>2311.48</v>
      </c>
      <c r="C2846" s="7" t="n">
        <f aca="false">AVERAGE(B2797:B2846)</f>
        <v>2162.1212</v>
      </c>
      <c r="D2846" s="7" t="n">
        <f aca="false">AVERAGE(B2647:B2846)</f>
        <v>1987.5339</v>
      </c>
      <c r="E2846" s="7" t="n">
        <f aca="false">B2846/MAX(B2595:B2846)-1</f>
        <v>0</v>
      </c>
      <c r="F2846" s="7" t="str">
        <f aca="false">IFERROR(INDEX(02_轉折點45個!B:B,MATCH(A2846,02_轉折點45個!A:A,0)),"")</f>
        <v>TOP</v>
      </c>
      <c r="G2846" s="7" t="s">
        <v>1994</v>
      </c>
    </row>
    <row r="2847" customFormat="false" ht="15" hidden="false" customHeight="false" outlineLevel="0" collapsed="false">
      <c r="A2847" s="7" t="s">
        <v>4322</v>
      </c>
      <c r="B2847" s="7" t="n">
        <v>2304.9</v>
      </c>
      <c r="C2847" s="7" t="n">
        <f aca="false">AVERAGE(B2798:B2847)</f>
        <v>2168.4348</v>
      </c>
      <c r="D2847" s="7" t="n">
        <f aca="false">AVERAGE(B2648:B2847)</f>
        <v>1991.053</v>
      </c>
      <c r="E2847" s="7" t="n">
        <f aca="false">B2847/MAX(B2596:B2847)-1</f>
        <v>-0.00284666101372277</v>
      </c>
      <c r="F2847" s="7" t="str">
        <f aca="false">IFERROR(INDEX(02_轉折點45個!B:B,MATCH(A2847,02_轉折點45個!A:A,0)),"")</f>
        <v/>
      </c>
      <c r="G2847" s="7" t="s">
        <v>1994</v>
      </c>
    </row>
    <row r="2848" customFormat="false" ht="15" hidden="false" customHeight="false" outlineLevel="0" collapsed="false">
      <c r="A2848" s="7" t="s">
        <v>872</v>
      </c>
      <c r="B2848" s="7" t="n">
        <v>2257.87</v>
      </c>
      <c r="C2848" s="7" t="n">
        <f aca="false">AVERAGE(B2799:B2848)</f>
        <v>2173.696</v>
      </c>
      <c r="D2848" s="7" t="n">
        <f aca="false">AVERAGE(B2649:B2848)</f>
        <v>1994.32105</v>
      </c>
      <c r="E2848" s="7" t="n">
        <f aca="false">B2848/MAX(B2597:B2848)-1</f>
        <v>-0.0231929326665168</v>
      </c>
      <c r="F2848" s="7" t="str">
        <f aca="false">IFERROR(INDEX(02_轉折點45個!B:B,MATCH(A2848,02_轉折點45個!A:A,0)),"")</f>
        <v/>
      </c>
      <c r="G2848" s="7" t="s">
        <v>1994</v>
      </c>
    </row>
    <row r="2849" customFormat="false" ht="15" hidden="false" customHeight="false" outlineLevel="0" collapsed="false">
      <c r="A2849" s="7" t="s">
        <v>4323</v>
      </c>
      <c r="B2849" s="7" t="n">
        <v>2258.1</v>
      </c>
      <c r="C2849" s="7" t="n">
        <f aca="false">AVERAGE(B2800:B2849)</f>
        <v>2178.4016</v>
      </c>
      <c r="D2849" s="7" t="n">
        <f aca="false">AVERAGE(B2650:B2849)</f>
        <v>1997.4204</v>
      </c>
      <c r="E2849" s="7" t="n">
        <f aca="false">B2849/MAX(B2598:B2849)-1</f>
        <v>-0.0230934293180127</v>
      </c>
      <c r="F2849" s="7" t="str">
        <f aca="false">IFERROR(INDEX(02_轉折點45個!B:B,MATCH(A2849,02_轉折點45個!A:A,0)),"")</f>
        <v/>
      </c>
      <c r="G2849" s="7" t="s">
        <v>1994</v>
      </c>
    </row>
    <row r="2850" customFormat="false" ht="15" hidden="false" customHeight="false" outlineLevel="0" collapsed="false">
      <c r="A2850" s="7" t="s">
        <v>4324</v>
      </c>
      <c r="B2850" s="7" t="n">
        <v>2294.82</v>
      </c>
      <c r="C2850" s="7" t="n">
        <f aca="false">AVERAGE(B2801:B2850)</f>
        <v>2183.6204</v>
      </c>
      <c r="D2850" s="7" t="n">
        <f aca="false">AVERAGE(B2651:B2850)</f>
        <v>2000.6736</v>
      </c>
      <c r="E2850" s="7" t="n">
        <f aca="false">B2850/MAX(B2599:B2850)-1</f>
        <v>-0.00720750341772369</v>
      </c>
      <c r="F2850" s="7" t="str">
        <f aca="false">IFERROR(INDEX(02_轉折點45個!B:B,MATCH(A2850,02_轉折點45個!A:A,0)),"")</f>
        <v/>
      </c>
      <c r="G2850" s="7" t="s">
        <v>1994</v>
      </c>
    </row>
    <row r="2851" customFormat="false" ht="15" hidden="false" customHeight="false" outlineLevel="0" collapsed="false">
      <c r="A2851" s="7" t="s">
        <v>873</v>
      </c>
      <c r="B2851" s="7" t="n">
        <v>2248.48</v>
      </c>
      <c r="C2851" s="7" t="n">
        <f aca="false">AVERAGE(B2802:B2851)</f>
        <v>2187.6308</v>
      </c>
      <c r="D2851" s="7" t="n">
        <f aca="false">AVERAGE(B2652:B2851)</f>
        <v>2003.40655</v>
      </c>
      <c r="E2851" s="7" t="n">
        <f aca="false">B2851/MAX(B2600:B2851)-1</f>
        <v>-0.0272552650250056</v>
      </c>
      <c r="F2851" s="7" t="str">
        <f aca="false">IFERROR(INDEX(02_轉折點45個!B:B,MATCH(A2851,02_轉折點45個!A:A,0)),"")</f>
        <v/>
      </c>
      <c r="G2851" s="7" t="s">
        <v>1994</v>
      </c>
    </row>
    <row r="2852" customFormat="false" ht="15" hidden="false" customHeight="false" outlineLevel="0" collapsed="false">
      <c r="A2852" s="7" t="s">
        <v>4325</v>
      </c>
      <c r="B2852" s="7" t="n">
        <v>2282.78</v>
      </c>
      <c r="C2852" s="7" t="n">
        <f aca="false">AVERAGE(B2803:B2852)</f>
        <v>2192.2876</v>
      </c>
      <c r="D2852" s="7" t="n">
        <f aca="false">AVERAGE(B2653:B2852)</f>
        <v>2006.2099</v>
      </c>
      <c r="E2852" s="7" t="n">
        <f aca="false">B2852/MAX(B2601:B2852)-1</f>
        <v>-0.0124162874002802</v>
      </c>
      <c r="F2852" s="7" t="str">
        <f aca="false">IFERROR(INDEX(02_轉折點45個!B:B,MATCH(A2852,02_轉折點45個!A:A,0)),"")</f>
        <v/>
      </c>
      <c r="G2852" s="7" t="s">
        <v>1994</v>
      </c>
    </row>
    <row r="2853" customFormat="false" ht="15" hidden="false" customHeight="false" outlineLevel="0" collapsed="false">
      <c r="A2853" s="7" t="s">
        <v>4326</v>
      </c>
      <c r="B2853" s="7" t="n">
        <v>2214.73</v>
      </c>
      <c r="C2853" s="7" t="n">
        <f aca="false">AVERAGE(B2804:B2853)</f>
        <v>2195.617</v>
      </c>
      <c r="D2853" s="7" t="n">
        <f aca="false">AVERAGE(B2654:B2853)</f>
        <v>2008.66575</v>
      </c>
      <c r="E2853" s="7" t="n">
        <f aca="false">B2853/MAX(B2602:B2853)-1</f>
        <v>-0.0418562998598301</v>
      </c>
      <c r="F2853" s="7" t="str">
        <f aca="false">IFERROR(INDEX(02_轉折點45個!B:B,MATCH(A2853,02_轉折點45個!A:A,0)),"")</f>
        <v/>
      </c>
      <c r="G2853" s="7" t="s">
        <v>1994</v>
      </c>
    </row>
    <row r="2854" customFormat="false" ht="15" hidden="false" customHeight="false" outlineLevel="0" collapsed="false">
      <c r="A2854" s="7" t="s">
        <v>4327</v>
      </c>
      <c r="B2854" s="7" t="n">
        <v>2194.67</v>
      </c>
      <c r="C2854" s="7" t="n">
        <f aca="false">AVERAGE(B2805:B2854)</f>
        <v>2199.0676</v>
      </c>
      <c r="D2854" s="7" t="n">
        <f aca="false">AVERAGE(B2655:B2854)</f>
        <v>2010.9177</v>
      </c>
      <c r="E2854" s="7" t="n">
        <f aca="false">B2854/MAX(B2603:B2854)-1</f>
        <v>-0.0505347223423953</v>
      </c>
      <c r="F2854" s="7" t="str">
        <f aca="false">IFERROR(INDEX(02_轉折點45個!B:B,MATCH(A2854,02_轉折點45個!A:A,0)),"")</f>
        <v/>
      </c>
      <c r="G2854" s="7" t="s">
        <v>1994</v>
      </c>
    </row>
    <row r="2855" customFormat="false" ht="15" hidden="false" customHeight="false" outlineLevel="0" collapsed="false">
      <c r="A2855" s="7" t="s">
        <v>874</v>
      </c>
      <c r="B2855" s="7" t="n">
        <v>2119.16</v>
      </c>
      <c r="C2855" s="7" t="n">
        <f aca="false">AVERAGE(B2806:B2855)</f>
        <v>2200.5976</v>
      </c>
      <c r="D2855" s="7" t="n">
        <f aca="false">AVERAGE(B2656:B2855)</f>
        <v>2012.76055</v>
      </c>
      <c r="E2855" s="7" t="n">
        <f aca="false">B2855/MAX(B2604:B2855)-1</f>
        <v>-0.0832021042795093</v>
      </c>
      <c r="F2855" s="7" t="str">
        <f aca="false">IFERROR(INDEX(02_轉折點45個!B:B,MATCH(A2855,02_轉折點45個!A:A,0)),"")</f>
        <v/>
      </c>
      <c r="G2855" s="7" t="s">
        <v>1994</v>
      </c>
    </row>
    <row r="2856" customFormat="false" ht="15" hidden="false" customHeight="false" outlineLevel="0" collapsed="false">
      <c r="A2856" s="7" t="s">
        <v>4328</v>
      </c>
      <c r="B2856" s="7" t="n">
        <v>2069.83</v>
      </c>
      <c r="C2856" s="7" t="n">
        <f aca="false">AVERAGE(B2807:B2856)</f>
        <v>2201.1718</v>
      </c>
      <c r="D2856" s="7" t="n">
        <f aca="false">AVERAGE(B2657:B2856)</f>
        <v>2014.31025</v>
      </c>
      <c r="E2856" s="7" t="n">
        <f aca="false">B2856/MAX(B2605:B2856)-1</f>
        <v>-0.104543409417343</v>
      </c>
      <c r="F2856" s="7" t="str">
        <f aca="false">IFERROR(INDEX(02_轉折點45個!B:B,MATCH(A2856,02_轉折點45個!A:A,0)),"")</f>
        <v/>
      </c>
      <c r="G2856" s="7" t="s">
        <v>1994</v>
      </c>
    </row>
    <row r="2857" customFormat="false" ht="15" hidden="false" customHeight="false" outlineLevel="0" collapsed="false">
      <c r="A2857" s="7" t="s">
        <v>875</v>
      </c>
      <c r="B2857" s="7" t="n">
        <v>2169.43</v>
      </c>
      <c r="C2857" s="7" t="n">
        <f aca="false">AVERAGE(B2808:B2857)</f>
        <v>2203.6642</v>
      </c>
      <c r="D2857" s="7" t="n">
        <f aca="false">AVERAGE(B2658:B2857)</f>
        <v>2016.14225</v>
      </c>
      <c r="E2857" s="7" t="n">
        <f aca="false">B2857/MAX(B2606:B2857)-1</f>
        <v>-0.0614541332825723</v>
      </c>
      <c r="F2857" s="7" t="str">
        <f aca="false">IFERROR(INDEX(02_轉折點45個!B:B,MATCH(A2857,02_轉折點45個!A:A,0)),"")</f>
        <v/>
      </c>
      <c r="G2857" s="7" t="s">
        <v>1994</v>
      </c>
    </row>
    <row r="2858" customFormat="false" ht="15" hidden="false" customHeight="false" outlineLevel="0" collapsed="false">
      <c r="A2858" s="7" t="s">
        <v>876</v>
      </c>
      <c r="B2858" s="7" t="n">
        <v>2170.02</v>
      </c>
      <c r="C2858" s="7" t="n">
        <f aca="false">AVERAGE(B2809:B2858)</f>
        <v>2205.5232</v>
      </c>
      <c r="D2858" s="7" t="n">
        <f aca="false">AVERAGE(B2659:B2858)</f>
        <v>2018.0121</v>
      </c>
      <c r="E2858" s="7" t="n">
        <f aca="false">B2858/MAX(B2607:B2858)-1</f>
        <v>-0.0611988855624968</v>
      </c>
      <c r="F2858" s="7" t="str">
        <f aca="false">IFERROR(INDEX(02_轉折點45個!B:B,MATCH(A2858,02_轉折點45個!A:A,0)),"")</f>
        <v/>
      </c>
      <c r="G2858" s="7" t="s">
        <v>1994</v>
      </c>
    </row>
    <row r="2859" customFormat="false" ht="15" hidden="false" customHeight="false" outlineLevel="0" collapsed="false">
      <c r="A2859" s="7" t="s">
        <v>877</v>
      </c>
      <c r="B2859" s="7" t="n">
        <v>2215.43</v>
      </c>
      <c r="C2859" s="7" t="n">
        <f aca="false">AVERAGE(B2810:B2859)</f>
        <v>2208.1584</v>
      </c>
      <c r="D2859" s="7" t="n">
        <f aca="false">AVERAGE(B2660:B2859)</f>
        <v>2020.1002</v>
      </c>
      <c r="E2859" s="7" t="n">
        <f aca="false">B2859/MAX(B2608:B2859)-1</f>
        <v>-0.0415534635817745</v>
      </c>
      <c r="F2859" s="7" t="str">
        <f aca="false">IFERROR(INDEX(02_轉折點45個!B:B,MATCH(A2859,02_轉折點45個!A:A,0)),"")</f>
        <v/>
      </c>
      <c r="G2859" s="7" t="s">
        <v>1994</v>
      </c>
    </row>
    <row r="2860" customFormat="false" ht="15" hidden="false" customHeight="false" outlineLevel="0" collapsed="false">
      <c r="A2860" s="7" t="s">
        <v>4329</v>
      </c>
      <c r="B2860" s="7" t="n">
        <v>2187.42</v>
      </c>
      <c r="C2860" s="7" t="n">
        <f aca="false">AVERAGE(B2811:B2860)</f>
        <v>2210.2354</v>
      </c>
      <c r="D2860" s="7" t="n">
        <f aca="false">AVERAGE(B2661:B2860)</f>
        <v>2022.01345</v>
      </c>
      <c r="E2860" s="7" t="n">
        <f aca="false">B2860/MAX(B2609:B2860)-1</f>
        <v>-0.0536712409365429</v>
      </c>
      <c r="F2860" s="7" t="str">
        <f aca="false">IFERROR(INDEX(02_轉折點45個!B:B,MATCH(A2860,02_轉折點45個!A:A,0)),"")</f>
        <v/>
      </c>
      <c r="G2860" s="7" t="s">
        <v>1994</v>
      </c>
    </row>
    <row r="2861" customFormat="false" ht="15" hidden="false" customHeight="false" outlineLevel="0" collapsed="false">
      <c r="A2861" s="7" t="s">
        <v>878</v>
      </c>
      <c r="B2861" s="7" t="n">
        <v>2144.02</v>
      </c>
      <c r="C2861" s="7" t="n">
        <f aca="false">AVERAGE(B2812:B2861)</f>
        <v>2211.232</v>
      </c>
      <c r="D2861" s="7" t="n">
        <f aca="false">AVERAGE(B2662:B2861)</f>
        <v>2023.7451</v>
      </c>
      <c r="E2861" s="7" t="n">
        <f aca="false">B2861/MAX(B2610:B2861)-1</f>
        <v>-0.0724470901759912</v>
      </c>
      <c r="F2861" s="7" t="str">
        <f aca="false">IFERROR(INDEX(02_轉折點45個!B:B,MATCH(A2861,02_轉折點45個!A:A,0)),"")</f>
        <v/>
      </c>
      <c r="G2861" s="7" t="s">
        <v>1994</v>
      </c>
    </row>
    <row r="2862" customFormat="false" ht="15" hidden="false" customHeight="false" outlineLevel="0" collapsed="false">
      <c r="A2862" s="7" t="s">
        <v>4330</v>
      </c>
      <c r="B2862" s="7" t="n">
        <v>2150.76</v>
      </c>
      <c r="C2862" s="7" t="n">
        <f aca="false">AVERAGE(B2813:B2862)</f>
        <v>2211.7414</v>
      </c>
      <c r="D2862" s="7" t="n">
        <f aca="false">AVERAGE(B2663:B2862)</f>
        <v>2025.4349</v>
      </c>
      <c r="E2862" s="7" t="n">
        <f aca="false">B2862/MAX(B2611:B2862)-1</f>
        <v>-0.0695312094415698</v>
      </c>
      <c r="F2862" s="7" t="str">
        <f aca="false">IFERROR(INDEX(02_轉折點45個!B:B,MATCH(A2862,02_轉折點45個!A:A,0)),"")</f>
        <v/>
      </c>
      <c r="G2862" s="7" t="s">
        <v>1994</v>
      </c>
    </row>
    <row r="2863" customFormat="false" ht="15" hidden="false" customHeight="false" outlineLevel="0" collapsed="false">
      <c r="A2863" s="7" t="s">
        <v>4331</v>
      </c>
      <c r="B2863" s="7" t="n">
        <v>2116.99</v>
      </c>
      <c r="C2863" s="7" t="n">
        <f aca="false">AVERAGE(B2814:B2863)</f>
        <v>2211.4684</v>
      </c>
      <c r="D2863" s="7" t="n">
        <f aca="false">AVERAGE(B2664:B2863)</f>
        <v>2026.98235</v>
      </c>
      <c r="E2863" s="7" t="n">
        <f aca="false">B2863/MAX(B2612:B2863)-1</f>
        <v>-0.0841408967414817</v>
      </c>
      <c r="F2863" s="7" t="str">
        <f aca="false">IFERROR(INDEX(02_轉折點45個!B:B,MATCH(A2863,02_轉折點45個!A:A,0)),"")</f>
        <v/>
      </c>
      <c r="G2863" s="7" t="s">
        <v>1994</v>
      </c>
    </row>
    <row r="2864" customFormat="false" ht="15" hidden="false" customHeight="false" outlineLevel="0" collapsed="false">
      <c r="A2864" s="7" t="s">
        <v>4332</v>
      </c>
      <c r="B2864" s="7" t="n">
        <v>2099.73</v>
      </c>
      <c r="C2864" s="7" t="n">
        <f aca="false">AVERAGE(B2815:B2864)</f>
        <v>2210.6954</v>
      </c>
      <c r="D2864" s="7" t="n">
        <f aca="false">AVERAGE(B2665:B2864)</f>
        <v>2028.30595</v>
      </c>
      <c r="E2864" s="7" t="n">
        <f aca="false">B2864/MAX(B2613:B2864)-1</f>
        <v>-0.0916079741118244</v>
      </c>
      <c r="F2864" s="7" t="str">
        <f aca="false">IFERROR(INDEX(02_轉折點45個!B:B,MATCH(A2864,02_轉折點45個!A:A,0)),"")</f>
        <v/>
      </c>
      <c r="G2864" s="7" t="s">
        <v>1994</v>
      </c>
    </row>
    <row r="2865" customFormat="false" ht="15" hidden="false" customHeight="false" outlineLevel="0" collapsed="false">
      <c r="A2865" s="7" t="s">
        <v>879</v>
      </c>
      <c r="B2865" s="7" t="n">
        <v>2013.52</v>
      </c>
      <c r="C2865" s="7" t="n">
        <f aca="false">AVERAGE(B2816:B2865)</f>
        <v>2207.8644</v>
      </c>
      <c r="D2865" s="7" t="n">
        <f aca="false">AVERAGE(B2666:B2865)</f>
        <v>2029.18615</v>
      </c>
      <c r="E2865" s="7" t="n">
        <f aca="false">B2865/MAX(B2614:B2865)-1</f>
        <v>-0.128904424870646</v>
      </c>
      <c r="F2865" s="7" t="str">
        <f aca="false">IFERROR(INDEX(02_轉折點45個!B:B,MATCH(A2865,02_轉折點45個!A:A,0)),"")</f>
        <v/>
      </c>
      <c r="G2865" s="7" t="s">
        <v>1994</v>
      </c>
    </row>
    <row r="2866" customFormat="false" ht="15" hidden="false" customHeight="false" outlineLevel="0" collapsed="false">
      <c r="A2866" s="7" t="s">
        <v>880</v>
      </c>
      <c r="B2866" s="7" t="n">
        <v>2036.39</v>
      </c>
      <c r="C2866" s="7" t="n">
        <f aca="false">AVERAGE(B2817:B2866)</f>
        <v>2205.317</v>
      </c>
      <c r="D2866" s="7" t="n">
        <f aca="false">AVERAGE(B2667:B2866)</f>
        <v>2030.2641</v>
      </c>
      <c r="E2866" s="7" t="n">
        <f aca="false">B2866/MAX(B2615:B2866)-1</f>
        <v>-0.119010331043314</v>
      </c>
      <c r="F2866" s="7" t="str">
        <f aca="false">IFERROR(INDEX(02_轉折點45個!B:B,MATCH(A2866,02_轉折點45個!A:A,0)),"")</f>
        <v/>
      </c>
      <c r="G2866" s="7" t="s">
        <v>1994</v>
      </c>
    </row>
    <row r="2867" customFormat="false" ht="15" hidden="false" customHeight="false" outlineLevel="0" collapsed="false">
      <c r="A2867" s="7" t="s">
        <v>881</v>
      </c>
      <c r="B2867" s="7" t="n">
        <v>2022.24</v>
      </c>
      <c r="C2867" s="7" t="n">
        <f aca="false">AVERAGE(B2818:B2867)</f>
        <v>2202.5012</v>
      </c>
      <c r="D2867" s="7" t="n">
        <f aca="false">AVERAGE(B2668:B2867)</f>
        <v>2031.3622</v>
      </c>
      <c r="E2867" s="7" t="n">
        <f aca="false">B2867/MAX(B2616:B2867)-1</f>
        <v>-0.125131950092581</v>
      </c>
      <c r="F2867" s="7" t="str">
        <f aca="false">IFERROR(INDEX(02_轉折點45個!B:B,MATCH(A2867,02_轉折點45個!A:A,0)),"")</f>
        <v/>
      </c>
      <c r="G2867" s="7" t="s">
        <v>1994</v>
      </c>
    </row>
    <row r="2868" customFormat="false" ht="15" hidden="false" customHeight="false" outlineLevel="0" collapsed="false">
      <c r="A2868" s="7" t="s">
        <v>4333</v>
      </c>
      <c r="B2868" s="7" t="n">
        <v>2019.86</v>
      </c>
      <c r="C2868" s="7" t="n">
        <f aca="false">AVERAGE(B2819:B2868)</f>
        <v>2199.7374</v>
      </c>
      <c r="D2868" s="7" t="n">
        <f aca="false">AVERAGE(B2669:B2868)</f>
        <v>2032.32465</v>
      </c>
      <c r="E2868" s="7" t="n">
        <f aca="false">B2868/MAX(B2617:B2868)-1</f>
        <v>-0.126161593437971</v>
      </c>
      <c r="F2868" s="7" t="str">
        <f aca="false">IFERROR(INDEX(02_轉折點45個!B:B,MATCH(A2868,02_轉折點45個!A:A,0)),"")</f>
        <v/>
      </c>
      <c r="G2868" s="7" t="s">
        <v>1994</v>
      </c>
    </row>
    <row r="2869" customFormat="false" ht="15" hidden="false" customHeight="false" outlineLevel="0" collapsed="false">
      <c r="A2869" s="7" t="s">
        <v>4334</v>
      </c>
      <c r="B2869" s="7" t="n">
        <v>2006.1</v>
      </c>
      <c r="C2869" s="7" t="n">
        <f aca="false">AVERAGE(B2820:B2869)</f>
        <v>2196.4098</v>
      </c>
      <c r="D2869" s="7" t="n">
        <f aca="false">AVERAGE(B2670:B2869)</f>
        <v>2033.25485</v>
      </c>
      <c r="E2869" s="7" t="n">
        <f aca="false">B2869/MAX(B2618:B2869)-1</f>
        <v>-0.132114489418035</v>
      </c>
      <c r="F2869" s="7" t="str">
        <f aca="false">IFERROR(INDEX(02_轉折點45個!B:B,MATCH(A2869,02_轉折點45個!A:A,0)),"")</f>
        <v/>
      </c>
      <c r="G2869" s="7" t="s">
        <v>1994</v>
      </c>
    </row>
    <row r="2870" customFormat="false" ht="15" hidden="false" customHeight="false" outlineLevel="0" collapsed="false">
      <c r="A2870" s="7" t="s">
        <v>882</v>
      </c>
      <c r="B2870" s="7" t="n">
        <v>2080.83</v>
      </c>
      <c r="C2870" s="7" t="n">
        <f aca="false">AVERAGE(B2821:B2870)</f>
        <v>2194.3742</v>
      </c>
      <c r="D2870" s="7" t="n">
        <f aca="false">AVERAGE(B2671:B2870)</f>
        <v>2034.66155</v>
      </c>
      <c r="E2870" s="7" t="n">
        <f aca="false">B2870/MAX(B2619:B2870)-1</f>
        <v>-0.0997845536193261</v>
      </c>
      <c r="F2870" s="7" t="str">
        <f aca="false">IFERROR(INDEX(02_轉折點45個!B:B,MATCH(A2870,02_轉折點45個!A:A,0)),"")</f>
        <v/>
      </c>
      <c r="G2870" s="7" t="s">
        <v>1994</v>
      </c>
    </row>
    <row r="2871" customFormat="false" ht="15" hidden="false" customHeight="false" outlineLevel="0" collapsed="false">
      <c r="A2871" s="7" t="s">
        <v>4335</v>
      </c>
      <c r="B2871" s="7" t="n">
        <v>2061.97</v>
      </c>
      <c r="C2871" s="7" t="n">
        <f aca="false">AVERAGE(B2822:B2871)</f>
        <v>2191.9214</v>
      </c>
      <c r="D2871" s="7" t="n">
        <f aca="false">AVERAGE(B2672:B2871)</f>
        <v>2035.8415</v>
      </c>
      <c r="E2871" s="7" t="n">
        <f aca="false">B2871/MAX(B2620:B2871)-1</f>
        <v>-0.107943828196653</v>
      </c>
      <c r="F2871" s="7" t="str">
        <f aca="false">IFERROR(INDEX(02_轉折點45個!B:B,MATCH(A2871,02_轉折點45個!A:A,0)),"")</f>
        <v/>
      </c>
      <c r="G2871" s="7" t="s">
        <v>1994</v>
      </c>
    </row>
    <row r="2872" customFormat="false" ht="15" hidden="false" customHeight="false" outlineLevel="0" collapsed="false">
      <c r="A2872" s="7" t="s">
        <v>883</v>
      </c>
      <c r="B2872" s="7" t="n">
        <v>2030.26</v>
      </c>
      <c r="C2872" s="7" t="n">
        <f aca="false">AVERAGE(B2823:B2872)</f>
        <v>2189.1426</v>
      </c>
      <c r="D2872" s="7" t="n">
        <f aca="false">AVERAGE(B2673:B2872)</f>
        <v>2036.81435</v>
      </c>
      <c r="E2872" s="7" t="n">
        <f aca="false">B2872/MAX(B2621:B2872)-1</f>
        <v>-0.121662311592573</v>
      </c>
      <c r="F2872" s="7" t="str">
        <f aca="false">IFERROR(INDEX(02_轉折點45個!B:B,MATCH(A2872,02_轉折點45個!A:A,0)),"")</f>
        <v/>
      </c>
      <c r="G2872" s="7" t="s">
        <v>1994</v>
      </c>
    </row>
    <row r="2873" customFormat="false" ht="15" hidden="false" customHeight="false" outlineLevel="0" collapsed="false">
      <c r="A2873" s="7" t="s">
        <v>884</v>
      </c>
      <c r="B2873" s="7" t="n">
        <v>2083.92</v>
      </c>
      <c r="C2873" s="7" t="n">
        <f aca="false">AVERAGE(B2824:B2873)</f>
        <v>2187.0536</v>
      </c>
      <c r="D2873" s="7" t="n">
        <f aca="false">AVERAGE(B2674:B2873)</f>
        <v>2038.16435</v>
      </c>
      <c r="E2873" s="7" t="n">
        <f aca="false">B2873/MAX(B2622:B2873)-1</f>
        <v>-0.0984477477633378</v>
      </c>
      <c r="F2873" s="7" t="str">
        <f aca="false">IFERROR(INDEX(02_轉折點45個!B:B,MATCH(A2873,02_轉折點45個!A:A,0)),"")</f>
        <v/>
      </c>
      <c r="G2873" s="7" t="s">
        <v>1994</v>
      </c>
    </row>
    <row r="2874" customFormat="false" ht="15" hidden="false" customHeight="false" outlineLevel="0" collapsed="false">
      <c r="A2874" s="7" t="s">
        <v>4336</v>
      </c>
      <c r="B2874" s="7" t="n">
        <v>2103.99</v>
      </c>
      <c r="C2874" s="7" t="n">
        <f aca="false">AVERAGE(B2825:B2874)</f>
        <v>2185.0034</v>
      </c>
      <c r="D2874" s="7" t="n">
        <f aca="false">AVERAGE(B2675:B2874)</f>
        <v>2039.8645</v>
      </c>
      <c r="E2874" s="7" t="n">
        <f aca="false">B2874/MAX(B2623:B2874)-1</f>
        <v>-0.089764999048229</v>
      </c>
      <c r="F2874" s="7" t="str">
        <f aca="false">IFERROR(INDEX(02_轉折點45個!B:B,MATCH(A2874,02_轉折點45個!A:A,0)),"")</f>
        <v/>
      </c>
      <c r="G2874" s="7" t="s">
        <v>1994</v>
      </c>
    </row>
    <row r="2875" customFormat="false" ht="15" hidden="false" customHeight="false" outlineLevel="0" collapsed="false">
      <c r="A2875" s="7" t="s">
        <v>885</v>
      </c>
      <c r="B2875" s="7" t="n">
        <v>2027.37</v>
      </c>
      <c r="C2875" s="7" t="n">
        <f aca="false">AVERAGE(B2826:B2875)</f>
        <v>2181.722</v>
      </c>
      <c r="D2875" s="7" t="n">
        <f aca="false">AVERAGE(B2676:B2875)</f>
        <v>2041.067</v>
      </c>
      <c r="E2875" s="7" t="n">
        <f aca="false">B2875/MAX(B2624:B2875)-1</f>
        <v>-0.122912592797688</v>
      </c>
      <c r="F2875" s="7" t="str">
        <f aca="false">IFERROR(INDEX(02_轉折點45個!B:B,MATCH(A2875,02_轉折點45個!A:A,0)),"")</f>
        <v/>
      </c>
      <c r="G2875" s="7" t="s">
        <v>1994</v>
      </c>
    </row>
    <row r="2876" customFormat="false" ht="15" hidden="false" customHeight="false" outlineLevel="0" collapsed="false">
      <c r="A2876" s="7" t="s">
        <v>886</v>
      </c>
      <c r="B2876" s="7" t="n">
        <v>1986.02</v>
      </c>
      <c r="C2876" s="7" t="n">
        <f aca="false">AVERAGE(B2827:B2876)</f>
        <v>2177.6382</v>
      </c>
      <c r="D2876" s="7" t="n">
        <f aca="false">AVERAGE(B2677:B2876)</f>
        <v>2042.0019</v>
      </c>
      <c r="E2876" s="7" t="n">
        <f aca="false">B2876/MAX(B2625:B2876)-1</f>
        <v>-0.140801564365688</v>
      </c>
      <c r="F2876" s="7" t="str">
        <f aca="false">IFERROR(INDEX(02_轉折點45個!B:B,MATCH(A2876,02_轉折點45個!A:A,0)),"")</f>
        <v/>
      </c>
      <c r="G2876" s="7" t="s">
        <v>1994</v>
      </c>
    </row>
    <row r="2877" customFormat="false" ht="15" hidden="false" customHeight="false" outlineLevel="0" collapsed="false">
      <c r="A2877" s="7" t="s">
        <v>887</v>
      </c>
      <c r="B2877" s="7" t="n">
        <v>1982.97</v>
      </c>
      <c r="C2877" s="7" t="n">
        <f aca="false">AVERAGE(B2828:B2877)</f>
        <v>2173.535</v>
      </c>
      <c r="D2877" s="7" t="n">
        <f aca="false">AVERAGE(B2678:B2877)</f>
        <v>2042.83025</v>
      </c>
      <c r="E2877" s="7" t="n">
        <f aca="false">B2877/MAX(B2626:B2877)-1</f>
        <v>-0.142121065291502</v>
      </c>
      <c r="F2877" s="7" t="str">
        <f aca="false">IFERROR(INDEX(02_轉折點45個!B:B,MATCH(A2877,02_轉折點45個!A:A,0)),"")</f>
        <v/>
      </c>
      <c r="G2877" s="7" t="s">
        <v>1994</v>
      </c>
    </row>
    <row r="2878" customFormat="false" ht="15" hidden="false" customHeight="false" outlineLevel="0" collapsed="false">
      <c r="A2878" s="7" t="s">
        <v>888</v>
      </c>
      <c r="B2878" s="7" t="n">
        <v>1972.27</v>
      </c>
      <c r="C2878" s="7" t="n">
        <f aca="false">AVERAGE(B2829:B2878)</f>
        <v>2169.0492</v>
      </c>
      <c r="D2878" s="7" t="n">
        <f aca="false">AVERAGE(B2679:B2878)</f>
        <v>2043.4604</v>
      </c>
      <c r="E2878" s="7" t="n">
        <f aca="false">B2878/MAX(B2627:B2878)-1</f>
        <v>-0.146750134113209</v>
      </c>
      <c r="F2878" s="7" t="str">
        <f aca="false">IFERROR(INDEX(02_轉折點45個!B:B,MATCH(A2878,02_轉折點45個!A:A,0)),"")</f>
        <v/>
      </c>
      <c r="G2878" s="7" t="s">
        <v>1994</v>
      </c>
    </row>
    <row r="2879" customFormat="false" ht="15" hidden="false" customHeight="false" outlineLevel="0" collapsed="false">
      <c r="A2879" s="7" t="s">
        <v>4337</v>
      </c>
      <c r="B2879" s="7" t="n">
        <v>2026.95</v>
      </c>
      <c r="C2879" s="7" t="n">
        <f aca="false">AVERAGE(B2830:B2879)</f>
        <v>2165.5414</v>
      </c>
      <c r="D2879" s="7" t="n">
        <f aca="false">AVERAGE(B2680:B2879)</f>
        <v>2044.3773</v>
      </c>
      <c r="E2879" s="7" t="n">
        <f aca="false">B2879/MAX(B2628:B2879)-1</f>
        <v>-0.123094294564521</v>
      </c>
      <c r="F2879" s="7" t="str">
        <f aca="false">IFERROR(INDEX(02_轉折點45個!B:B,MATCH(A2879,02_轉折點45個!A:A,0)),"")</f>
        <v/>
      </c>
      <c r="G2879" s="7" t="s">
        <v>1994</v>
      </c>
    </row>
    <row r="2880" customFormat="false" ht="15" hidden="false" customHeight="false" outlineLevel="0" collapsed="false">
      <c r="A2880" s="7" t="s">
        <v>889</v>
      </c>
      <c r="B2880" s="7" t="n">
        <v>2049.69</v>
      </c>
      <c r="C2880" s="7" t="n">
        <f aca="false">AVERAGE(B2831:B2880)</f>
        <v>2162.721</v>
      </c>
      <c r="D2880" s="7" t="n">
        <f aca="false">AVERAGE(B2681:B2880)</f>
        <v>2045.37935</v>
      </c>
      <c r="E2880" s="7" t="n">
        <f aca="false">B2880/MAX(B2629:B2880)-1</f>
        <v>-0.113256441760258</v>
      </c>
      <c r="F2880" s="7" t="str">
        <f aca="false">IFERROR(INDEX(02_轉折點45個!B:B,MATCH(A2880,02_轉折點45個!A:A,0)),"")</f>
        <v/>
      </c>
      <c r="G2880" s="7" t="s">
        <v>1994</v>
      </c>
    </row>
    <row r="2881" customFormat="false" ht="15" hidden="false" customHeight="false" outlineLevel="0" collapsed="false">
      <c r="A2881" s="7" t="s">
        <v>4338</v>
      </c>
      <c r="B2881" s="7" t="n">
        <v>2050.02</v>
      </c>
      <c r="C2881" s="7" t="n">
        <f aca="false">AVERAGE(B2832:B2881)</f>
        <v>2159.8228</v>
      </c>
      <c r="D2881" s="7" t="n">
        <f aca="false">AVERAGE(B2682:B2881)</f>
        <v>2046.38215</v>
      </c>
      <c r="E2881" s="7" t="n">
        <f aca="false">B2881/MAX(B2630:B2881)-1</f>
        <v>-0.113113676086317</v>
      </c>
      <c r="F2881" s="7" t="str">
        <f aca="false">IFERROR(INDEX(02_轉折點45個!B:B,MATCH(A2881,02_轉折點45個!A:A,0)),"")</f>
        <v/>
      </c>
      <c r="G2881" s="7" t="s">
        <v>1994</v>
      </c>
    </row>
    <row r="2882" customFormat="false" ht="15" hidden="false" customHeight="false" outlineLevel="0" collapsed="false">
      <c r="A2882" s="7" t="s">
        <v>4339</v>
      </c>
      <c r="B2882" s="7" t="n">
        <v>2106.59</v>
      </c>
      <c r="C2882" s="7" t="n">
        <f aca="false">AVERAGE(B2833:B2882)</f>
        <v>2157.5636</v>
      </c>
      <c r="D2882" s="7" t="n">
        <f aca="false">AVERAGE(B2683:B2882)</f>
        <v>2047.6527</v>
      </c>
      <c r="E2882" s="7" t="n">
        <f aca="false">B2882/MAX(B2631:B2882)-1</f>
        <v>-0.0886401785868793</v>
      </c>
      <c r="F2882" s="7" t="str">
        <f aca="false">IFERROR(INDEX(02_轉折點45個!B:B,MATCH(A2882,02_轉折點45個!A:A,0)),"")</f>
        <v/>
      </c>
      <c r="G2882" s="7" t="s">
        <v>1994</v>
      </c>
    </row>
    <row r="2883" customFormat="false" ht="15" hidden="false" customHeight="false" outlineLevel="0" collapsed="false">
      <c r="A2883" s="7" t="s">
        <v>4340</v>
      </c>
      <c r="B2883" s="7" t="n">
        <v>2106.63</v>
      </c>
      <c r="C2883" s="7" t="n">
        <f aca="false">AVERAGE(B2834:B2883)</f>
        <v>2155.1722</v>
      </c>
      <c r="D2883" s="7" t="n">
        <f aca="false">AVERAGE(B2684:B2883)</f>
        <v>2048.9187</v>
      </c>
      <c r="E2883" s="7" t="n">
        <f aca="false">B2883/MAX(B2632:B2883)-1</f>
        <v>-0.0886228736567047</v>
      </c>
      <c r="F2883" s="7" t="str">
        <f aca="false">IFERROR(INDEX(02_轉折點45個!B:B,MATCH(A2883,02_轉折點45個!A:A,0)),"")</f>
        <v/>
      </c>
      <c r="G2883" s="7" t="s">
        <v>1994</v>
      </c>
    </row>
    <row r="2884" customFormat="false" ht="15" hidden="false" customHeight="false" outlineLevel="0" collapsed="false">
      <c r="A2884" s="7" t="s">
        <v>4341</v>
      </c>
      <c r="B2884" s="7" t="n">
        <v>2107.76</v>
      </c>
      <c r="C2884" s="7" t="n">
        <f aca="false">AVERAGE(B2835:B2884)</f>
        <v>2152.9066</v>
      </c>
      <c r="D2884" s="7" t="n">
        <f aca="false">AVERAGE(B2685:B2884)</f>
        <v>2050.2804</v>
      </c>
      <c r="E2884" s="7" t="n">
        <f aca="false">B2884/MAX(B2633:B2884)-1</f>
        <v>-0.0881340093792721</v>
      </c>
      <c r="F2884" s="7" t="str">
        <f aca="false">IFERROR(INDEX(02_轉折點45個!B:B,MATCH(A2884,02_轉折點45個!A:A,0)),"")</f>
        <v/>
      </c>
      <c r="G2884" s="7" t="s">
        <v>1994</v>
      </c>
    </row>
    <row r="2885" customFormat="false" ht="15" hidden="false" customHeight="false" outlineLevel="0" collapsed="false">
      <c r="A2885" s="7" t="s">
        <v>4342</v>
      </c>
      <c r="B2885" s="7" t="n">
        <v>2110.17</v>
      </c>
      <c r="C2885" s="7" t="n">
        <f aca="false">AVERAGE(B2836:B2885)</f>
        <v>2150.586</v>
      </c>
      <c r="D2885" s="7" t="n">
        <f aca="false">AVERAGE(B2686:B2885)</f>
        <v>2051.83765</v>
      </c>
      <c r="E2885" s="7" t="n">
        <f aca="false">B2885/MAX(B2634:B2885)-1</f>
        <v>-0.0870913873362521</v>
      </c>
      <c r="F2885" s="7" t="str">
        <f aca="false">IFERROR(INDEX(02_轉折點45個!B:B,MATCH(A2885,02_轉折點45個!A:A,0)),"")</f>
        <v/>
      </c>
      <c r="G2885" s="7" t="s">
        <v>1994</v>
      </c>
    </row>
    <row r="2886" customFormat="false" ht="15" hidden="false" customHeight="false" outlineLevel="0" collapsed="false">
      <c r="A2886" s="7" t="s">
        <v>4343</v>
      </c>
      <c r="B2886" s="7" t="n">
        <v>2091.25</v>
      </c>
      <c r="C2886" s="7" t="n">
        <f aca="false">AVERAGE(B2837:B2886)</f>
        <v>2147.572</v>
      </c>
      <c r="D2886" s="7" t="n">
        <f aca="false">AVERAGE(B2687:B2886)</f>
        <v>2053.3086</v>
      </c>
      <c r="E2886" s="7" t="n">
        <f aca="false">B2886/MAX(B2635:B2886)-1</f>
        <v>-0.0952766193088411</v>
      </c>
      <c r="F2886" s="7" t="str">
        <f aca="false">IFERROR(INDEX(02_轉折點45個!B:B,MATCH(A2886,02_轉折點45個!A:A,0)),"")</f>
        <v/>
      </c>
      <c r="G2886" s="7" t="s">
        <v>1994</v>
      </c>
    </row>
    <row r="2887" customFormat="false" ht="15" hidden="false" customHeight="false" outlineLevel="0" collapsed="false">
      <c r="A2887" s="7" t="s">
        <v>4344</v>
      </c>
      <c r="B2887" s="7" t="n">
        <v>2066.32</v>
      </c>
      <c r="C2887" s="7" t="n">
        <f aca="false">AVERAGE(B2838:B2887)</f>
        <v>2143.9896</v>
      </c>
      <c r="D2887" s="7" t="n">
        <f aca="false">AVERAGE(B2688:B2887)</f>
        <v>2054.5812</v>
      </c>
      <c r="E2887" s="7" t="n">
        <f aca="false">B2887/MAX(B2636:B2887)-1</f>
        <v>-0.106061917040165</v>
      </c>
      <c r="F2887" s="7" t="str">
        <f aca="false">IFERROR(INDEX(02_轉折點45個!B:B,MATCH(A2887,02_轉折點45個!A:A,0)),"")</f>
        <v/>
      </c>
      <c r="G2887" s="7" t="s">
        <v>1994</v>
      </c>
    </row>
    <row r="2888" customFormat="false" ht="15" hidden="false" customHeight="false" outlineLevel="0" collapsed="false">
      <c r="A2888" s="7" t="s">
        <v>4345</v>
      </c>
      <c r="B2888" s="7" t="n">
        <v>2059.4</v>
      </c>
      <c r="C2888" s="7" t="n">
        <f aca="false">AVERAGE(B2839:B2888)</f>
        <v>2140.1204</v>
      </c>
      <c r="D2888" s="7" t="n">
        <f aca="false">AVERAGE(B2689:B2888)</f>
        <v>2055.6567</v>
      </c>
      <c r="E2888" s="7" t="n">
        <f aca="false">B2888/MAX(B2637:B2888)-1</f>
        <v>-0.109055669960372</v>
      </c>
      <c r="F2888" s="7" t="str">
        <f aca="false">IFERROR(INDEX(02_轉折點45個!B:B,MATCH(A2888,02_轉折點45個!A:A,0)),"")</f>
        <v/>
      </c>
      <c r="G2888" s="7" t="s">
        <v>1994</v>
      </c>
    </row>
    <row r="2889" customFormat="false" ht="15" hidden="false" customHeight="false" outlineLevel="0" collapsed="false">
      <c r="A2889" s="7" t="s">
        <v>890</v>
      </c>
      <c r="B2889" s="7" t="n">
        <v>2025.77</v>
      </c>
      <c r="C2889" s="7" t="n">
        <f aca="false">AVERAGE(B2840:B2889)</f>
        <v>2134.8684</v>
      </c>
      <c r="D2889" s="7" t="n">
        <f aca="false">AVERAGE(B2690:B2889)</f>
        <v>2056.4773</v>
      </c>
      <c r="E2889" s="7" t="n">
        <f aca="false">B2889/MAX(B2638:B2889)-1</f>
        <v>-0.123604790004672</v>
      </c>
      <c r="F2889" s="7" t="str">
        <f aca="false">IFERROR(INDEX(02_轉折點45個!B:B,MATCH(A2889,02_轉折點45個!A:A,0)),"")</f>
        <v/>
      </c>
      <c r="G2889" s="7" t="s">
        <v>1994</v>
      </c>
    </row>
    <row r="2890" customFormat="false" ht="15" hidden="false" customHeight="false" outlineLevel="0" collapsed="false">
      <c r="A2890" s="7" t="s">
        <v>4346</v>
      </c>
      <c r="B2890" s="7" t="n">
        <v>2031.31</v>
      </c>
      <c r="C2890" s="7" t="n">
        <f aca="false">AVERAGE(B2841:B2890)</f>
        <v>2129.5292</v>
      </c>
      <c r="D2890" s="7" t="n">
        <f aca="false">AVERAGE(B2691:B2890)</f>
        <v>2057.22225</v>
      </c>
      <c r="E2890" s="7" t="n">
        <f aca="false">B2890/MAX(B2639:B2890)-1</f>
        <v>-0.121208057175489</v>
      </c>
      <c r="F2890" s="7" t="str">
        <f aca="false">IFERROR(INDEX(02_轉折點45個!B:B,MATCH(A2890,02_轉折點45個!A:A,0)),"")</f>
        <v/>
      </c>
      <c r="G2890" s="7" t="s">
        <v>1994</v>
      </c>
    </row>
    <row r="2891" customFormat="false" ht="15" hidden="false" customHeight="false" outlineLevel="0" collapsed="false">
      <c r="A2891" s="7" t="s">
        <v>4347</v>
      </c>
      <c r="B2891" s="7" t="n">
        <v>2028.72</v>
      </c>
      <c r="C2891" s="7" t="n">
        <f aca="false">AVERAGE(B2842:B2891)</f>
        <v>2124.7674</v>
      </c>
      <c r="D2891" s="7" t="n">
        <f aca="false">AVERAGE(B2692:B2891)</f>
        <v>2057.84635</v>
      </c>
      <c r="E2891" s="7" t="n">
        <f aca="false">B2891/MAX(B2640:B2891)-1</f>
        <v>-0.122328551404295</v>
      </c>
      <c r="F2891" s="7" t="str">
        <f aca="false">IFERROR(INDEX(02_轉折點45個!B:B,MATCH(A2891,02_轉折點45個!A:A,0)),"")</f>
        <v/>
      </c>
      <c r="G2891" s="7" t="s">
        <v>1994</v>
      </c>
    </row>
    <row r="2892" customFormat="false" ht="15" hidden="false" customHeight="false" outlineLevel="0" collapsed="false">
      <c r="A2892" s="7" t="s">
        <v>891</v>
      </c>
      <c r="B2892" s="7" t="n">
        <v>1950.64</v>
      </c>
      <c r="C2892" s="7" t="n">
        <f aca="false">AVERAGE(B2843:B2892)</f>
        <v>2118.465</v>
      </c>
      <c r="D2892" s="7" t="n">
        <f aca="false">AVERAGE(B2693:B2892)</f>
        <v>2058.0943</v>
      </c>
      <c r="E2892" s="7" t="n">
        <f aca="false">B2892/MAX(B2641:B2892)-1</f>
        <v>-0.156107775105127</v>
      </c>
      <c r="F2892" s="7" t="str">
        <f aca="false">IFERROR(INDEX(02_轉折點45個!B:B,MATCH(A2892,02_轉折點45個!A:A,0)),"")</f>
        <v/>
      </c>
      <c r="G2892" s="7" t="s">
        <v>1994</v>
      </c>
    </row>
    <row r="2893" customFormat="false" ht="15" hidden="false" customHeight="false" outlineLevel="0" collapsed="false">
      <c r="A2893" s="7" t="s">
        <v>892</v>
      </c>
      <c r="B2893" s="7" t="n">
        <v>1926.94</v>
      </c>
      <c r="C2893" s="7" t="n">
        <f aca="false">AVERAGE(B2844:B2893)</f>
        <v>2111.3196</v>
      </c>
      <c r="D2893" s="7" t="n">
        <f aca="false">AVERAGE(B2694:B2893)</f>
        <v>2058.17405</v>
      </c>
      <c r="E2893" s="7" t="n">
        <f aca="false">B2893/MAX(B2642:B2893)-1</f>
        <v>-0.166360946233582</v>
      </c>
      <c r="F2893" s="7" t="str">
        <f aca="false">IFERROR(INDEX(02_轉折點45個!B:B,MATCH(A2893,02_轉折點45個!A:A,0)),"")</f>
        <v/>
      </c>
      <c r="G2893" s="7" t="s">
        <v>1994</v>
      </c>
    </row>
    <row r="2894" customFormat="false" ht="15" hidden="false" customHeight="false" outlineLevel="0" collapsed="false">
      <c r="A2894" s="7" t="s">
        <v>4348</v>
      </c>
      <c r="B2894" s="7" t="n">
        <v>1919.75</v>
      </c>
      <c r="C2894" s="7" t="n">
        <f aca="false">AVERAGE(B2845:B2894)</f>
        <v>2103.9518</v>
      </c>
      <c r="D2894" s="7" t="n">
        <f aca="false">AVERAGE(B2695:B2894)</f>
        <v>2058.16825</v>
      </c>
      <c r="E2894" s="7" t="n">
        <f aca="false">B2894/MAX(B2643:B2894)-1</f>
        <v>-0.169471507432468</v>
      </c>
      <c r="F2894" s="7" t="str">
        <f aca="false">IFERROR(INDEX(02_轉折點45個!B:B,MATCH(A2894,02_轉折點45個!A:A,0)),"")</f>
        <v/>
      </c>
      <c r="G2894" s="7" t="s">
        <v>1994</v>
      </c>
    </row>
    <row r="2895" customFormat="false" ht="15" hidden="false" customHeight="false" outlineLevel="0" collapsed="false">
      <c r="A2895" s="7" t="s">
        <v>141</v>
      </c>
      <c r="B2895" s="7" t="n">
        <v>1911</v>
      </c>
      <c r="C2895" s="7" t="n">
        <f aca="false">AVERAGE(B2846:B2895)</f>
        <v>2096.1448</v>
      </c>
      <c r="D2895" s="7" t="n">
        <f aca="false">AVERAGE(B2696:B2895)</f>
        <v>2057.9793</v>
      </c>
      <c r="E2895" s="7" t="n">
        <f aca="false">B2895/MAX(B2644:B2895)-1</f>
        <v>-0.173256960908163</v>
      </c>
      <c r="F2895" s="7" t="str">
        <f aca="false">IFERROR(INDEX(02_轉折點45個!B:B,MATCH(A2895,02_轉折點45個!A:A,0)),"")</f>
        <v>BOTTOM</v>
      </c>
      <c r="G2895" s="7" t="s">
        <v>1994</v>
      </c>
    </row>
    <row r="2896" customFormat="false" ht="15" hidden="false" customHeight="false" outlineLevel="0" collapsed="false">
      <c r="A2896" s="7" t="s">
        <v>4349</v>
      </c>
      <c r="B2896" s="7" t="n">
        <v>1912.91</v>
      </c>
      <c r="C2896" s="7" t="n">
        <f aca="false">AVERAGE(B2847:B2896)</f>
        <v>2088.1734</v>
      </c>
      <c r="D2896" s="7" t="n">
        <f aca="false">AVERAGE(B2697:B2896)</f>
        <v>2057.82915</v>
      </c>
      <c r="E2896" s="7" t="n">
        <f aca="false">B2896/MAX(B2645:B2896)-1</f>
        <v>-0.172430650492325</v>
      </c>
      <c r="F2896" s="7" t="str">
        <f aca="false">IFERROR(INDEX(02_轉折點45個!B:B,MATCH(A2896,02_轉折點45個!A:A,0)),"")</f>
        <v/>
      </c>
      <c r="G2896" s="7" t="s">
        <v>1994</v>
      </c>
    </row>
    <row r="2897" customFormat="false" ht="15" hidden="false" customHeight="false" outlineLevel="0" collapsed="false">
      <c r="A2897" s="7" t="s">
        <v>4350</v>
      </c>
      <c r="B2897" s="7" t="n">
        <v>1972.83</v>
      </c>
      <c r="C2897" s="7" t="n">
        <f aca="false">AVERAGE(B2848:B2897)</f>
        <v>2081.532</v>
      </c>
      <c r="D2897" s="7" t="n">
        <f aca="false">AVERAGE(B2698:B2897)</f>
        <v>2057.9507</v>
      </c>
      <c r="E2897" s="7" t="n">
        <f aca="false">B2897/MAX(B2646:B2897)-1</f>
        <v>-0.146507865090764</v>
      </c>
      <c r="F2897" s="7" t="str">
        <f aca="false">IFERROR(INDEX(02_轉折點45個!B:B,MATCH(A2897,02_轉折點45個!A:A,0)),"")</f>
        <v/>
      </c>
      <c r="G2897" s="7" t="s">
        <v>1994</v>
      </c>
    </row>
    <row r="2898" customFormat="false" ht="15" hidden="false" customHeight="false" outlineLevel="0" collapsed="false">
      <c r="A2898" s="7" t="s">
        <v>4351</v>
      </c>
      <c r="B2898" s="7" t="n">
        <v>1987.39</v>
      </c>
      <c r="C2898" s="7" t="n">
        <f aca="false">AVERAGE(B2849:B2898)</f>
        <v>2076.1224</v>
      </c>
      <c r="D2898" s="7" t="n">
        <f aca="false">AVERAGE(B2699:B2898)</f>
        <v>2058.1214</v>
      </c>
      <c r="E2898" s="7" t="n">
        <f aca="false">B2898/MAX(B2647:B2898)-1</f>
        <v>-0.140208870507207</v>
      </c>
      <c r="F2898" s="7" t="str">
        <f aca="false">IFERROR(INDEX(02_轉折點45個!B:B,MATCH(A2898,02_轉折點45個!A:A,0)),"")</f>
        <v/>
      </c>
      <c r="G2898" s="7" t="s">
        <v>1994</v>
      </c>
    </row>
    <row r="2899" customFormat="false" ht="15" hidden="false" customHeight="false" outlineLevel="0" collapsed="false">
      <c r="A2899" s="7" t="s">
        <v>893</v>
      </c>
      <c r="B2899" s="7" t="n">
        <v>2006.62</v>
      </c>
      <c r="C2899" s="7" t="n">
        <f aca="false">AVERAGE(B2850:B2899)</f>
        <v>2071.0928</v>
      </c>
      <c r="D2899" s="7" t="n">
        <f aca="false">AVERAGE(B2700:B2899)</f>
        <v>2058.3505</v>
      </c>
      <c r="E2899" s="7" t="n">
        <f aca="false">B2899/MAX(B2648:B2899)-1</f>
        <v>-0.131889525325765</v>
      </c>
      <c r="F2899" s="7" t="str">
        <f aca="false">IFERROR(INDEX(02_轉折點45個!B:B,MATCH(A2899,02_轉折點45個!A:A,0)),"")</f>
        <v/>
      </c>
      <c r="G2899" s="7" t="s">
        <v>1994</v>
      </c>
    </row>
    <row r="2900" customFormat="false" ht="15" hidden="false" customHeight="false" outlineLevel="0" collapsed="false">
      <c r="A2900" s="7" t="s">
        <v>4352</v>
      </c>
      <c r="B2900" s="7" t="n">
        <v>2008.36</v>
      </c>
      <c r="C2900" s="7" t="n">
        <f aca="false">AVERAGE(B2851:B2900)</f>
        <v>2065.3636</v>
      </c>
      <c r="D2900" s="7" t="n">
        <f aca="false">AVERAGE(B2701:B2900)</f>
        <v>2058.65625</v>
      </c>
      <c r="E2900" s="7" t="n">
        <f aca="false">B2900/MAX(B2649:B2900)-1</f>
        <v>-0.13113676086317</v>
      </c>
      <c r="F2900" s="7" t="str">
        <f aca="false">IFERROR(INDEX(02_轉折點45個!B:B,MATCH(A2900,02_轉折點45個!A:A,0)),"")</f>
        <v/>
      </c>
      <c r="G2900" s="7" t="s">
        <v>1994</v>
      </c>
    </row>
    <row r="2901" customFormat="false" ht="15" hidden="false" customHeight="false" outlineLevel="0" collapsed="false">
      <c r="A2901" s="7" t="s">
        <v>4353</v>
      </c>
      <c r="B2901" s="7" t="n">
        <v>2048.26</v>
      </c>
      <c r="C2901" s="7" t="n">
        <f aca="false">AVERAGE(B2852:B2901)</f>
        <v>2061.3592</v>
      </c>
      <c r="D2901" s="7" t="n">
        <f aca="false">AVERAGE(B2702:B2901)</f>
        <v>2059.2703</v>
      </c>
      <c r="E2901" s="7" t="n">
        <f aca="false">B2901/MAX(B2650:B2901)-1</f>
        <v>-0.113875093014</v>
      </c>
      <c r="F2901" s="7" t="str">
        <f aca="false">IFERROR(INDEX(02_轉折點45個!B:B,MATCH(A2901,02_轉折點45個!A:A,0)),"")</f>
        <v/>
      </c>
      <c r="G2901" s="7" t="s">
        <v>1994</v>
      </c>
    </row>
    <row r="2902" customFormat="false" ht="15" hidden="false" customHeight="false" outlineLevel="0" collapsed="false">
      <c r="A2902" s="7" t="s">
        <v>4354</v>
      </c>
      <c r="B2902" s="7" t="n">
        <v>2055.39</v>
      </c>
      <c r="C2902" s="7" t="n">
        <f aca="false">AVERAGE(B2853:B2902)</f>
        <v>2056.8114</v>
      </c>
      <c r="D2902" s="7" t="n">
        <f aca="false">AVERAGE(B2703:B2902)</f>
        <v>2059.9962</v>
      </c>
      <c r="E2902" s="7" t="n">
        <f aca="false">B2902/MAX(B2651:B2902)-1</f>
        <v>-0.110790489210376</v>
      </c>
      <c r="F2902" s="7" t="str">
        <f aca="false">IFERROR(INDEX(02_轉折點45個!B:B,MATCH(A2902,02_轉折點45個!A:A,0)),"")</f>
        <v/>
      </c>
      <c r="G2902" s="7" t="s">
        <v>1994</v>
      </c>
    </row>
    <row r="2903" customFormat="false" ht="15" hidden="false" customHeight="false" outlineLevel="0" collapsed="false">
      <c r="A2903" s="7" t="s">
        <v>4355</v>
      </c>
      <c r="B2903" s="7" t="n">
        <v>2054.7</v>
      </c>
      <c r="C2903" s="7" t="n">
        <f aca="false">AVERAGE(B2854:B2903)</f>
        <v>2053.6108</v>
      </c>
      <c r="D2903" s="7" t="n">
        <f aca="false">AVERAGE(B2704:B2903)</f>
        <v>2060.53675</v>
      </c>
      <c r="E2903" s="7" t="n">
        <f aca="false">B2903/MAX(B2652:B2903)-1</f>
        <v>-0.111088999255888</v>
      </c>
      <c r="F2903" s="7" t="str">
        <f aca="false">IFERROR(INDEX(02_轉折點45個!B:B,MATCH(A2903,02_轉折點45個!A:A,0)),"")</f>
        <v/>
      </c>
      <c r="G2903" s="7" t="s">
        <v>1994</v>
      </c>
    </row>
    <row r="2904" customFormat="false" ht="15" hidden="false" customHeight="false" outlineLevel="0" collapsed="false">
      <c r="A2904" s="7" t="s">
        <v>4356</v>
      </c>
      <c r="B2904" s="7" t="n">
        <v>1990.72</v>
      </c>
      <c r="C2904" s="7" t="n">
        <f aca="false">AVERAGE(B2855:B2904)</f>
        <v>2049.5318</v>
      </c>
      <c r="D2904" s="7" t="n">
        <f aca="false">AVERAGE(B2705:B2904)</f>
        <v>2060.78805</v>
      </c>
      <c r="E2904" s="7" t="n">
        <f aca="false">B2904/MAX(B2653:B2904)-1</f>
        <v>-0.138768235070171</v>
      </c>
      <c r="F2904" s="7" t="str">
        <f aca="false">IFERROR(INDEX(02_轉折點45個!B:B,MATCH(A2904,02_轉折點45個!A:A,0)),"")</f>
        <v/>
      </c>
      <c r="G2904" s="7" t="s">
        <v>1994</v>
      </c>
    </row>
    <row r="2905" customFormat="false" ht="15" hidden="false" customHeight="false" outlineLevel="0" collapsed="false">
      <c r="A2905" s="7" t="s">
        <v>4357</v>
      </c>
      <c r="B2905" s="7" t="n">
        <v>2008.24</v>
      </c>
      <c r="C2905" s="7" t="n">
        <f aca="false">AVERAGE(B2856:B2905)</f>
        <v>2047.3134</v>
      </c>
      <c r="D2905" s="7" t="n">
        <f aca="false">AVERAGE(B2706:B2905)</f>
        <v>2061.13435</v>
      </c>
      <c r="E2905" s="7" t="n">
        <f aca="false">B2905/MAX(B2654:B2905)-1</f>
        <v>-0.131188675653694</v>
      </c>
      <c r="F2905" s="7" t="str">
        <f aca="false">IFERROR(INDEX(02_轉折點45個!B:B,MATCH(A2905,02_轉折點45個!A:A,0)),"")</f>
        <v/>
      </c>
      <c r="G2905" s="7" t="s">
        <v>1994</v>
      </c>
    </row>
    <row r="2906" customFormat="false" ht="15" hidden="false" customHeight="false" outlineLevel="0" collapsed="false">
      <c r="A2906" s="7" t="s">
        <v>4358</v>
      </c>
      <c r="B2906" s="7" t="n">
        <v>2030.41</v>
      </c>
      <c r="C2906" s="7" t="n">
        <f aca="false">AVERAGE(B2857:B2906)</f>
        <v>2046.525</v>
      </c>
      <c r="D2906" s="7" t="n">
        <f aca="false">AVERAGE(B2707:B2906)</f>
        <v>2061.8881</v>
      </c>
      <c r="E2906" s="7" t="n">
        <f aca="false">B2906/MAX(B2655:B2906)-1</f>
        <v>-0.121597418104418</v>
      </c>
      <c r="F2906" s="7" t="str">
        <f aca="false">IFERROR(INDEX(02_轉折點45個!B:B,MATCH(A2906,02_轉折點45個!A:A,0)),"")</f>
        <v/>
      </c>
      <c r="G2906" s="7" t="s">
        <v>1994</v>
      </c>
    </row>
    <row r="2907" customFormat="false" ht="15" hidden="false" customHeight="false" outlineLevel="0" collapsed="false">
      <c r="A2907" s="7" t="s">
        <v>4359</v>
      </c>
      <c r="B2907" s="7" t="n">
        <v>1998.28</v>
      </c>
      <c r="C2907" s="7" t="n">
        <f aca="false">AVERAGE(B2858:B2907)</f>
        <v>2043.102</v>
      </c>
      <c r="D2907" s="7" t="n">
        <f aca="false">AVERAGE(B2708:B2907)</f>
        <v>2062.524</v>
      </c>
      <c r="E2907" s="7" t="n">
        <f aca="false">B2907/MAX(B2656:B2907)-1</f>
        <v>-0.135497603267171</v>
      </c>
      <c r="F2907" s="7" t="str">
        <f aca="false">IFERROR(INDEX(02_轉折點45個!B:B,MATCH(A2907,02_轉折點45個!A:A,0)),"")</f>
        <v/>
      </c>
      <c r="G2907" s="7" t="s">
        <v>1994</v>
      </c>
    </row>
    <row r="2908" customFormat="false" ht="15" hidden="false" customHeight="false" outlineLevel="0" collapsed="false">
      <c r="A2908" s="7" t="s">
        <v>4360</v>
      </c>
      <c r="B2908" s="7" t="n">
        <v>2051.78</v>
      </c>
      <c r="C2908" s="7" t="n">
        <f aca="false">AVERAGE(B2859:B2908)</f>
        <v>2040.7372</v>
      </c>
      <c r="D2908" s="7" t="n">
        <f aca="false">AVERAGE(B2709:B2908)</f>
        <v>2063.33585</v>
      </c>
      <c r="E2908" s="7" t="n">
        <f aca="false">B2908/MAX(B2657:B2908)-1</f>
        <v>-0.112352259158634</v>
      </c>
      <c r="F2908" s="7" t="str">
        <f aca="false">IFERROR(INDEX(02_轉折點45個!B:B,MATCH(A2908,02_轉折點45個!A:A,0)),"")</f>
        <v/>
      </c>
      <c r="G2908" s="7" t="s">
        <v>1994</v>
      </c>
    </row>
    <row r="2909" customFormat="false" ht="15" hidden="false" customHeight="false" outlineLevel="0" collapsed="false">
      <c r="A2909" s="7" t="s">
        <v>894</v>
      </c>
      <c r="B2909" s="7" t="n">
        <v>2073.33</v>
      </c>
      <c r="C2909" s="7" t="n">
        <f aca="false">AVERAGE(B2860:B2909)</f>
        <v>2037.8952</v>
      </c>
      <c r="D2909" s="7" t="n">
        <f aca="false">AVERAGE(B2710:B2909)</f>
        <v>2064.0937</v>
      </c>
      <c r="E2909" s="7" t="n">
        <f aca="false">B2909/MAX(B2658:B2909)-1</f>
        <v>-0.103029228027065</v>
      </c>
      <c r="F2909" s="7" t="str">
        <f aca="false">IFERROR(INDEX(02_轉折點45個!B:B,MATCH(A2909,02_轉折點45個!A:A,0)),"")</f>
        <v/>
      </c>
      <c r="G2909" s="7" t="s">
        <v>1994</v>
      </c>
    </row>
    <row r="2910" customFormat="false" ht="15" hidden="false" customHeight="false" outlineLevel="0" collapsed="false">
      <c r="A2910" s="7" t="s">
        <v>4361</v>
      </c>
      <c r="B2910" s="7" t="n">
        <v>2097.96</v>
      </c>
      <c r="C2910" s="7" t="n">
        <f aca="false">AVERAGE(B2861:B2910)</f>
        <v>2036.106</v>
      </c>
      <c r="D2910" s="7" t="n">
        <f aca="false">AVERAGE(B2711:B2910)</f>
        <v>2064.9438</v>
      </c>
      <c r="E2910" s="7" t="n">
        <f aca="false">B2910/MAX(B2659:B2910)-1</f>
        <v>-0.0923737172720508</v>
      </c>
      <c r="F2910" s="7" t="str">
        <f aca="false">IFERROR(INDEX(02_轉折點45個!B:B,MATCH(A2910,02_轉折點45個!A:A,0)),"")</f>
        <v/>
      </c>
      <c r="G2910" s="7" t="s">
        <v>1994</v>
      </c>
    </row>
    <row r="2911" customFormat="false" ht="15" hidden="false" customHeight="false" outlineLevel="0" collapsed="false">
      <c r="A2911" s="7" t="s">
        <v>4362</v>
      </c>
      <c r="B2911" s="7" t="n">
        <v>2090.48</v>
      </c>
      <c r="C2911" s="7" t="n">
        <f aca="false">AVERAGE(B2862:B2911)</f>
        <v>2035.0352</v>
      </c>
      <c r="D2911" s="7" t="n">
        <f aca="false">AVERAGE(B2712:B2911)</f>
        <v>2065.6944</v>
      </c>
      <c r="E2911" s="7" t="n">
        <f aca="false">B2911/MAX(B2660:B2911)-1</f>
        <v>-0.0956097392147023</v>
      </c>
      <c r="F2911" s="7" t="str">
        <f aca="false">IFERROR(INDEX(02_轉折點45個!B:B,MATCH(A2911,02_轉折點45個!A:A,0)),"")</f>
        <v/>
      </c>
      <c r="G2911" s="7" t="s">
        <v>1994</v>
      </c>
    </row>
    <row r="2912" customFormat="false" ht="15" hidden="false" customHeight="false" outlineLevel="0" collapsed="false">
      <c r="A2912" s="7" t="s">
        <v>4363</v>
      </c>
      <c r="B2912" s="7" t="n">
        <v>2068.84</v>
      </c>
      <c r="C2912" s="7" t="n">
        <f aca="false">AVERAGE(B2863:B2912)</f>
        <v>2033.3968</v>
      </c>
      <c r="D2912" s="7" t="n">
        <f aca="false">AVERAGE(B2713:B2912)</f>
        <v>2066.26665</v>
      </c>
      <c r="E2912" s="7" t="n">
        <f aca="false">B2912/MAX(B2661:B2912)-1</f>
        <v>-0.104971706439164</v>
      </c>
      <c r="F2912" s="7" t="str">
        <f aca="false">IFERROR(INDEX(02_轉折點45個!B:B,MATCH(A2912,02_轉折點45個!A:A,0)),"")</f>
        <v/>
      </c>
      <c r="G2912" s="7" t="s">
        <v>1994</v>
      </c>
    </row>
    <row r="2913" customFormat="false" ht="15" hidden="false" customHeight="false" outlineLevel="0" collapsed="false">
      <c r="A2913" s="7" t="s">
        <v>895</v>
      </c>
      <c r="B2913" s="7" t="n">
        <v>2057.08</v>
      </c>
      <c r="C2913" s="7" t="n">
        <f aca="false">AVERAGE(B2864:B2913)</f>
        <v>2032.1986</v>
      </c>
      <c r="D2913" s="7" t="n">
        <f aca="false">AVERAGE(B2714:B2913)</f>
        <v>2066.78075</v>
      </c>
      <c r="E2913" s="7" t="n">
        <f aca="false">B2913/MAX(B2662:B2913)-1</f>
        <v>-0.110059355910499</v>
      </c>
      <c r="F2913" s="7" t="str">
        <f aca="false">IFERROR(INDEX(02_轉折點45個!B:B,MATCH(A2913,02_轉折點45個!A:A,0)),"")</f>
        <v/>
      </c>
      <c r="G2913" s="7" t="s">
        <v>1994</v>
      </c>
    </row>
    <row r="2914" customFormat="false" ht="15" hidden="false" customHeight="false" outlineLevel="0" collapsed="false">
      <c r="A2914" s="7" t="s">
        <v>4364</v>
      </c>
      <c r="B2914" s="7" t="n">
        <v>2059.83</v>
      </c>
      <c r="C2914" s="7" t="n">
        <f aca="false">AVERAGE(B2865:B2914)</f>
        <v>2031.4006</v>
      </c>
      <c r="D2914" s="7" t="n">
        <f aca="false">AVERAGE(B2715:B2914)</f>
        <v>2067.3052</v>
      </c>
      <c r="E2914" s="7" t="n">
        <f aca="false">B2914/MAX(B2663:B2914)-1</f>
        <v>-0.108869641960995</v>
      </c>
      <c r="F2914" s="7" t="str">
        <f aca="false">IFERROR(INDEX(02_轉折點45個!B:B,MATCH(A2914,02_轉折點45個!A:A,0)),"")</f>
        <v/>
      </c>
      <c r="G2914" s="7" t="s">
        <v>1994</v>
      </c>
    </row>
    <row r="2915" customFormat="false" ht="15" hidden="false" customHeight="false" outlineLevel="0" collapsed="false">
      <c r="A2915" s="7" t="s">
        <v>897</v>
      </c>
      <c r="B2915" s="7" t="n">
        <v>2096.98</v>
      </c>
      <c r="C2915" s="7" t="n">
        <f aca="false">AVERAGE(B2866:B2915)</f>
        <v>2033.0698</v>
      </c>
      <c r="D2915" s="7" t="n">
        <f aca="false">AVERAGE(B2716:B2915)</f>
        <v>2067.86765</v>
      </c>
      <c r="E2915" s="7" t="n">
        <f aca="false">B2915/MAX(B2664:B2915)-1</f>
        <v>-0.0927976880613287</v>
      </c>
      <c r="F2915" s="7" t="str">
        <f aca="false">IFERROR(INDEX(02_轉折點45個!B:B,MATCH(A2915,02_轉折點45個!A:A,0)),"")</f>
        <v/>
      </c>
      <c r="G2915" s="7" t="s">
        <v>1994</v>
      </c>
    </row>
    <row r="2916" customFormat="false" ht="15" hidden="false" customHeight="false" outlineLevel="0" collapsed="false">
      <c r="A2916" s="7" t="s">
        <v>4365</v>
      </c>
      <c r="B2916" s="7" t="n">
        <v>2086.16</v>
      </c>
      <c r="C2916" s="7" t="n">
        <f aca="false">AVERAGE(B2867:B2916)</f>
        <v>2034.0652</v>
      </c>
      <c r="D2916" s="7" t="n">
        <f aca="false">AVERAGE(B2717:B2916)</f>
        <v>2068.37115</v>
      </c>
      <c r="E2916" s="7" t="n">
        <f aca="false">B2916/MAX(B2665:B2916)-1</f>
        <v>-0.0974786716735598</v>
      </c>
      <c r="F2916" s="7" t="str">
        <f aca="false">IFERROR(INDEX(02_轉折點45個!B:B,MATCH(A2916,02_轉折點45個!A:A,0)),"")</f>
        <v/>
      </c>
      <c r="G2916" s="7" t="s">
        <v>1994</v>
      </c>
    </row>
    <row r="2917" customFormat="false" ht="15" hidden="false" customHeight="false" outlineLevel="0" collapsed="false">
      <c r="A2917" s="7" t="s">
        <v>4366</v>
      </c>
      <c r="B2917" s="7" t="n">
        <v>2104.48</v>
      </c>
      <c r="C2917" s="7" t="n">
        <f aca="false">AVERAGE(B2868:B2917)</f>
        <v>2035.71</v>
      </c>
      <c r="D2917" s="7" t="n">
        <f aca="false">AVERAGE(B2718:B2917)</f>
        <v>2069.0416</v>
      </c>
      <c r="E2917" s="7" t="n">
        <f aca="false">B2917/MAX(B2666:B2917)-1</f>
        <v>-0.0895530136535899</v>
      </c>
      <c r="F2917" s="7" t="str">
        <f aca="false">IFERROR(INDEX(02_轉折點45個!B:B,MATCH(A2917,02_轉折點45個!A:A,0)),"")</f>
        <v/>
      </c>
      <c r="G2917" s="7" t="s">
        <v>1994</v>
      </c>
    </row>
    <row r="2918" customFormat="false" ht="15" hidden="false" customHeight="false" outlineLevel="0" collapsed="false">
      <c r="A2918" s="7" t="s">
        <v>4367</v>
      </c>
      <c r="B2918" s="7" t="n">
        <v>2094.88</v>
      </c>
      <c r="C2918" s="7" t="n">
        <f aca="false">AVERAGE(B2869:B2918)</f>
        <v>2037.2104</v>
      </c>
      <c r="D2918" s="7" t="n">
        <f aca="false">AVERAGE(B2719:B2918)</f>
        <v>2069.57485</v>
      </c>
      <c r="E2918" s="7" t="n">
        <f aca="false">B2918/MAX(B2667:B2918)-1</f>
        <v>-0.0937061968954955</v>
      </c>
      <c r="F2918" s="7" t="str">
        <f aca="false">IFERROR(INDEX(02_轉折點45個!B:B,MATCH(A2918,02_轉折點45個!A:A,0)),"")</f>
        <v/>
      </c>
      <c r="G2918" s="7" t="s">
        <v>1994</v>
      </c>
    </row>
    <row r="2919" customFormat="false" ht="15" hidden="false" customHeight="false" outlineLevel="0" collapsed="false">
      <c r="A2919" s="7" t="s">
        <v>4368</v>
      </c>
      <c r="B2919" s="7" t="n">
        <v>2090.68</v>
      </c>
      <c r="C2919" s="7" t="n">
        <f aca="false">AVERAGE(B2870:B2919)</f>
        <v>2038.902</v>
      </c>
      <c r="D2919" s="7" t="n">
        <f aca="false">AVERAGE(B2720:B2919)</f>
        <v>2070.1458</v>
      </c>
      <c r="E2919" s="7" t="n">
        <f aca="false">B2919/MAX(B2668:B2919)-1</f>
        <v>-0.0955232145638293</v>
      </c>
      <c r="F2919" s="7" t="str">
        <f aca="false">IFERROR(INDEX(02_轉折點45個!B:B,MATCH(A2919,02_轉折點45個!A:A,0)),"")</f>
        <v/>
      </c>
      <c r="G2919" s="7" t="s">
        <v>1994</v>
      </c>
    </row>
    <row r="2920" customFormat="false" ht="15" hidden="false" customHeight="false" outlineLevel="0" collapsed="false">
      <c r="A2920" s="7" t="s">
        <v>4369</v>
      </c>
      <c r="B2920" s="7" t="n">
        <v>2106.42</v>
      </c>
      <c r="C2920" s="7" t="n">
        <f aca="false">AVERAGE(B2871:B2920)</f>
        <v>2039.4138</v>
      </c>
      <c r="D2920" s="7" t="n">
        <f aca="false">AVERAGE(B2721:B2920)</f>
        <v>2070.85365</v>
      </c>
      <c r="E2920" s="7" t="n">
        <f aca="false">B2920/MAX(B2669:B2920)-1</f>
        <v>-0.0887137245401215</v>
      </c>
      <c r="F2920" s="7" t="str">
        <f aca="false">IFERROR(INDEX(02_轉折點45個!B:B,MATCH(A2920,02_轉折點45個!A:A,0)),"")</f>
        <v/>
      </c>
      <c r="G2920" s="7" t="s">
        <v>1994</v>
      </c>
    </row>
    <row r="2921" customFormat="false" ht="15" hidden="false" customHeight="false" outlineLevel="0" collapsed="false">
      <c r="A2921" s="7" t="s">
        <v>4370</v>
      </c>
      <c r="B2921" s="7" t="n">
        <v>2080.36</v>
      </c>
      <c r="C2921" s="7" t="n">
        <f aca="false">AVERAGE(B2872:B2921)</f>
        <v>2039.7816</v>
      </c>
      <c r="D2921" s="7" t="n">
        <f aca="false">AVERAGE(B2722:B2921)</f>
        <v>2071.3647</v>
      </c>
      <c r="E2921" s="7" t="n">
        <f aca="false">B2921/MAX(B2670:B2921)-1</f>
        <v>-0.0999878865488777</v>
      </c>
      <c r="F2921" s="7" t="str">
        <f aca="false">IFERROR(INDEX(02_轉折點45個!B:B,MATCH(A2921,02_轉折點45個!A:A,0)),"")</f>
        <v/>
      </c>
      <c r="G2921" s="7" t="s">
        <v>1994</v>
      </c>
    </row>
    <row r="2922" customFormat="false" ht="15" hidden="false" customHeight="false" outlineLevel="0" collapsed="false">
      <c r="A2922" s="7" t="s">
        <v>898</v>
      </c>
      <c r="B2922" s="7" t="n">
        <v>2017.74</v>
      </c>
      <c r="C2922" s="7" t="n">
        <f aca="false">AVERAGE(B2873:B2922)</f>
        <v>2039.5312</v>
      </c>
      <c r="D2922" s="7" t="n">
        <f aca="false">AVERAGE(B2723:B2922)</f>
        <v>2071.6121</v>
      </c>
      <c r="E2922" s="7" t="n">
        <f aca="false">B2922/MAX(B2671:B2922)-1</f>
        <v>-0.127078754737225</v>
      </c>
      <c r="F2922" s="7" t="str">
        <f aca="false">IFERROR(INDEX(02_轉折點45個!B:B,MATCH(A2922,02_轉折點45個!A:A,0)),"")</f>
        <v/>
      </c>
      <c r="G2922" s="7" t="s">
        <v>1994</v>
      </c>
    </row>
    <row r="2923" customFormat="false" ht="15" hidden="false" customHeight="false" outlineLevel="0" collapsed="false">
      <c r="A2923" s="7" t="s">
        <v>4371</v>
      </c>
      <c r="B2923" s="7" t="n">
        <v>2000.97</v>
      </c>
      <c r="C2923" s="7" t="n">
        <f aca="false">AVERAGE(B2874:B2923)</f>
        <v>2037.8722</v>
      </c>
      <c r="D2923" s="7" t="n">
        <f aca="false">AVERAGE(B2724:B2923)</f>
        <v>2071.83325</v>
      </c>
      <c r="E2923" s="7" t="n">
        <f aca="false">B2923/MAX(B2672:B2923)-1</f>
        <v>-0.134333846712928</v>
      </c>
      <c r="F2923" s="7" t="str">
        <f aca="false">IFERROR(INDEX(02_轉折點45個!B:B,MATCH(A2923,02_轉折點45個!A:A,0)),"")</f>
        <v/>
      </c>
      <c r="G2923" s="7" t="s">
        <v>1994</v>
      </c>
    </row>
    <row r="2924" customFormat="false" ht="15" hidden="false" customHeight="false" outlineLevel="0" collapsed="false">
      <c r="A2924" s="7" t="s">
        <v>4372</v>
      </c>
      <c r="B2924" s="7" t="n">
        <v>1985.63</v>
      </c>
      <c r="C2924" s="7" t="n">
        <f aca="false">AVERAGE(B2875:B2924)</f>
        <v>2035.505</v>
      </c>
      <c r="D2924" s="7" t="n">
        <f aca="false">AVERAGE(B2725:B2924)</f>
        <v>2072.0954</v>
      </c>
      <c r="E2924" s="7" t="n">
        <f aca="false">B2924/MAX(B2673:B2924)-1</f>
        <v>-0.14097028743489</v>
      </c>
      <c r="F2924" s="7" t="str">
        <f aca="false">IFERROR(INDEX(02_轉折點45個!B:B,MATCH(A2924,02_轉折點45個!A:A,0)),"")</f>
        <v/>
      </c>
      <c r="G2924" s="7" t="s">
        <v>1994</v>
      </c>
    </row>
    <row r="2925" customFormat="false" ht="15" hidden="false" customHeight="false" outlineLevel="0" collapsed="false">
      <c r="A2925" s="7" t="s">
        <v>4373</v>
      </c>
      <c r="B2925" s="7" t="n">
        <v>1993.3</v>
      </c>
      <c r="C2925" s="7" t="n">
        <f aca="false">AVERAGE(B2876:B2925)</f>
        <v>2034.8236</v>
      </c>
      <c r="D2925" s="7" t="n">
        <f aca="false">AVERAGE(B2726:B2925)</f>
        <v>2072.6539</v>
      </c>
      <c r="E2925" s="7" t="n">
        <f aca="false">B2925/MAX(B2674:B2925)-1</f>
        <v>-0.137652067073909</v>
      </c>
      <c r="F2925" s="7" t="str">
        <f aca="false">IFERROR(INDEX(02_轉折點45個!B:B,MATCH(A2925,02_轉折點45個!A:A,0)),"")</f>
        <v/>
      </c>
      <c r="G2925" s="7" t="s">
        <v>1994</v>
      </c>
    </row>
    <row r="2926" customFormat="false" ht="15" hidden="false" customHeight="false" outlineLevel="0" collapsed="false">
      <c r="A2926" s="7" t="s">
        <v>4374</v>
      </c>
      <c r="B2926" s="7" t="n">
        <v>2018.48</v>
      </c>
      <c r="C2926" s="7" t="n">
        <f aca="false">AVERAGE(B2877:B2926)</f>
        <v>2035.4728</v>
      </c>
      <c r="D2926" s="7" t="n">
        <f aca="false">AVERAGE(B2727:B2926)</f>
        <v>2073.165</v>
      </c>
      <c r="E2926" s="7" t="n">
        <f aca="false">B2926/MAX(B2675:B2926)-1</f>
        <v>-0.126758613528994</v>
      </c>
      <c r="F2926" s="7" t="str">
        <f aca="false">IFERROR(INDEX(02_轉折點45個!B:B,MATCH(A2926,02_轉折點45個!A:A,0)),"")</f>
        <v/>
      </c>
      <c r="G2926" s="7" t="s">
        <v>1994</v>
      </c>
    </row>
    <row r="2927" customFormat="false" ht="15" hidden="false" customHeight="false" outlineLevel="0" collapsed="false">
      <c r="A2927" s="7" t="s">
        <v>4375</v>
      </c>
      <c r="B2927" s="7" t="n">
        <v>2024.2</v>
      </c>
      <c r="C2927" s="7" t="n">
        <f aca="false">AVERAGE(B2878:B2927)</f>
        <v>2036.2974</v>
      </c>
      <c r="D2927" s="7" t="n">
        <f aca="false">AVERAGE(B2728:B2927)</f>
        <v>2073.9442</v>
      </c>
      <c r="E2927" s="7" t="n">
        <f aca="false">B2927/MAX(B2676:B2927)-1</f>
        <v>-0.124284008514026</v>
      </c>
      <c r="F2927" s="7" t="str">
        <f aca="false">IFERROR(INDEX(02_轉折點45個!B:B,MATCH(A2927,02_轉折點45個!A:A,0)),"")</f>
        <v/>
      </c>
      <c r="G2927" s="7" t="s">
        <v>1994</v>
      </c>
    </row>
    <row r="2928" customFormat="false" ht="15" hidden="false" customHeight="false" outlineLevel="0" collapsed="false">
      <c r="A2928" s="7" t="s">
        <v>4376</v>
      </c>
      <c r="B2928" s="7" t="n">
        <v>1990.63</v>
      </c>
      <c r="C2928" s="7" t="n">
        <f aca="false">AVERAGE(B2879:B2928)</f>
        <v>2036.6646</v>
      </c>
      <c r="D2928" s="7" t="n">
        <f aca="false">AVERAGE(B2729:B2928)</f>
        <v>2074.5369</v>
      </c>
      <c r="E2928" s="7" t="n">
        <f aca="false">B2928/MAX(B2677:B2928)-1</f>
        <v>-0.138807171163064</v>
      </c>
      <c r="F2928" s="7" t="str">
        <f aca="false">IFERROR(INDEX(02_轉折點45個!B:B,MATCH(A2928,02_轉折點45個!A:A,0)),"")</f>
        <v/>
      </c>
      <c r="G2928" s="7" t="s">
        <v>1994</v>
      </c>
    </row>
    <row r="2929" customFormat="false" ht="15" hidden="false" customHeight="false" outlineLevel="0" collapsed="false">
      <c r="A2929" s="7" t="s">
        <v>4377</v>
      </c>
      <c r="B2929" s="7" t="n">
        <v>1991.37</v>
      </c>
      <c r="C2929" s="7" t="n">
        <f aca="false">AVERAGE(B2880:B2929)</f>
        <v>2035.953</v>
      </c>
      <c r="D2929" s="7" t="n">
        <f aca="false">AVERAGE(B2730:B2929)</f>
        <v>2075.0962</v>
      </c>
      <c r="E2929" s="7" t="n">
        <f aca="false">B2929/MAX(B2678:B2929)-1</f>
        <v>-0.138487029954834</v>
      </c>
      <c r="F2929" s="7" t="str">
        <f aca="false">IFERROR(INDEX(02_轉折點45個!B:B,MATCH(A2929,02_轉折點45個!A:A,0)),"")</f>
        <v/>
      </c>
      <c r="G2929" s="7" t="s">
        <v>1994</v>
      </c>
    </row>
    <row r="2930" customFormat="false" ht="15" hidden="false" customHeight="false" outlineLevel="0" collapsed="false">
      <c r="A2930" s="7" t="s">
        <v>4378</v>
      </c>
      <c r="B2930" s="7" t="n">
        <v>1972.98</v>
      </c>
      <c r="C2930" s="7" t="n">
        <f aca="false">AVERAGE(B2881:B2930)</f>
        <v>2034.4188</v>
      </c>
      <c r="D2930" s="7" t="n">
        <f aca="false">AVERAGE(B2731:B2930)</f>
        <v>2075.57175</v>
      </c>
      <c r="E2930" s="7" t="n">
        <f aca="false">B2930/MAX(B2679:B2930)-1</f>
        <v>-0.14644297160261</v>
      </c>
      <c r="F2930" s="7" t="str">
        <f aca="false">IFERROR(INDEX(02_轉折點45個!B:B,MATCH(A2930,02_轉折點45個!A:A,0)),"")</f>
        <v/>
      </c>
      <c r="G2930" s="7" t="s">
        <v>1994</v>
      </c>
    </row>
    <row r="2931" customFormat="false" ht="15" hidden="false" customHeight="false" outlineLevel="0" collapsed="false">
      <c r="A2931" s="7" t="s">
        <v>4379</v>
      </c>
      <c r="B2931" s="7" t="n">
        <v>1940.21</v>
      </c>
      <c r="C2931" s="7" t="n">
        <f aca="false">AVERAGE(B2882:B2931)</f>
        <v>2032.2226</v>
      </c>
      <c r="D2931" s="7" t="n">
        <f aca="false">AVERAGE(B2732:B2931)</f>
        <v>2075.656</v>
      </c>
      <c r="E2931" s="7" t="n">
        <f aca="false">B2931/MAX(B2680:B2931)-1</f>
        <v>-0.160620035648156</v>
      </c>
      <c r="F2931" s="7" t="str">
        <f aca="false">IFERROR(INDEX(02_轉折點45個!B:B,MATCH(A2931,02_轉折點45個!A:A,0)),"")</f>
        <v/>
      </c>
      <c r="G2931" s="7" t="s">
        <v>1994</v>
      </c>
    </row>
    <row r="2932" customFormat="false" ht="15" hidden="false" customHeight="false" outlineLevel="0" collapsed="false">
      <c r="A2932" s="7" t="s">
        <v>4380</v>
      </c>
      <c r="B2932" s="7" t="n">
        <v>1956.45</v>
      </c>
      <c r="C2932" s="7" t="n">
        <f aca="false">AVERAGE(B2883:B2932)</f>
        <v>2029.2198</v>
      </c>
      <c r="D2932" s="7" t="n">
        <f aca="false">AVERAGE(B2733:B2932)</f>
        <v>2075.7889</v>
      </c>
      <c r="E2932" s="7" t="n">
        <f aca="false">B2932/MAX(B2681:B2932)-1</f>
        <v>-0.153594233997266</v>
      </c>
      <c r="F2932" s="7" t="str">
        <f aca="false">IFERROR(INDEX(02_轉折點45個!B:B,MATCH(A2932,02_轉折點45個!A:A,0)),"")</f>
        <v/>
      </c>
      <c r="G2932" s="7" t="s">
        <v>1994</v>
      </c>
    </row>
    <row r="2933" customFormat="false" ht="15" hidden="false" customHeight="false" outlineLevel="0" collapsed="false">
      <c r="A2933" s="7" t="s">
        <v>4381</v>
      </c>
      <c r="B2933" s="7" t="n">
        <v>1935.58</v>
      </c>
      <c r="C2933" s="7" t="n">
        <f aca="false">AVERAGE(B2884:B2933)</f>
        <v>2025.7988</v>
      </c>
      <c r="D2933" s="7" t="n">
        <f aca="false">AVERAGE(B2734:B2933)</f>
        <v>2075.62735</v>
      </c>
      <c r="E2933" s="7" t="n">
        <f aca="false">B2933/MAX(B2682:B2933)-1</f>
        <v>-0.162623081315867</v>
      </c>
      <c r="F2933" s="7" t="str">
        <f aca="false">IFERROR(INDEX(02_轉折點45個!B:B,MATCH(A2933,02_轉折點45個!A:A,0)),"")</f>
        <v/>
      </c>
      <c r="G2933" s="7" t="s">
        <v>1994</v>
      </c>
    </row>
    <row r="2934" customFormat="false" ht="15" hidden="false" customHeight="false" outlineLevel="0" collapsed="false">
      <c r="A2934" s="7" t="s">
        <v>4382</v>
      </c>
      <c r="B2934" s="7" t="n">
        <v>1967.5</v>
      </c>
      <c r="C2934" s="7" t="n">
        <f aca="false">AVERAGE(B2885:B2934)</f>
        <v>2022.9936</v>
      </c>
      <c r="D2934" s="7" t="n">
        <f aca="false">AVERAGE(B2735:B2934)</f>
        <v>2075.639</v>
      </c>
      <c r="E2934" s="7" t="n">
        <f aca="false">B2934/MAX(B2683:B2934)-1</f>
        <v>-0.148813747036531</v>
      </c>
      <c r="F2934" s="7" t="str">
        <f aca="false">IFERROR(INDEX(02_轉折點45個!B:B,MATCH(A2934,02_轉折點45個!A:A,0)),"")</f>
        <v/>
      </c>
      <c r="G2934" s="7" t="s">
        <v>1994</v>
      </c>
    </row>
    <row r="2935" customFormat="false" ht="15" hidden="false" customHeight="false" outlineLevel="0" collapsed="false">
      <c r="A2935" s="7" t="s">
        <v>4383</v>
      </c>
      <c r="B2935" s="7" t="n">
        <v>1936.75</v>
      </c>
      <c r="C2935" s="7" t="n">
        <f aca="false">AVERAGE(B2886:B2935)</f>
        <v>2019.5252</v>
      </c>
      <c r="D2935" s="7" t="n">
        <f aca="false">AVERAGE(B2736:B2935)</f>
        <v>2075.42465</v>
      </c>
      <c r="E2935" s="7" t="n">
        <f aca="false">B2935/MAX(B2684:B2935)-1</f>
        <v>-0.16211691210826</v>
      </c>
      <c r="F2935" s="7" t="str">
        <f aca="false">IFERROR(INDEX(02_轉折點45個!B:B,MATCH(A2935,02_轉折點45個!A:A,0)),"")</f>
        <v/>
      </c>
      <c r="G2935" s="7" t="s">
        <v>1994</v>
      </c>
    </row>
    <row r="2936" customFormat="false" ht="15" hidden="false" customHeight="false" outlineLevel="0" collapsed="false">
      <c r="A2936" s="7" t="s">
        <v>899</v>
      </c>
      <c r="B2936" s="7" t="n">
        <v>1931.32</v>
      </c>
      <c r="C2936" s="7" t="n">
        <f aca="false">AVERAGE(B2887:B2936)</f>
        <v>2016.3266</v>
      </c>
      <c r="D2936" s="7" t="n">
        <f aca="false">AVERAGE(B2737:B2936)</f>
        <v>2075.2648</v>
      </c>
      <c r="E2936" s="7" t="n">
        <f aca="false">B2936/MAX(B2685:B2936)-1</f>
        <v>-0.164466056379463</v>
      </c>
      <c r="F2936" s="7" t="str">
        <f aca="false">IFERROR(INDEX(02_轉折點45個!B:B,MATCH(A2936,02_轉折點45個!A:A,0)),"")</f>
        <v/>
      </c>
      <c r="G2936" s="7" t="s">
        <v>1994</v>
      </c>
    </row>
    <row r="2937" customFormat="false" ht="15" hidden="false" customHeight="false" outlineLevel="0" collapsed="false">
      <c r="A2937" s="7" t="s">
        <v>4384</v>
      </c>
      <c r="B2937" s="7" t="n">
        <v>1988.7</v>
      </c>
      <c r="C2937" s="7" t="n">
        <f aca="false">AVERAGE(B2888:B2937)</f>
        <v>2014.7742</v>
      </c>
      <c r="D2937" s="7" t="n">
        <f aca="false">AVERAGE(B2738:B2937)</f>
        <v>2075.3057</v>
      </c>
      <c r="E2937" s="7" t="n">
        <f aca="false">B2937/MAX(B2686:B2937)-1</f>
        <v>-0.139642134043989</v>
      </c>
      <c r="F2937" s="7" t="str">
        <f aca="false">IFERROR(INDEX(02_轉折點45個!B:B,MATCH(A2937,02_轉折點45個!A:A,0)),"")</f>
        <v/>
      </c>
      <c r="G2937" s="7" t="s">
        <v>1994</v>
      </c>
    </row>
    <row r="2938" customFormat="false" ht="15" hidden="false" customHeight="false" outlineLevel="0" collapsed="false">
      <c r="A2938" s="7" t="s">
        <v>900</v>
      </c>
      <c r="B2938" s="7" t="n">
        <v>2009.87</v>
      </c>
      <c r="C2938" s="7" t="n">
        <f aca="false">AVERAGE(B2889:B2938)</f>
        <v>2013.7836</v>
      </c>
      <c r="D2938" s="7" t="n">
        <f aca="false">AVERAGE(B2739:B2938)</f>
        <v>2075.31555</v>
      </c>
      <c r="E2938" s="7" t="n">
        <f aca="false">B2938/MAX(B2687:B2938)-1</f>
        <v>-0.130483499749079</v>
      </c>
      <c r="F2938" s="7" t="str">
        <f aca="false">IFERROR(INDEX(02_轉折點45個!B:B,MATCH(A2938,02_轉折點45個!A:A,0)),"")</f>
        <v/>
      </c>
      <c r="G2938" s="7" t="s">
        <v>1994</v>
      </c>
    </row>
    <row r="2939" customFormat="false" ht="15" hidden="false" customHeight="false" outlineLevel="0" collapsed="false">
      <c r="A2939" s="7" t="s">
        <v>4385</v>
      </c>
      <c r="B2939" s="7" t="n">
        <v>2040.69</v>
      </c>
      <c r="C2939" s="7" t="n">
        <f aca="false">AVERAGE(B2890:B2939)</f>
        <v>2014.082</v>
      </c>
      <c r="D2939" s="7" t="n">
        <f aca="false">AVERAGE(B2740:B2939)</f>
        <v>2075.45245</v>
      </c>
      <c r="E2939" s="7" t="n">
        <f aca="false">B2939/MAX(B2688:B2939)-1</f>
        <v>-0.117150051049544</v>
      </c>
      <c r="F2939" s="7" t="str">
        <f aca="false">IFERROR(INDEX(02_轉折點45個!B:B,MATCH(A2939,02_轉折點45個!A:A,0)),"")</f>
        <v/>
      </c>
      <c r="G2939" s="7" t="s">
        <v>1994</v>
      </c>
    </row>
    <row r="2940" customFormat="false" ht="15" hidden="false" customHeight="false" outlineLevel="0" collapsed="false">
      <c r="A2940" s="7" t="s">
        <v>4386</v>
      </c>
      <c r="B2940" s="7" t="n">
        <v>2017.98</v>
      </c>
      <c r="C2940" s="7" t="n">
        <f aca="false">AVERAGE(B2891:B2940)</f>
        <v>2013.8154</v>
      </c>
      <c r="D2940" s="7" t="n">
        <f aca="false">AVERAGE(B2741:B2940)</f>
        <v>2075.5244</v>
      </c>
      <c r="E2940" s="7" t="n">
        <f aca="false">B2940/MAX(B2689:B2940)-1</f>
        <v>-0.126974925156177</v>
      </c>
      <c r="F2940" s="7" t="str">
        <f aca="false">IFERROR(INDEX(02_轉折點45個!B:B,MATCH(A2940,02_轉折點45個!A:A,0)),"")</f>
        <v/>
      </c>
      <c r="G2940" s="7" t="s">
        <v>1994</v>
      </c>
    </row>
    <row r="2941" customFormat="false" ht="15" hidden="false" customHeight="false" outlineLevel="0" collapsed="false">
      <c r="A2941" s="7" t="s">
        <v>4387</v>
      </c>
      <c r="B2941" s="7" t="n">
        <v>2036.23</v>
      </c>
      <c r="C2941" s="7" t="n">
        <f aca="false">AVERAGE(B2892:B2941)</f>
        <v>2013.9656</v>
      </c>
      <c r="D2941" s="7" t="n">
        <f aca="false">AVERAGE(B2742:B2941)</f>
        <v>2075.8535</v>
      </c>
      <c r="E2941" s="7" t="n">
        <f aca="false">B2941/MAX(B2690:B2941)-1</f>
        <v>-0.119079550764013</v>
      </c>
      <c r="F2941" s="7" t="str">
        <f aca="false">IFERROR(INDEX(02_轉折點45個!B:B,MATCH(A2941,02_轉折點45個!A:A,0)),"")</f>
        <v/>
      </c>
      <c r="G2941" s="7" t="s">
        <v>1994</v>
      </c>
    </row>
    <row r="2942" customFormat="false" ht="15" hidden="false" customHeight="false" outlineLevel="0" collapsed="false">
      <c r="A2942" s="7" t="s">
        <v>4388</v>
      </c>
      <c r="B2942" s="7" t="n">
        <v>2042.93</v>
      </c>
      <c r="C2942" s="7" t="n">
        <f aca="false">AVERAGE(B2893:B2942)</f>
        <v>2015.8114</v>
      </c>
      <c r="D2942" s="7" t="n">
        <f aca="false">AVERAGE(B2743:B2942)</f>
        <v>2076.26535</v>
      </c>
      <c r="E2942" s="7" t="n">
        <f aca="false">B2942/MAX(B2691:B2942)-1</f>
        <v>-0.116180974959766</v>
      </c>
      <c r="F2942" s="7" t="str">
        <f aca="false">IFERROR(INDEX(02_轉折點45個!B:B,MATCH(A2942,02_轉折點45個!A:A,0)),"")</f>
        <v/>
      </c>
      <c r="G2942" s="7" t="s">
        <v>1994</v>
      </c>
    </row>
    <row r="2943" customFormat="false" ht="15" hidden="false" customHeight="false" outlineLevel="0" collapsed="false">
      <c r="A2943" s="7" t="s">
        <v>4389</v>
      </c>
      <c r="B2943" s="7" t="n">
        <v>2048.67</v>
      </c>
      <c r="C2943" s="7" t="n">
        <f aca="false">AVERAGE(B2894:B2943)</f>
        <v>2018.246</v>
      </c>
      <c r="D2943" s="7" t="n">
        <f aca="false">AVERAGE(B2744:B2943)</f>
        <v>2076.569</v>
      </c>
      <c r="E2943" s="7" t="n">
        <f aca="false">B2943/MAX(B2692:B2943)-1</f>
        <v>-0.11369771747971</v>
      </c>
      <c r="F2943" s="7" t="str">
        <f aca="false">IFERROR(INDEX(02_轉折點45個!B:B,MATCH(A2943,02_轉折點45個!A:A,0)),"")</f>
        <v/>
      </c>
      <c r="G2943" s="7" t="s">
        <v>1994</v>
      </c>
    </row>
    <row r="2944" customFormat="false" ht="15" hidden="false" customHeight="false" outlineLevel="0" collapsed="false">
      <c r="A2944" s="7" t="s">
        <v>901</v>
      </c>
      <c r="B2944" s="7" t="n">
        <v>2088.16</v>
      </c>
      <c r="C2944" s="7" t="n">
        <f aca="false">AVERAGE(B2895:B2944)</f>
        <v>2021.6142</v>
      </c>
      <c r="D2944" s="7" t="n">
        <f aca="false">AVERAGE(B2745:B2944)</f>
        <v>2077.1013</v>
      </c>
      <c r="E2944" s="7" t="n">
        <f aca="false">B2944/MAX(B2693:B2944)-1</f>
        <v>-0.0966134251648295</v>
      </c>
      <c r="F2944" s="7" t="str">
        <f aca="false">IFERROR(INDEX(02_轉折點45個!B:B,MATCH(A2944,02_轉折點45個!A:A,0)),"")</f>
        <v/>
      </c>
      <c r="G2944" s="7" t="s">
        <v>1994</v>
      </c>
    </row>
    <row r="2945" customFormat="false" ht="15" hidden="false" customHeight="false" outlineLevel="0" collapsed="false">
      <c r="A2945" s="7" t="s">
        <v>4390</v>
      </c>
      <c r="B2945" s="7" t="n">
        <v>2091.87</v>
      </c>
      <c r="C2945" s="7" t="n">
        <f aca="false">AVERAGE(B2896:B2945)</f>
        <v>2025.2316</v>
      </c>
      <c r="D2945" s="7" t="n">
        <f aca="false">AVERAGE(B2746:B2945)</f>
        <v>2077.62075</v>
      </c>
      <c r="E2945" s="7" t="n">
        <f aca="false">B2945/MAX(B2694:B2945)-1</f>
        <v>-0.0950083928911347</v>
      </c>
      <c r="F2945" s="7" t="str">
        <f aca="false">IFERROR(INDEX(02_轉折點45個!B:B,MATCH(A2945,02_轉折點45個!A:A,0)),"")</f>
        <v/>
      </c>
      <c r="G2945" s="7" t="s">
        <v>1994</v>
      </c>
    </row>
    <row r="2946" customFormat="false" ht="15" hidden="false" customHeight="false" outlineLevel="0" collapsed="false">
      <c r="A2946" s="7" t="s">
        <v>4391</v>
      </c>
      <c r="B2946" s="7" t="n">
        <v>2102.42</v>
      </c>
      <c r="C2946" s="7" t="n">
        <f aca="false">AVERAGE(B2897:B2946)</f>
        <v>2029.0218</v>
      </c>
      <c r="D2946" s="7" t="n">
        <f aca="false">AVERAGE(B2747:B2946)</f>
        <v>2078.36475</v>
      </c>
      <c r="E2946" s="7" t="n">
        <f aca="false">B2946/MAX(B2695:B2946)-1</f>
        <v>-0.0904442175575821</v>
      </c>
      <c r="F2946" s="7" t="str">
        <f aca="false">IFERROR(INDEX(02_轉折點45個!B:B,MATCH(A2946,02_轉折點45個!A:A,0)),"")</f>
        <v/>
      </c>
      <c r="G2946" s="7" t="s">
        <v>1994</v>
      </c>
    </row>
    <row r="2947" customFormat="false" ht="15" hidden="false" customHeight="false" outlineLevel="0" collapsed="false">
      <c r="A2947" s="7" t="s">
        <v>4392</v>
      </c>
      <c r="B2947" s="7" t="n">
        <v>2104.19</v>
      </c>
      <c r="C2947" s="7" t="n">
        <f aca="false">AVERAGE(B2898:B2947)</f>
        <v>2031.649</v>
      </c>
      <c r="D2947" s="7" t="n">
        <f aca="false">AVERAGE(B2748:B2947)</f>
        <v>2079.08945</v>
      </c>
      <c r="E2947" s="7" t="n">
        <f aca="false">B2947/MAX(B2696:B2947)-1</f>
        <v>-0.0896784743973558</v>
      </c>
      <c r="F2947" s="7" t="str">
        <f aca="false">IFERROR(INDEX(02_轉折點45個!B:B,MATCH(A2947,02_轉折點45個!A:A,0)),"")</f>
        <v/>
      </c>
      <c r="G2947" s="7" t="s">
        <v>1994</v>
      </c>
    </row>
    <row r="2948" customFormat="false" ht="15" hidden="false" customHeight="false" outlineLevel="0" collapsed="false">
      <c r="A2948" s="7" t="s">
        <v>902</v>
      </c>
      <c r="B2948" s="7" t="n">
        <v>2115.48</v>
      </c>
      <c r="C2948" s="7" t="n">
        <f aca="false">AVERAGE(B2899:B2948)</f>
        <v>2034.2108</v>
      </c>
      <c r="D2948" s="7" t="n">
        <f aca="false">AVERAGE(B2749:B2948)</f>
        <v>2079.72805</v>
      </c>
      <c r="E2948" s="7" t="n">
        <f aca="false">B2948/MAX(B2697:B2948)-1</f>
        <v>-0.0847941578555731</v>
      </c>
      <c r="F2948" s="7" t="str">
        <f aca="false">IFERROR(INDEX(02_轉折點45個!B:B,MATCH(A2948,02_轉折點45個!A:A,0)),"")</f>
        <v/>
      </c>
      <c r="G2948" s="7" t="s">
        <v>1994</v>
      </c>
    </row>
    <row r="2949" customFormat="false" ht="15" hidden="false" customHeight="false" outlineLevel="0" collapsed="false">
      <c r="A2949" s="7" t="s">
        <v>4393</v>
      </c>
      <c r="B2949" s="7" t="n">
        <v>2152.22</v>
      </c>
      <c r="C2949" s="7" t="n">
        <f aca="false">AVERAGE(B2900:B2949)</f>
        <v>2037.1228</v>
      </c>
      <c r="D2949" s="7" t="n">
        <f aca="false">AVERAGE(B2750:B2949)</f>
        <v>2080.50825</v>
      </c>
      <c r="E2949" s="7" t="n">
        <f aca="false">B2949/MAX(B2698:B2949)-1</f>
        <v>-0.0688995794901969</v>
      </c>
      <c r="F2949" s="7" t="str">
        <f aca="false">IFERROR(INDEX(02_轉折點45個!B:B,MATCH(A2949,02_轉折點45個!A:A,0)),"")</f>
        <v/>
      </c>
      <c r="G2949" s="7" t="s">
        <v>1994</v>
      </c>
    </row>
    <row r="2950" customFormat="false" ht="15" hidden="false" customHeight="false" outlineLevel="0" collapsed="false">
      <c r="A2950" s="7" t="s">
        <v>4394</v>
      </c>
      <c r="B2950" s="7" t="n">
        <v>2146.3</v>
      </c>
      <c r="C2950" s="7" t="n">
        <f aca="false">AVERAGE(B2901:B2950)</f>
        <v>2039.8816</v>
      </c>
      <c r="D2950" s="7" t="n">
        <f aca="false">AVERAGE(B2751:B2950)</f>
        <v>2081.31315</v>
      </c>
      <c r="E2950" s="7" t="n">
        <f aca="false">B2950/MAX(B2699:B2950)-1</f>
        <v>-0.0714607091560385</v>
      </c>
      <c r="F2950" s="7" t="str">
        <f aca="false">IFERROR(INDEX(02_轉折點45個!B:B,MATCH(A2950,02_轉折點45個!A:A,0)),"")</f>
        <v/>
      </c>
      <c r="G2950" s="7" t="s">
        <v>1994</v>
      </c>
    </row>
    <row r="2951" customFormat="false" ht="15" hidden="false" customHeight="false" outlineLevel="0" collapsed="false">
      <c r="A2951" s="7" t="s">
        <v>903</v>
      </c>
      <c r="B2951" s="7" t="n">
        <v>2132.78</v>
      </c>
      <c r="C2951" s="7" t="n">
        <f aca="false">AVERAGE(B2902:B2951)</f>
        <v>2041.572</v>
      </c>
      <c r="D2951" s="7" t="n">
        <f aca="false">AVERAGE(B2752:B2951)</f>
        <v>2081.95355</v>
      </c>
      <c r="E2951" s="7" t="n">
        <f aca="false">B2951/MAX(B2700:B2951)-1</f>
        <v>-0.0773097755550556</v>
      </c>
      <c r="F2951" s="7" t="str">
        <f aca="false">IFERROR(INDEX(02_轉折點45個!B:B,MATCH(A2951,02_轉折點45個!A:A,0)),"")</f>
        <v/>
      </c>
      <c r="G2951" s="7" t="s">
        <v>1994</v>
      </c>
    </row>
    <row r="2952" customFormat="false" ht="15" hidden="false" customHeight="false" outlineLevel="0" collapsed="false">
      <c r="A2952" s="7" t="s">
        <v>4395</v>
      </c>
      <c r="B2952" s="7" t="n">
        <v>2125.96</v>
      </c>
      <c r="C2952" s="7" t="n">
        <f aca="false">AVERAGE(B2903:B2952)</f>
        <v>2042.9834</v>
      </c>
      <c r="D2952" s="7" t="n">
        <f aca="false">AVERAGE(B2753:B2952)</f>
        <v>2082.5815</v>
      </c>
      <c r="E2952" s="7" t="n">
        <f aca="false">B2952/MAX(B2701:B2952)-1</f>
        <v>-0.0802602661498261</v>
      </c>
      <c r="F2952" s="7" t="str">
        <f aca="false">IFERROR(INDEX(02_轉折點45個!B:B,MATCH(A2952,02_轉折點45個!A:A,0)),"")</f>
        <v/>
      </c>
      <c r="G2952" s="7" t="s">
        <v>1994</v>
      </c>
    </row>
    <row r="2953" customFormat="false" ht="15" hidden="false" customHeight="false" outlineLevel="0" collapsed="false">
      <c r="A2953" s="7" t="s">
        <v>4396</v>
      </c>
      <c r="B2953" s="7" t="n">
        <v>2175.42</v>
      </c>
      <c r="C2953" s="7" t="n">
        <f aca="false">AVERAGE(B2904:B2953)</f>
        <v>2045.3978</v>
      </c>
      <c r="D2953" s="7" t="n">
        <f aca="false">AVERAGE(B2754:B2953)</f>
        <v>2083.5327</v>
      </c>
      <c r="E2953" s="7" t="n">
        <f aca="false">B2953/MAX(B2702:B2953)-1</f>
        <v>-0.0588627199889248</v>
      </c>
      <c r="F2953" s="7" t="str">
        <f aca="false">IFERROR(INDEX(02_轉折點45個!B:B,MATCH(A2953,02_轉折點45個!A:A,0)),"")</f>
        <v/>
      </c>
      <c r="G2953" s="7" t="s">
        <v>1994</v>
      </c>
    </row>
    <row r="2954" customFormat="false" ht="15" hidden="false" customHeight="false" outlineLevel="0" collapsed="false">
      <c r="A2954" s="7" t="s">
        <v>904</v>
      </c>
      <c r="B2954" s="7" t="n">
        <v>2164.96</v>
      </c>
      <c r="C2954" s="7" t="n">
        <f aca="false">AVERAGE(B2905:B2954)</f>
        <v>2048.8826</v>
      </c>
      <c r="D2954" s="7" t="n">
        <f aca="false">AVERAGE(B2755:B2954)</f>
        <v>2084.3825</v>
      </c>
      <c r="E2954" s="7" t="n">
        <f aca="false">B2954/MAX(B2703:B2954)-1</f>
        <v>-0.0633879592295845</v>
      </c>
      <c r="F2954" s="7" t="str">
        <f aca="false">IFERROR(INDEX(02_轉折點45個!B:B,MATCH(A2954,02_轉折點45個!A:A,0)),"")</f>
        <v/>
      </c>
      <c r="G2954" s="7" t="s">
        <v>1994</v>
      </c>
    </row>
    <row r="2955" customFormat="false" ht="15" hidden="false" customHeight="false" outlineLevel="0" collapsed="false">
      <c r="A2955" s="7" t="s">
        <v>4397</v>
      </c>
      <c r="B2955" s="7" t="n">
        <v>2173.93</v>
      </c>
      <c r="C2955" s="7" t="n">
        <f aca="false">AVERAGE(B2906:B2955)</f>
        <v>2052.1964</v>
      </c>
      <c r="D2955" s="7" t="n">
        <f aca="false">AVERAGE(B2756:B2955)</f>
        <v>2085.2446</v>
      </c>
      <c r="E2955" s="7" t="n">
        <f aca="false">B2955/MAX(B2704:B2955)-1</f>
        <v>-0.0595073286379291</v>
      </c>
      <c r="F2955" s="7" t="str">
        <f aca="false">IFERROR(INDEX(02_轉折點45個!B:B,MATCH(A2955,02_轉折點45個!A:A,0)),"")</f>
        <v/>
      </c>
      <c r="G2955" s="7" t="s">
        <v>1994</v>
      </c>
    </row>
    <row r="2956" customFormat="false" ht="15" hidden="false" customHeight="false" outlineLevel="0" collapsed="false">
      <c r="A2956" s="7" t="s">
        <v>905</v>
      </c>
      <c r="B2956" s="7" t="n">
        <v>2171.16</v>
      </c>
      <c r="C2956" s="7" t="n">
        <f aca="false">AVERAGE(B2907:B2956)</f>
        <v>2055.0114</v>
      </c>
      <c r="D2956" s="7" t="n">
        <f aca="false">AVERAGE(B2757:B2956)</f>
        <v>2086.09535</v>
      </c>
      <c r="E2956" s="7" t="n">
        <f aca="false">B2956/MAX(B2705:B2956)-1</f>
        <v>-0.0607056950525206</v>
      </c>
      <c r="F2956" s="7" t="str">
        <f aca="false">IFERROR(INDEX(02_轉折點45個!B:B,MATCH(A2956,02_轉折點45個!A:A,0)),"")</f>
        <v/>
      </c>
      <c r="G2956" s="7" t="s">
        <v>1994</v>
      </c>
    </row>
    <row r="2957" customFormat="false" ht="15" hidden="false" customHeight="false" outlineLevel="0" collapsed="false">
      <c r="A2957" s="7" t="s">
        <v>4398</v>
      </c>
      <c r="B2957" s="7" t="n">
        <v>2163.91</v>
      </c>
      <c r="C2957" s="7" t="n">
        <f aca="false">AVERAGE(B2908:B2957)</f>
        <v>2058.324</v>
      </c>
      <c r="D2957" s="7" t="n">
        <f aca="false">AVERAGE(B2758:B2957)</f>
        <v>2086.81035</v>
      </c>
      <c r="E2957" s="7" t="n">
        <f aca="false">B2957/MAX(B2706:B2957)-1</f>
        <v>-0.063842213646668</v>
      </c>
      <c r="F2957" s="7" t="str">
        <f aca="false">IFERROR(INDEX(02_轉折點45個!B:B,MATCH(A2957,02_轉折點45個!A:A,0)),"")</f>
        <v/>
      </c>
      <c r="G2957" s="7" t="s">
        <v>1994</v>
      </c>
    </row>
    <row r="2958" customFormat="false" ht="15" hidden="false" customHeight="false" outlineLevel="0" collapsed="false">
      <c r="A2958" s="7" t="s">
        <v>4399</v>
      </c>
      <c r="B2958" s="7" t="n">
        <v>2165.85</v>
      </c>
      <c r="C2958" s="7" t="n">
        <f aca="false">AVERAGE(B2909:B2958)</f>
        <v>2060.6054</v>
      </c>
      <c r="D2958" s="7" t="n">
        <f aca="false">AVERAGE(B2759:B2958)</f>
        <v>2087.5855</v>
      </c>
      <c r="E2958" s="7" t="n">
        <f aca="false">B2958/MAX(B2707:B2958)-1</f>
        <v>-0.0630029245331996</v>
      </c>
      <c r="F2958" s="7" t="str">
        <f aca="false">IFERROR(INDEX(02_轉折點45個!B:B,MATCH(A2958,02_轉折點45個!A:A,0)),"")</f>
        <v/>
      </c>
      <c r="G2958" s="7" t="s">
        <v>1994</v>
      </c>
    </row>
    <row r="2959" customFormat="false" ht="15" hidden="false" customHeight="false" outlineLevel="0" collapsed="false">
      <c r="A2959" s="7" t="s">
        <v>4400</v>
      </c>
      <c r="B2959" s="7" t="n">
        <v>2141.89</v>
      </c>
      <c r="C2959" s="7" t="n">
        <f aca="false">AVERAGE(B2910:B2959)</f>
        <v>2061.9766</v>
      </c>
      <c r="D2959" s="7" t="n">
        <f aca="false">AVERAGE(B2760:B2959)</f>
        <v>2088.2141</v>
      </c>
      <c r="E2959" s="7" t="n">
        <f aca="false">B2959/MAX(B2708:B2959)-1</f>
        <v>-0.073368577707789</v>
      </c>
      <c r="F2959" s="7" t="str">
        <f aca="false">IFERROR(INDEX(02_轉折點45個!B:B,MATCH(A2959,02_轉折點45個!A:A,0)),"")</f>
        <v/>
      </c>
      <c r="G2959" s="7" t="s">
        <v>1994</v>
      </c>
    </row>
    <row r="2960" customFormat="false" ht="15" hidden="false" customHeight="false" outlineLevel="0" collapsed="false">
      <c r="A2960" s="7" t="s">
        <v>906</v>
      </c>
      <c r="B2960" s="7" t="n">
        <v>2192.42</v>
      </c>
      <c r="C2960" s="7" t="n">
        <f aca="false">AVERAGE(B2911:B2960)</f>
        <v>2063.8658</v>
      </c>
      <c r="D2960" s="7" t="n">
        <f aca="false">AVERAGE(B2761:B2960)</f>
        <v>2089.21805</v>
      </c>
      <c r="E2960" s="7" t="n">
        <f aca="false">B2960/MAX(B2709:B2960)-1</f>
        <v>-0.051508124664717</v>
      </c>
      <c r="F2960" s="7" t="str">
        <f aca="false">IFERROR(INDEX(02_轉折點45個!B:B,MATCH(A2960,02_轉折點45個!A:A,0)),"")</f>
        <v/>
      </c>
      <c r="G2960" s="7" t="s">
        <v>1994</v>
      </c>
    </row>
    <row r="2961" customFormat="false" ht="15" hidden="false" customHeight="false" outlineLevel="0" collapsed="false">
      <c r="A2961" s="7" t="s">
        <v>4401</v>
      </c>
      <c r="B2961" s="7" t="n">
        <v>2174.91</v>
      </c>
      <c r="C2961" s="7" t="n">
        <f aca="false">AVERAGE(B2912:B2961)</f>
        <v>2065.5544</v>
      </c>
      <c r="D2961" s="7" t="n">
        <f aca="false">AVERAGE(B2762:B2961)</f>
        <v>2089.9899</v>
      </c>
      <c r="E2961" s="7" t="n">
        <f aca="false">B2961/MAX(B2710:B2961)-1</f>
        <v>-0.0590833578486512</v>
      </c>
      <c r="F2961" s="7" t="str">
        <f aca="false">IFERROR(INDEX(02_轉折點45個!B:B,MATCH(A2961,02_轉折點45個!A:A,0)),"")</f>
        <v/>
      </c>
      <c r="G2961" s="7" t="s">
        <v>1994</v>
      </c>
    </row>
    <row r="2962" customFormat="false" ht="15" hidden="false" customHeight="false" outlineLevel="0" collapsed="false">
      <c r="A2962" s="7" t="s">
        <v>4402</v>
      </c>
      <c r="B2962" s="7" t="n">
        <v>2177.66</v>
      </c>
      <c r="C2962" s="7" t="n">
        <f aca="false">AVERAGE(B2913:B2962)</f>
        <v>2067.7308</v>
      </c>
      <c r="D2962" s="7" t="n">
        <f aca="false">AVERAGE(B2763:B2962)</f>
        <v>2090.6569</v>
      </c>
      <c r="E2962" s="7" t="n">
        <f aca="false">B2962/MAX(B2711:B2962)-1</f>
        <v>-0.057893643899147</v>
      </c>
      <c r="F2962" s="7" t="str">
        <f aca="false">IFERROR(INDEX(02_轉折點45個!B:B,MATCH(A2962,02_轉折點45個!A:A,0)),"")</f>
        <v/>
      </c>
      <c r="G2962" s="7" t="s">
        <v>1994</v>
      </c>
    </row>
    <row r="2963" customFormat="false" ht="15" hidden="false" customHeight="false" outlineLevel="0" collapsed="false">
      <c r="A2963" s="7" t="s">
        <v>907</v>
      </c>
      <c r="B2963" s="7" t="n">
        <v>2194.32</v>
      </c>
      <c r="C2963" s="7" t="n">
        <f aca="false">AVERAGE(B2914:B2963)</f>
        <v>2070.4756</v>
      </c>
      <c r="D2963" s="7" t="n">
        <f aca="false">AVERAGE(B2764:B2963)</f>
        <v>2091.3386</v>
      </c>
      <c r="E2963" s="7" t="n">
        <f aca="false">B2963/MAX(B2712:B2963)-1</f>
        <v>-0.0506861404814231</v>
      </c>
      <c r="F2963" s="7" t="str">
        <f aca="false">IFERROR(INDEX(02_轉折點45個!B:B,MATCH(A2963,02_轉折點45個!A:A,0)),"")</f>
        <v/>
      </c>
      <c r="G2963" s="7" t="s">
        <v>1994</v>
      </c>
    </row>
    <row r="2964" customFormat="false" ht="15" hidden="false" customHeight="false" outlineLevel="0" collapsed="false">
      <c r="A2964" s="7" t="s">
        <v>908</v>
      </c>
      <c r="B2964" s="7" t="n">
        <v>2194.7</v>
      </c>
      <c r="C2964" s="7" t="n">
        <f aca="false">AVERAGE(B2915:B2964)</f>
        <v>2073.173</v>
      </c>
      <c r="D2964" s="7" t="n">
        <f aca="false">AVERAGE(B2765:B2964)</f>
        <v>2091.9447</v>
      </c>
      <c r="E2964" s="7" t="n">
        <f aca="false">B2964/MAX(B2713:B2964)-1</f>
        <v>-0.0505217436447645</v>
      </c>
      <c r="F2964" s="7" t="str">
        <f aca="false">IFERROR(INDEX(02_轉折點45個!B:B,MATCH(A2964,02_轉折點45個!A:A,0)),"")</f>
        <v/>
      </c>
      <c r="G2964" s="7" t="s">
        <v>1994</v>
      </c>
    </row>
    <row r="2965" customFormat="false" ht="15" hidden="false" customHeight="false" outlineLevel="0" collapsed="false">
      <c r="A2965" s="7" t="s">
        <v>909</v>
      </c>
      <c r="B2965" s="7" t="n">
        <v>2208.95</v>
      </c>
      <c r="C2965" s="7" t="n">
        <f aca="false">AVERAGE(B2916:B2965)</f>
        <v>2075.4124</v>
      </c>
      <c r="D2965" s="7" t="n">
        <f aca="false">AVERAGE(B2766:B2965)</f>
        <v>2092.54875</v>
      </c>
      <c r="E2965" s="7" t="n">
        <f aca="false">B2965/MAX(B2714:B2965)-1</f>
        <v>-0.0443568622700609</v>
      </c>
      <c r="F2965" s="7" t="str">
        <f aca="false">IFERROR(INDEX(02_轉折點45個!B:B,MATCH(A2965,02_轉折點45個!A:A,0)),"")</f>
        <v/>
      </c>
      <c r="G2965" s="7" t="s">
        <v>1994</v>
      </c>
    </row>
    <row r="2966" customFormat="false" ht="15" hidden="false" customHeight="false" outlineLevel="0" collapsed="false">
      <c r="A2966" s="7" t="s">
        <v>4403</v>
      </c>
      <c r="B2966" s="7" t="n">
        <v>2230.24</v>
      </c>
      <c r="C2966" s="7" t="n">
        <f aca="false">AVERAGE(B2917:B2966)</f>
        <v>2078.294</v>
      </c>
      <c r="D2966" s="7" t="n">
        <f aca="false">AVERAGE(B2767:B2966)</f>
        <v>2093.2346</v>
      </c>
      <c r="E2966" s="7" t="n">
        <f aca="false">B2966/MAX(B2715:B2966)-1</f>
        <v>-0.0351463131846264</v>
      </c>
      <c r="F2966" s="7" t="str">
        <f aca="false">IFERROR(INDEX(02_轉折點45個!B:B,MATCH(A2966,02_轉折點45個!A:A,0)),"")</f>
        <v/>
      </c>
      <c r="G2966" s="7" t="s">
        <v>1994</v>
      </c>
    </row>
    <row r="2967" customFormat="false" ht="15" hidden="false" customHeight="false" outlineLevel="0" collapsed="false">
      <c r="A2967" s="7" t="s">
        <v>4404</v>
      </c>
      <c r="B2967" s="7" t="n">
        <v>2224.9</v>
      </c>
      <c r="C2967" s="7" t="n">
        <f aca="false">AVERAGE(B2918:B2967)</f>
        <v>2080.7024</v>
      </c>
      <c r="D2967" s="7" t="n">
        <f aca="false">AVERAGE(B2768:B2967)</f>
        <v>2093.906</v>
      </c>
      <c r="E2967" s="7" t="n">
        <f aca="false">B2967/MAX(B2716:B2967)-1</f>
        <v>-0.0374565213629363</v>
      </c>
      <c r="F2967" s="7" t="str">
        <f aca="false">IFERROR(INDEX(02_轉折點45個!B:B,MATCH(A2967,02_轉折點45個!A:A,0)),"")</f>
        <v/>
      </c>
      <c r="G2967" s="7" t="s">
        <v>1994</v>
      </c>
    </row>
    <row r="2968" customFormat="false" ht="15" hidden="false" customHeight="false" outlineLevel="0" collapsed="false">
      <c r="A2968" s="7" t="s">
        <v>910</v>
      </c>
      <c r="B2968" s="7" t="n">
        <v>2255.4</v>
      </c>
      <c r="C2968" s="7" t="n">
        <f aca="false">AVERAGE(B2919:B2968)</f>
        <v>2083.9128</v>
      </c>
      <c r="D2968" s="7" t="n">
        <f aca="false">AVERAGE(B2769:B2968)</f>
        <v>2094.71675</v>
      </c>
      <c r="E2968" s="7" t="n">
        <f aca="false">B2968/MAX(B2717:B2968)-1</f>
        <v>-0.0242615121047987</v>
      </c>
      <c r="F2968" s="7" t="str">
        <f aca="false">IFERROR(INDEX(02_轉折點45個!B:B,MATCH(A2968,02_轉折點45個!A:A,0)),"")</f>
        <v/>
      </c>
      <c r="G2968" s="7" t="s">
        <v>1994</v>
      </c>
    </row>
    <row r="2969" customFormat="false" ht="15" hidden="false" customHeight="false" outlineLevel="0" collapsed="false">
      <c r="A2969" s="7" t="s">
        <v>4405</v>
      </c>
      <c r="B2969" s="7" t="n">
        <v>2266.26</v>
      </c>
      <c r="C2969" s="7" t="n">
        <f aca="false">AVERAGE(B2920:B2969)</f>
        <v>2087.4244</v>
      </c>
      <c r="D2969" s="7" t="n">
        <f aca="false">AVERAGE(B2770:B2969)</f>
        <v>2095.6829</v>
      </c>
      <c r="E2969" s="7" t="n">
        <f aca="false">B2969/MAX(B2718:B2969)-1</f>
        <v>-0.0195632235623928</v>
      </c>
      <c r="F2969" s="7" t="str">
        <f aca="false">IFERROR(INDEX(02_轉折點45個!B:B,MATCH(A2969,02_轉折點45個!A:A,0)),"")</f>
        <v/>
      </c>
      <c r="G2969" s="7" t="s">
        <v>1994</v>
      </c>
    </row>
    <row r="2970" customFormat="false" ht="15" hidden="false" customHeight="false" outlineLevel="0" collapsed="false">
      <c r="A2970" s="7" t="s">
        <v>4406</v>
      </c>
      <c r="B2970" s="7" t="n">
        <v>2226.33</v>
      </c>
      <c r="C2970" s="7" t="n">
        <f aca="false">AVERAGE(B2921:B2970)</f>
        <v>2089.8226</v>
      </c>
      <c r="D2970" s="7" t="n">
        <f aca="false">AVERAGE(B2771:B2970)</f>
        <v>2096.27</v>
      </c>
      <c r="E2970" s="7" t="n">
        <f aca="false">B2970/MAX(B2719:B2970)-1</f>
        <v>-0.0368378701091942</v>
      </c>
      <c r="F2970" s="7" t="str">
        <f aca="false">IFERROR(INDEX(02_轉折點45個!B:B,MATCH(A2970,02_轉折點45個!A:A,0)),"")</f>
        <v/>
      </c>
      <c r="G2970" s="7" t="s">
        <v>1994</v>
      </c>
    </row>
    <row r="2971" customFormat="false" ht="15" hidden="false" customHeight="false" outlineLevel="0" collapsed="false">
      <c r="A2971" s="7" t="s">
        <v>4407</v>
      </c>
      <c r="B2971" s="7" t="n">
        <v>2245</v>
      </c>
      <c r="C2971" s="7" t="n">
        <f aca="false">AVERAGE(B2922:B2971)</f>
        <v>2093.1154</v>
      </c>
      <c r="D2971" s="7" t="n">
        <f aca="false">AVERAGE(B2772:B2971)</f>
        <v>2096.94915</v>
      </c>
      <c r="E2971" s="7" t="n">
        <f aca="false">B2971/MAX(B2720:B2971)-1</f>
        <v>-0.0287607939501964</v>
      </c>
      <c r="F2971" s="7" t="str">
        <f aca="false">IFERROR(INDEX(02_轉折點45個!B:B,MATCH(A2971,02_轉折點45個!A:A,0)),"")</f>
        <v/>
      </c>
      <c r="G2971" s="7" t="s">
        <v>1994</v>
      </c>
    </row>
    <row r="2972" customFormat="false" ht="15" hidden="false" customHeight="false" outlineLevel="0" collapsed="false">
      <c r="A2972" s="7" t="s">
        <v>4408</v>
      </c>
      <c r="B2972" s="7" t="n">
        <v>2247.09</v>
      </c>
      <c r="C2972" s="7" t="n">
        <f aca="false">AVERAGE(B2923:B2972)</f>
        <v>2097.7024</v>
      </c>
      <c r="D2972" s="7" t="n">
        <f aca="false">AVERAGE(B2773:B2972)</f>
        <v>2097.67355</v>
      </c>
      <c r="E2972" s="7" t="n">
        <f aca="false">B2972/MAX(B2721:B2972)-1</f>
        <v>-0.0278566113485732</v>
      </c>
      <c r="F2972" s="7" t="str">
        <f aca="false">IFERROR(INDEX(02_轉折點45個!B:B,MATCH(A2972,02_轉折點45個!A:A,0)),"")</f>
        <v/>
      </c>
      <c r="G2972" s="7" t="s">
        <v>1994</v>
      </c>
    </row>
    <row r="2973" customFormat="false" ht="15" hidden="false" customHeight="false" outlineLevel="0" collapsed="false">
      <c r="A2973" s="7" t="s">
        <v>4409</v>
      </c>
      <c r="B2973" s="7" t="n">
        <v>2265.1</v>
      </c>
      <c r="C2973" s="7" t="n">
        <f aca="false">AVERAGE(B2924:B2973)</f>
        <v>2102.985</v>
      </c>
      <c r="D2973" s="7" t="n">
        <f aca="false">AVERAGE(B2774:B2973)</f>
        <v>2098.49275</v>
      </c>
      <c r="E2973" s="7" t="n">
        <f aca="false">B2973/MAX(B2722:B2973)-1</f>
        <v>-0.0200650665374565</v>
      </c>
      <c r="F2973" s="7" t="str">
        <f aca="false">IFERROR(INDEX(02_轉折點45個!B:B,MATCH(A2973,02_轉折點45個!A:A,0)),"")</f>
        <v/>
      </c>
      <c r="G2973" s="7" t="s">
        <v>1994</v>
      </c>
    </row>
    <row r="2974" customFormat="false" ht="15" hidden="false" customHeight="false" outlineLevel="0" collapsed="false">
      <c r="A2974" s="7" t="s">
        <v>4410</v>
      </c>
      <c r="B2974" s="7" t="n">
        <v>2275.57</v>
      </c>
      <c r="C2974" s="7" t="n">
        <f aca="false">AVERAGE(B2925:B2974)</f>
        <v>2108.7838</v>
      </c>
      <c r="D2974" s="7" t="n">
        <f aca="false">AVERAGE(B2775:B2974)</f>
        <v>2099.2861</v>
      </c>
      <c r="E2974" s="7" t="n">
        <f aca="false">B2974/MAX(B2723:B2974)-1</f>
        <v>-0.0155355010642532</v>
      </c>
      <c r="F2974" s="7" t="str">
        <f aca="false">IFERROR(INDEX(02_轉折點45個!B:B,MATCH(A2974,02_轉折點45個!A:A,0)),"")</f>
        <v/>
      </c>
      <c r="G2974" s="7" t="s">
        <v>1994</v>
      </c>
    </row>
    <row r="2975" customFormat="false" ht="15" hidden="false" customHeight="false" outlineLevel="0" collapsed="false">
      <c r="A2975" s="7" t="s">
        <v>4411</v>
      </c>
      <c r="B2975" s="7" t="n">
        <v>2281.46</v>
      </c>
      <c r="C2975" s="7" t="n">
        <f aca="false">AVERAGE(B2926:B2975)</f>
        <v>2114.547</v>
      </c>
      <c r="D2975" s="7" t="n">
        <f aca="false">AVERAGE(B2776:B2975)</f>
        <v>2100.13065</v>
      </c>
      <c r="E2975" s="7" t="n">
        <f aca="false">B2975/MAX(B2724:B2975)-1</f>
        <v>-0.0129873500960424</v>
      </c>
      <c r="F2975" s="7" t="str">
        <f aca="false">IFERROR(INDEX(02_轉折點45個!B:B,MATCH(A2975,02_轉折點45個!A:A,0)),"")</f>
        <v/>
      </c>
      <c r="G2975" s="7" t="s">
        <v>1994</v>
      </c>
    </row>
    <row r="2976" customFormat="false" ht="15" hidden="false" customHeight="false" outlineLevel="0" collapsed="false">
      <c r="A2976" s="7" t="s">
        <v>4412</v>
      </c>
      <c r="B2976" s="7" t="n">
        <v>2286.91</v>
      </c>
      <c r="C2976" s="7" t="n">
        <f aca="false">AVERAGE(B2927:B2976)</f>
        <v>2119.9156</v>
      </c>
      <c r="D2976" s="7" t="n">
        <f aca="false">AVERAGE(B2777:B2976)</f>
        <v>2101.1399</v>
      </c>
      <c r="E2976" s="7" t="n">
        <f aca="false">B2976/MAX(B2725:B2976)-1</f>
        <v>-0.0106295533597522</v>
      </c>
      <c r="F2976" s="7" t="str">
        <f aca="false">IFERROR(INDEX(02_轉折點45個!B:B,MATCH(A2976,02_轉折點45個!A:A,0)),"")</f>
        <v/>
      </c>
      <c r="G2976" s="7" t="s">
        <v>1994</v>
      </c>
    </row>
    <row r="2977" customFormat="false" ht="15" hidden="false" customHeight="false" outlineLevel="0" collapsed="false">
      <c r="A2977" s="7" t="s">
        <v>4413</v>
      </c>
      <c r="B2977" s="7" t="n">
        <v>2290.66</v>
      </c>
      <c r="C2977" s="7" t="n">
        <f aca="false">AVERAGE(B2928:B2977)</f>
        <v>2125.2448</v>
      </c>
      <c r="D2977" s="7" t="n">
        <f aca="false">AVERAGE(B2778:B2977)</f>
        <v>2102.05105</v>
      </c>
      <c r="E2977" s="7" t="n">
        <f aca="false">B2977/MAX(B2726:B2977)-1</f>
        <v>-0.00900721615588285</v>
      </c>
      <c r="F2977" s="7" t="str">
        <f aca="false">IFERROR(INDEX(02_轉折點45個!B:B,MATCH(A2977,02_轉折點45個!A:A,0)),"")</f>
        <v/>
      </c>
      <c r="G2977" s="7" t="s">
        <v>1994</v>
      </c>
    </row>
    <row r="2978" customFormat="false" ht="15" hidden="false" customHeight="false" outlineLevel="0" collapsed="false">
      <c r="A2978" s="7" t="s">
        <v>4414</v>
      </c>
      <c r="B2978" s="7" t="n">
        <v>2290.7</v>
      </c>
      <c r="C2978" s="7" t="n">
        <f aca="false">AVERAGE(B2929:B2978)</f>
        <v>2131.2462</v>
      </c>
      <c r="D2978" s="7" t="n">
        <f aca="false">AVERAGE(B2779:B2978)</f>
        <v>2102.922</v>
      </c>
      <c r="E2978" s="7" t="n">
        <f aca="false">B2978/MAX(B2727:B2978)-1</f>
        <v>-0.00898991122570825</v>
      </c>
      <c r="F2978" s="7" t="str">
        <f aca="false">IFERROR(INDEX(02_轉折點45個!B:B,MATCH(A2978,02_轉折點45個!A:A,0)),"")</f>
        <v/>
      </c>
      <c r="G2978" s="7" t="s">
        <v>1994</v>
      </c>
    </row>
    <row r="2979" customFormat="false" ht="15" hidden="false" customHeight="false" outlineLevel="0" collapsed="false">
      <c r="A2979" s="7" t="s">
        <v>4415</v>
      </c>
      <c r="B2979" s="7" t="n">
        <v>2288.35</v>
      </c>
      <c r="C2979" s="7" t="n">
        <f aca="false">AVERAGE(B2930:B2979)</f>
        <v>2137.1858</v>
      </c>
      <c r="D2979" s="7" t="n">
        <f aca="false">AVERAGE(B2780:B2979)</f>
        <v>2103.9125</v>
      </c>
      <c r="E2979" s="7" t="n">
        <f aca="false">B2979/MAX(B2728:B2979)-1</f>
        <v>-0.0100065758734664</v>
      </c>
      <c r="F2979" s="7" t="str">
        <f aca="false">IFERROR(INDEX(02_轉折點45個!B:B,MATCH(A2979,02_轉折點45個!A:A,0)),"")</f>
        <v/>
      </c>
      <c r="G2979" s="7" t="s">
        <v>1994</v>
      </c>
    </row>
    <row r="2980" customFormat="false" ht="15" hidden="false" customHeight="false" outlineLevel="0" collapsed="false">
      <c r="A2980" s="7" t="s">
        <v>4416</v>
      </c>
      <c r="B2980" s="7" t="n">
        <v>2314.55</v>
      </c>
      <c r="C2980" s="7" t="n">
        <f aca="false">AVERAGE(B2931:B2980)</f>
        <v>2144.0172</v>
      </c>
      <c r="D2980" s="7" t="n">
        <f aca="false">AVERAGE(B2781:B2980)</f>
        <v>2104.886</v>
      </c>
      <c r="E2980" s="7" t="n">
        <f aca="false">B2980/MAX(B2729:B2980)-1</f>
        <v>0</v>
      </c>
      <c r="F2980" s="7" t="str">
        <f aca="false">IFERROR(INDEX(02_轉折點45個!B:B,MATCH(A2980,02_轉折點45個!A:A,0)),"")</f>
        <v/>
      </c>
      <c r="G2980" s="7" t="s">
        <v>1994</v>
      </c>
    </row>
    <row r="2981" customFormat="false" ht="15" hidden="false" customHeight="false" outlineLevel="0" collapsed="false">
      <c r="A2981" s="7" t="s">
        <v>4417</v>
      </c>
      <c r="B2981" s="7" t="n">
        <v>2320.72</v>
      </c>
      <c r="C2981" s="7" t="n">
        <f aca="false">AVERAGE(B2932:B2981)</f>
        <v>2151.6274</v>
      </c>
      <c r="D2981" s="7" t="n">
        <f aca="false">AVERAGE(B2782:B2981)</f>
        <v>2106.0235</v>
      </c>
      <c r="E2981" s="7" t="n">
        <f aca="false">B2981/MAX(B2730:B2981)-1</f>
        <v>0</v>
      </c>
      <c r="F2981" s="7" t="str">
        <f aca="false">IFERROR(INDEX(02_轉折點45個!B:B,MATCH(A2981,02_轉折點45個!A:A,0)),"")</f>
        <v/>
      </c>
      <c r="G2981" s="7" t="s">
        <v>1994</v>
      </c>
    </row>
    <row r="2982" customFormat="false" ht="15" hidden="false" customHeight="false" outlineLevel="0" collapsed="false">
      <c r="A2982" s="7" t="s">
        <v>4418</v>
      </c>
      <c r="B2982" s="7" t="n">
        <v>2354.59</v>
      </c>
      <c r="C2982" s="7" t="n">
        <f aca="false">AVERAGE(B2933:B2982)</f>
        <v>2159.5902</v>
      </c>
      <c r="D2982" s="7" t="n">
        <f aca="false">AVERAGE(B2783:B2982)</f>
        <v>2107.44705</v>
      </c>
      <c r="E2982" s="7" t="n">
        <f aca="false">B2982/MAX(B2731:B2982)-1</f>
        <v>0</v>
      </c>
      <c r="F2982" s="7" t="str">
        <f aca="false">IFERROR(INDEX(02_轉折點45個!B:B,MATCH(A2982,02_轉折點45個!A:A,0)),"")</f>
        <v/>
      </c>
      <c r="G2982" s="7" t="s">
        <v>1994</v>
      </c>
    </row>
    <row r="2983" customFormat="false" ht="15" hidden="false" customHeight="false" outlineLevel="0" collapsed="false">
      <c r="A2983" s="7" t="s">
        <v>4419</v>
      </c>
      <c r="B2983" s="7" t="n">
        <v>2356.09</v>
      </c>
      <c r="C2983" s="7" t="n">
        <f aca="false">AVERAGE(B2934:B2983)</f>
        <v>2168.0004</v>
      </c>
      <c r="D2983" s="7" t="n">
        <f aca="false">AVERAGE(B2784:B2983)</f>
        <v>2109.15405</v>
      </c>
      <c r="E2983" s="7" t="n">
        <f aca="false">B2983/MAX(B2732:B2983)-1</f>
        <v>0</v>
      </c>
      <c r="F2983" s="7" t="str">
        <f aca="false">IFERROR(INDEX(02_轉折點45個!B:B,MATCH(A2983,02_轉折點45個!A:A,0)),"")</f>
        <v/>
      </c>
      <c r="G2983" s="7" t="s">
        <v>1994</v>
      </c>
    </row>
    <row r="2984" customFormat="false" ht="15" hidden="false" customHeight="false" outlineLevel="0" collapsed="false">
      <c r="A2984" s="7" t="s">
        <v>4420</v>
      </c>
      <c r="B2984" s="7" t="n">
        <v>2357.06</v>
      </c>
      <c r="C2984" s="7" t="n">
        <f aca="false">AVERAGE(B2935:B2984)</f>
        <v>2175.7916</v>
      </c>
      <c r="D2984" s="7" t="n">
        <f aca="false">AVERAGE(B2785:B2984)</f>
        <v>2110.8407</v>
      </c>
      <c r="E2984" s="7" t="n">
        <f aca="false">B2984/MAX(B2733:B2984)-1</f>
        <v>0</v>
      </c>
      <c r="F2984" s="7" t="str">
        <f aca="false">IFERROR(INDEX(02_轉折點45個!B:B,MATCH(A2984,02_轉折點45個!A:A,0)),"")</f>
        <v/>
      </c>
      <c r="G2984" s="7" t="s">
        <v>1994</v>
      </c>
    </row>
    <row r="2985" customFormat="false" ht="15" hidden="false" customHeight="false" outlineLevel="0" collapsed="false">
      <c r="A2985" s="7" t="s">
        <v>4421</v>
      </c>
      <c r="B2985" s="7" t="n">
        <v>2341.47</v>
      </c>
      <c r="C2985" s="7" t="n">
        <f aca="false">AVERAGE(B2936:B2985)</f>
        <v>2183.886</v>
      </c>
      <c r="D2985" s="7" t="n">
        <f aca="false">AVERAGE(B2786:B2985)</f>
        <v>2112.4817</v>
      </c>
      <c r="E2985" s="7" t="n">
        <f aca="false">B2985/MAX(B2734:B2985)-1</f>
        <v>-0.00661417189210289</v>
      </c>
      <c r="F2985" s="7" t="str">
        <f aca="false">IFERROR(INDEX(02_轉折點45個!B:B,MATCH(A2985,02_轉折點45個!A:A,0)),"")</f>
        <v/>
      </c>
      <c r="G2985" s="7" t="s">
        <v>1994</v>
      </c>
    </row>
    <row r="2986" customFormat="false" ht="15" hidden="false" customHeight="false" outlineLevel="0" collapsed="false">
      <c r="A2986" s="7" t="s">
        <v>4422</v>
      </c>
      <c r="B2986" s="7" t="n">
        <v>2355.9</v>
      </c>
      <c r="C2986" s="7" t="n">
        <f aca="false">AVERAGE(B2937:B2986)</f>
        <v>2192.3776</v>
      </c>
      <c r="D2986" s="7" t="n">
        <f aca="false">AVERAGE(B2787:B2986)</f>
        <v>2114.1141</v>
      </c>
      <c r="E2986" s="7" t="n">
        <f aca="false">B2986/MAX(B2735:B2986)-1</f>
        <v>-0.000492138511535512</v>
      </c>
      <c r="F2986" s="7" t="str">
        <f aca="false">IFERROR(INDEX(02_轉折點45個!B:B,MATCH(A2986,02_轉折點45個!A:A,0)),"")</f>
        <v/>
      </c>
      <c r="G2986" s="7" t="s">
        <v>1994</v>
      </c>
    </row>
    <row r="2987" customFormat="false" ht="15" hidden="false" customHeight="false" outlineLevel="0" collapsed="false">
      <c r="A2987" s="7" t="s">
        <v>4423</v>
      </c>
      <c r="B2987" s="7" t="n">
        <v>2334.65</v>
      </c>
      <c r="C2987" s="7" t="n">
        <f aca="false">AVERAGE(B2938:B2987)</f>
        <v>2199.2966</v>
      </c>
      <c r="D2987" s="7" t="n">
        <f aca="false">AVERAGE(B2788:B2987)</f>
        <v>2115.834</v>
      </c>
      <c r="E2987" s="7" t="n">
        <f aca="false">B2987/MAX(B2736:B2987)-1</f>
        <v>-0.00950760693406183</v>
      </c>
      <c r="F2987" s="7" t="str">
        <f aca="false">IFERROR(INDEX(02_轉折點45個!B:B,MATCH(A2987,02_轉折點45個!A:A,0)),"")</f>
        <v/>
      </c>
      <c r="G2987" s="7" t="s">
        <v>1994</v>
      </c>
    </row>
    <row r="2988" customFormat="false" ht="15" hidden="false" customHeight="false" outlineLevel="0" collapsed="false">
      <c r="A2988" s="7" t="s">
        <v>4424</v>
      </c>
      <c r="B2988" s="7" t="n">
        <v>2300.57</v>
      </c>
      <c r="C2988" s="7" t="n">
        <f aca="false">AVERAGE(B2939:B2988)</f>
        <v>2205.1106</v>
      </c>
      <c r="D2988" s="7" t="n">
        <f aca="false">AVERAGE(B2789:B2988)</f>
        <v>2117.52805</v>
      </c>
      <c r="E2988" s="7" t="n">
        <f aca="false">B2988/MAX(B2737:B2988)-1</f>
        <v>-0.0239662969971065</v>
      </c>
      <c r="F2988" s="7" t="str">
        <f aca="false">IFERROR(INDEX(02_轉折點45個!B:B,MATCH(A2988,02_轉折點45個!A:A,0)),"")</f>
        <v/>
      </c>
      <c r="G2988" s="7" t="s">
        <v>1994</v>
      </c>
    </row>
    <row r="2989" customFormat="false" ht="15" hidden="false" customHeight="false" outlineLevel="0" collapsed="false">
      <c r="A2989" s="7" t="s">
        <v>912</v>
      </c>
      <c r="B2989" s="7" t="n">
        <v>2296.56</v>
      </c>
      <c r="C2989" s="7" t="n">
        <f aca="false">AVERAGE(B2940:B2989)</f>
        <v>2210.228</v>
      </c>
      <c r="D2989" s="7" t="n">
        <f aca="false">AVERAGE(B2790:B2989)</f>
        <v>2119.0931</v>
      </c>
      <c r="E2989" s="7" t="n">
        <f aca="false">B2989/MAX(B2738:B2989)-1</f>
        <v>-0.0256675689206045</v>
      </c>
      <c r="F2989" s="7" t="str">
        <f aca="false">IFERROR(INDEX(02_轉折點45個!B:B,MATCH(A2989,02_轉折點45個!A:A,0)),"")</f>
        <v/>
      </c>
      <c r="G2989" s="7" t="s">
        <v>1994</v>
      </c>
    </row>
    <row r="2990" customFormat="false" ht="15" hidden="false" customHeight="false" outlineLevel="0" collapsed="false">
      <c r="A2990" s="7" t="s">
        <v>4425</v>
      </c>
      <c r="B2990" s="7" t="n">
        <v>2256.38</v>
      </c>
      <c r="C2990" s="7" t="n">
        <f aca="false">AVERAGE(B2941:B2990)</f>
        <v>2214.996</v>
      </c>
      <c r="D2990" s="7" t="n">
        <f aca="false">AVERAGE(B2791:B2990)</f>
        <v>2120.3711</v>
      </c>
      <c r="E2990" s="7" t="n">
        <f aca="false">B2990/MAX(B2739:B2990)-1</f>
        <v>-0.042714228742586</v>
      </c>
      <c r="F2990" s="7" t="str">
        <f aca="false">IFERROR(INDEX(02_轉折點45個!B:B,MATCH(A2990,02_轉折點45個!A:A,0)),"")</f>
        <v/>
      </c>
      <c r="G2990" s="7" t="s">
        <v>1994</v>
      </c>
    </row>
    <row r="2991" customFormat="false" ht="15" hidden="false" customHeight="false" outlineLevel="0" collapsed="false">
      <c r="A2991" s="7" t="s">
        <v>4426</v>
      </c>
      <c r="B2991" s="7" t="n">
        <v>2262.01</v>
      </c>
      <c r="C2991" s="7" t="n">
        <f aca="false">AVERAGE(B2942:B2991)</f>
        <v>2219.5116</v>
      </c>
      <c r="D2991" s="7" t="n">
        <f aca="false">AVERAGE(B2792:B2991)</f>
        <v>2121.67335</v>
      </c>
      <c r="E2991" s="7" t="n">
        <f aca="false">B2991/MAX(B2740:B2991)-1</f>
        <v>-0.0403256599322884</v>
      </c>
      <c r="F2991" s="7" t="str">
        <f aca="false">IFERROR(INDEX(02_轉折點45個!B:B,MATCH(A2991,02_轉折點45個!A:A,0)),"")</f>
        <v/>
      </c>
      <c r="G2991" s="7" t="s">
        <v>1994</v>
      </c>
    </row>
    <row r="2992" customFormat="false" ht="15" hidden="false" customHeight="false" outlineLevel="0" collapsed="false">
      <c r="A2992" s="7" t="s">
        <v>913</v>
      </c>
      <c r="B2992" s="7" t="n">
        <v>2297.09</v>
      </c>
      <c r="C2992" s="7" t="n">
        <f aca="false">AVERAGE(B2943:B2992)</f>
        <v>2224.5948</v>
      </c>
      <c r="D2992" s="7" t="n">
        <f aca="false">AVERAGE(B2793:B2992)</f>
        <v>2123.45015</v>
      </c>
      <c r="E2992" s="7" t="n">
        <f aca="false">B2992/MAX(B2741:B2992)-1</f>
        <v>-0.0254427125317132</v>
      </c>
      <c r="F2992" s="7" t="str">
        <f aca="false">IFERROR(INDEX(02_轉折點45個!B:B,MATCH(A2992,02_轉折點45個!A:A,0)),"")</f>
        <v/>
      </c>
      <c r="G2992" s="7" t="s">
        <v>1994</v>
      </c>
    </row>
    <row r="2993" customFormat="false" ht="15" hidden="false" customHeight="false" outlineLevel="0" collapsed="false">
      <c r="A2993" s="7" t="s">
        <v>4427</v>
      </c>
      <c r="B2993" s="7" t="n">
        <v>2300.49</v>
      </c>
      <c r="C2993" s="7" t="n">
        <f aca="false">AVERAGE(B2944:B2993)</f>
        <v>2229.6312</v>
      </c>
      <c r="D2993" s="7" t="n">
        <f aca="false">AVERAGE(B2794:B2993)</f>
        <v>2125.17225</v>
      </c>
      <c r="E2993" s="7" t="n">
        <f aca="false">B2993/MAX(B2742:B2993)-1</f>
        <v>-0.0240002375841091</v>
      </c>
      <c r="F2993" s="7" t="str">
        <f aca="false">IFERROR(INDEX(02_轉折點45個!B:B,MATCH(A2993,02_轉折點45個!A:A,0)),"")</f>
        <v/>
      </c>
      <c r="G2993" s="7" t="s">
        <v>1994</v>
      </c>
    </row>
    <row r="2994" customFormat="false" ht="15" hidden="false" customHeight="false" outlineLevel="0" collapsed="false">
      <c r="A2994" s="7" t="s">
        <v>4428</v>
      </c>
      <c r="B2994" s="7" t="n">
        <v>2313.18</v>
      </c>
      <c r="C2994" s="7" t="n">
        <f aca="false">AVERAGE(B2945:B2994)</f>
        <v>2234.1316</v>
      </c>
      <c r="D2994" s="7" t="n">
        <f aca="false">AVERAGE(B2795:B2994)</f>
        <v>2127.02665</v>
      </c>
      <c r="E2994" s="7" t="n">
        <f aca="false">B2994/MAX(B2743:B2994)-1</f>
        <v>-0.0186164119708451</v>
      </c>
      <c r="F2994" s="7" t="str">
        <f aca="false">IFERROR(INDEX(02_轉折點45個!B:B,MATCH(A2994,02_轉折點45個!A:A,0)),"")</f>
        <v/>
      </c>
      <c r="G2994" s="7" t="s">
        <v>1994</v>
      </c>
    </row>
    <row r="2995" customFormat="false" ht="15" hidden="false" customHeight="false" outlineLevel="0" collapsed="false">
      <c r="A2995" s="7" t="s">
        <v>4429</v>
      </c>
      <c r="B2995" s="7" t="n">
        <v>2279.32</v>
      </c>
      <c r="C2995" s="7" t="n">
        <f aca="false">AVERAGE(B2946:B2995)</f>
        <v>2237.8806</v>
      </c>
      <c r="D2995" s="7" t="n">
        <f aca="false">AVERAGE(B2796:B2995)</f>
        <v>2128.59835</v>
      </c>
      <c r="E2995" s="7" t="n">
        <f aca="false">B2995/MAX(B2744:B2995)-1</f>
        <v>-0.0329817654196328</v>
      </c>
      <c r="F2995" s="7" t="str">
        <f aca="false">IFERROR(INDEX(02_轉折點45個!B:B,MATCH(A2995,02_轉折點45個!A:A,0)),"")</f>
        <v/>
      </c>
      <c r="G2995" s="7" t="s">
        <v>1994</v>
      </c>
    </row>
    <row r="2996" customFormat="false" ht="15" hidden="false" customHeight="false" outlineLevel="0" collapsed="false">
      <c r="A2996" s="7" t="s">
        <v>4430</v>
      </c>
      <c r="B2996" s="7" t="n">
        <v>2323.32</v>
      </c>
      <c r="C2996" s="7" t="n">
        <f aca="false">AVERAGE(B2947:B2996)</f>
        <v>2242.2986</v>
      </c>
      <c r="D2996" s="7" t="n">
        <f aca="false">AVERAGE(B2797:B2996)</f>
        <v>2130.40375</v>
      </c>
      <c r="E2996" s="7" t="n">
        <f aca="false">B2996/MAX(B2745:B2996)-1</f>
        <v>-0.0143144425682842</v>
      </c>
      <c r="F2996" s="7" t="str">
        <f aca="false">IFERROR(INDEX(02_轉折點45個!B:B,MATCH(A2996,02_轉折點45個!A:A,0)),"")</f>
        <v/>
      </c>
      <c r="G2996" s="7" t="s">
        <v>1994</v>
      </c>
    </row>
    <row r="2997" customFormat="false" ht="15" hidden="false" customHeight="false" outlineLevel="0" collapsed="false">
      <c r="A2997" s="7" t="s">
        <v>4431</v>
      </c>
      <c r="B2997" s="7" t="n">
        <v>2315.5</v>
      </c>
      <c r="C2997" s="7" t="n">
        <f aca="false">AVERAGE(B2948:B2997)</f>
        <v>2246.5248</v>
      </c>
      <c r="D2997" s="7" t="n">
        <f aca="false">AVERAGE(B2798:B2997)</f>
        <v>2132.03515</v>
      </c>
      <c r="E2997" s="7" t="n">
        <f aca="false">B2997/MAX(B2746:B2997)-1</f>
        <v>-0.0176321349477739</v>
      </c>
      <c r="F2997" s="7" t="str">
        <f aca="false">IFERROR(INDEX(02_轉折點45個!B:B,MATCH(A2997,02_轉折點45個!A:A,0)),"")</f>
        <v/>
      </c>
      <c r="G2997" s="7" t="s">
        <v>1994</v>
      </c>
    </row>
    <row r="2998" customFormat="false" ht="15" hidden="false" customHeight="false" outlineLevel="0" collapsed="false">
      <c r="A2998" s="7" t="s">
        <v>4432</v>
      </c>
      <c r="B2998" s="7" t="n">
        <v>2306.97</v>
      </c>
      <c r="C2998" s="7" t="n">
        <f aca="false">AVERAGE(B2949:B2998)</f>
        <v>2250.3546</v>
      </c>
      <c r="D2998" s="7" t="n">
        <f aca="false">AVERAGE(B2799:B2998)</f>
        <v>2133.59595</v>
      </c>
      <c r="E2998" s="7" t="n">
        <f aca="false">B2998/MAX(B2747:B2998)-1</f>
        <v>-0.0212510500369104</v>
      </c>
      <c r="F2998" s="7" t="str">
        <f aca="false">IFERROR(INDEX(02_轉折點45個!B:B,MATCH(A2998,02_轉折點45個!A:A,0)),"")</f>
        <v/>
      </c>
      <c r="G2998" s="7" t="s">
        <v>1994</v>
      </c>
    </row>
    <row r="2999" customFormat="false" ht="15" hidden="false" customHeight="false" outlineLevel="0" collapsed="false">
      <c r="A2999" s="7" t="s">
        <v>914</v>
      </c>
      <c r="B2999" s="7" t="n">
        <v>2282.31</v>
      </c>
      <c r="C2999" s="7" t="n">
        <f aca="false">AVERAGE(B2950:B2999)</f>
        <v>2252.9564</v>
      </c>
      <c r="D2999" s="7" t="n">
        <f aca="false">AVERAGE(B2800:B2999)</f>
        <v>2134.8934</v>
      </c>
      <c r="E2999" s="7" t="n">
        <f aca="false">B2999/MAX(B2748:B2999)-1</f>
        <v>-0.0317132359804163</v>
      </c>
      <c r="F2999" s="7" t="str">
        <f aca="false">IFERROR(INDEX(02_轉折點45個!B:B,MATCH(A2999,02_轉折點45個!A:A,0)),"")</f>
        <v/>
      </c>
      <c r="G2999" s="7" t="s">
        <v>1994</v>
      </c>
    </row>
    <row r="3000" customFormat="false" ht="15" hidden="false" customHeight="false" outlineLevel="0" collapsed="false">
      <c r="A3000" s="7" t="s">
        <v>4433</v>
      </c>
      <c r="B3000" s="7" t="n">
        <v>2329.09</v>
      </c>
      <c r="C3000" s="7" t="n">
        <f aca="false">AVERAGE(B2951:B3000)</f>
        <v>2256.6122</v>
      </c>
      <c r="D3000" s="7" t="n">
        <f aca="false">AVERAGE(B2801:B3000)</f>
        <v>2136.36945</v>
      </c>
      <c r="E3000" s="7" t="n">
        <f aca="false">B3000/MAX(B2749:B3000)-1</f>
        <v>-0.0118664777307322</v>
      </c>
      <c r="F3000" s="7" t="str">
        <f aca="false">IFERROR(INDEX(02_轉折點45個!B:B,MATCH(A3000,02_轉折點45個!A:A,0)),"")</f>
        <v/>
      </c>
      <c r="G3000" s="7" t="s">
        <v>1994</v>
      </c>
    </row>
    <row r="3001" customFormat="false" ht="15" hidden="false" customHeight="false" outlineLevel="0" collapsed="false">
      <c r="A3001" s="7" t="s">
        <v>4434</v>
      </c>
      <c r="B3001" s="7" t="n">
        <v>2356.42</v>
      </c>
      <c r="C3001" s="7" t="n">
        <f aca="false">AVERAGE(B2952:B3001)</f>
        <v>2261.085</v>
      </c>
      <c r="D3001" s="7" t="n">
        <f aca="false">AVERAGE(B2802:B3001)</f>
        <v>2137.91175</v>
      </c>
      <c r="E3001" s="7" t="n">
        <f aca="false">B3001/MAX(B2750:B3001)-1</f>
        <v>-0.000271524696019543</v>
      </c>
      <c r="F3001" s="7" t="str">
        <f aca="false">IFERROR(INDEX(02_轉折點45個!B:B,MATCH(A3001,02_轉折點45個!A:A,0)),"")</f>
        <v/>
      </c>
      <c r="G3001" s="7" t="s">
        <v>1994</v>
      </c>
    </row>
    <row r="3002" customFormat="false" ht="15" hidden="false" customHeight="false" outlineLevel="0" collapsed="false">
      <c r="A3002" s="7" t="s">
        <v>915</v>
      </c>
      <c r="B3002" s="7" t="n">
        <v>2367.49</v>
      </c>
      <c r="C3002" s="7" t="n">
        <f aca="false">AVERAGE(B2953:B3002)</f>
        <v>2265.9156</v>
      </c>
      <c r="D3002" s="7" t="n">
        <f aca="false">AVERAGE(B2803:B3002)</f>
        <v>2139.4995</v>
      </c>
      <c r="E3002" s="7" t="n">
        <f aca="false">B3002/MAX(B2751:B3002)-1</f>
        <v>0</v>
      </c>
      <c r="F3002" s="7" t="str">
        <f aca="false">IFERROR(INDEX(02_轉折點45個!B:B,MATCH(A3002,02_轉折點45個!A:A,0)),"")</f>
        <v/>
      </c>
      <c r="G3002" s="7" t="s">
        <v>1994</v>
      </c>
    </row>
    <row r="3003" customFormat="false" ht="15" hidden="false" customHeight="false" outlineLevel="0" collapsed="false">
      <c r="A3003" s="7" t="s">
        <v>916</v>
      </c>
      <c r="B3003" s="7" t="n">
        <v>2370.65</v>
      </c>
      <c r="C3003" s="7" t="n">
        <f aca="false">AVERAGE(B2954:B3003)</f>
        <v>2269.8202</v>
      </c>
      <c r="D3003" s="7" t="n">
        <f aca="false">AVERAGE(B2804:B3003)</f>
        <v>2141.11145</v>
      </c>
      <c r="E3003" s="7" t="n">
        <f aca="false">B3003/MAX(B2752:B3003)-1</f>
        <v>0</v>
      </c>
      <c r="F3003" s="7" t="str">
        <f aca="false">IFERROR(INDEX(02_轉折點45個!B:B,MATCH(A3003,02_轉折點45個!A:A,0)),"")</f>
        <v/>
      </c>
      <c r="G3003" s="7" t="s">
        <v>1994</v>
      </c>
    </row>
    <row r="3004" customFormat="false" ht="15" hidden="false" customHeight="false" outlineLevel="0" collapsed="false">
      <c r="A3004" s="7" t="s">
        <v>917</v>
      </c>
      <c r="B3004" s="7" t="n">
        <v>2373.91</v>
      </c>
      <c r="C3004" s="7" t="n">
        <f aca="false">AVERAGE(B2955:B3004)</f>
        <v>2273.9992</v>
      </c>
      <c r="D3004" s="7" t="n">
        <f aca="false">AVERAGE(B2805:B3004)</f>
        <v>2142.8703</v>
      </c>
      <c r="E3004" s="7" t="n">
        <f aca="false">B3004/MAX(B2753:B3004)-1</f>
        <v>0</v>
      </c>
      <c r="F3004" s="7" t="str">
        <f aca="false">IFERROR(INDEX(02_轉折點45個!B:B,MATCH(A3004,02_轉折點45個!A:A,0)),"")</f>
        <v/>
      </c>
      <c r="G3004" s="7" t="s">
        <v>1994</v>
      </c>
    </row>
    <row r="3005" customFormat="false" ht="15" hidden="false" customHeight="false" outlineLevel="0" collapsed="false">
      <c r="A3005" s="7" t="s">
        <v>918</v>
      </c>
      <c r="B3005" s="7" t="n">
        <v>2383.66</v>
      </c>
      <c r="C3005" s="7" t="n">
        <f aca="false">AVERAGE(B2956:B3005)</f>
        <v>2278.1938</v>
      </c>
      <c r="D3005" s="7" t="n">
        <f aca="false">AVERAGE(B2806:B3005)</f>
        <v>2144.5753</v>
      </c>
      <c r="E3005" s="7" t="n">
        <f aca="false">B3005/MAX(B2754:B3005)-1</f>
        <v>0</v>
      </c>
      <c r="F3005" s="7" t="str">
        <f aca="false">IFERROR(INDEX(02_轉折點45個!B:B,MATCH(A3005,02_轉折點45個!A:A,0)),"")</f>
        <v/>
      </c>
      <c r="G3005" s="7" t="s">
        <v>1994</v>
      </c>
    </row>
    <row r="3006" customFormat="false" ht="15" hidden="false" customHeight="false" outlineLevel="0" collapsed="false">
      <c r="A3006" s="7" t="s">
        <v>919</v>
      </c>
      <c r="B3006" s="7" t="n">
        <v>2390.52</v>
      </c>
      <c r="C3006" s="7" t="n">
        <f aca="false">AVERAGE(B2957:B3006)</f>
        <v>2282.581</v>
      </c>
      <c r="D3006" s="7" t="n">
        <f aca="false">AVERAGE(B2807:B3006)</f>
        <v>2146.3223</v>
      </c>
      <c r="E3006" s="7" t="n">
        <f aca="false">B3006/MAX(B2755:B3006)-1</f>
        <v>0</v>
      </c>
      <c r="F3006" s="7" t="str">
        <f aca="false">IFERROR(INDEX(02_轉折點45個!B:B,MATCH(A3006,02_轉折點45個!A:A,0)),"")</f>
        <v/>
      </c>
      <c r="G3006" s="7" t="s">
        <v>1994</v>
      </c>
    </row>
    <row r="3007" customFormat="false" ht="15" hidden="false" customHeight="false" outlineLevel="0" collapsed="false">
      <c r="A3007" s="7" t="s">
        <v>920</v>
      </c>
      <c r="B3007" s="7" t="n">
        <v>2409.58</v>
      </c>
      <c r="C3007" s="7" t="n">
        <f aca="false">AVERAGE(B2958:B3007)</f>
        <v>2287.4944</v>
      </c>
      <c r="D3007" s="7" t="n">
        <f aca="false">AVERAGE(B2808:B3007)</f>
        <v>2148.14615</v>
      </c>
      <c r="E3007" s="7" t="n">
        <f aca="false">B3007/MAX(B2756:B3007)-1</f>
        <v>0</v>
      </c>
      <c r="F3007" s="7" t="str">
        <f aca="false">IFERROR(INDEX(02_轉折點45個!B:B,MATCH(A3007,02_轉折點45個!A:A,0)),"")</f>
        <v/>
      </c>
      <c r="G3007" s="7" t="s">
        <v>1994</v>
      </c>
    </row>
    <row r="3008" customFormat="false" ht="15" hidden="false" customHeight="false" outlineLevel="0" collapsed="false">
      <c r="A3008" s="7" t="s">
        <v>4435</v>
      </c>
      <c r="B3008" s="7" t="n">
        <v>2398.05</v>
      </c>
      <c r="C3008" s="7" t="n">
        <f aca="false">AVERAGE(B2959:B3008)</f>
        <v>2292.1384</v>
      </c>
      <c r="D3008" s="7" t="n">
        <f aca="false">AVERAGE(B2809:B3008)</f>
        <v>2149.75105</v>
      </c>
      <c r="E3008" s="7" t="n">
        <f aca="false">B3008/MAX(B2757:B3008)-1</f>
        <v>-0.0047850662771104</v>
      </c>
      <c r="F3008" s="7" t="str">
        <f aca="false">IFERROR(INDEX(02_轉折點45個!B:B,MATCH(A3008,02_轉折點45個!A:A,0)),"")</f>
        <v/>
      </c>
      <c r="G3008" s="7" t="s">
        <v>1994</v>
      </c>
    </row>
    <row r="3009" customFormat="false" ht="15" hidden="false" customHeight="false" outlineLevel="0" collapsed="false">
      <c r="A3009" s="7" t="s">
        <v>4436</v>
      </c>
      <c r="B3009" s="7" t="n">
        <v>2400.61</v>
      </c>
      <c r="C3009" s="7" t="n">
        <f aca="false">AVERAGE(B2960:B3009)</f>
        <v>2297.3128</v>
      </c>
      <c r="D3009" s="7" t="n">
        <f aca="false">AVERAGE(B2810:B3009)</f>
        <v>2151.33575</v>
      </c>
      <c r="E3009" s="7" t="n">
        <f aca="false">B3009/MAX(B2758:B3009)-1</f>
        <v>-0.00372264046016313</v>
      </c>
      <c r="F3009" s="7" t="str">
        <f aca="false">IFERROR(INDEX(02_轉折點45個!B:B,MATCH(A3009,02_轉折點45個!A:A,0)),"")</f>
        <v/>
      </c>
      <c r="G3009" s="7" t="s">
        <v>1994</v>
      </c>
    </row>
    <row r="3010" customFormat="false" ht="15" hidden="false" customHeight="false" outlineLevel="0" collapsed="false">
      <c r="A3010" s="7" t="s">
        <v>4437</v>
      </c>
      <c r="B3010" s="7" t="n">
        <v>2391.02</v>
      </c>
      <c r="C3010" s="7" t="n">
        <f aca="false">AVERAGE(B2961:B3010)</f>
        <v>2301.2848</v>
      </c>
      <c r="D3010" s="7" t="n">
        <f aca="false">AVERAGE(B2811:B3010)</f>
        <v>2152.873</v>
      </c>
      <c r="E3010" s="7" t="n">
        <f aca="false">B3010/MAX(B2759:B3010)-1</f>
        <v>-0.00770258717286831</v>
      </c>
      <c r="F3010" s="7" t="str">
        <f aca="false">IFERROR(INDEX(02_轉折點45個!B:B,MATCH(A3010,02_轉折點45個!A:A,0)),"")</f>
        <v/>
      </c>
      <c r="G3010" s="7" t="s">
        <v>1994</v>
      </c>
    </row>
    <row r="3011" customFormat="false" ht="15" hidden="false" customHeight="false" outlineLevel="0" collapsed="false">
      <c r="A3011" s="7" t="s">
        <v>4438</v>
      </c>
      <c r="B3011" s="7" t="n">
        <v>2409.37</v>
      </c>
      <c r="C3011" s="7" t="n">
        <f aca="false">AVERAGE(B2962:B3011)</f>
        <v>2305.974</v>
      </c>
      <c r="D3011" s="7" t="n">
        <f aca="false">AVERAGE(B2812:B3011)</f>
        <v>2154.4489</v>
      </c>
      <c r="E3011" s="7" t="n">
        <f aca="false">B3011/MAX(B2760:B3011)-1</f>
        <v>-8.71521177965295E-005</v>
      </c>
      <c r="F3011" s="7" t="str">
        <f aca="false">IFERROR(INDEX(02_轉折點45個!B:B,MATCH(A3011,02_轉折點45個!A:A,0)),"")</f>
        <v/>
      </c>
      <c r="G3011" s="7" t="s">
        <v>1994</v>
      </c>
    </row>
    <row r="3012" customFormat="false" ht="15" hidden="false" customHeight="false" outlineLevel="0" collapsed="false">
      <c r="A3012" s="7" t="s">
        <v>4439</v>
      </c>
      <c r="B3012" s="7" t="n">
        <v>2414.54</v>
      </c>
      <c r="C3012" s="7" t="n">
        <f aca="false">AVERAGE(B2963:B3012)</f>
        <v>2310.7116</v>
      </c>
      <c r="D3012" s="7" t="n">
        <f aca="false">AVERAGE(B2813:B3012)</f>
        <v>2155.89515</v>
      </c>
      <c r="E3012" s="7" t="n">
        <f aca="false">B3012/MAX(B2761:B3012)-1</f>
        <v>0</v>
      </c>
      <c r="F3012" s="7" t="str">
        <f aca="false">IFERROR(INDEX(02_轉折點45個!B:B,MATCH(A3012,02_轉折點45個!A:A,0)),"")</f>
        <v/>
      </c>
      <c r="G3012" s="7" t="s">
        <v>1994</v>
      </c>
    </row>
    <row r="3013" customFormat="false" ht="15" hidden="false" customHeight="false" outlineLevel="0" collapsed="false">
      <c r="A3013" s="7" t="s">
        <v>4440</v>
      </c>
      <c r="B3013" s="7" t="n">
        <v>2420.57</v>
      </c>
      <c r="C3013" s="7" t="n">
        <f aca="false">AVERAGE(B2964:B3013)</f>
        <v>2315.2366</v>
      </c>
      <c r="D3013" s="7" t="n">
        <f aca="false">AVERAGE(B2814:B3013)</f>
        <v>2157.3448</v>
      </c>
      <c r="E3013" s="7" t="n">
        <f aca="false">B3013/MAX(B2762:B3013)-1</f>
        <v>0</v>
      </c>
      <c r="F3013" s="7" t="str">
        <f aca="false">IFERROR(INDEX(02_轉折點45個!B:B,MATCH(A3013,02_轉折點45個!A:A,0)),"")</f>
        <v/>
      </c>
      <c r="G3013" s="7" t="s">
        <v>1994</v>
      </c>
    </row>
    <row r="3014" customFormat="false" ht="15" hidden="false" customHeight="false" outlineLevel="0" collapsed="false">
      <c r="A3014" s="7" t="s">
        <v>4441</v>
      </c>
      <c r="B3014" s="7" t="n">
        <v>2437.06</v>
      </c>
      <c r="C3014" s="7" t="n">
        <f aca="false">AVERAGE(B2965:B3014)</f>
        <v>2320.0838</v>
      </c>
      <c r="D3014" s="7" t="n">
        <f aca="false">AVERAGE(B2815:B3014)</f>
        <v>2158.8382</v>
      </c>
      <c r="E3014" s="7" t="n">
        <f aca="false">B3014/MAX(B2763:B3014)-1</f>
        <v>0</v>
      </c>
      <c r="F3014" s="7" t="str">
        <f aca="false">IFERROR(INDEX(02_轉折點45個!B:B,MATCH(A3014,02_轉折點45個!A:A,0)),"")</f>
        <v/>
      </c>
      <c r="G3014" s="7" t="s">
        <v>1994</v>
      </c>
    </row>
    <row r="3015" customFormat="false" ht="15" hidden="false" customHeight="false" outlineLevel="0" collapsed="false">
      <c r="A3015" s="7" t="s">
        <v>921</v>
      </c>
      <c r="B3015" s="7" t="n">
        <v>2440.59</v>
      </c>
      <c r="C3015" s="7" t="n">
        <f aca="false">AVERAGE(B2966:B3015)</f>
        <v>2324.7166</v>
      </c>
      <c r="D3015" s="7" t="n">
        <f aca="false">AVERAGE(B2816:B3015)</f>
        <v>2160.2658</v>
      </c>
      <c r="E3015" s="7" t="n">
        <f aca="false">B3015/MAX(B2764:B3015)-1</f>
        <v>0</v>
      </c>
      <c r="F3015" s="7" t="str">
        <f aca="false">IFERROR(INDEX(02_轉折點45個!B:B,MATCH(A3015,02_轉折點45個!A:A,0)),"")</f>
        <v/>
      </c>
      <c r="G3015" s="7" t="s">
        <v>1994</v>
      </c>
    </row>
    <row r="3016" customFormat="false" ht="15" hidden="false" customHeight="false" outlineLevel="0" collapsed="false">
      <c r="A3016" s="7" t="s">
        <v>4442</v>
      </c>
      <c r="B3016" s="7" t="n">
        <v>2435.22</v>
      </c>
      <c r="C3016" s="7" t="n">
        <f aca="false">AVERAGE(B2967:B3016)</f>
        <v>2328.8162</v>
      </c>
      <c r="D3016" s="7" t="n">
        <f aca="false">AVERAGE(B2817:B3016)</f>
        <v>2161.6231</v>
      </c>
      <c r="E3016" s="7" t="n">
        <f aca="false">B3016/MAX(B2765:B3016)-1</f>
        <v>-0.00220028763536695</v>
      </c>
      <c r="F3016" s="7" t="str">
        <f aca="false">IFERROR(INDEX(02_轉折點45個!B:B,MATCH(A3016,02_轉折點45個!A:A,0)),"")</f>
        <v/>
      </c>
      <c r="G3016" s="7" t="s">
        <v>1994</v>
      </c>
    </row>
    <row r="3017" customFormat="false" ht="15" hidden="false" customHeight="false" outlineLevel="0" collapsed="false">
      <c r="A3017" s="7" t="s">
        <v>4443</v>
      </c>
      <c r="B3017" s="7" t="n">
        <v>2436.74</v>
      </c>
      <c r="C3017" s="7" t="n">
        <f aca="false">AVERAGE(B2968:B3017)</f>
        <v>2333.053</v>
      </c>
      <c r="D3017" s="7" t="n">
        <f aca="false">AVERAGE(B2818:B3017)</f>
        <v>2162.99165</v>
      </c>
      <c r="E3017" s="7" t="n">
        <f aca="false">B3017/MAX(B2766:B3017)-1</f>
        <v>-0.00157748741083119</v>
      </c>
      <c r="F3017" s="7" t="str">
        <f aca="false">IFERROR(INDEX(02_轉折點45個!B:B,MATCH(A3017,02_轉折點45個!A:A,0)),"")</f>
        <v/>
      </c>
      <c r="G3017" s="7" t="s">
        <v>1994</v>
      </c>
    </row>
    <row r="3018" customFormat="false" ht="15" hidden="false" customHeight="false" outlineLevel="0" collapsed="false">
      <c r="A3018" s="7" t="s">
        <v>4444</v>
      </c>
      <c r="B3018" s="7" t="n">
        <v>2432.73</v>
      </c>
      <c r="C3018" s="7" t="n">
        <f aca="false">AVERAGE(B2969:B3018)</f>
        <v>2336.5996</v>
      </c>
      <c r="D3018" s="7" t="n">
        <f aca="false">AVERAGE(B2819:B3018)</f>
        <v>2164.36505</v>
      </c>
      <c r="E3018" s="7" t="n">
        <f aca="false">B3018/MAX(B2767:B3018)-1</f>
        <v>-0.0032205327400342</v>
      </c>
      <c r="F3018" s="7" t="str">
        <f aca="false">IFERROR(INDEX(02_轉折點45個!B:B,MATCH(A3018,02_轉折點45個!A:A,0)),"")</f>
        <v/>
      </c>
      <c r="G3018" s="7" t="s">
        <v>1994</v>
      </c>
    </row>
    <row r="3019" customFormat="false" ht="15" hidden="false" customHeight="false" outlineLevel="0" collapsed="false">
      <c r="A3019" s="7" t="s">
        <v>4445</v>
      </c>
      <c r="B3019" s="7" t="n">
        <v>2436.43</v>
      </c>
      <c r="C3019" s="7" t="n">
        <f aca="false">AVERAGE(B2970:B3019)</f>
        <v>2340.003</v>
      </c>
      <c r="D3019" s="7" t="n">
        <f aca="false">AVERAGE(B2820:B3019)</f>
        <v>2165.6848</v>
      </c>
      <c r="E3019" s="7" t="n">
        <f aca="false">B3019/MAX(B2768:B3019)-1</f>
        <v>-0.00170450587767723</v>
      </c>
      <c r="F3019" s="7" t="str">
        <f aca="false">IFERROR(INDEX(02_轉折點45個!B:B,MATCH(A3019,02_轉折點45個!A:A,0)),"")</f>
        <v/>
      </c>
      <c r="G3019" s="7" t="s">
        <v>1994</v>
      </c>
    </row>
    <row r="3020" customFormat="false" ht="15" hidden="false" customHeight="false" outlineLevel="0" collapsed="false">
      <c r="A3020" s="7" t="s">
        <v>4446</v>
      </c>
      <c r="B3020" s="7" t="n">
        <v>2432.83</v>
      </c>
      <c r="C3020" s="7" t="n">
        <f aca="false">AVERAGE(B2971:B3020)</f>
        <v>2344.133</v>
      </c>
      <c r="D3020" s="7" t="n">
        <f aca="false">AVERAGE(B2821:B3020)</f>
        <v>2166.9359</v>
      </c>
      <c r="E3020" s="7" t="n">
        <f aca="false">B3020/MAX(B2769:B3020)-1</f>
        <v>-0.00317955904105161</v>
      </c>
      <c r="F3020" s="7" t="str">
        <f aca="false">IFERROR(INDEX(02_轉折點45個!B:B,MATCH(A3020,02_轉折點45個!A:A,0)),"")</f>
        <v/>
      </c>
      <c r="G3020" s="7" t="s">
        <v>1994</v>
      </c>
    </row>
    <row r="3021" customFormat="false" ht="15" hidden="false" customHeight="false" outlineLevel="0" collapsed="false">
      <c r="A3021" s="7" t="s">
        <v>4447</v>
      </c>
      <c r="B3021" s="7" t="n">
        <v>2423.59</v>
      </c>
      <c r="C3021" s="7" t="n">
        <f aca="false">AVERAGE(B2972:B3021)</f>
        <v>2347.7048</v>
      </c>
      <c r="D3021" s="7" t="n">
        <f aca="false">AVERAGE(B2822:B3021)</f>
        <v>2168.1308</v>
      </c>
      <c r="E3021" s="7" t="n">
        <f aca="false">B3021/MAX(B2770:B3021)-1</f>
        <v>-0.00696552882704593</v>
      </c>
      <c r="F3021" s="7" t="str">
        <f aca="false">IFERROR(INDEX(02_轉折點45個!B:B,MATCH(A3021,02_轉折點45個!A:A,0)),"")</f>
        <v/>
      </c>
      <c r="G3021" s="7" t="s">
        <v>1994</v>
      </c>
    </row>
    <row r="3022" customFormat="false" ht="15" hidden="false" customHeight="false" outlineLevel="0" collapsed="false">
      <c r="A3022" s="7" t="s">
        <v>922</v>
      </c>
      <c r="B3022" s="7" t="n">
        <v>2458.9</v>
      </c>
      <c r="C3022" s="7" t="n">
        <f aca="false">AVERAGE(B2973:B3022)</f>
        <v>2351.941</v>
      </c>
      <c r="D3022" s="7" t="n">
        <f aca="false">AVERAGE(B2823:B3022)</f>
        <v>2169.5793</v>
      </c>
      <c r="E3022" s="7" t="n">
        <f aca="false">B3022/MAX(B2771:B3022)-1</f>
        <v>0</v>
      </c>
      <c r="F3022" s="7" t="str">
        <f aca="false">IFERROR(INDEX(02_轉折點45個!B:B,MATCH(A3022,02_轉折點45個!A:A,0)),"")</f>
        <v/>
      </c>
      <c r="G3022" s="7" t="s">
        <v>1994</v>
      </c>
    </row>
    <row r="3023" customFormat="false" ht="15" hidden="false" customHeight="false" outlineLevel="0" collapsed="false">
      <c r="A3023" s="7" t="s">
        <v>4448</v>
      </c>
      <c r="B3023" s="7" t="n">
        <v>2449.52</v>
      </c>
      <c r="C3023" s="7" t="n">
        <f aca="false">AVERAGE(B2974:B3023)</f>
        <v>2355.6294</v>
      </c>
      <c r="D3023" s="7" t="n">
        <f aca="false">AVERAGE(B2824:B3023)</f>
        <v>2170.88505</v>
      </c>
      <c r="E3023" s="7" t="n">
        <f aca="false">B3023/MAX(B2772:B3023)-1</f>
        <v>-0.00381471389645782</v>
      </c>
      <c r="F3023" s="7" t="str">
        <f aca="false">IFERROR(INDEX(02_轉折點45個!B:B,MATCH(A3023,02_轉折點45個!A:A,0)),"")</f>
        <v/>
      </c>
      <c r="G3023" s="7" t="s">
        <v>1994</v>
      </c>
    </row>
    <row r="3024" customFormat="false" ht="15" hidden="false" customHeight="false" outlineLevel="0" collapsed="false">
      <c r="A3024" s="7" t="s">
        <v>4449</v>
      </c>
      <c r="B3024" s="7" t="n">
        <v>2468.66</v>
      </c>
      <c r="C3024" s="7" t="n">
        <f aca="false">AVERAGE(B2975:B3024)</f>
        <v>2359.4912</v>
      </c>
      <c r="D3024" s="7" t="n">
        <f aca="false">AVERAGE(B2825:B3024)</f>
        <v>2172.19585</v>
      </c>
      <c r="E3024" s="7" t="n">
        <f aca="false">B3024/MAX(B2773:B3024)-1</f>
        <v>0</v>
      </c>
      <c r="F3024" s="7" t="str">
        <f aca="false">IFERROR(INDEX(02_轉折點45個!B:B,MATCH(A3024,02_轉折點45個!A:A,0)),"")</f>
        <v/>
      </c>
      <c r="G3024" s="7" t="s">
        <v>1994</v>
      </c>
    </row>
    <row r="3025" customFormat="false" ht="15" hidden="false" customHeight="false" outlineLevel="0" collapsed="false">
      <c r="A3025" s="7" t="s">
        <v>4450</v>
      </c>
      <c r="B3025" s="7" t="n">
        <v>2475.68</v>
      </c>
      <c r="C3025" s="7" t="n">
        <f aca="false">AVERAGE(B2976:B3025)</f>
        <v>2363.3756</v>
      </c>
      <c r="D3025" s="7" t="n">
        <f aca="false">AVERAGE(B2826:B3025)</f>
        <v>2173.61705</v>
      </c>
      <c r="E3025" s="7" t="n">
        <f aca="false">B3025/MAX(B2774:B3025)-1</f>
        <v>0</v>
      </c>
      <c r="F3025" s="7" t="str">
        <f aca="false">IFERROR(INDEX(02_轉折點45個!B:B,MATCH(A3025,02_轉折點45個!A:A,0)),"")</f>
        <v/>
      </c>
      <c r="G3025" s="7" t="s">
        <v>1994</v>
      </c>
    </row>
    <row r="3026" customFormat="false" ht="15" hidden="false" customHeight="false" outlineLevel="0" collapsed="false">
      <c r="A3026" s="7" t="s">
        <v>4451</v>
      </c>
      <c r="B3026" s="7" t="n">
        <v>2469.54</v>
      </c>
      <c r="C3026" s="7" t="n">
        <f aca="false">AVERAGE(B2977:B3026)</f>
        <v>2367.0282</v>
      </c>
      <c r="D3026" s="7" t="n">
        <f aca="false">AVERAGE(B2827:B3026)</f>
        <v>2175.0137</v>
      </c>
      <c r="E3026" s="7" t="n">
        <f aca="false">B3026/MAX(B2775:B3026)-1</f>
        <v>-0.00248012667226782</v>
      </c>
      <c r="F3026" s="7" t="str">
        <f aca="false">IFERROR(INDEX(02_轉折點45個!B:B,MATCH(A3026,02_轉折點45個!A:A,0)),"")</f>
        <v/>
      </c>
      <c r="G3026" s="7" t="s">
        <v>1994</v>
      </c>
    </row>
    <row r="3027" customFormat="false" ht="15" hidden="false" customHeight="false" outlineLevel="0" collapsed="false">
      <c r="A3027" s="7" t="s">
        <v>4452</v>
      </c>
      <c r="B3027" s="7" t="n">
        <v>2473.77</v>
      </c>
      <c r="C3027" s="7" t="n">
        <f aca="false">AVERAGE(B2978:B3027)</f>
        <v>2370.6904</v>
      </c>
      <c r="D3027" s="7" t="n">
        <f aca="false">AVERAGE(B2828:B3027)</f>
        <v>2176.4419</v>
      </c>
      <c r="E3027" s="7" t="n">
        <f aca="false">B3027/MAX(B2776:B3027)-1</f>
        <v>-0.000771505202610934</v>
      </c>
      <c r="F3027" s="7" t="str">
        <f aca="false">IFERROR(INDEX(02_轉折點45個!B:B,MATCH(A3027,02_轉折點45個!A:A,0)),"")</f>
        <v/>
      </c>
      <c r="G3027" s="7" t="s">
        <v>1994</v>
      </c>
    </row>
    <row r="3028" customFormat="false" ht="15" hidden="false" customHeight="false" outlineLevel="0" collapsed="false">
      <c r="A3028" s="7" t="s">
        <v>4453</v>
      </c>
      <c r="B3028" s="7" t="n">
        <v>2482.02</v>
      </c>
      <c r="C3028" s="7" t="n">
        <f aca="false">AVERAGE(B2979:B3028)</f>
        <v>2374.5168</v>
      </c>
      <c r="D3028" s="7" t="n">
        <f aca="false">AVERAGE(B2829:B3028)</f>
        <v>2177.8692</v>
      </c>
      <c r="E3028" s="7" t="n">
        <f aca="false">B3028/MAX(B2777:B3028)-1</f>
        <v>0</v>
      </c>
      <c r="F3028" s="7" t="str">
        <f aca="false">IFERROR(INDEX(02_轉折點45個!B:B,MATCH(A3028,02_轉折點45個!A:A,0)),"")</f>
        <v/>
      </c>
      <c r="G3028" s="7" t="s">
        <v>1994</v>
      </c>
    </row>
    <row r="3029" customFormat="false" ht="15" hidden="false" customHeight="false" outlineLevel="0" collapsed="false">
      <c r="A3029" s="7" t="s">
        <v>4454</v>
      </c>
      <c r="B3029" s="7" t="n">
        <v>2500.75</v>
      </c>
      <c r="C3029" s="7" t="n">
        <f aca="false">AVERAGE(B2980:B3029)</f>
        <v>2378.7648</v>
      </c>
      <c r="D3029" s="7" t="n">
        <f aca="false">AVERAGE(B2830:B3029)</f>
        <v>2179.36125</v>
      </c>
      <c r="E3029" s="7" t="n">
        <f aca="false">B3029/MAX(B2778:B3029)-1</f>
        <v>0</v>
      </c>
      <c r="F3029" s="7" t="str">
        <f aca="false">IFERROR(INDEX(02_轉折點45個!B:B,MATCH(A3029,02_轉折點45個!A:A,0)),"")</f>
        <v/>
      </c>
      <c r="G3029" s="7" t="s">
        <v>1994</v>
      </c>
    </row>
    <row r="3030" customFormat="false" ht="15" hidden="false" customHeight="false" outlineLevel="0" collapsed="false">
      <c r="A3030" s="7" t="s">
        <v>4455</v>
      </c>
      <c r="B3030" s="7" t="n">
        <v>2498.89</v>
      </c>
      <c r="C3030" s="7" t="n">
        <f aca="false">AVERAGE(B2981:B3030)</f>
        <v>2382.4516</v>
      </c>
      <c r="D3030" s="7" t="n">
        <f aca="false">AVERAGE(B2831:B3030)</f>
        <v>2180.90215</v>
      </c>
      <c r="E3030" s="7" t="n">
        <f aca="false">B3030/MAX(B2779:B3030)-1</f>
        <v>-0.000743776866939938</v>
      </c>
      <c r="F3030" s="7" t="str">
        <f aca="false">IFERROR(INDEX(02_轉折點45個!B:B,MATCH(A3030,02_轉折點45個!A:A,0)),"")</f>
        <v/>
      </c>
      <c r="G3030" s="7" t="s">
        <v>1994</v>
      </c>
    </row>
    <row r="3031" customFormat="false" ht="15" hidden="false" customHeight="false" outlineLevel="0" collapsed="false">
      <c r="A3031" s="7" t="s">
        <v>4456</v>
      </c>
      <c r="B3031" s="7" t="n">
        <v>2517.17</v>
      </c>
      <c r="C3031" s="7" t="n">
        <f aca="false">AVERAGE(B2982:B3031)</f>
        <v>2386.3806</v>
      </c>
      <c r="D3031" s="7" t="n">
        <f aca="false">AVERAGE(B2832:B3031)</f>
        <v>2182.51335</v>
      </c>
      <c r="E3031" s="7" t="n">
        <f aca="false">B3031/MAX(B2780:B3031)-1</f>
        <v>0</v>
      </c>
      <c r="F3031" s="7" t="str">
        <f aca="false">IFERROR(INDEX(02_轉折點45個!B:B,MATCH(A3031,02_轉折點45個!A:A,0)),"")</f>
        <v/>
      </c>
      <c r="G3031" s="7" t="s">
        <v>1994</v>
      </c>
    </row>
    <row r="3032" customFormat="false" ht="15" hidden="false" customHeight="false" outlineLevel="0" collapsed="false">
      <c r="A3032" s="7" t="s">
        <v>4457</v>
      </c>
      <c r="B3032" s="7" t="n">
        <v>2526.8</v>
      </c>
      <c r="C3032" s="7" t="n">
        <f aca="false">AVERAGE(B2983:B3032)</f>
        <v>2389.8248</v>
      </c>
      <c r="D3032" s="7" t="n">
        <f aca="false">AVERAGE(B2833:B3032)</f>
        <v>2184.0496</v>
      </c>
      <c r="E3032" s="7" t="n">
        <f aca="false">B3032/MAX(B2781:B3032)-1</f>
        <v>0</v>
      </c>
      <c r="F3032" s="7" t="str">
        <f aca="false">IFERROR(INDEX(02_轉折點45個!B:B,MATCH(A3032,02_轉折點45個!A:A,0)),"")</f>
        <v/>
      </c>
      <c r="G3032" s="7" t="s">
        <v>1994</v>
      </c>
    </row>
    <row r="3033" customFormat="false" ht="15" hidden="false" customHeight="false" outlineLevel="0" collapsed="false">
      <c r="A3033" s="7" t="s">
        <v>4458</v>
      </c>
      <c r="B3033" s="7" t="n">
        <v>2489.81</v>
      </c>
      <c r="C3033" s="7" t="n">
        <f aca="false">AVERAGE(B2984:B3033)</f>
        <v>2392.4992</v>
      </c>
      <c r="D3033" s="7" t="n">
        <f aca="false">AVERAGE(B2834:B3033)</f>
        <v>2185.36765</v>
      </c>
      <c r="E3033" s="7" t="n">
        <f aca="false">B3033/MAX(B2782:B3033)-1</f>
        <v>-0.0146390691784075</v>
      </c>
      <c r="F3033" s="7" t="str">
        <f aca="false">IFERROR(INDEX(02_轉折點45個!B:B,MATCH(A3033,02_轉折點45個!A:A,0)),"")</f>
        <v/>
      </c>
      <c r="G3033" s="7" t="s">
        <v>1994</v>
      </c>
    </row>
    <row r="3034" customFormat="false" ht="15" hidden="false" customHeight="false" outlineLevel="0" collapsed="false">
      <c r="A3034" s="7" t="s">
        <v>4459</v>
      </c>
      <c r="B3034" s="7" t="n">
        <v>2470.57</v>
      </c>
      <c r="C3034" s="7" t="n">
        <f aca="false">AVERAGE(B2985:B3034)</f>
        <v>2394.7694</v>
      </c>
      <c r="D3034" s="7" t="n">
        <f aca="false">AVERAGE(B2835:B3034)</f>
        <v>2186.6153</v>
      </c>
      <c r="E3034" s="7" t="n">
        <f aca="false">B3034/MAX(B2783:B3034)-1</f>
        <v>-0.0222534430900744</v>
      </c>
      <c r="F3034" s="7" t="str">
        <f aca="false">IFERROR(INDEX(02_轉折點45個!B:B,MATCH(A3034,02_轉折點45個!A:A,0)),"")</f>
        <v/>
      </c>
      <c r="G3034" s="7" t="s">
        <v>1994</v>
      </c>
    </row>
    <row r="3035" customFormat="false" ht="15" hidden="false" customHeight="false" outlineLevel="0" collapsed="false">
      <c r="A3035" s="7" t="s">
        <v>4460</v>
      </c>
      <c r="B3035" s="7" t="n">
        <v>2457.09</v>
      </c>
      <c r="C3035" s="7" t="n">
        <f aca="false">AVERAGE(B2986:B3035)</f>
        <v>2397.0818</v>
      </c>
      <c r="D3035" s="7" t="n">
        <f aca="false">AVERAGE(B2836:B3035)</f>
        <v>2187.76975</v>
      </c>
      <c r="E3035" s="7" t="n">
        <f aca="false">B3035/MAX(B2784:B3035)-1</f>
        <v>-0.027588253917999</v>
      </c>
      <c r="F3035" s="7" t="str">
        <f aca="false">IFERROR(INDEX(02_轉折點45個!B:B,MATCH(A3035,02_轉折點45個!A:A,0)),"")</f>
        <v/>
      </c>
      <c r="G3035" s="7" t="s">
        <v>1994</v>
      </c>
    </row>
    <row r="3036" customFormat="false" ht="15" hidden="false" customHeight="false" outlineLevel="0" collapsed="false">
      <c r="A3036" s="7" t="s">
        <v>923</v>
      </c>
      <c r="B3036" s="7" t="n">
        <v>2482.68</v>
      </c>
      <c r="C3036" s="7" t="n">
        <f aca="false">AVERAGE(B2987:B3036)</f>
        <v>2399.6174</v>
      </c>
      <c r="D3036" s="7" t="n">
        <f aca="false">AVERAGE(B2837:B3036)</f>
        <v>2188.9734</v>
      </c>
      <c r="E3036" s="7" t="n">
        <f aca="false">B3036/MAX(B2785:B3036)-1</f>
        <v>-0.0174608200094983</v>
      </c>
      <c r="F3036" s="7" t="str">
        <f aca="false">IFERROR(INDEX(02_轉折點45個!B:B,MATCH(A3036,02_轉折點45個!A:A,0)),"")</f>
        <v/>
      </c>
      <c r="G3036" s="7" t="s">
        <v>1994</v>
      </c>
    </row>
    <row r="3037" customFormat="false" ht="15" hidden="false" customHeight="false" outlineLevel="0" collapsed="false">
      <c r="A3037" s="7" t="s">
        <v>4461</v>
      </c>
      <c r="B3037" s="7" t="n">
        <v>2484.23</v>
      </c>
      <c r="C3037" s="7" t="n">
        <f aca="false">AVERAGE(B2988:B3037)</f>
        <v>2402.609</v>
      </c>
      <c r="D3037" s="7" t="n">
        <f aca="false">AVERAGE(B2838:B3037)</f>
        <v>2190.16735</v>
      </c>
      <c r="E3037" s="7" t="n">
        <f aca="false">B3037/MAX(B2786:B3037)-1</f>
        <v>-0.0168473959157829</v>
      </c>
      <c r="F3037" s="7" t="str">
        <f aca="false">IFERROR(INDEX(02_轉折點45個!B:B,MATCH(A3037,02_轉折點45個!A:A,0)),"")</f>
        <v/>
      </c>
      <c r="G3037" s="7" t="s">
        <v>1994</v>
      </c>
    </row>
    <row r="3038" customFormat="false" ht="15" hidden="false" customHeight="false" outlineLevel="0" collapsed="false">
      <c r="A3038" s="7" t="s">
        <v>4462</v>
      </c>
      <c r="B3038" s="7" t="n">
        <v>2502.73</v>
      </c>
      <c r="C3038" s="7" t="n">
        <f aca="false">AVERAGE(B2989:B3038)</f>
        <v>2406.6522</v>
      </c>
      <c r="D3038" s="7" t="n">
        <f aca="false">AVERAGE(B2839:B3038)</f>
        <v>2191.4167</v>
      </c>
      <c r="E3038" s="7" t="n">
        <f aca="false">B3038/MAX(B2787:B3038)-1</f>
        <v>-0.00952588253918008</v>
      </c>
      <c r="F3038" s="7" t="str">
        <f aca="false">IFERROR(INDEX(02_轉折點45個!B:B,MATCH(A3038,02_轉折點45個!A:A,0)),"")</f>
        <v/>
      </c>
      <c r="G3038" s="7" t="s">
        <v>1994</v>
      </c>
    </row>
    <row r="3039" customFormat="false" ht="15" hidden="false" customHeight="false" outlineLevel="0" collapsed="false">
      <c r="A3039" s="7" t="s">
        <v>4463</v>
      </c>
      <c r="B3039" s="7" t="n">
        <v>2517.15</v>
      </c>
      <c r="C3039" s="7" t="n">
        <f aca="false">AVERAGE(B2990:B3039)</f>
        <v>2411.064</v>
      </c>
      <c r="D3039" s="7" t="n">
        <f aca="false">AVERAGE(B2840:B3039)</f>
        <v>2192.5606</v>
      </c>
      <c r="E3039" s="7" t="n">
        <f aca="false">B3039/MAX(B2788:B3039)-1</f>
        <v>-0.003819059680228</v>
      </c>
      <c r="F3039" s="7" t="str">
        <f aca="false">IFERROR(INDEX(02_轉折點45個!B:B,MATCH(A3039,02_轉折點45個!A:A,0)),"")</f>
        <v/>
      </c>
      <c r="G3039" s="7" t="s">
        <v>1994</v>
      </c>
    </row>
    <row r="3040" customFormat="false" ht="15" hidden="false" customHeight="false" outlineLevel="0" collapsed="false">
      <c r="A3040" s="7" t="s">
        <v>4464</v>
      </c>
      <c r="B3040" s="7" t="n">
        <v>2454.67</v>
      </c>
      <c r="C3040" s="7" t="n">
        <f aca="false">AVERAGE(B2991:B3040)</f>
        <v>2415.0298</v>
      </c>
      <c r="D3040" s="7" t="n">
        <f aca="false">AVERAGE(B2841:B3040)</f>
        <v>2193.3426</v>
      </c>
      <c r="E3040" s="7" t="n">
        <f aca="false">B3040/MAX(B2789:B3040)-1</f>
        <v>-0.0285459870191547</v>
      </c>
      <c r="F3040" s="7" t="str">
        <f aca="false">IFERROR(INDEX(02_轉折點45個!B:B,MATCH(A3040,02_轉折點45個!A:A,0)),"")</f>
        <v/>
      </c>
      <c r="G3040" s="7" t="s">
        <v>1994</v>
      </c>
    </row>
    <row r="3041" customFormat="false" ht="15" hidden="false" customHeight="false" outlineLevel="0" collapsed="false">
      <c r="A3041" s="7" t="s">
        <v>4465</v>
      </c>
      <c r="B3041" s="7" t="n">
        <v>2466.72</v>
      </c>
      <c r="C3041" s="7" t="n">
        <f aca="false">AVERAGE(B2992:B3041)</f>
        <v>2419.124</v>
      </c>
      <c r="D3041" s="7" t="n">
        <f aca="false">AVERAGE(B2842:B3041)</f>
        <v>2194.34215</v>
      </c>
      <c r="E3041" s="7" t="n">
        <f aca="false">B3041/MAX(B2790:B3041)-1</f>
        <v>-0.0237771093873675</v>
      </c>
      <c r="F3041" s="7" t="str">
        <f aca="false">IFERROR(INDEX(02_轉折點45個!B:B,MATCH(A3041,02_轉折點45個!A:A,0)),"")</f>
        <v/>
      </c>
      <c r="G3041" s="7" t="s">
        <v>1994</v>
      </c>
    </row>
    <row r="3042" customFormat="false" ht="15" hidden="false" customHeight="false" outlineLevel="0" collapsed="false">
      <c r="A3042" s="7" t="s">
        <v>4466</v>
      </c>
      <c r="B3042" s="7" t="n">
        <v>2513.41</v>
      </c>
      <c r="C3042" s="7" t="n">
        <f aca="false">AVERAGE(B2993:B3042)</f>
        <v>2423.4504</v>
      </c>
      <c r="D3042" s="7" t="n">
        <f aca="false">AVERAGE(B2843:B3042)</f>
        <v>2195.5804</v>
      </c>
      <c r="E3042" s="7" t="n">
        <f aca="false">B3042/MAX(B2791:B3042)-1</f>
        <v>-0.00529919265474133</v>
      </c>
      <c r="F3042" s="7" t="str">
        <f aca="false">IFERROR(INDEX(02_轉折點45個!B:B,MATCH(A3042,02_轉折點45個!A:A,0)),"")</f>
        <v/>
      </c>
      <c r="G3042" s="7" t="s">
        <v>1994</v>
      </c>
    </row>
    <row r="3043" customFormat="false" ht="15" hidden="false" customHeight="false" outlineLevel="0" collapsed="false">
      <c r="A3043" s="7" t="s">
        <v>4467</v>
      </c>
      <c r="B3043" s="7" t="n">
        <v>2511.92</v>
      </c>
      <c r="C3043" s="7" t="n">
        <f aca="false">AVERAGE(B2994:B3043)</f>
        <v>2427.679</v>
      </c>
      <c r="D3043" s="7" t="n">
        <f aca="false">AVERAGE(B2844:B3043)</f>
        <v>2196.71895</v>
      </c>
      <c r="E3043" s="7" t="n">
        <f aca="false">B3043/MAX(B2792:B3043)-1</f>
        <v>-0.00588887129966764</v>
      </c>
      <c r="F3043" s="7" t="str">
        <f aca="false">IFERROR(INDEX(02_轉折點45個!B:B,MATCH(A3043,02_轉折點45個!A:A,0)),"")</f>
        <v/>
      </c>
      <c r="G3043" s="7" t="s">
        <v>1994</v>
      </c>
    </row>
    <row r="3044" customFormat="false" ht="15" hidden="false" customHeight="false" outlineLevel="0" collapsed="false">
      <c r="A3044" s="7" t="s">
        <v>4468</v>
      </c>
      <c r="B3044" s="7" t="n">
        <v>2515.87</v>
      </c>
      <c r="C3044" s="7" t="n">
        <f aca="false">AVERAGE(B2995:B3044)</f>
        <v>2431.7328</v>
      </c>
      <c r="D3044" s="7" t="n">
        <f aca="false">AVERAGE(B2845:B3044)</f>
        <v>2197.8576</v>
      </c>
      <c r="E3044" s="7" t="n">
        <f aca="false">B3044/MAX(B2793:B3044)-1</f>
        <v>-0.00432562925439306</v>
      </c>
      <c r="F3044" s="7" t="str">
        <f aca="false">IFERROR(INDEX(02_轉折點45個!B:B,MATCH(A3044,02_轉折點45個!A:A,0)),"")</f>
        <v/>
      </c>
      <c r="G3044" s="7" t="s">
        <v>1994</v>
      </c>
    </row>
    <row r="3045" customFormat="false" ht="15" hidden="false" customHeight="false" outlineLevel="0" collapsed="false">
      <c r="A3045" s="7" t="s">
        <v>924</v>
      </c>
      <c r="B3045" s="7" t="n">
        <v>2529.96</v>
      </c>
      <c r="C3045" s="7" t="n">
        <f aca="false">AVERAGE(B2996:B3045)</f>
        <v>2436.7456</v>
      </c>
      <c r="D3045" s="7" t="n">
        <f aca="false">AVERAGE(B2846:B3045)</f>
        <v>2199.00065</v>
      </c>
      <c r="E3045" s="7" t="n">
        <f aca="false">B3045/MAX(B2794:B3045)-1</f>
        <v>0</v>
      </c>
      <c r="F3045" s="7" t="str">
        <f aca="false">IFERROR(INDEX(02_轉折點45個!B:B,MATCH(A3045,02_轉折點45個!A:A,0)),"")</f>
        <v/>
      </c>
      <c r="G3045" s="7" t="s">
        <v>1994</v>
      </c>
    </row>
    <row r="3046" customFormat="false" ht="15" hidden="false" customHeight="false" outlineLevel="0" collapsed="false">
      <c r="A3046" s="7" t="s">
        <v>925</v>
      </c>
      <c r="B3046" s="7" t="n">
        <v>2543.38</v>
      </c>
      <c r="C3046" s="7" t="n">
        <f aca="false">AVERAGE(B2997:B3046)</f>
        <v>2441.1468</v>
      </c>
      <c r="D3046" s="7" t="n">
        <f aca="false">AVERAGE(B2847:B3046)</f>
        <v>2200.16015</v>
      </c>
      <c r="E3046" s="7" t="n">
        <f aca="false">B3046/MAX(B2795:B3046)-1</f>
        <v>0</v>
      </c>
      <c r="F3046" s="7" t="str">
        <f aca="false">IFERROR(INDEX(02_轉折點45個!B:B,MATCH(A3046,02_轉折點45個!A:A,0)),"")</f>
        <v/>
      </c>
      <c r="G3046" s="7" t="s">
        <v>1994</v>
      </c>
    </row>
    <row r="3047" customFormat="false" ht="15" hidden="false" customHeight="false" outlineLevel="0" collapsed="false">
      <c r="A3047" s="7" t="s">
        <v>926</v>
      </c>
      <c r="B3047" s="7" t="n">
        <v>2555.31</v>
      </c>
      <c r="C3047" s="7" t="n">
        <f aca="false">AVERAGE(B2998:B3047)</f>
        <v>2445.943</v>
      </c>
      <c r="D3047" s="7" t="n">
        <f aca="false">AVERAGE(B2848:B3047)</f>
        <v>2201.4122</v>
      </c>
      <c r="E3047" s="7" t="n">
        <f aca="false">B3047/MAX(B2796:B3047)-1</f>
        <v>0</v>
      </c>
      <c r="F3047" s="7" t="str">
        <f aca="false">IFERROR(INDEX(02_轉折點45個!B:B,MATCH(A3047,02_轉折點45個!A:A,0)),"")</f>
        <v/>
      </c>
      <c r="G3047" s="7" t="s">
        <v>1994</v>
      </c>
    </row>
    <row r="3048" customFormat="false" ht="15" hidden="false" customHeight="false" outlineLevel="0" collapsed="false">
      <c r="A3048" s="7" t="s">
        <v>4469</v>
      </c>
      <c r="B3048" s="7" t="n">
        <v>2548.02</v>
      </c>
      <c r="C3048" s="7" t="n">
        <f aca="false">AVERAGE(B2999:B3048)</f>
        <v>2450.764</v>
      </c>
      <c r="D3048" s="7" t="n">
        <f aca="false">AVERAGE(B2849:B3048)</f>
        <v>2202.86295</v>
      </c>
      <c r="E3048" s="7" t="n">
        <f aca="false">B3048/MAX(B2797:B3048)-1</f>
        <v>-0.00285288282047969</v>
      </c>
      <c r="F3048" s="7" t="str">
        <f aca="false">IFERROR(INDEX(02_轉折點45個!B:B,MATCH(A3048,02_轉折點45個!A:A,0)),"")</f>
        <v/>
      </c>
      <c r="G3048" s="7" t="s">
        <v>1994</v>
      </c>
    </row>
    <row r="3049" customFormat="false" ht="15" hidden="false" customHeight="false" outlineLevel="0" collapsed="false">
      <c r="A3049" s="7" t="s">
        <v>4470</v>
      </c>
      <c r="B3049" s="7" t="n">
        <v>2549.28</v>
      </c>
      <c r="C3049" s="7" t="n">
        <f aca="false">AVERAGE(B3000:B3049)</f>
        <v>2456.1034</v>
      </c>
      <c r="D3049" s="7" t="n">
        <f aca="false">AVERAGE(B2850:B3049)</f>
        <v>2204.31885</v>
      </c>
      <c r="E3049" s="7" t="n">
        <f aca="false">B3049/MAX(B2798:B3049)-1</f>
        <v>-0.00235979196261893</v>
      </c>
      <c r="F3049" s="7" t="str">
        <f aca="false">IFERROR(INDEX(02_轉折點45個!B:B,MATCH(A3049,02_轉折點45個!A:A,0)),"")</f>
        <v/>
      </c>
      <c r="G3049" s="7" t="s">
        <v>1994</v>
      </c>
    </row>
    <row r="3050" customFormat="false" ht="15" hidden="false" customHeight="false" outlineLevel="0" collapsed="false">
      <c r="A3050" s="7" t="s">
        <v>927</v>
      </c>
      <c r="B3050" s="7" t="n">
        <v>2566.63</v>
      </c>
      <c r="C3050" s="7" t="n">
        <f aca="false">AVERAGE(B3001:B3050)</f>
        <v>2460.8542</v>
      </c>
      <c r="D3050" s="7" t="n">
        <f aca="false">AVERAGE(B2851:B3050)</f>
        <v>2205.6779</v>
      </c>
      <c r="E3050" s="7" t="n">
        <f aca="false">B3050/MAX(B2799:B3050)-1</f>
        <v>0</v>
      </c>
      <c r="F3050" s="7" t="str">
        <f aca="false">IFERROR(INDEX(02_轉折點45個!B:B,MATCH(A3050,02_轉折點45個!A:A,0)),"")</f>
        <v/>
      </c>
      <c r="G3050" s="7" t="s">
        <v>1994</v>
      </c>
    </row>
    <row r="3051" customFormat="false" ht="15" hidden="false" customHeight="false" outlineLevel="0" collapsed="false">
      <c r="A3051" s="7" t="s">
        <v>928</v>
      </c>
      <c r="B3051" s="7" t="n">
        <v>2573.7</v>
      </c>
      <c r="C3051" s="7" t="n">
        <f aca="false">AVERAGE(B3002:B3051)</f>
        <v>2465.1998</v>
      </c>
      <c r="D3051" s="7" t="n">
        <f aca="false">AVERAGE(B2852:B3051)</f>
        <v>2207.304</v>
      </c>
      <c r="E3051" s="7" t="n">
        <f aca="false">B3051/MAX(B2800:B3051)-1</f>
        <v>0</v>
      </c>
      <c r="F3051" s="7" t="str">
        <f aca="false">IFERROR(INDEX(02_轉折點45個!B:B,MATCH(A3051,02_轉折點45個!A:A,0)),"")</f>
        <v/>
      </c>
      <c r="G3051" s="7" t="s">
        <v>1994</v>
      </c>
    </row>
    <row r="3052" customFormat="false" ht="15" hidden="false" customHeight="false" outlineLevel="0" collapsed="false">
      <c r="A3052" s="7" t="s">
        <v>4471</v>
      </c>
      <c r="B3052" s="7" t="n">
        <v>2561.98</v>
      </c>
      <c r="C3052" s="7" t="n">
        <f aca="false">AVERAGE(B3003:B3052)</f>
        <v>2469.0896</v>
      </c>
      <c r="D3052" s="7" t="n">
        <f aca="false">AVERAGE(B2853:B3052)</f>
        <v>2208.7</v>
      </c>
      <c r="E3052" s="7" t="n">
        <f aca="false">B3052/MAX(B2801:B3052)-1</f>
        <v>-0.00455375529393476</v>
      </c>
      <c r="F3052" s="7" t="str">
        <f aca="false">IFERROR(INDEX(02_轉折點45個!B:B,MATCH(A3052,02_轉折點45個!A:A,0)),"")</f>
        <v/>
      </c>
      <c r="G3052" s="7" t="s">
        <v>1994</v>
      </c>
    </row>
    <row r="3053" customFormat="false" ht="15" hidden="false" customHeight="false" outlineLevel="0" collapsed="false">
      <c r="A3053" s="7" t="s">
        <v>929</v>
      </c>
      <c r="B3053" s="7" t="n">
        <v>2581.35</v>
      </c>
      <c r="C3053" s="7" t="n">
        <f aca="false">AVERAGE(B3004:B3053)</f>
        <v>2473.3036</v>
      </c>
      <c r="D3053" s="7" t="n">
        <f aca="false">AVERAGE(B2854:B3053)</f>
        <v>2210.5331</v>
      </c>
      <c r="E3053" s="7" t="n">
        <f aca="false">B3053/MAX(B2802:B3053)-1</f>
        <v>0</v>
      </c>
      <c r="F3053" s="7" t="str">
        <f aca="false">IFERROR(INDEX(02_轉折點45個!B:B,MATCH(A3053,02_轉折點45個!A:A,0)),"")</f>
        <v/>
      </c>
      <c r="G3053" s="7" t="s">
        <v>1994</v>
      </c>
    </row>
    <row r="3054" customFormat="false" ht="15" hidden="false" customHeight="false" outlineLevel="0" collapsed="false">
      <c r="A3054" s="7" t="s">
        <v>930</v>
      </c>
      <c r="B3054" s="7" t="n">
        <v>2586.85</v>
      </c>
      <c r="C3054" s="7" t="n">
        <f aca="false">AVERAGE(B3005:B3054)</f>
        <v>2477.5624</v>
      </c>
      <c r="D3054" s="7" t="n">
        <f aca="false">AVERAGE(B2855:B3054)</f>
        <v>2212.494</v>
      </c>
      <c r="E3054" s="7" t="n">
        <f aca="false">B3054/MAX(B2803:B3054)-1</f>
        <v>0</v>
      </c>
      <c r="F3054" s="7" t="str">
        <f aca="false">IFERROR(INDEX(02_轉折點45個!B:B,MATCH(A3054,02_轉折點45個!A:A,0)),"")</f>
        <v/>
      </c>
      <c r="G3054" s="7" t="s">
        <v>1994</v>
      </c>
    </row>
    <row r="3055" customFormat="false" ht="15" hidden="false" customHeight="false" outlineLevel="0" collapsed="false">
      <c r="A3055" s="7" t="s">
        <v>4472</v>
      </c>
      <c r="B3055" s="7" t="n">
        <v>2589.02</v>
      </c>
      <c r="C3055" s="7" t="n">
        <f aca="false">AVERAGE(B3006:B3055)</f>
        <v>2481.6696</v>
      </c>
      <c r="D3055" s="7" t="n">
        <f aca="false">AVERAGE(B2856:B3055)</f>
        <v>2214.8433</v>
      </c>
      <c r="E3055" s="7" t="n">
        <f aca="false">B3055/MAX(B2804:B3055)-1</f>
        <v>0</v>
      </c>
      <c r="F3055" s="7" t="str">
        <f aca="false">IFERROR(INDEX(02_轉折點45個!B:B,MATCH(A3055,02_轉折點45個!A:A,0)),"")</f>
        <v/>
      </c>
      <c r="G3055" s="7" t="s">
        <v>1994</v>
      </c>
    </row>
    <row r="3056" customFormat="false" ht="15" hidden="false" customHeight="false" outlineLevel="0" collapsed="false">
      <c r="A3056" s="7" t="s">
        <v>931</v>
      </c>
      <c r="B3056" s="7" t="n">
        <v>2518.19</v>
      </c>
      <c r="C3056" s="7" t="n">
        <f aca="false">AVERAGE(B3007:B3056)</f>
        <v>2484.223</v>
      </c>
      <c r="D3056" s="7" t="n">
        <f aca="false">AVERAGE(B2857:B3056)</f>
        <v>2217.0851</v>
      </c>
      <c r="E3056" s="7" t="n">
        <f aca="false">B3056/MAX(B2805:B3056)-1</f>
        <v>-0.0273578419633683</v>
      </c>
      <c r="F3056" s="7" t="str">
        <f aca="false">IFERROR(INDEX(02_轉折點45個!B:B,MATCH(A3056,02_轉折點45個!A:A,0)),"")</f>
        <v/>
      </c>
      <c r="G3056" s="7" t="s">
        <v>1994</v>
      </c>
    </row>
    <row r="3057" customFormat="false" ht="15" hidden="false" customHeight="false" outlineLevel="0" collapsed="false">
      <c r="A3057" s="7" t="s">
        <v>932</v>
      </c>
      <c r="B3057" s="7" t="n">
        <v>2487.65</v>
      </c>
      <c r="C3057" s="7" t="n">
        <f aca="false">AVERAGE(B3008:B3057)</f>
        <v>2485.7844</v>
      </c>
      <c r="D3057" s="7" t="n">
        <f aca="false">AVERAGE(B2858:B3057)</f>
        <v>2218.6762</v>
      </c>
      <c r="E3057" s="7" t="n">
        <f aca="false">B3057/MAX(B2806:B3057)-1</f>
        <v>-0.0391538110945454</v>
      </c>
      <c r="F3057" s="7" t="str">
        <f aca="false">IFERROR(INDEX(02_轉折點45個!B:B,MATCH(A3057,02_轉折點45個!A:A,0)),"")</f>
        <v/>
      </c>
      <c r="G3057" s="7" t="s">
        <v>1994</v>
      </c>
    </row>
    <row r="3058" customFormat="false" ht="15" hidden="false" customHeight="false" outlineLevel="0" collapsed="false">
      <c r="A3058" s="7" t="s">
        <v>4473</v>
      </c>
      <c r="B3058" s="7" t="n">
        <v>2501.27</v>
      </c>
      <c r="C3058" s="7" t="n">
        <f aca="false">AVERAGE(B3009:B3058)</f>
        <v>2487.8488</v>
      </c>
      <c r="D3058" s="7" t="n">
        <f aca="false">AVERAGE(B2859:B3058)</f>
        <v>2220.33245</v>
      </c>
      <c r="E3058" s="7" t="n">
        <f aca="false">B3058/MAX(B2807:B3058)-1</f>
        <v>-0.0338931333091286</v>
      </c>
      <c r="F3058" s="7" t="str">
        <f aca="false">IFERROR(INDEX(02_轉折點45個!B:B,MATCH(A3058,02_轉折點45個!A:A,0)),"")</f>
        <v/>
      </c>
      <c r="G3058" s="7" t="s">
        <v>1994</v>
      </c>
    </row>
    <row r="3059" customFormat="false" ht="15" hidden="false" customHeight="false" outlineLevel="0" collapsed="false">
      <c r="A3059" s="7" t="s">
        <v>4474</v>
      </c>
      <c r="B3059" s="7" t="n">
        <v>2540.69</v>
      </c>
      <c r="C3059" s="7" t="n">
        <f aca="false">AVERAGE(B3010:B3059)</f>
        <v>2490.6504</v>
      </c>
      <c r="D3059" s="7" t="n">
        <f aca="false">AVERAGE(B2860:B3059)</f>
        <v>2221.95875</v>
      </c>
      <c r="E3059" s="7" t="n">
        <f aca="false">B3059/MAX(B2808:B3059)-1</f>
        <v>-0.0186672949610277</v>
      </c>
      <c r="F3059" s="7" t="str">
        <f aca="false">IFERROR(INDEX(02_轉折點45個!B:B,MATCH(A3059,02_轉折點45個!A:A,0)),"")</f>
        <v/>
      </c>
      <c r="G3059" s="7" t="s">
        <v>1994</v>
      </c>
    </row>
    <row r="3060" customFormat="false" ht="15" hidden="false" customHeight="false" outlineLevel="0" collapsed="false">
      <c r="A3060" s="7" t="s">
        <v>4475</v>
      </c>
      <c r="B3060" s="7" t="n">
        <v>2541.81</v>
      </c>
      <c r="C3060" s="7" t="n">
        <f aca="false">AVERAGE(B3011:B3060)</f>
        <v>2493.6662</v>
      </c>
      <c r="D3060" s="7" t="n">
        <f aca="false">AVERAGE(B2861:B3060)</f>
        <v>2223.7307</v>
      </c>
      <c r="E3060" s="7" t="n">
        <f aca="false">B3060/MAX(B2809:B3060)-1</f>
        <v>-0.0182346988435779</v>
      </c>
      <c r="F3060" s="7" t="str">
        <f aca="false">IFERROR(INDEX(02_轉折點45個!B:B,MATCH(A3060,02_轉折點45個!A:A,0)),"")</f>
        <v/>
      </c>
      <c r="G3060" s="7" t="s">
        <v>1994</v>
      </c>
    </row>
    <row r="3061" customFormat="false" ht="15" hidden="false" customHeight="false" outlineLevel="0" collapsed="false">
      <c r="A3061" s="7" t="s">
        <v>933</v>
      </c>
      <c r="B3061" s="7" t="n">
        <v>2500.82</v>
      </c>
      <c r="C3061" s="7" t="n">
        <f aca="false">AVERAGE(B3012:B3061)</f>
        <v>2495.4952</v>
      </c>
      <c r="D3061" s="7" t="n">
        <f aca="false">AVERAGE(B2862:B3061)</f>
        <v>2225.5147</v>
      </c>
      <c r="E3061" s="7" t="n">
        <f aca="false">B3061/MAX(B2810:B3061)-1</f>
        <v>-0.0340669442491753</v>
      </c>
      <c r="F3061" s="7" t="str">
        <f aca="false">IFERROR(INDEX(02_轉折點45個!B:B,MATCH(A3061,02_轉折點45個!A:A,0)),"")</f>
        <v/>
      </c>
      <c r="G3061" s="7" t="s">
        <v>1994</v>
      </c>
    </row>
    <row r="3062" customFormat="false" ht="15" hidden="false" customHeight="false" outlineLevel="0" collapsed="false">
      <c r="A3062" s="7" t="s">
        <v>4476</v>
      </c>
      <c r="B3062" s="7" t="n">
        <v>2510.56</v>
      </c>
      <c r="C3062" s="7" t="n">
        <f aca="false">AVERAGE(B3013:B3062)</f>
        <v>2497.4156</v>
      </c>
      <c r="D3062" s="7" t="n">
        <f aca="false">AVERAGE(B2863:B3062)</f>
        <v>2227.3137</v>
      </c>
      <c r="E3062" s="7" t="n">
        <f aca="false">B3062/MAX(B2811:B3062)-1</f>
        <v>-0.0303049030134954</v>
      </c>
      <c r="F3062" s="7" t="str">
        <f aca="false">IFERROR(INDEX(02_轉折點45個!B:B,MATCH(A3062,02_轉折點45個!A:A,0)),"")</f>
        <v/>
      </c>
      <c r="G3062" s="7" t="s">
        <v>1994</v>
      </c>
    </row>
    <row r="3063" customFormat="false" ht="15" hidden="false" customHeight="false" outlineLevel="0" collapsed="false">
      <c r="A3063" s="7" t="s">
        <v>4477</v>
      </c>
      <c r="B3063" s="7" t="n">
        <v>2556.85</v>
      </c>
      <c r="C3063" s="7" t="n">
        <f aca="false">AVERAGE(B3014:B3063)</f>
        <v>2500.1412</v>
      </c>
      <c r="D3063" s="7" t="n">
        <f aca="false">AVERAGE(B2864:B3063)</f>
        <v>2229.513</v>
      </c>
      <c r="E3063" s="7" t="n">
        <f aca="false">B3063/MAX(B2812:B3063)-1</f>
        <v>-0.01242555098068</v>
      </c>
      <c r="F3063" s="7" t="str">
        <f aca="false">IFERROR(INDEX(02_轉折點45個!B:B,MATCH(A3063,02_轉折點45個!A:A,0)),"")</f>
        <v/>
      </c>
      <c r="G3063" s="7" t="s">
        <v>1994</v>
      </c>
    </row>
    <row r="3064" customFormat="false" ht="15" hidden="false" customHeight="false" outlineLevel="0" collapsed="false">
      <c r="A3064" s="7" t="s">
        <v>4478</v>
      </c>
      <c r="B3064" s="7" t="n">
        <v>2544</v>
      </c>
      <c r="C3064" s="7" t="n">
        <f aca="false">AVERAGE(B3015:B3064)</f>
        <v>2502.28</v>
      </c>
      <c r="D3064" s="7" t="n">
        <f aca="false">AVERAGE(B2865:B3064)</f>
        <v>2231.73435</v>
      </c>
      <c r="E3064" s="7" t="n">
        <f aca="false">B3064/MAX(B2813:B3064)-1</f>
        <v>-0.01738881893535</v>
      </c>
      <c r="F3064" s="7" t="str">
        <f aca="false">IFERROR(INDEX(02_轉折點45個!B:B,MATCH(A3064,02_轉折點45個!A:A,0)),"")</f>
        <v/>
      </c>
      <c r="G3064" s="7" t="s">
        <v>1994</v>
      </c>
    </row>
    <row r="3065" customFormat="false" ht="15" hidden="false" customHeight="false" outlineLevel="0" collapsed="false">
      <c r="A3065" s="7" t="s">
        <v>4479</v>
      </c>
      <c r="B3065" s="7" t="n">
        <v>2508.33</v>
      </c>
      <c r="C3065" s="7" t="n">
        <f aca="false">AVERAGE(B3016:B3065)</f>
        <v>2503.6348</v>
      </c>
      <c r="D3065" s="7" t="n">
        <f aca="false">AVERAGE(B2866:B3065)</f>
        <v>2234.2084</v>
      </c>
      <c r="E3065" s="7" t="n">
        <f aca="false">B3065/MAX(B2814:B3065)-1</f>
        <v>-0.0311662327830607</v>
      </c>
      <c r="F3065" s="7" t="str">
        <f aca="false">IFERROR(INDEX(02_轉折點45個!B:B,MATCH(A3065,02_轉折點45個!A:A,0)),"")</f>
        <v/>
      </c>
      <c r="G3065" s="7" t="s">
        <v>1994</v>
      </c>
    </row>
    <row r="3066" customFormat="false" ht="15" hidden="false" customHeight="false" outlineLevel="0" collapsed="false">
      <c r="A3066" s="7" t="s">
        <v>4480</v>
      </c>
      <c r="B3066" s="7" t="n">
        <v>2526.73</v>
      </c>
      <c r="C3066" s="7" t="n">
        <f aca="false">AVERAGE(B3017:B3066)</f>
        <v>2505.465</v>
      </c>
      <c r="D3066" s="7" t="n">
        <f aca="false">AVERAGE(B2867:B3066)</f>
        <v>2236.6601</v>
      </c>
      <c r="E3066" s="7" t="n">
        <f aca="false">B3066/MAX(B2815:B3066)-1</f>
        <v>-0.0240592965678133</v>
      </c>
      <c r="F3066" s="7" t="str">
        <f aca="false">IFERROR(INDEX(02_轉折點45個!B:B,MATCH(A3066,02_轉折點45個!A:A,0)),"")</f>
        <v/>
      </c>
      <c r="G3066" s="7" t="s">
        <v>1994</v>
      </c>
    </row>
    <row r="3067" customFormat="false" ht="15" hidden="false" customHeight="false" outlineLevel="0" collapsed="false">
      <c r="A3067" s="7" t="s">
        <v>4481</v>
      </c>
      <c r="B3067" s="7" t="n">
        <v>2513.9</v>
      </c>
      <c r="C3067" s="7" t="n">
        <f aca="false">AVERAGE(B3018:B3067)</f>
        <v>2507.0082</v>
      </c>
      <c r="D3067" s="7" t="n">
        <f aca="false">AVERAGE(B2868:B3067)</f>
        <v>2239.1184</v>
      </c>
      <c r="E3067" s="7" t="n">
        <f aca="false">B3067/MAX(B2816:B3067)-1</f>
        <v>-0.0290148395918146</v>
      </c>
      <c r="F3067" s="7" t="str">
        <f aca="false">IFERROR(INDEX(02_轉折點45個!B:B,MATCH(A3067,02_轉折點45個!A:A,0)),"")</f>
        <v/>
      </c>
      <c r="G3067" s="7" t="s">
        <v>1994</v>
      </c>
    </row>
    <row r="3068" customFormat="false" ht="15" hidden="false" customHeight="false" outlineLevel="0" collapsed="false">
      <c r="A3068" s="7" t="s">
        <v>934</v>
      </c>
      <c r="B3068" s="7" t="n">
        <v>2467.58</v>
      </c>
      <c r="C3068" s="7" t="n">
        <f aca="false">AVERAGE(B3019:B3068)</f>
        <v>2507.7052</v>
      </c>
      <c r="D3068" s="7" t="n">
        <f aca="false">AVERAGE(B2869:B3068)</f>
        <v>2241.357</v>
      </c>
      <c r="E3068" s="7" t="n">
        <f aca="false">B3068/MAX(B2817:B3068)-1</f>
        <v>-0.0469057790206333</v>
      </c>
      <c r="F3068" s="7" t="str">
        <f aca="false">IFERROR(INDEX(02_轉折點45個!B:B,MATCH(A3068,02_轉折點45個!A:A,0)),"")</f>
        <v/>
      </c>
      <c r="G3068" s="7" t="s">
        <v>1994</v>
      </c>
    </row>
    <row r="3069" customFormat="false" ht="15" hidden="false" customHeight="false" outlineLevel="0" collapsed="false">
      <c r="A3069" s="7" t="s">
        <v>935</v>
      </c>
      <c r="B3069" s="7" t="n">
        <v>2480.91</v>
      </c>
      <c r="C3069" s="7" t="n">
        <f aca="false">AVERAGE(B3020:B3069)</f>
        <v>2508.5948</v>
      </c>
      <c r="D3069" s="7" t="n">
        <f aca="false">AVERAGE(B2870:B3069)</f>
        <v>2243.73105</v>
      </c>
      <c r="E3069" s="7" t="n">
        <f aca="false">B3069/MAX(B2818:B3069)-1</f>
        <v>-0.0417571127299133</v>
      </c>
      <c r="F3069" s="7" t="str">
        <f aca="false">IFERROR(INDEX(02_轉折點45個!B:B,MATCH(A3069,02_轉折點45個!A:A,0)),"")</f>
        <v/>
      </c>
      <c r="G3069" s="7" t="s">
        <v>1994</v>
      </c>
    </row>
    <row r="3070" customFormat="false" ht="15" hidden="false" customHeight="false" outlineLevel="0" collapsed="false">
      <c r="A3070" s="7" t="s">
        <v>4482</v>
      </c>
      <c r="B3070" s="7" t="n">
        <v>2467.53</v>
      </c>
      <c r="C3070" s="7" t="n">
        <f aca="false">AVERAGE(B3021:B3070)</f>
        <v>2509.2888</v>
      </c>
      <c r="D3070" s="7" t="n">
        <f aca="false">AVERAGE(B2871:B3070)</f>
        <v>2245.66455</v>
      </c>
      <c r="E3070" s="7" t="n">
        <f aca="false">B3070/MAX(B2819:B3070)-1</f>
        <v>-0.0469250913473051</v>
      </c>
      <c r="F3070" s="7" t="str">
        <f aca="false">IFERROR(INDEX(02_轉折點45個!B:B,MATCH(A3070,02_轉折點45個!A:A,0)),"")</f>
        <v/>
      </c>
      <c r="G3070" s="7" t="s">
        <v>1994</v>
      </c>
    </row>
    <row r="3071" customFormat="false" ht="15" hidden="false" customHeight="false" outlineLevel="0" collapsed="false">
      <c r="A3071" s="7" t="s">
        <v>4483</v>
      </c>
      <c r="B3071" s="7" t="n">
        <v>2436.8</v>
      </c>
      <c r="C3071" s="7" t="n">
        <f aca="false">AVERAGE(B3022:B3071)</f>
        <v>2509.553</v>
      </c>
      <c r="D3071" s="7" t="n">
        <f aca="false">AVERAGE(B2872:B3071)</f>
        <v>2247.5387</v>
      </c>
      <c r="E3071" s="7" t="n">
        <f aca="false">B3071/MAX(B2820:B3071)-1</f>
        <v>-0.0587944473198352</v>
      </c>
      <c r="F3071" s="7" t="str">
        <f aca="false">IFERROR(INDEX(02_轉折點45個!B:B,MATCH(A3071,02_轉折點45個!A:A,0)),"")</f>
        <v/>
      </c>
      <c r="G3071" s="7" t="s">
        <v>1994</v>
      </c>
    </row>
    <row r="3072" customFormat="false" ht="15" hidden="false" customHeight="false" outlineLevel="0" collapsed="false">
      <c r="A3072" s="7" t="s">
        <v>936</v>
      </c>
      <c r="B3072" s="7" t="n">
        <v>2390.66</v>
      </c>
      <c r="C3072" s="7" t="n">
        <f aca="false">AVERAGE(B3023:B3072)</f>
        <v>2508.1882</v>
      </c>
      <c r="D3072" s="7" t="n">
        <f aca="false">AVERAGE(B2873:B3072)</f>
        <v>2249.3407</v>
      </c>
      <c r="E3072" s="7" t="n">
        <f aca="false">B3072/MAX(B2821:B3072)-1</f>
        <v>-0.0766158623726353</v>
      </c>
      <c r="F3072" s="7" t="str">
        <f aca="false">IFERROR(INDEX(02_轉折點45個!B:B,MATCH(A3072,02_轉折點45個!A:A,0)),"")</f>
        <v/>
      </c>
      <c r="G3072" s="7" t="s">
        <v>1994</v>
      </c>
    </row>
    <row r="3073" customFormat="false" ht="15" hidden="false" customHeight="false" outlineLevel="0" collapsed="false">
      <c r="A3073" s="7" t="s">
        <v>4484</v>
      </c>
      <c r="B3073" s="7" t="n">
        <v>2408.22</v>
      </c>
      <c r="C3073" s="7" t="n">
        <f aca="false">AVERAGE(B3024:B3073)</f>
        <v>2507.3622</v>
      </c>
      <c r="D3073" s="7" t="n">
        <f aca="false">AVERAGE(B2874:B3073)</f>
        <v>2250.9622</v>
      </c>
      <c r="E3073" s="7" t="n">
        <f aca="false">B3073/MAX(B2822:B3073)-1</f>
        <v>-0.0698333732454752</v>
      </c>
      <c r="F3073" s="7" t="str">
        <f aca="false">IFERROR(INDEX(02_轉折點45個!B:B,MATCH(A3073,02_轉折點45個!A:A,0)),"")</f>
        <v/>
      </c>
      <c r="G3073" s="7" t="s">
        <v>1994</v>
      </c>
    </row>
    <row r="3074" customFormat="false" ht="15" hidden="false" customHeight="false" outlineLevel="0" collapsed="false">
      <c r="A3074" s="7" t="s">
        <v>4485</v>
      </c>
      <c r="B3074" s="7" t="n">
        <v>2415.18</v>
      </c>
      <c r="C3074" s="7" t="n">
        <f aca="false">AVERAGE(B3025:B3074)</f>
        <v>2506.2926</v>
      </c>
      <c r="D3074" s="7" t="n">
        <f aca="false">AVERAGE(B2875:B3074)</f>
        <v>2252.51815</v>
      </c>
      <c r="E3074" s="7" t="n">
        <f aca="false">B3074/MAX(B2823:B3074)-1</f>
        <v>-0.0671450973727511</v>
      </c>
      <c r="F3074" s="7" t="str">
        <f aca="false">IFERROR(INDEX(02_轉折點45個!B:B,MATCH(A3074,02_轉折點45個!A:A,0)),"")</f>
        <v/>
      </c>
      <c r="G3074" s="7" t="s">
        <v>1994</v>
      </c>
    </row>
    <row r="3075" customFormat="false" ht="15" hidden="false" customHeight="false" outlineLevel="0" collapsed="false">
      <c r="A3075" s="7" t="s">
        <v>4486</v>
      </c>
      <c r="B3075" s="7" t="n">
        <v>2459.42</v>
      </c>
      <c r="C3075" s="7" t="n">
        <f aca="false">AVERAGE(B3026:B3075)</f>
        <v>2505.9674</v>
      </c>
      <c r="D3075" s="7" t="n">
        <f aca="false">AVERAGE(B2876:B3075)</f>
        <v>2254.6784</v>
      </c>
      <c r="E3075" s="7" t="n">
        <f aca="false">B3075/MAX(B2824:B3075)-1</f>
        <v>-0.0500575507334822</v>
      </c>
      <c r="F3075" s="7" t="str">
        <f aca="false">IFERROR(INDEX(02_轉折點45個!B:B,MATCH(A3075,02_轉折點45個!A:A,0)),"")</f>
        <v/>
      </c>
      <c r="G3075" s="7" t="s">
        <v>1994</v>
      </c>
    </row>
    <row r="3076" customFormat="false" ht="15" hidden="false" customHeight="false" outlineLevel="0" collapsed="false">
      <c r="A3076" s="7" t="s">
        <v>4487</v>
      </c>
      <c r="B3076" s="7" t="n">
        <v>2451.91</v>
      </c>
      <c r="C3076" s="7" t="n">
        <f aca="false">AVERAGE(B3027:B3076)</f>
        <v>2505.6148</v>
      </c>
      <c r="D3076" s="7" t="n">
        <f aca="false">AVERAGE(B2877:B3076)</f>
        <v>2257.00785</v>
      </c>
      <c r="E3076" s="7" t="n">
        <f aca="false">B3076/MAX(B2825:B3076)-1</f>
        <v>-0.0529582621995968</v>
      </c>
      <c r="F3076" s="7" t="str">
        <f aca="false">IFERROR(INDEX(02_轉折點45個!B:B,MATCH(A3076,02_轉折點45個!A:A,0)),"")</f>
        <v/>
      </c>
      <c r="G3076" s="7" t="s">
        <v>1994</v>
      </c>
    </row>
    <row r="3077" customFormat="false" ht="15" hidden="false" customHeight="false" outlineLevel="0" collapsed="false">
      <c r="A3077" s="7" t="s">
        <v>937</v>
      </c>
      <c r="B3077" s="7" t="n">
        <v>2465.09</v>
      </c>
      <c r="C3077" s="7" t="n">
        <f aca="false">AVERAGE(B3028:B3077)</f>
        <v>2505.4412</v>
      </c>
      <c r="D3077" s="7" t="n">
        <f aca="false">AVERAGE(B2878:B3077)</f>
        <v>2259.41845</v>
      </c>
      <c r="E3077" s="7" t="n">
        <f aca="false">B3077/MAX(B2826:B3077)-1</f>
        <v>-0.0478675328888922</v>
      </c>
      <c r="F3077" s="7" t="str">
        <f aca="false">IFERROR(INDEX(02_轉折點45個!B:B,MATCH(A3077,02_轉折點45個!A:A,0)),"")</f>
        <v/>
      </c>
      <c r="G3077" s="7" t="s">
        <v>1994</v>
      </c>
    </row>
    <row r="3078" customFormat="false" ht="15" hidden="false" customHeight="false" outlineLevel="0" collapsed="false">
      <c r="A3078" s="7" t="s">
        <v>4488</v>
      </c>
      <c r="B3078" s="7" t="n">
        <v>2499.92</v>
      </c>
      <c r="C3078" s="7" t="n">
        <f aca="false">AVERAGE(B3029:B3078)</f>
        <v>2505.7992</v>
      </c>
      <c r="D3078" s="7" t="n">
        <f aca="false">AVERAGE(B2879:B3078)</f>
        <v>2262.0567</v>
      </c>
      <c r="E3078" s="7" t="n">
        <f aca="false">B3078/MAX(B2827:B3078)-1</f>
        <v>-0.034414566129269</v>
      </c>
      <c r="F3078" s="7" t="str">
        <f aca="false">IFERROR(INDEX(02_轉折點45個!B:B,MATCH(A3078,02_轉折點45個!A:A,0)),"")</f>
        <v/>
      </c>
      <c r="G3078" s="7" t="s">
        <v>1994</v>
      </c>
    </row>
    <row r="3079" customFormat="false" ht="15" hidden="false" customHeight="false" outlineLevel="0" collapsed="false">
      <c r="A3079" s="7" t="s">
        <v>4489</v>
      </c>
      <c r="B3079" s="7" t="n">
        <v>2505.98</v>
      </c>
      <c r="C3079" s="7" t="n">
        <f aca="false">AVERAGE(B3030:B3079)</f>
        <v>2505.9038</v>
      </c>
      <c r="D3079" s="7" t="n">
        <f aca="false">AVERAGE(B2880:B3079)</f>
        <v>2264.45185</v>
      </c>
      <c r="E3079" s="7" t="n">
        <f aca="false">B3079/MAX(B2828:B3079)-1</f>
        <v>-0.0320739121366386</v>
      </c>
      <c r="F3079" s="7" t="str">
        <f aca="false">IFERROR(INDEX(02_轉折點45個!B:B,MATCH(A3079,02_轉折點45個!A:A,0)),"")</f>
        <v/>
      </c>
      <c r="G3079" s="7" t="s">
        <v>1994</v>
      </c>
    </row>
    <row r="3080" customFormat="false" ht="15" hidden="false" customHeight="false" outlineLevel="0" collapsed="false">
      <c r="A3080" s="7" t="s">
        <v>4490</v>
      </c>
      <c r="B3080" s="7" t="n">
        <v>2494.67</v>
      </c>
      <c r="C3080" s="7" t="n">
        <f aca="false">AVERAGE(B3031:B3080)</f>
        <v>2505.8194</v>
      </c>
      <c r="D3080" s="7" t="n">
        <f aca="false">AVERAGE(B2881:B3080)</f>
        <v>2266.67675</v>
      </c>
      <c r="E3080" s="7" t="n">
        <f aca="false">B3080/MAX(B2829:B3080)-1</f>
        <v>-0.0364423604298151</v>
      </c>
      <c r="F3080" s="7" t="str">
        <f aca="false">IFERROR(INDEX(02_轉折點45個!B:B,MATCH(A3080,02_轉折點45個!A:A,0)),"")</f>
        <v/>
      </c>
      <c r="G3080" s="7" t="s">
        <v>1994</v>
      </c>
    </row>
    <row r="3081" customFormat="false" ht="15" hidden="false" customHeight="false" outlineLevel="0" collapsed="false">
      <c r="A3081" s="7" t="s">
        <v>4491</v>
      </c>
      <c r="B3081" s="7" t="n">
        <v>2518.62</v>
      </c>
      <c r="C3081" s="7" t="n">
        <f aca="false">AVERAGE(B3032:B3081)</f>
        <v>2505.8484</v>
      </c>
      <c r="D3081" s="7" t="n">
        <f aca="false">AVERAGE(B2882:B3081)</f>
        <v>2269.01975</v>
      </c>
      <c r="E3081" s="7" t="n">
        <f aca="false">B3081/MAX(B2830:B3081)-1</f>
        <v>-0.0271917559539904</v>
      </c>
      <c r="F3081" s="7" t="str">
        <f aca="false">IFERROR(INDEX(02_轉折點45個!B:B,MATCH(A3081,02_轉折點45個!A:A,0)),"")</f>
        <v/>
      </c>
      <c r="G3081" s="7" t="s">
        <v>1994</v>
      </c>
    </row>
    <row r="3082" customFormat="false" ht="15" hidden="false" customHeight="false" outlineLevel="0" collapsed="false">
      <c r="A3082" s="7" t="s">
        <v>4492</v>
      </c>
      <c r="B3082" s="7" t="n">
        <v>2536.8</v>
      </c>
      <c r="C3082" s="7" t="n">
        <f aca="false">AVERAGE(B3033:B3082)</f>
        <v>2506.0484</v>
      </c>
      <c r="D3082" s="7" t="n">
        <f aca="false">AVERAGE(B2883:B3082)</f>
        <v>2271.1708</v>
      </c>
      <c r="E3082" s="7" t="n">
        <f aca="false">B3082/MAX(B2831:B3082)-1</f>
        <v>-0.020169793976099</v>
      </c>
      <c r="F3082" s="7" t="str">
        <f aca="false">IFERROR(INDEX(02_轉折點45個!B:B,MATCH(A3082,02_轉折點45個!A:A,0)),"")</f>
        <v/>
      </c>
      <c r="G3082" s="7" t="s">
        <v>1994</v>
      </c>
    </row>
    <row r="3083" customFormat="false" ht="15" hidden="false" customHeight="false" outlineLevel="0" collapsed="false">
      <c r="A3083" s="7" t="s">
        <v>4493</v>
      </c>
      <c r="B3083" s="7" t="n">
        <v>2540.71</v>
      </c>
      <c r="C3083" s="7" t="n">
        <f aca="false">AVERAGE(B3034:B3083)</f>
        <v>2507.0664</v>
      </c>
      <c r="D3083" s="7" t="n">
        <f aca="false">AVERAGE(B2884:B3083)</f>
        <v>2273.3412</v>
      </c>
      <c r="E3083" s="7" t="n">
        <f aca="false">B3083/MAX(B2832:B3083)-1</f>
        <v>-0.018659570030359</v>
      </c>
      <c r="F3083" s="7" t="str">
        <f aca="false">IFERROR(INDEX(02_轉折點45個!B:B,MATCH(A3083,02_轉折點45個!A:A,0)),"")</f>
        <v/>
      </c>
      <c r="G3083" s="7" t="s">
        <v>1994</v>
      </c>
    </row>
    <row r="3084" customFormat="false" ht="15" hidden="false" customHeight="false" outlineLevel="0" collapsed="false">
      <c r="A3084" s="7" t="s">
        <v>4494</v>
      </c>
      <c r="B3084" s="7" t="n">
        <v>2548.5</v>
      </c>
      <c r="C3084" s="7" t="n">
        <f aca="false">AVERAGE(B3035:B3084)</f>
        <v>2508.625</v>
      </c>
      <c r="D3084" s="7" t="n">
        <f aca="false">AVERAGE(B2885:B3084)</f>
        <v>2275.5449</v>
      </c>
      <c r="E3084" s="7" t="n">
        <f aca="false">B3084/MAX(B2833:B3084)-1</f>
        <v>-0.0156507095348819</v>
      </c>
      <c r="F3084" s="7" t="str">
        <f aca="false">IFERROR(INDEX(02_轉折點45個!B:B,MATCH(A3084,02_轉折點45個!A:A,0)),"")</f>
        <v/>
      </c>
      <c r="G3084" s="7" t="s">
        <v>1994</v>
      </c>
    </row>
    <row r="3085" customFormat="false" ht="15" hidden="false" customHeight="false" outlineLevel="0" collapsed="false">
      <c r="A3085" s="7" t="s">
        <v>4495</v>
      </c>
      <c r="B3085" s="7" t="n">
        <v>2548.13</v>
      </c>
      <c r="C3085" s="7" t="n">
        <f aca="false">AVERAGE(B3036:B3085)</f>
        <v>2510.4458</v>
      </c>
      <c r="D3085" s="7" t="n">
        <f aca="false">AVERAGE(B2886:B3085)</f>
        <v>2277.7347</v>
      </c>
      <c r="E3085" s="7" t="n">
        <f aca="false">B3085/MAX(B2834:B3085)-1</f>
        <v>-0.0157936207522537</v>
      </c>
      <c r="F3085" s="7" t="str">
        <f aca="false">IFERROR(INDEX(02_轉折點45個!B:B,MATCH(A3085,02_轉折點45個!A:A,0)),"")</f>
        <v/>
      </c>
      <c r="G3085" s="7" t="s">
        <v>1994</v>
      </c>
    </row>
    <row r="3086" customFormat="false" ht="15" hidden="false" customHeight="false" outlineLevel="0" collapsed="false">
      <c r="A3086" s="7" t="s">
        <v>4496</v>
      </c>
      <c r="B3086" s="7" t="n">
        <v>2549.95</v>
      </c>
      <c r="C3086" s="7" t="n">
        <f aca="false">AVERAGE(B3037:B3086)</f>
        <v>2511.7912</v>
      </c>
      <c r="D3086" s="7" t="n">
        <f aca="false">AVERAGE(B2887:B3086)</f>
        <v>2280.0282</v>
      </c>
      <c r="E3086" s="7" t="n">
        <f aca="false">B3086/MAX(B2835:B3086)-1</f>
        <v>-0.0150906520613978</v>
      </c>
      <c r="F3086" s="7" t="str">
        <f aca="false">IFERROR(INDEX(02_轉折點45個!B:B,MATCH(A3086,02_轉折點45個!A:A,0)),"")</f>
        <v/>
      </c>
      <c r="G3086" s="7" t="s">
        <v>1994</v>
      </c>
    </row>
    <row r="3087" customFormat="false" ht="15" hidden="false" customHeight="false" outlineLevel="0" collapsed="false">
      <c r="A3087" s="7" t="s">
        <v>4497</v>
      </c>
      <c r="B3087" s="7" t="n">
        <v>2557.84</v>
      </c>
      <c r="C3087" s="7" t="n">
        <f aca="false">AVERAGE(B3038:B3087)</f>
        <v>2513.2634</v>
      </c>
      <c r="D3087" s="7" t="n">
        <f aca="false">AVERAGE(B2888:B3087)</f>
        <v>2282.4858</v>
      </c>
      <c r="E3087" s="7" t="n">
        <f aca="false">B3087/MAX(B2836:B3087)-1</f>
        <v>-0.0120431669125769</v>
      </c>
      <c r="F3087" s="7" t="str">
        <f aca="false">IFERROR(INDEX(02_轉折點45個!B:B,MATCH(A3087,02_轉折點45個!A:A,0)),"")</f>
        <v/>
      </c>
      <c r="G3087" s="7" t="s">
        <v>1994</v>
      </c>
    </row>
    <row r="3088" customFormat="false" ht="15" hidden="false" customHeight="false" outlineLevel="0" collapsed="false">
      <c r="A3088" s="7" t="s">
        <v>4498</v>
      </c>
      <c r="B3088" s="7" t="n">
        <v>2554.48</v>
      </c>
      <c r="C3088" s="7" t="n">
        <f aca="false">AVERAGE(B3039:B3088)</f>
        <v>2514.2984</v>
      </c>
      <c r="D3088" s="7" t="n">
        <f aca="false">AVERAGE(B2889:B3088)</f>
        <v>2284.9612</v>
      </c>
      <c r="E3088" s="7" t="n">
        <f aca="false">B3088/MAX(B2837:B3088)-1</f>
        <v>-0.0133409552649265</v>
      </c>
      <c r="F3088" s="7" t="str">
        <f aca="false">IFERROR(INDEX(02_轉折點45個!B:B,MATCH(A3088,02_轉折點45個!A:A,0)),"")</f>
        <v/>
      </c>
      <c r="G3088" s="7" t="s">
        <v>1994</v>
      </c>
    </row>
    <row r="3089" customFormat="false" ht="15" hidden="false" customHeight="false" outlineLevel="0" collapsed="false">
      <c r="A3089" s="7" t="s">
        <v>4499</v>
      </c>
      <c r="B3089" s="7" t="n">
        <v>2540.12</v>
      </c>
      <c r="C3089" s="7" t="n">
        <f aca="false">AVERAGE(B3040:B3089)</f>
        <v>2514.7578</v>
      </c>
      <c r="D3089" s="7" t="n">
        <f aca="false">AVERAGE(B2890:B3089)</f>
        <v>2287.53295</v>
      </c>
      <c r="E3089" s="7" t="n">
        <f aca="false">B3089/MAX(B2838:B3089)-1</f>
        <v>-0.0188874554850871</v>
      </c>
      <c r="F3089" s="7" t="str">
        <f aca="false">IFERROR(INDEX(02_轉折點45個!B:B,MATCH(A3089,02_轉折點45個!A:A,0)),"")</f>
        <v/>
      </c>
      <c r="G3089" s="7" t="s">
        <v>1994</v>
      </c>
    </row>
    <row r="3090" customFormat="false" ht="15" hidden="false" customHeight="false" outlineLevel="0" collapsed="false">
      <c r="A3090" s="7" t="s">
        <v>4500</v>
      </c>
      <c r="B3090" s="7" t="n">
        <v>2531.98</v>
      </c>
      <c r="C3090" s="7" t="n">
        <f aca="false">AVERAGE(B3041:B3090)</f>
        <v>2516.304</v>
      </c>
      <c r="D3090" s="7" t="n">
        <f aca="false">AVERAGE(B2891:B3090)</f>
        <v>2290.0363</v>
      </c>
      <c r="E3090" s="7" t="n">
        <f aca="false">B3090/MAX(B2839:B3090)-1</f>
        <v>-0.0220315022672671</v>
      </c>
      <c r="F3090" s="7" t="str">
        <f aca="false">IFERROR(INDEX(02_轉折點45個!B:B,MATCH(A3090,02_轉折點45個!A:A,0)),"")</f>
        <v/>
      </c>
      <c r="G3090" s="7" t="s">
        <v>1994</v>
      </c>
    </row>
    <row r="3091" customFormat="false" ht="15" hidden="false" customHeight="false" outlineLevel="0" collapsed="false">
      <c r="A3091" s="7" t="s">
        <v>938</v>
      </c>
      <c r="B3091" s="7" t="n">
        <v>2507.57</v>
      </c>
      <c r="C3091" s="7" t="n">
        <f aca="false">AVERAGE(B3042:B3091)</f>
        <v>2517.121</v>
      </c>
      <c r="D3091" s="7" t="n">
        <f aca="false">AVERAGE(B2892:B3091)</f>
        <v>2292.43055</v>
      </c>
      <c r="E3091" s="7" t="n">
        <f aca="false">B3091/MAX(B2840:B3091)-1</f>
        <v>-0.0314597801484731</v>
      </c>
      <c r="F3091" s="7" t="str">
        <f aca="false">IFERROR(INDEX(02_轉折點45個!B:B,MATCH(A3091,02_轉折點45個!A:A,0)),"")</f>
        <v/>
      </c>
      <c r="G3091" s="7" t="s">
        <v>1994</v>
      </c>
    </row>
    <row r="3092" customFormat="false" ht="15" hidden="false" customHeight="false" outlineLevel="0" collapsed="false">
      <c r="A3092" s="7" t="s">
        <v>4501</v>
      </c>
      <c r="B3092" s="7" t="n">
        <v>2522.85</v>
      </c>
      <c r="C3092" s="7" t="n">
        <f aca="false">AVERAGE(B3043:B3092)</f>
        <v>2517.3098</v>
      </c>
      <c r="D3092" s="7" t="n">
        <f aca="false">AVERAGE(B2893:B3092)</f>
        <v>2295.2916</v>
      </c>
      <c r="E3092" s="7" t="n">
        <f aca="false">B3092/MAX(B2841:B3092)-1</f>
        <v>-0.0255579331175503</v>
      </c>
      <c r="F3092" s="7" t="str">
        <f aca="false">IFERROR(INDEX(02_轉折點45個!B:B,MATCH(A3092,02_轉折點45個!A:A,0)),"")</f>
        <v/>
      </c>
      <c r="G3092" s="7" t="s">
        <v>1994</v>
      </c>
    </row>
    <row r="3093" customFormat="false" ht="15" hidden="false" customHeight="false" outlineLevel="0" collapsed="false">
      <c r="A3093" s="7" t="s">
        <v>4502</v>
      </c>
      <c r="B3093" s="7" t="n">
        <v>2521.66</v>
      </c>
      <c r="C3093" s="7" t="n">
        <f aca="false">AVERAGE(B3044:B3093)</f>
        <v>2517.5046</v>
      </c>
      <c r="D3093" s="7" t="n">
        <f aca="false">AVERAGE(B2894:B3093)</f>
        <v>2298.2652</v>
      </c>
      <c r="E3093" s="7" t="n">
        <f aca="false">B3093/MAX(B2842:B3093)-1</f>
        <v>-0.0260175664923408</v>
      </c>
      <c r="F3093" s="7" t="str">
        <f aca="false">IFERROR(INDEX(02_轉折點45個!B:B,MATCH(A3093,02_轉折點45個!A:A,0)),"")</f>
        <v/>
      </c>
      <c r="G3093" s="7" t="s">
        <v>1994</v>
      </c>
    </row>
    <row r="3094" customFormat="false" ht="15" hidden="false" customHeight="false" outlineLevel="0" collapsed="false">
      <c r="A3094" s="7" t="s">
        <v>4503</v>
      </c>
      <c r="B3094" s="7" t="n">
        <v>2525.71</v>
      </c>
      <c r="C3094" s="7" t="n">
        <f aca="false">AVERAGE(B3045:B3094)</f>
        <v>2517.7014</v>
      </c>
      <c r="D3094" s="7" t="n">
        <f aca="false">AVERAGE(B2895:B3094)</f>
        <v>2301.295</v>
      </c>
      <c r="E3094" s="7" t="n">
        <f aca="false">B3094/MAX(B2843:B3094)-1</f>
        <v>-0.0244532680319194</v>
      </c>
      <c r="F3094" s="7" t="str">
        <f aca="false">IFERROR(INDEX(02_轉折點45個!B:B,MATCH(A3094,02_轉折點45個!A:A,0)),"")</f>
        <v/>
      </c>
      <c r="G3094" s="7" t="s">
        <v>1994</v>
      </c>
    </row>
    <row r="3095" customFormat="false" ht="15" hidden="false" customHeight="false" outlineLevel="0" collapsed="false">
      <c r="A3095" s="7" t="s">
        <v>4504</v>
      </c>
      <c r="B3095" s="7" t="n">
        <v>2498.97</v>
      </c>
      <c r="C3095" s="7" t="n">
        <f aca="false">AVERAGE(B3046:B3095)</f>
        <v>2517.0816</v>
      </c>
      <c r="D3095" s="7" t="n">
        <f aca="false">AVERAGE(B2896:B3095)</f>
        <v>2304.23485</v>
      </c>
      <c r="E3095" s="7" t="n">
        <f aca="false">B3095/MAX(B2844:B3095)-1</f>
        <v>-0.0347815003360346</v>
      </c>
      <c r="F3095" s="7" t="str">
        <f aca="false">IFERROR(INDEX(02_轉折點45個!B:B,MATCH(A3095,02_轉折點45個!A:A,0)),"")</f>
        <v/>
      </c>
      <c r="G3095" s="7" t="s">
        <v>1994</v>
      </c>
    </row>
    <row r="3096" customFormat="false" ht="15" hidden="false" customHeight="false" outlineLevel="0" collapsed="false">
      <c r="A3096" s="7" t="s">
        <v>4505</v>
      </c>
      <c r="B3096" s="7" t="n">
        <v>2507.73</v>
      </c>
      <c r="C3096" s="7" t="n">
        <f aca="false">AVERAGE(B3047:B3096)</f>
        <v>2516.3686</v>
      </c>
      <c r="D3096" s="7" t="n">
        <f aca="false">AVERAGE(B2897:B3096)</f>
        <v>2307.20895</v>
      </c>
      <c r="E3096" s="7" t="n">
        <f aca="false">B3096/MAX(B2845:B3096)-1</f>
        <v>-0.0313979807031232</v>
      </c>
      <c r="F3096" s="7" t="str">
        <f aca="false">IFERROR(INDEX(02_轉折點45個!B:B,MATCH(A3096,02_轉折點45個!A:A,0)),"")</f>
        <v/>
      </c>
      <c r="G3096" s="7" t="s">
        <v>1994</v>
      </c>
    </row>
    <row r="3097" customFormat="false" ht="15" hidden="false" customHeight="false" outlineLevel="0" collapsed="false">
      <c r="A3097" s="7" t="s">
        <v>4506</v>
      </c>
      <c r="B3097" s="7" t="n">
        <v>2560.3</v>
      </c>
      <c r="C3097" s="7" t="n">
        <f aca="false">AVERAGE(B3048:B3097)</f>
        <v>2516.4684</v>
      </c>
      <c r="D3097" s="7" t="n">
        <f aca="false">AVERAGE(B2898:B3097)</f>
        <v>2310.1463</v>
      </c>
      <c r="E3097" s="7" t="n">
        <f aca="false">B3097/MAX(B2846:B3097)-1</f>
        <v>-0.011093000440321</v>
      </c>
      <c r="F3097" s="7" t="str">
        <f aca="false">IFERROR(INDEX(02_轉折點45個!B:B,MATCH(A3097,02_轉折點45個!A:A,0)),"")</f>
        <v/>
      </c>
      <c r="G3097" s="7" t="s">
        <v>1994</v>
      </c>
    </row>
    <row r="3098" customFormat="false" ht="15" hidden="false" customHeight="false" outlineLevel="0" collapsed="false">
      <c r="A3098" s="7" t="s">
        <v>4507</v>
      </c>
      <c r="B3098" s="7" t="n">
        <v>2576.42</v>
      </c>
      <c r="C3098" s="7" t="n">
        <f aca="false">AVERAGE(B3049:B3098)</f>
        <v>2517.0364</v>
      </c>
      <c r="D3098" s="7" t="n">
        <f aca="false">AVERAGE(B2899:B3098)</f>
        <v>2313.09145</v>
      </c>
      <c r="E3098" s="7" t="n">
        <f aca="false">B3098/MAX(B2847:B3098)-1</f>
        <v>-0.0048667063213107</v>
      </c>
      <c r="F3098" s="7" t="str">
        <f aca="false">IFERROR(INDEX(02_轉折點45個!B:B,MATCH(A3098,02_轉折點45個!A:A,0)),"")</f>
        <v/>
      </c>
      <c r="G3098" s="7" t="s">
        <v>1994</v>
      </c>
    </row>
    <row r="3099" customFormat="false" ht="15" hidden="false" customHeight="false" outlineLevel="0" collapsed="false">
      <c r="A3099" s="7" t="s">
        <v>4508</v>
      </c>
      <c r="B3099" s="7" t="n">
        <v>2581.65</v>
      </c>
      <c r="C3099" s="7" t="n">
        <f aca="false">AVERAGE(B3050:B3099)</f>
        <v>2517.6838</v>
      </c>
      <c r="D3099" s="7" t="n">
        <f aca="false">AVERAGE(B2900:B3099)</f>
        <v>2315.9666</v>
      </c>
      <c r="E3099" s="7" t="n">
        <f aca="false">B3099/MAX(B2848:B3099)-1</f>
        <v>-0.00284663695143328</v>
      </c>
      <c r="F3099" s="7" t="str">
        <f aca="false">IFERROR(INDEX(02_轉折點45個!B:B,MATCH(A3099,02_轉折點45個!A:A,0)),"")</f>
        <v/>
      </c>
      <c r="G3099" s="7" t="s">
        <v>1994</v>
      </c>
    </row>
    <row r="3100" customFormat="false" ht="15" hidden="false" customHeight="false" outlineLevel="0" collapsed="false">
      <c r="A3100" s="7" t="s">
        <v>939</v>
      </c>
      <c r="B3100" s="7" t="n">
        <v>2601.43</v>
      </c>
      <c r="C3100" s="7" t="n">
        <f aca="false">AVERAGE(B3051:B3100)</f>
        <v>2518.3798</v>
      </c>
      <c r="D3100" s="7" t="n">
        <f aca="false">AVERAGE(B2901:B3100)</f>
        <v>2318.93195</v>
      </c>
      <c r="E3100" s="7" t="n">
        <f aca="false">B3100/MAX(B2849:B3100)-1</f>
        <v>0</v>
      </c>
      <c r="F3100" s="7" t="str">
        <f aca="false">IFERROR(INDEX(02_轉折點45個!B:B,MATCH(A3100,02_轉折點45個!A:A,0)),"")</f>
        <v/>
      </c>
      <c r="G3100" s="7" t="s">
        <v>1994</v>
      </c>
    </row>
    <row r="3101" customFormat="false" ht="15" hidden="false" customHeight="false" outlineLevel="0" collapsed="false">
      <c r="A3101" s="7" t="s">
        <v>4509</v>
      </c>
      <c r="B3101" s="7" t="n">
        <v>2621.84</v>
      </c>
      <c r="C3101" s="7" t="n">
        <f aca="false">AVERAGE(B3052:B3101)</f>
        <v>2519.3426</v>
      </c>
      <c r="D3101" s="7" t="n">
        <f aca="false">AVERAGE(B2902:B3101)</f>
        <v>2321.79985</v>
      </c>
      <c r="E3101" s="7" t="n">
        <f aca="false">B3101/MAX(B2850:B3101)-1</f>
        <v>0</v>
      </c>
      <c r="F3101" s="7" t="str">
        <f aca="false">IFERROR(INDEX(02_轉折點45個!B:B,MATCH(A3101,02_轉折點45個!A:A,0)),"")</f>
        <v/>
      </c>
      <c r="G3101" s="7" t="s">
        <v>1994</v>
      </c>
    </row>
    <row r="3102" customFormat="false" ht="15" hidden="false" customHeight="false" outlineLevel="0" collapsed="false">
      <c r="A3102" s="7" t="s">
        <v>4510</v>
      </c>
      <c r="B3102" s="7" t="n">
        <v>2624.26</v>
      </c>
      <c r="C3102" s="7" t="n">
        <f aca="false">AVERAGE(B3053:B3102)</f>
        <v>2520.5882</v>
      </c>
      <c r="D3102" s="7" t="n">
        <f aca="false">AVERAGE(B2903:B3102)</f>
        <v>2324.6442</v>
      </c>
      <c r="E3102" s="7" t="n">
        <f aca="false">B3102/MAX(B2851:B3102)-1</f>
        <v>0</v>
      </c>
      <c r="F3102" s="7" t="str">
        <f aca="false">IFERROR(INDEX(02_轉折點45個!B:B,MATCH(A3102,02_轉折點45個!A:A,0)),"")</f>
        <v/>
      </c>
      <c r="G3102" s="7" t="s">
        <v>1994</v>
      </c>
    </row>
    <row r="3103" customFormat="false" ht="15" hidden="false" customHeight="false" outlineLevel="0" collapsed="false">
      <c r="A3103" s="7" t="s">
        <v>142</v>
      </c>
      <c r="B3103" s="7" t="n">
        <v>2625.19</v>
      </c>
      <c r="C3103" s="7" t="n">
        <f aca="false">AVERAGE(B3054:B3103)</f>
        <v>2521.465</v>
      </c>
      <c r="D3103" s="7" t="n">
        <f aca="false">AVERAGE(B2904:B3103)</f>
        <v>2327.49665</v>
      </c>
      <c r="E3103" s="7" t="n">
        <f aca="false">B3103/MAX(B2852:B3103)-1</f>
        <v>0</v>
      </c>
      <c r="F3103" s="7" t="str">
        <f aca="false">IFERROR(INDEX(02_轉折點45個!B:B,MATCH(A3103,02_轉折點45個!A:A,0)),"")</f>
        <v>TOP</v>
      </c>
      <c r="G3103" s="7" t="s">
        <v>1994</v>
      </c>
    </row>
    <row r="3104" customFormat="false" ht="15" hidden="false" customHeight="false" outlineLevel="0" collapsed="false">
      <c r="A3104" s="7" t="s">
        <v>4511</v>
      </c>
      <c r="B3104" s="7" t="n">
        <v>2616.55</v>
      </c>
      <c r="C3104" s="7" t="n">
        <f aca="false">AVERAGE(B3055:B3104)</f>
        <v>2522.059</v>
      </c>
      <c r="D3104" s="7" t="n">
        <f aca="false">AVERAGE(B2905:B3104)</f>
        <v>2330.6258</v>
      </c>
      <c r="E3104" s="7" t="n">
        <f aca="false">B3104/MAX(B2853:B3104)-1</f>
        <v>-0.00329119035193637</v>
      </c>
      <c r="F3104" s="7" t="str">
        <f aca="false">IFERROR(INDEX(02_轉折點45個!B:B,MATCH(A3104,02_轉折點45個!A:A,0)),"")</f>
        <v/>
      </c>
      <c r="G3104" s="7" t="s">
        <v>1994</v>
      </c>
    </row>
    <row r="3105" customFormat="false" ht="15" hidden="false" customHeight="false" outlineLevel="0" collapsed="false">
      <c r="A3105" s="7" t="s">
        <v>4512</v>
      </c>
      <c r="B3105" s="7" t="n">
        <v>2596.03</v>
      </c>
      <c r="C3105" s="7" t="n">
        <f aca="false">AVERAGE(B3056:B3105)</f>
        <v>2522.1992</v>
      </c>
      <c r="D3105" s="7" t="n">
        <f aca="false">AVERAGE(B2906:B3105)</f>
        <v>2333.56475</v>
      </c>
      <c r="E3105" s="7" t="n">
        <f aca="false">B3105/MAX(B2854:B3105)-1</f>
        <v>-0.0111077674377854</v>
      </c>
      <c r="F3105" s="7" t="str">
        <f aca="false">IFERROR(INDEX(02_轉折點45個!B:B,MATCH(A3105,02_轉折點45個!A:A,0)),"")</f>
        <v/>
      </c>
      <c r="G3105" s="7" t="s">
        <v>1994</v>
      </c>
    </row>
    <row r="3106" customFormat="false" ht="15" hidden="false" customHeight="false" outlineLevel="0" collapsed="false">
      <c r="A3106" s="7" t="s">
        <v>4513</v>
      </c>
      <c r="B3106" s="7" t="n">
        <v>2583.79</v>
      </c>
      <c r="C3106" s="7" t="n">
        <f aca="false">AVERAGE(B3057:B3106)</f>
        <v>2523.5112</v>
      </c>
      <c r="D3106" s="7" t="n">
        <f aca="false">AVERAGE(B2907:B3106)</f>
        <v>2336.33165</v>
      </c>
      <c r="E3106" s="7" t="n">
        <f aca="false">B3106/MAX(B2855:B3106)-1</f>
        <v>-0.0157702871030287</v>
      </c>
      <c r="F3106" s="7" t="str">
        <f aca="false">IFERROR(INDEX(02_轉折點45個!B:B,MATCH(A3106,02_轉折點45個!A:A,0)),"")</f>
        <v/>
      </c>
      <c r="G3106" s="7" t="s">
        <v>1994</v>
      </c>
    </row>
    <row r="3107" customFormat="false" ht="15" hidden="false" customHeight="false" outlineLevel="0" collapsed="false">
      <c r="A3107" s="7" t="s">
        <v>940</v>
      </c>
      <c r="B3107" s="7" t="n">
        <v>2571.45</v>
      </c>
      <c r="C3107" s="7" t="n">
        <f aca="false">AVERAGE(B3058:B3107)</f>
        <v>2525.1872</v>
      </c>
      <c r="D3107" s="7" t="n">
        <f aca="false">AVERAGE(B2908:B3107)</f>
        <v>2339.1975</v>
      </c>
      <c r="E3107" s="7" t="n">
        <f aca="false">B3107/MAX(B2856:B3107)-1</f>
        <v>-0.0204708992491973</v>
      </c>
      <c r="F3107" s="7" t="str">
        <f aca="false">IFERROR(INDEX(02_轉折點45個!B:B,MATCH(A3107,02_轉折點45個!A:A,0)),"")</f>
        <v/>
      </c>
      <c r="G3107" s="7" t="s">
        <v>1994</v>
      </c>
    </row>
    <row r="3108" customFormat="false" ht="15" hidden="false" customHeight="false" outlineLevel="0" collapsed="false">
      <c r="A3108" s="7" t="s">
        <v>4514</v>
      </c>
      <c r="B3108" s="7" t="n">
        <v>2583.18</v>
      </c>
      <c r="C3108" s="7" t="n">
        <f aca="false">AVERAGE(B3059:B3108)</f>
        <v>2526.8254</v>
      </c>
      <c r="D3108" s="7" t="n">
        <f aca="false">AVERAGE(B2909:B3108)</f>
        <v>2341.8545</v>
      </c>
      <c r="E3108" s="7" t="n">
        <f aca="false">B3108/MAX(B2857:B3108)-1</f>
        <v>-0.0160026512366724</v>
      </c>
      <c r="F3108" s="7" t="str">
        <f aca="false">IFERROR(INDEX(02_轉折點45個!B:B,MATCH(A3108,02_轉折點45個!A:A,0)),"")</f>
        <v/>
      </c>
      <c r="G3108" s="7" t="s">
        <v>1994</v>
      </c>
    </row>
    <row r="3109" customFormat="false" ht="15" hidden="false" customHeight="false" outlineLevel="0" collapsed="false">
      <c r="A3109" s="7" t="s">
        <v>4515</v>
      </c>
      <c r="B3109" s="7" t="n">
        <v>2597.52</v>
      </c>
      <c r="C3109" s="7" t="n">
        <f aca="false">AVERAGE(B3060:B3109)</f>
        <v>2527.962</v>
      </c>
      <c r="D3109" s="7" t="n">
        <f aca="false">AVERAGE(B2910:B3109)</f>
        <v>2344.47545</v>
      </c>
      <c r="E3109" s="7" t="n">
        <f aca="false">B3109/MAX(B2858:B3109)-1</f>
        <v>-0.0105401894720002</v>
      </c>
      <c r="F3109" s="7" t="str">
        <f aca="false">IFERROR(INDEX(02_轉折點45個!B:B,MATCH(A3109,02_轉折點45個!A:A,0)),"")</f>
        <v/>
      </c>
      <c r="G3109" s="7" t="s">
        <v>1994</v>
      </c>
    </row>
    <row r="3110" customFormat="false" ht="15" hidden="false" customHeight="false" outlineLevel="0" collapsed="false">
      <c r="A3110" s="7" t="s">
        <v>4516</v>
      </c>
      <c r="B3110" s="7" t="n">
        <v>2623.68</v>
      </c>
      <c r="C3110" s="7" t="n">
        <f aca="false">AVERAGE(B3061:B3110)</f>
        <v>2529.5994</v>
      </c>
      <c r="D3110" s="7" t="n">
        <f aca="false">AVERAGE(B2911:B3110)</f>
        <v>2347.10405</v>
      </c>
      <c r="E3110" s="7" t="n">
        <f aca="false">B3110/MAX(B2859:B3110)-1</f>
        <v>-0.000575196461970462</v>
      </c>
      <c r="F3110" s="7" t="str">
        <f aca="false">IFERROR(INDEX(02_轉折點45個!B:B,MATCH(A3110,02_轉折點45個!A:A,0)),"")</f>
        <v/>
      </c>
      <c r="G3110" s="7" t="s">
        <v>1994</v>
      </c>
    </row>
    <row r="3111" customFormat="false" ht="15" hidden="false" customHeight="false" outlineLevel="0" collapsed="false">
      <c r="A3111" s="7" t="s">
        <v>4517</v>
      </c>
      <c r="B3111" s="7" t="n">
        <v>2599.17</v>
      </c>
      <c r="C3111" s="7" t="n">
        <f aca="false">AVERAGE(B3062:B3111)</f>
        <v>2531.5664</v>
      </c>
      <c r="D3111" s="7" t="n">
        <f aca="false">AVERAGE(B2912:B3111)</f>
        <v>2349.6475</v>
      </c>
      <c r="E3111" s="7" t="n">
        <f aca="false">B3111/MAX(B2860:B3111)-1</f>
        <v>-0.00991166353673445</v>
      </c>
      <c r="F3111" s="7" t="str">
        <f aca="false">IFERROR(INDEX(02_轉折點45個!B:B,MATCH(A3111,02_轉折點45個!A:A,0)),"")</f>
        <v/>
      </c>
      <c r="G3111" s="7" t="s">
        <v>1994</v>
      </c>
    </row>
    <row r="3112" customFormat="false" ht="15" hidden="false" customHeight="false" outlineLevel="0" collapsed="false">
      <c r="A3112" s="7" t="s">
        <v>4518</v>
      </c>
      <c r="B3112" s="7" t="n">
        <v>2615.59</v>
      </c>
      <c r="C3112" s="7" t="n">
        <f aca="false">AVERAGE(B3063:B3112)</f>
        <v>2533.667</v>
      </c>
      <c r="D3112" s="7" t="n">
        <f aca="false">AVERAGE(B2913:B3112)</f>
        <v>2352.38125</v>
      </c>
      <c r="E3112" s="7" t="n">
        <f aca="false">B3112/MAX(B2861:B3112)-1</f>
        <v>-0.00365687816881821</v>
      </c>
      <c r="F3112" s="7" t="str">
        <f aca="false">IFERROR(INDEX(02_轉折點45個!B:B,MATCH(A3112,02_轉折點45個!A:A,0)),"")</f>
        <v/>
      </c>
      <c r="G3112" s="7" t="s">
        <v>1994</v>
      </c>
    </row>
    <row r="3113" customFormat="false" ht="15" hidden="false" customHeight="false" outlineLevel="0" collapsed="false">
      <c r="A3113" s="7" t="s">
        <v>941</v>
      </c>
      <c r="B3113" s="7" t="n">
        <v>2584.01</v>
      </c>
      <c r="C3113" s="7" t="n">
        <f aca="false">AVERAGE(B3064:B3113)</f>
        <v>2534.2102</v>
      </c>
      <c r="D3113" s="7" t="n">
        <f aca="false">AVERAGE(B2914:B3113)</f>
        <v>2355.0159</v>
      </c>
      <c r="E3113" s="7" t="n">
        <f aca="false">B3113/MAX(B2862:B3113)-1</f>
        <v>-0.0156864836449933</v>
      </c>
      <c r="F3113" s="7" t="str">
        <f aca="false">IFERROR(INDEX(02_轉折點45個!B:B,MATCH(A3113,02_轉折點45個!A:A,0)),"")</f>
        <v/>
      </c>
      <c r="G3113" s="7" t="s">
        <v>1994</v>
      </c>
    </row>
    <row r="3114" customFormat="false" ht="15" hidden="false" customHeight="false" outlineLevel="0" collapsed="false">
      <c r="A3114" s="7" t="s">
        <v>942</v>
      </c>
      <c r="B3114" s="7" t="n">
        <v>2541.84</v>
      </c>
      <c r="C3114" s="7" t="n">
        <f aca="false">AVERAGE(B3065:B3114)</f>
        <v>2534.167</v>
      </c>
      <c r="D3114" s="7" t="n">
        <f aca="false">AVERAGE(B2915:B3114)</f>
        <v>2357.42595</v>
      </c>
      <c r="E3114" s="7" t="n">
        <f aca="false">B3114/MAX(B2863:B3114)-1</f>
        <v>-0.031750082851146</v>
      </c>
      <c r="F3114" s="7" t="str">
        <f aca="false">IFERROR(INDEX(02_轉折點45個!B:B,MATCH(A3114,02_轉折點45個!A:A,0)),"")</f>
        <v/>
      </c>
      <c r="G3114" s="7" t="s">
        <v>1994</v>
      </c>
    </row>
    <row r="3115" customFormat="false" ht="15" hidden="false" customHeight="false" outlineLevel="0" collapsed="false">
      <c r="A3115" s="7" t="s">
        <v>943</v>
      </c>
      <c r="B3115" s="7" t="n">
        <v>2542.66</v>
      </c>
      <c r="C3115" s="7" t="n">
        <f aca="false">AVERAGE(B3066:B3115)</f>
        <v>2534.8536</v>
      </c>
      <c r="D3115" s="7" t="n">
        <f aca="false">AVERAGE(B2916:B3115)</f>
        <v>2359.65435</v>
      </c>
      <c r="E3115" s="7" t="n">
        <f aca="false">B3115/MAX(B2864:B3115)-1</f>
        <v>-0.0314377245075596</v>
      </c>
      <c r="F3115" s="7" t="str">
        <f aca="false">IFERROR(INDEX(02_轉折點45個!B:B,MATCH(A3115,02_轉折點45個!A:A,0)),"")</f>
        <v/>
      </c>
      <c r="G3115" s="7" t="s">
        <v>1994</v>
      </c>
    </row>
    <row r="3116" customFormat="false" ht="15" hidden="false" customHeight="false" outlineLevel="0" collapsed="false">
      <c r="A3116" s="7" t="s">
        <v>4519</v>
      </c>
      <c r="B3116" s="7" t="n">
        <v>2571.71</v>
      </c>
      <c r="C3116" s="7" t="n">
        <f aca="false">AVERAGE(B3067:B3116)</f>
        <v>2535.7532</v>
      </c>
      <c r="D3116" s="7" t="n">
        <f aca="false">AVERAGE(B2917:B3116)</f>
        <v>2362.0821</v>
      </c>
      <c r="E3116" s="7" t="n">
        <f aca="false">B3116/MAX(B2865:B3116)-1</f>
        <v>-0.0203718587987917</v>
      </c>
      <c r="F3116" s="7" t="str">
        <f aca="false">IFERROR(INDEX(02_轉折點45個!B:B,MATCH(A3116,02_轉折點45個!A:A,0)),"")</f>
        <v/>
      </c>
      <c r="G3116" s="7" t="s">
        <v>1994</v>
      </c>
    </row>
    <row r="3117" customFormat="false" ht="15" hidden="false" customHeight="false" outlineLevel="0" collapsed="false">
      <c r="A3117" s="7" t="s">
        <v>4520</v>
      </c>
      <c r="B3117" s="7" t="n">
        <v>2579.3</v>
      </c>
      <c r="C3117" s="7" t="n">
        <f aca="false">AVERAGE(B3068:B3117)</f>
        <v>2537.0612</v>
      </c>
      <c r="D3117" s="7" t="n">
        <f aca="false">AVERAGE(B2918:B3117)</f>
        <v>2364.4562</v>
      </c>
      <c r="E3117" s="7" t="n">
        <f aca="false">B3117/MAX(B2866:B3117)-1</f>
        <v>-0.0174806394965698</v>
      </c>
      <c r="F3117" s="7" t="str">
        <f aca="false">IFERROR(INDEX(02_轉折點45個!B:B,MATCH(A3117,02_轉折點45個!A:A,0)),"")</f>
        <v/>
      </c>
      <c r="G3117" s="7" t="s">
        <v>1994</v>
      </c>
    </row>
    <row r="3118" customFormat="false" ht="15" hidden="false" customHeight="false" outlineLevel="0" collapsed="false">
      <c r="A3118" s="7" t="s">
        <v>944</v>
      </c>
      <c r="B3118" s="7" t="n">
        <v>2561.04</v>
      </c>
      <c r="C3118" s="7" t="n">
        <f aca="false">AVERAGE(B3069:B3118)</f>
        <v>2538.9304</v>
      </c>
      <c r="D3118" s="7" t="n">
        <f aca="false">AVERAGE(B2919:B3118)</f>
        <v>2366.787</v>
      </c>
      <c r="E3118" s="7" t="n">
        <f aca="false">B3118/MAX(B2867:B3118)-1</f>
        <v>-0.0244363265135096</v>
      </c>
      <c r="F3118" s="7" t="str">
        <f aca="false">IFERROR(INDEX(02_轉折點45個!B:B,MATCH(A3118,02_轉折點45個!A:A,0)),"")</f>
        <v/>
      </c>
      <c r="G3118" s="7" t="s">
        <v>1994</v>
      </c>
    </row>
    <row r="3119" customFormat="false" ht="15" hidden="false" customHeight="false" outlineLevel="0" collapsed="false">
      <c r="A3119" s="7" t="s">
        <v>4521</v>
      </c>
      <c r="B3119" s="7" t="n">
        <v>2520.46</v>
      </c>
      <c r="C3119" s="7" t="n">
        <f aca="false">AVERAGE(B3070:B3119)</f>
        <v>2539.7214</v>
      </c>
      <c r="D3119" s="7" t="n">
        <f aca="false">AVERAGE(B2920:B3119)</f>
        <v>2368.9359</v>
      </c>
      <c r="E3119" s="7" t="n">
        <f aca="false">B3119/MAX(B2868:B3119)-1</f>
        <v>-0.0398942552729517</v>
      </c>
      <c r="F3119" s="7" t="str">
        <f aca="false">IFERROR(INDEX(02_轉折點45個!B:B,MATCH(A3119,02_轉折點45個!A:A,0)),"")</f>
        <v/>
      </c>
      <c r="G3119" s="7" t="s">
        <v>1994</v>
      </c>
    </row>
    <row r="3120" customFormat="false" ht="15" hidden="false" customHeight="false" outlineLevel="0" collapsed="false">
      <c r="A3120" s="7" t="s">
        <v>4522</v>
      </c>
      <c r="B3120" s="7" t="n">
        <v>2508.82</v>
      </c>
      <c r="C3120" s="7" t="n">
        <f aca="false">AVERAGE(B3071:B3120)</f>
        <v>2540.5472</v>
      </c>
      <c r="D3120" s="7" t="n">
        <f aca="false">AVERAGE(B2921:B3120)</f>
        <v>2370.9479</v>
      </c>
      <c r="E3120" s="7" t="n">
        <f aca="false">B3120/MAX(B2869:B3120)-1</f>
        <v>-0.0443282200526438</v>
      </c>
      <c r="F3120" s="7" t="str">
        <f aca="false">IFERROR(INDEX(02_轉折點45個!B:B,MATCH(A3120,02_轉折點45個!A:A,0)),"")</f>
        <v/>
      </c>
      <c r="G3120" s="7" t="s">
        <v>1994</v>
      </c>
    </row>
    <row r="3121" customFormat="false" ht="15" hidden="false" customHeight="false" outlineLevel="0" collapsed="false">
      <c r="A3121" s="7" t="s">
        <v>4523</v>
      </c>
      <c r="B3121" s="7" t="n">
        <v>2522.72</v>
      </c>
      <c r="C3121" s="7" t="n">
        <f aca="false">AVERAGE(B3072:B3121)</f>
        <v>2542.2656</v>
      </c>
      <c r="D3121" s="7" t="n">
        <f aca="false">AVERAGE(B2922:B3121)</f>
        <v>2373.1597</v>
      </c>
      <c r="E3121" s="7" t="n">
        <f aca="false">B3121/MAX(B2870:B3121)-1</f>
        <v>-0.0390333652040424</v>
      </c>
      <c r="F3121" s="7" t="str">
        <f aca="false">IFERROR(INDEX(02_轉折點45個!B:B,MATCH(A3121,02_轉折點45個!A:A,0)),"")</f>
        <v/>
      </c>
      <c r="G3121" s="7" t="s">
        <v>1994</v>
      </c>
    </row>
    <row r="3122" customFormat="false" ht="15" hidden="false" customHeight="false" outlineLevel="0" collapsed="false">
      <c r="A3122" s="7" t="s">
        <v>4524</v>
      </c>
      <c r="B3122" s="7" t="n">
        <v>2542.4</v>
      </c>
      <c r="C3122" s="7" t="n">
        <f aca="false">AVERAGE(B3073:B3122)</f>
        <v>2545.3004</v>
      </c>
      <c r="D3122" s="7" t="n">
        <f aca="false">AVERAGE(B2923:B3122)</f>
        <v>2375.783</v>
      </c>
      <c r="E3122" s="7" t="n">
        <f aca="false">B3122/MAX(B2871:B3122)-1</f>
        <v>-0.031536764957965</v>
      </c>
      <c r="F3122" s="7" t="str">
        <f aca="false">IFERROR(INDEX(02_轉折點45個!B:B,MATCH(A3122,02_轉折點45個!A:A,0)),"")</f>
        <v/>
      </c>
      <c r="G3122" s="7" t="s">
        <v>1994</v>
      </c>
    </row>
    <row r="3123" customFormat="false" ht="15" hidden="false" customHeight="false" outlineLevel="0" collapsed="false">
      <c r="A3123" s="7" t="s">
        <v>4525</v>
      </c>
      <c r="B3123" s="7" t="n">
        <v>2555.13</v>
      </c>
      <c r="C3123" s="7" t="n">
        <f aca="false">AVERAGE(B3074:B3123)</f>
        <v>2548.2386</v>
      </c>
      <c r="D3123" s="7" t="n">
        <f aca="false">AVERAGE(B2924:B3123)</f>
        <v>2378.5538</v>
      </c>
      <c r="E3123" s="7" t="n">
        <f aca="false">B3123/MAX(B2872:B3123)-1</f>
        <v>-0.0266875921361882</v>
      </c>
      <c r="F3123" s="7" t="str">
        <f aca="false">IFERROR(INDEX(02_轉折點45個!B:B,MATCH(A3123,02_轉折點45個!A:A,0)),"")</f>
        <v/>
      </c>
      <c r="G3123" s="7" t="s">
        <v>1994</v>
      </c>
    </row>
    <row r="3124" customFormat="false" ht="15" hidden="false" customHeight="false" outlineLevel="0" collapsed="false">
      <c r="A3124" s="7" t="s">
        <v>4526</v>
      </c>
      <c r="B3124" s="7" t="n">
        <v>2590.25</v>
      </c>
      <c r="C3124" s="7" t="n">
        <f aca="false">AVERAGE(B3075:B3124)</f>
        <v>2551.74</v>
      </c>
      <c r="D3124" s="7" t="n">
        <f aca="false">AVERAGE(B2925:B3124)</f>
        <v>2381.5769</v>
      </c>
      <c r="E3124" s="7" t="n">
        <f aca="false">B3124/MAX(B2873:B3124)-1</f>
        <v>-0.0133095128352615</v>
      </c>
      <c r="F3124" s="7" t="str">
        <f aca="false">IFERROR(INDEX(02_轉折點45個!B:B,MATCH(A3124,02_轉折點45個!A:A,0)),"")</f>
        <v/>
      </c>
      <c r="G3124" s="7" t="s">
        <v>1994</v>
      </c>
    </row>
    <row r="3125" customFormat="false" ht="15" hidden="false" customHeight="false" outlineLevel="0" collapsed="false">
      <c r="A3125" s="7" t="s">
        <v>4527</v>
      </c>
      <c r="B3125" s="7" t="n">
        <v>2529.86</v>
      </c>
      <c r="C3125" s="7" t="n">
        <f aca="false">AVERAGE(B3076:B3125)</f>
        <v>2553.1488</v>
      </c>
      <c r="D3125" s="7" t="n">
        <f aca="false">AVERAGE(B2926:B3125)</f>
        <v>2384.2597</v>
      </c>
      <c r="E3125" s="7" t="n">
        <f aca="false">B3125/MAX(B2874:B3125)-1</f>
        <v>-0.0363135620659838</v>
      </c>
      <c r="F3125" s="7" t="str">
        <f aca="false">IFERROR(INDEX(02_轉折點45個!B:B,MATCH(A3125,02_轉折點45個!A:A,0)),"")</f>
        <v/>
      </c>
      <c r="G3125" s="7" t="s">
        <v>1994</v>
      </c>
    </row>
    <row r="3126" customFormat="false" ht="15" hidden="false" customHeight="false" outlineLevel="0" collapsed="false">
      <c r="A3126" s="7" t="s">
        <v>4528</v>
      </c>
      <c r="B3126" s="7" t="n">
        <v>2533.62</v>
      </c>
      <c r="C3126" s="7" t="n">
        <f aca="false">AVERAGE(B3077:B3126)</f>
        <v>2554.783</v>
      </c>
      <c r="D3126" s="7" t="n">
        <f aca="false">AVERAGE(B2927:B3126)</f>
        <v>2386.8354</v>
      </c>
      <c r="E3126" s="7" t="n">
        <f aca="false">B3126/MAX(B2875:B3126)-1</f>
        <v>-0.0348812847831967</v>
      </c>
      <c r="F3126" s="7" t="str">
        <f aca="false">IFERROR(INDEX(02_轉折點45個!B:B,MATCH(A3126,02_轉折點45個!A:A,0)),"")</f>
        <v/>
      </c>
      <c r="G3126" s="7" t="s">
        <v>1994</v>
      </c>
    </row>
    <row r="3127" customFormat="false" ht="15" hidden="false" customHeight="false" outlineLevel="0" collapsed="false">
      <c r="A3127" s="7" t="s">
        <v>4529</v>
      </c>
      <c r="B3127" s="7" t="n">
        <v>2496.59</v>
      </c>
      <c r="C3127" s="7" t="n">
        <f aca="false">AVERAGE(B3078:B3127)</f>
        <v>2555.413</v>
      </c>
      <c r="D3127" s="7" t="n">
        <f aca="false">AVERAGE(B2928:B3127)</f>
        <v>2389.19735</v>
      </c>
      <c r="E3127" s="7" t="n">
        <f aca="false">B3127/MAX(B2876:B3127)-1</f>
        <v>-0.0489869304697945</v>
      </c>
      <c r="F3127" s="7" t="str">
        <f aca="false">IFERROR(INDEX(02_轉折點45個!B:B,MATCH(A3127,02_轉折點45個!A:A,0)),"")</f>
        <v/>
      </c>
      <c r="G3127" s="7" t="s">
        <v>1994</v>
      </c>
    </row>
    <row r="3128" customFormat="false" ht="15" hidden="false" customHeight="false" outlineLevel="0" collapsed="false">
      <c r="A3128" s="7" t="s">
        <v>4530</v>
      </c>
      <c r="B3128" s="7" t="n">
        <v>2468.98</v>
      </c>
      <c r="C3128" s="7" t="n">
        <f aca="false">AVERAGE(B3079:B3128)</f>
        <v>2554.7942</v>
      </c>
      <c r="D3128" s="7" t="n">
        <f aca="false">AVERAGE(B2929:B3128)</f>
        <v>2391.5891</v>
      </c>
      <c r="E3128" s="7" t="n">
        <f aca="false">B3128/MAX(B2877:B3128)-1</f>
        <v>-0.0595042644532396</v>
      </c>
      <c r="F3128" s="7" t="str">
        <f aca="false">IFERROR(INDEX(02_轉折點45個!B:B,MATCH(A3128,02_轉折點45個!A:A,0)),"")</f>
        <v/>
      </c>
      <c r="G3128" s="7" t="s">
        <v>1994</v>
      </c>
    </row>
    <row r="3129" customFormat="false" ht="15" hidden="false" customHeight="false" outlineLevel="0" collapsed="false">
      <c r="A3129" s="7" t="s">
        <v>4531</v>
      </c>
      <c r="B3129" s="7" t="n">
        <v>2468.07</v>
      </c>
      <c r="C3129" s="7" t="n">
        <f aca="false">AVERAGE(B3080:B3129)</f>
        <v>2554.036</v>
      </c>
      <c r="D3129" s="7" t="n">
        <f aca="false">AVERAGE(B2930:B3129)</f>
        <v>2393.9726</v>
      </c>
      <c r="E3129" s="7" t="n">
        <f aca="false">B3129/MAX(B2878:B3129)-1</f>
        <v>-0.0598509060296588</v>
      </c>
      <c r="F3129" s="7" t="str">
        <f aca="false">IFERROR(INDEX(02_轉折點45個!B:B,MATCH(A3129,02_轉折點45個!A:A,0)),"")</f>
        <v/>
      </c>
      <c r="G3129" s="7" t="s">
        <v>1994</v>
      </c>
    </row>
    <row r="3130" customFormat="false" ht="15" hidden="false" customHeight="false" outlineLevel="0" collapsed="false">
      <c r="A3130" s="7" t="s">
        <v>945</v>
      </c>
      <c r="B3130" s="7" t="n">
        <v>2444.15</v>
      </c>
      <c r="C3130" s="7" t="n">
        <f aca="false">AVERAGE(B3081:B3130)</f>
        <v>2553.0256</v>
      </c>
      <c r="D3130" s="7" t="n">
        <f aca="false">AVERAGE(B2931:B3130)</f>
        <v>2396.32845</v>
      </c>
      <c r="E3130" s="7" t="n">
        <f aca="false">B3130/MAX(B2879:B3130)-1</f>
        <v>-0.0689626274669642</v>
      </c>
      <c r="F3130" s="7" t="str">
        <f aca="false">IFERROR(INDEX(02_轉折點45個!B:B,MATCH(A3130,02_轉折點45個!A:A,0)),"")</f>
        <v/>
      </c>
      <c r="G3130" s="7" t="s">
        <v>1994</v>
      </c>
    </row>
    <row r="3131" customFormat="false" ht="15" hidden="false" customHeight="false" outlineLevel="0" collapsed="false">
      <c r="A3131" s="7" t="s">
        <v>4532</v>
      </c>
      <c r="B3131" s="7" t="n">
        <v>2452.82</v>
      </c>
      <c r="C3131" s="7" t="n">
        <f aca="false">AVERAGE(B3082:B3131)</f>
        <v>2551.7096</v>
      </c>
      <c r="D3131" s="7" t="n">
        <f aca="false">AVERAGE(B2932:B3131)</f>
        <v>2398.8915</v>
      </c>
      <c r="E3131" s="7" t="n">
        <f aca="false">B3131/MAX(B2880:B3131)-1</f>
        <v>-0.0656600093707502</v>
      </c>
      <c r="F3131" s="7" t="str">
        <f aca="false">IFERROR(INDEX(02_轉折點45個!B:B,MATCH(A3131,02_轉折點45個!A:A,0)),"")</f>
        <v/>
      </c>
      <c r="G3131" s="7" t="s">
        <v>1994</v>
      </c>
    </row>
    <row r="3132" customFormat="false" ht="15" hidden="false" customHeight="false" outlineLevel="0" collapsed="false">
      <c r="A3132" s="7" t="s">
        <v>4533</v>
      </c>
      <c r="B3132" s="7" t="n">
        <v>2415.24</v>
      </c>
      <c r="C3132" s="7" t="n">
        <f aca="false">AVERAGE(B3083:B3132)</f>
        <v>2549.2784</v>
      </c>
      <c r="D3132" s="7" t="n">
        <f aca="false">AVERAGE(B2933:B3132)</f>
        <v>2401.18545</v>
      </c>
      <c r="E3132" s="7" t="n">
        <f aca="false">B3132/MAX(B2881:B3132)-1</f>
        <v>-0.0799751637024369</v>
      </c>
      <c r="F3132" s="7" t="str">
        <f aca="false">IFERROR(INDEX(02_轉折點45個!B:B,MATCH(A3132,02_轉折點45個!A:A,0)),"")</f>
        <v/>
      </c>
      <c r="G3132" s="7" t="s">
        <v>1994</v>
      </c>
    </row>
    <row r="3133" customFormat="false" ht="15" hidden="false" customHeight="false" outlineLevel="0" collapsed="false">
      <c r="A3133" s="7" t="s">
        <v>4534</v>
      </c>
      <c r="B3133" s="7" t="n">
        <v>2411.55</v>
      </c>
      <c r="C3133" s="7" t="n">
        <f aca="false">AVERAGE(B3084:B3133)</f>
        <v>2546.6952</v>
      </c>
      <c r="D3133" s="7" t="n">
        <f aca="false">AVERAGE(B2934:B3133)</f>
        <v>2403.5653</v>
      </c>
      <c r="E3133" s="7" t="n">
        <f aca="false">B3133/MAX(B2882:B3133)-1</f>
        <v>-0.0813807762485762</v>
      </c>
      <c r="F3133" s="7" t="str">
        <f aca="false">IFERROR(INDEX(02_轉折點45個!B:B,MATCH(A3133,02_轉折點45個!A:A,0)),"")</f>
        <v/>
      </c>
      <c r="G3133" s="7" t="s">
        <v>1994</v>
      </c>
    </row>
    <row r="3134" customFormat="false" ht="15" hidden="false" customHeight="false" outlineLevel="0" collapsed="false">
      <c r="A3134" s="7" t="s">
        <v>946</v>
      </c>
      <c r="B3134" s="7" t="n">
        <v>2447.21</v>
      </c>
      <c r="C3134" s="7" t="n">
        <f aca="false">AVERAGE(B3085:B3134)</f>
        <v>2544.6694</v>
      </c>
      <c r="D3134" s="7" t="n">
        <f aca="false">AVERAGE(B2935:B3134)</f>
        <v>2405.96385</v>
      </c>
      <c r="E3134" s="7" t="n">
        <f aca="false">B3134/MAX(B2883:B3134)-1</f>
        <v>-0.0677969975506535</v>
      </c>
      <c r="F3134" s="7" t="str">
        <f aca="false">IFERROR(INDEX(02_轉折點45個!B:B,MATCH(A3134,02_轉折點45個!A:A,0)),"")</f>
        <v/>
      </c>
      <c r="G3134" s="7" t="s">
        <v>1994</v>
      </c>
    </row>
    <row r="3135" customFormat="false" ht="15" hidden="false" customHeight="false" outlineLevel="0" collapsed="false">
      <c r="A3135" s="7" t="s">
        <v>947</v>
      </c>
      <c r="B3135" s="7" t="n">
        <v>2404.03</v>
      </c>
      <c r="C3135" s="7" t="n">
        <f aca="false">AVERAGE(B3086:B3135)</f>
        <v>2541.7874</v>
      </c>
      <c r="D3135" s="7" t="n">
        <f aca="false">AVERAGE(B2936:B3135)</f>
        <v>2408.30025</v>
      </c>
      <c r="E3135" s="7" t="n">
        <f aca="false">B3135/MAX(B2884:B3135)-1</f>
        <v>-0.0842453308141505</v>
      </c>
      <c r="F3135" s="7" t="str">
        <f aca="false">IFERROR(INDEX(02_轉折點45個!B:B,MATCH(A3135,02_轉折點45個!A:A,0)),"")</f>
        <v/>
      </c>
      <c r="G3135" s="7" t="s">
        <v>1994</v>
      </c>
    </row>
    <row r="3136" customFormat="false" ht="15" hidden="false" customHeight="false" outlineLevel="0" collapsed="false">
      <c r="A3136" s="7" t="s">
        <v>4535</v>
      </c>
      <c r="B3136" s="7" t="n">
        <v>2396.94</v>
      </c>
      <c r="C3136" s="7" t="n">
        <f aca="false">AVERAGE(B3087:B3136)</f>
        <v>2538.7272</v>
      </c>
      <c r="D3136" s="7" t="n">
        <f aca="false">AVERAGE(B2937:B3136)</f>
        <v>2410.62835</v>
      </c>
      <c r="E3136" s="7" t="n">
        <f aca="false">B3136/MAX(B2885:B3136)-1</f>
        <v>-0.0869460877117466</v>
      </c>
      <c r="F3136" s="7" t="str">
        <f aca="false">IFERROR(INDEX(02_轉折點45個!B:B,MATCH(A3136,02_轉折點45個!A:A,0)),"")</f>
        <v/>
      </c>
      <c r="G3136" s="7" t="s">
        <v>1994</v>
      </c>
    </row>
    <row r="3137" customFormat="false" ht="15" hidden="false" customHeight="false" outlineLevel="0" collapsed="false">
      <c r="A3137" s="7" t="s">
        <v>948</v>
      </c>
      <c r="B3137" s="7" t="n">
        <v>2390.34</v>
      </c>
      <c r="C3137" s="7" t="n">
        <f aca="false">AVERAGE(B3088:B3137)</f>
        <v>2535.3772</v>
      </c>
      <c r="D3137" s="7" t="n">
        <f aca="false">AVERAGE(B2938:B3137)</f>
        <v>2412.63655</v>
      </c>
      <c r="E3137" s="7" t="n">
        <f aca="false">B3137/MAX(B2886:B3137)-1</f>
        <v>-0.0894601914528092</v>
      </c>
      <c r="F3137" s="7" t="str">
        <f aca="false">IFERROR(INDEX(02_轉折點45個!B:B,MATCH(A3137,02_轉折點45個!A:A,0)),"")</f>
        <v/>
      </c>
      <c r="G3137" s="7" t="s">
        <v>1994</v>
      </c>
    </row>
    <row r="3138" customFormat="false" ht="15" hidden="false" customHeight="false" outlineLevel="0" collapsed="false">
      <c r="A3138" s="7" t="s">
        <v>4536</v>
      </c>
      <c r="B3138" s="7" t="n">
        <v>2402.39</v>
      </c>
      <c r="C3138" s="7" t="n">
        <f aca="false">AVERAGE(B3089:B3138)</f>
        <v>2532.3354</v>
      </c>
      <c r="D3138" s="7" t="n">
        <f aca="false">AVERAGE(B2939:B3138)</f>
        <v>2414.59915</v>
      </c>
      <c r="E3138" s="7" t="n">
        <f aca="false">B3138/MAX(B2887:B3138)-1</f>
        <v>-0.0848700475013238</v>
      </c>
      <c r="F3138" s="7" t="str">
        <f aca="false">IFERROR(INDEX(02_轉折點45個!B:B,MATCH(A3138,02_轉折點45個!A:A,0)),"")</f>
        <v/>
      </c>
      <c r="G3138" s="7" t="s">
        <v>1994</v>
      </c>
    </row>
    <row r="3139" customFormat="false" ht="15" hidden="false" customHeight="false" outlineLevel="0" collapsed="false">
      <c r="A3139" s="7" t="s">
        <v>949</v>
      </c>
      <c r="B3139" s="7" t="n">
        <v>2455.01</v>
      </c>
      <c r="C3139" s="7" t="n">
        <f aca="false">AVERAGE(B3090:B3139)</f>
        <v>2530.6332</v>
      </c>
      <c r="D3139" s="7" t="n">
        <f aca="false">AVERAGE(B2940:B3139)</f>
        <v>2416.67075</v>
      </c>
      <c r="E3139" s="7" t="n">
        <f aca="false">B3139/MAX(B2888:B3139)-1</f>
        <v>-0.0648257840384886</v>
      </c>
      <c r="F3139" s="7" t="str">
        <f aca="false">IFERROR(INDEX(02_轉折點45個!B:B,MATCH(A3139,02_轉折點45個!A:A,0)),"")</f>
        <v/>
      </c>
      <c r="G3139" s="7" t="s">
        <v>1994</v>
      </c>
    </row>
    <row r="3140" customFormat="false" ht="15" hidden="false" customHeight="false" outlineLevel="0" collapsed="false">
      <c r="A3140" s="7" t="s">
        <v>4537</v>
      </c>
      <c r="B3140" s="7" t="n">
        <v>2438.5</v>
      </c>
      <c r="C3140" s="7" t="n">
        <f aca="false">AVERAGE(B3091:B3140)</f>
        <v>2528.7636</v>
      </c>
      <c r="D3140" s="7" t="n">
        <f aca="false">AVERAGE(B2941:B3140)</f>
        <v>2418.77335</v>
      </c>
      <c r="E3140" s="7" t="n">
        <f aca="false">B3140/MAX(B2889:B3140)-1</f>
        <v>-0.0711148526392376</v>
      </c>
      <c r="F3140" s="7" t="str">
        <f aca="false">IFERROR(INDEX(02_轉折點45個!B:B,MATCH(A3140,02_轉折點45個!A:A,0)),"")</f>
        <v/>
      </c>
      <c r="G3140" s="7" t="s">
        <v>1994</v>
      </c>
    </row>
    <row r="3141" customFormat="false" ht="15" hidden="false" customHeight="false" outlineLevel="0" collapsed="false">
      <c r="A3141" s="7" t="s">
        <v>4538</v>
      </c>
      <c r="B3141" s="7" t="n">
        <v>2454.54</v>
      </c>
      <c r="C3141" s="7" t="n">
        <f aca="false">AVERAGE(B3092:B3141)</f>
        <v>2527.703</v>
      </c>
      <c r="D3141" s="7" t="n">
        <f aca="false">AVERAGE(B2942:B3141)</f>
        <v>2420.8649</v>
      </c>
      <c r="E3141" s="7" t="n">
        <f aca="false">B3141/MAX(B2890:B3141)-1</f>
        <v>-0.0650048186988371</v>
      </c>
      <c r="F3141" s="7" t="str">
        <f aca="false">IFERROR(INDEX(02_轉折點45個!B:B,MATCH(A3141,02_轉折點45個!A:A,0)),"")</f>
        <v/>
      </c>
      <c r="G3141" s="7" t="s">
        <v>1994</v>
      </c>
    </row>
    <row r="3142" customFormat="false" ht="15" hidden="false" customHeight="false" outlineLevel="0" collapsed="false">
      <c r="A3142" s="7" t="s">
        <v>4539</v>
      </c>
      <c r="B3142" s="7" t="n">
        <v>2423.61</v>
      </c>
      <c r="C3142" s="7" t="n">
        <f aca="false">AVERAGE(B3093:B3142)</f>
        <v>2525.7182</v>
      </c>
      <c r="D3142" s="7" t="n">
        <f aca="false">AVERAGE(B2943:B3142)</f>
        <v>2422.7683</v>
      </c>
      <c r="E3142" s="7" t="n">
        <f aca="false">B3142/MAX(B2891:B3142)-1</f>
        <v>-0.0767868230489983</v>
      </c>
      <c r="F3142" s="7" t="str">
        <f aca="false">IFERROR(INDEX(02_轉折點45個!B:B,MATCH(A3142,02_轉折點45個!A:A,0)),"")</f>
        <v/>
      </c>
      <c r="G3142" s="7" t="s">
        <v>1994</v>
      </c>
    </row>
    <row r="3143" customFormat="false" ht="15" hidden="false" customHeight="false" outlineLevel="0" collapsed="false">
      <c r="A3143" s="7" t="s">
        <v>4540</v>
      </c>
      <c r="B3143" s="7" t="n">
        <v>2455.94</v>
      </c>
      <c r="C3143" s="7" t="n">
        <f aca="false">AVERAGE(B3094:B3143)</f>
        <v>2524.4038</v>
      </c>
      <c r="D3143" s="7" t="n">
        <f aca="false">AVERAGE(B2944:B3143)</f>
        <v>2424.80465</v>
      </c>
      <c r="E3143" s="7" t="n">
        <f aca="false">B3143/MAX(B2892:B3143)-1</f>
        <v>-0.0644715239658844</v>
      </c>
      <c r="F3143" s="7" t="str">
        <f aca="false">IFERROR(INDEX(02_轉折點45個!B:B,MATCH(A3143,02_轉折點45個!A:A,0)),"")</f>
        <v/>
      </c>
      <c r="G3143" s="7" t="s">
        <v>1994</v>
      </c>
    </row>
    <row r="3144" customFormat="false" ht="15" hidden="false" customHeight="false" outlineLevel="0" collapsed="false">
      <c r="A3144" s="7" t="s">
        <v>4541</v>
      </c>
      <c r="B3144" s="7" t="n">
        <v>2493.42</v>
      </c>
      <c r="C3144" s="7" t="n">
        <f aca="false">AVERAGE(B3095:B3144)</f>
        <v>2523.758</v>
      </c>
      <c r="D3144" s="7" t="n">
        <f aca="false">AVERAGE(B2945:B3144)</f>
        <v>2426.83095</v>
      </c>
      <c r="E3144" s="7" t="n">
        <f aca="false">B3144/MAX(B2893:B3144)-1</f>
        <v>-0.0501944621151231</v>
      </c>
      <c r="F3144" s="7" t="str">
        <f aca="false">IFERROR(INDEX(02_轉折點45個!B:B,MATCH(A3144,02_轉折點45個!A:A,0)),"")</f>
        <v/>
      </c>
      <c r="G3144" s="7" t="s">
        <v>1994</v>
      </c>
    </row>
    <row r="3145" customFormat="false" ht="15" hidden="false" customHeight="false" outlineLevel="0" collapsed="false">
      <c r="A3145" s="7" t="s">
        <v>950</v>
      </c>
      <c r="B3145" s="7" t="n">
        <v>2503.64</v>
      </c>
      <c r="C3145" s="7" t="n">
        <f aca="false">AVERAGE(B3096:B3145)</f>
        <v>2523.8514</v>
      </c>
      <c r="D3145" s="7" t="n">
        <f aca="false">AVERAGE(B2946:B3145)</f>
        <v>2428.8898</v>
      </c>
      <c r="E3145" s="7" t="n">
        <f aca="false">B3145/MAX(B2894:B3145)-1</f>
        <v>-0.0463014105645687</v>
      </c>
      <c r="F3145" s="7" t="str">
        <f aca="false">IFERROR(INDEX(02_轉折點45個!B:B,MATCH(A3145,02_轉折點45個!A:A,0)),"")</f>
        <v/>
      </c>
      <c r="G3145" s="7" t="s">
        <v>1994</v>
      </c>
    </row>
    <row r="3146" customFormat="false" ht="15" hidden="false" customHeight="false" outlineLevel="0" collapsed="false">
      <c r="A3146" s="7" t="s">
        <v>4542</v>
      </c>
      <c r="B3146" s="7" t="n">
        <v>2533.81</v>
      </c>
      <c r="C3146" s="7" t="n">
        <f aca="false">AVERAGE(B3097:B3146)</f>
        <v>2524.373</v>
      </c>
      <c r="D3146" s="7" t="n">
        <f aca="false">AVERAGE(B2947:B3146)</f>
        <v>2431.04675</v>
      </c>
      <c r="E3146" s="7" t="n">
        <f aca="false">B3146/MAX(B2895:B3146)-1</f>
        <v>-0.0348089090694388</v>
      </c>
      <c r="F3146" s="7" t="str">
        <f aca="false">IFERROR(INDEX(02_轉折點45個!B:B,MATCH(A3146,02_轉折點45個!A:A,0)),"")</f>
        <v/>
      </c>
      <c r="G3146" s="7" t="s">
        <v>1994</v>
      </c>
    </row>
    <row r="3147" customFormat="false" ht="15" hidden="false" customHeight="false" outlineLevel="0" collapsed="false">
      <c r="A3147" s="7" t="s">
        <v>4543</v>
      </c>
      <c r="B3147" s="7" t="n">
        <v>2572.65</v>
      </c>
      <c r="C3147" s="7" t="n">
        <f aca="false">AVERAGE(B3098:B3147)</f>
        <v>2524.62</v>
      </c>
      <c r="D3147" s="7" t="n">
        <f aca="false">AVERAGE(B2948:B3147)</f>
        <v>2433.38905</v>
      </c>
      <c r="E3147" s="7" t="n">
        <f aca="false">B3147/MAX(B2896:B3147)-1</f>
        <v>-0.020013789478095</v>
      </c>
      <c r="F3147" s="7" t="str">
        <f aca="false">IFERROR(INDEX(02_轉折點45個!B:B,MATCH(A3147,02_轉折點45個!A:A,0)),"")</f>
        <v/>
      </c>
      <c r="G3147" s="7" t="s">
        <v>1994</v>
      </c>
    </row>
    <row r="3148" customFormat="false" ht="15" hidden="false" customHeight="false" outlineLevel="0" collapsed="false">
      <c r="A3148" s="7" t="s">
        <v>4544</v>
      </c>
      <c r="B3148" s="7" t="n">
        <v>2581.55</v>
      </c>
      <c r="C3148" s="7" t="n">
        <f aca="false">AVERAGE(B3099:B3148)</f>
        <v>2524.7226</v>
      </c>
      <c r="D3148" s="7" t="n">
        <f aca="false">AVERAGE(B2949:B3148)</f>
        <v>2435.7194</v>
      </c>
      <c r="E3148" s="7" t="n">
        <f aca="false">B3148/MAX(B2897:B3148)-1</f>
        <v>-0.0166235586757529</v>
      </c>
      <c r="F3148" s="7" t="str">
        <f aca="false">IFERROR(INDEX(02_轉折點45個!B:B,MATCH(A3148,02_轉折點45個!A:A,0)),"")</f>
        <v/>
      </c>
      <c r="G3148" s="7" t="s">
        <v>1994</v>
      </c>
    </row>
    <row r="3149" customFormat="false" ht="15" hidden="false" customHeight="false" outlineLevel="0" collapsed="false">
      <c r="A3149" s="7" t="s">
        <v>4545</v>
      </c>
      <c r="B3149" s="7" t="n">
        <v>2589.08</v>
      </c>
      <c r="C3149" s="7" t="n">
        <f aca="false">AVERAGE(B3100:B3149)</f>
        <v>2524.8712</v>
      </c>
      <c r="D3149" s="7" t="n">
        <f aca="false">AVERAGE(B2950:B3149)</f>
        <v>2437.9037</v>
      </c>
      <c r="E3149" s="7" t="n">
        <f aca="false">B3149/MAX(B2898:B3149)-1</f>
        <v>-0.0137551948620862</v>
      </c>
      <c r="F3149" s="7" t="str">
        <f aca="false">IFERROR(INDEX(02_轉折點45個!B:B,MATCH(A3149,02_轉折點45個!A:A,0)),"")</f>
        <v/>
      </c>
      <c r="G3149" s="7" t="s">
        <v>1994</v>
      </c>
    </row>
    <row r="3150" customFormat="false" ht="15" hidden="false" customHeight="false" outlineLevel="0" collapsed="false">
      <c r="A3150" s="7" t="s">
        <v>4546</v>
      </c>
      <c r="B3150" s="7" t="n">
        <v>2624.38</v>
      </c>
      <c r="C3150" s="7" t="n">
        <f aca="false">AVERAGE(B3101:B3150)</f>
        <v>2525.3302</v>
      </c>
      <c r="D3150" s="7" t="n">
        <f aca="false">AVERAGE(B2951:B3150)</f>
        <v>2440.2941</v>
      </c>
      <c r="E3150" s="7" t="n">
        <f aca="false">B3150/MAX(B2899:B3150)-1</f>
        <v>-0.000308549095494048</v>
      </c>
      <c r="F3150" s="7" t="str">
        <f aca="false">IFERROR(INDEX(02_轉折點45個!B:B,MATCH(A3150,02_轉折點45個!A:A,0)),"")</f>
        <v/>
      </c>
      <c r="G3150" s="7" t="s">
        <v>1994</v>
      </c>
    </row>
    <row r="3151" customFormat="false" ht="15" hidden="false" customHeight="false" outlineLevel="0" collapsed="false">
      <c r="A3151" s="7" t="s">
        <v>4547</v>
      </c>
      <c r="B3151" s="7" t="n">
        <v>2612.64</v>
      </c>
      <c r="C3151" s="7" t="n">
        <f aca="false">AVERAGE(B3102:B3151)</f>
        <v>2525.1462</v>
      </c>
      <c r="D3151" s="7" t="n">
        <f aca="false">AVERAGE(B2952:B3151)</f>
        <v>2442.6934</v>
      </c>
      <c r="E3151" s="7" t="n">
        <f aca="false">B3151/MAX(B2900:B3151)-1</f>
        <v>-0.00478060635611144</v>
      </c>
      <c r="F3151" s="7" t="str">
        <f aca="false">IFERROR(INDEX(02_轉折點45個!B:B,MATCH(A3151,02_轉折點45個!A:A,0)),"")</f>
        <v/>
      </c>
      <c r="G3151" s="7" t="s">
        <v>1994</v>
      </c>
    </row>
    <row r="3152" customFormat="false" ht="15" hidden="false" customHeight="false" outlineLevel="0" collapsed="false">
      <c r="A3152" s="7" t="s">
        <v>4548</v>
      </c>
      <c r="B3152" s="7" t="n">
        <v>2560.4</v>
      </c>
      <c r="C3152" s="7" t="n">
        <f aca="false">AVERAGE(B3103:B3152)</f>
        <v>2523.869</v>
      </c>
      <c r="D3152" s="7" t="n">
        <f aca="false">AVERAGE(B2953:B3152)</f>
        <v>2444.8656</v>
      </c>
      <c r="E3152" s="7" t="n">
        <f aca="false">B3152/MAX(B2901:B3152)-1</f>
        <v>-0.0246801183914307</v>
      </c>
      <c r="F3152" s="7" t="str">
        <f aca="false">IFERROR(INDEX(02_轉折點45個!B:B,MATCH(A3152,02_轉折點45個!A:A,0)),"")</f>
        <v/>
      </c>
      <c r="G3152" s="7" t="s">
        <v>1994</v>
      </c>
    </row>
    <row r="3153" customFormat="false" ht="15" hidden="false" customHeight="false" outlineLevel="0" collapsed="false">
      <c r="A3153" s="7" t="s">
        <v>4549</v>
      </c>
      <c r="B3153" s="7" t="n">
        <v>2541.48</v>
      </c>
      <c r="C3153" s="7" t="n">
        <f aca="false">AVERAGE(B3104:B3153)</f>
        <v>2522.1948</v>
      </c>
      <c r="D3153" s="7" t="n">
        <f aca="false">AVERAGE(B2954:B3153)</f>
        <v>2446.6959</v>
      </c>
      <c r="E3153" s="7" t="n">
        <f aca="false">B3153/MAX(B2902:B3153)-1</f>
        <v>-0.0318872157824767</v>
      </c>
      <c r="F3153" s="7" t="str">
        <f aca="false">IFERROR(INDEX(02_轉折點45個!B:B,MATCH(A3153,02_轉折點45個!A:A,0)),"")</f>
        <v/>
      </c>
      <c r="G3153" s="7" t="s">
        <v>1994</v>
      </c>
    </row>
    <row r="3154" customFormat="false" ht="15" hidden="false" customHeight="false" outlineLevel="0" collapsed="false">
      <c r="A3154" s="7" t="s">
        <v>4550</v>
      </c>
      <c r="B3154" s="7" t="n">
        <v>2555.19</v>
      </c>
      <c r="C3154" s="7" t="n">
        <f aca="false">AVERAGE(B3105:B3154)</f>
        <v>2520.9676</v>
      </c>
      <c r="D3154" s="7" t="n">
        <f aca="false">AVERAGE(B2955:B3154)</f>
        <v>2448.64705</v>
      </c>
      <c r="E3154" s="7" t="n">
        <f aca="false">B3154/MAX(B2903:B3154)-1</f>
        <v>-0.0266647366476331</v>
      </c>
      <c r="F3154" s="7" t="str">
        <f aca="false">IFERROR(INDEX(02_轉折點45個!B:B,MATCH(A3154,02_轉折點45個!A:A,0)),"")</f>
        <v/>
      </c>
      <c r="G3154" s="7" t="s">
        <v>1994</v>
      </c>
    </row>
    <row r="3155" customFormat="false" ht="15" hidden="false" customHeight="false" outlineLevel="0" collapsed="false">
      <c r="A3155" s="7" t="s">
        <v>951</v>
      </c>
      <c r="B3155" s="7" t="n">
        <v>2523.9</v>
      </c>
      <c r="C3155" s="7" t="n">
        <f aca="false">AVERAGE(B3106:B3155)</f>
        <v>2519.525</v>
      </c>
      <c r="D3155" s="7" t="n">
        <f aca="false">AVERAGE(B2956:B3155)</f>
        <v>2450.3969</v>
      </c>
      <c r="E3155" s="7" t="n">
        <f aca="false">B3155/MAX(B2904:B3155)-1</f>
        <v>-0.0385838739291251</v>
      </c>
      <c r="F3155" s="7" t="str">
        <f aca="false">IFERROR(INDEX(02_轉折點45個!B:B,MATCH(A3155,02_轉折點45個!A:A,0)),"")</f>
        <v/>
      </c>
      <c r="G3155" s="7" t="s">
        <v>1994</v>
      </c>
    </row>
    <row r="3156" customFormat="false" ht="15" hidden="false" customHeight="false" outlineLevel="0" collapsed="false">
      <c r="A3156" s="7" t="s">
        <v>4551</v>
      </c>
      <c r="B3156" s="7" t="n">
        <v>2548.68</v>
      </c>
      <c r="C3156" s="7" t="n">
        <f aca="false">AVERAGE(B3107:B3156)</f>
        <v>2518.8228</v>
      </c>
      <c r="D3156" s="7" t="n">
        <f aca="false">AVERAGE(B2957:B3156)</f>
        <v>2452.2845</v>
      </c>
      <c r="E3156" s="7" t="n">
        <f aca="false">B3156/MAX(B2905:B3156)-1</f>
        <v>-0.0291445571558631</v>
      </c>
      <c r="F3156" s="7" t="str">
        <f aca="false">IFERROR(INDEX(02_轉折點45個!B:B,MATCH(A3156,02_轉折點45個!A:A,0)),"")</f>
        <v/>
      </c>
      <c r="G3156" s="7" t="s">
        <v>1994</v>
      </c>
    </row>
    <row r="3157" customFormat="false" ht="15" hidden="false" customHeight="false" outlineLevel="0" collapsed="false">
      <c r="A3157" s="7" t="s">
        <v>4552</v>
      </c>
      <c r="B3157" s="7" t="n">
        <v>2526.13</v>
      </c>
      <c r="C3157" s="7" t="n">
        <f aca="false">AVERAGE(B3108:B3157)</f>
        <v>2517.9164</v>
      </c>
      <c r="D3157" s="7" t="n">
        <f aca="false">AVERAGE(B2958:B3157)</f>
        <v>2454.0956</v>
      </c>
      <c r="E3157" s="7" t="n">
        <f aca="false">B3157/MAX(B2906:B3157)-1</f>
        <v>-0.0377344116044933</v>
      </c>
      <c r="F3157" s="7" t="str">
        <f aca="false">IFERROR(INDEX(02_轉折點45個!B:B,MATCH(A3157,02_轉折點45個!A:A,0)),"")</f>
        <v/>
      </c>
      <c r="G3157" s="7" t="s">
        <v>1994</v>
      </c>
    </row>
    <row r="3158" customFormat="false" ht="15" hidden="false" customHeight="false" outlineLevel="0" collapsed="false">
      <c r="A3158" s="7" t="s">
        <v>4553</v>
      </c>
      <c r="B3158" s="7" t="n">
        <v>2582.23</v>
      </c>
      <c r="C3158" s="7" t="n">
        <f aca="false">AVERAGE(B3109:B3158)</f>
        <v>2517.8974</v>
      </c>
      <c r="D3158" s="7" t="n">
        <f aca="false">AVERAGE(B2959:B3158)</f>
        <v>2456.1775</v>
      </c>
      <c r="E3158" s="7" t="n">
        <f aca="false">B3158/MAX(B2907:B3158)-1</f>
        <v>-0.0163645298054617</v>
      </c>
      <c r="F3158" s="7" t="str">
        <f aca="false">IFERROR(INDEX(02_轉折點45個!B:B,MATCH(A3158,02_轉折點45個!A:A,0)),"")</f>
        <v/>
      </c>
      <c r="G3158" s="7" t="s">
        <v>1994</v>
      </c>
    </row>
    <row r="3159" customFormat="false" ht="15" hidden="false" customHeight="false" outlineLevel="0" collapsed="false">
      <c r="A3159" s="7" t="s">
        <v>4554</v>
      </c>
      <c r="B3159" s="7" t="n">
        <v>2571</v>
      </c>
      <c r="C3159" s="7" t="n">
        <f aca="false">AVERAGE(B3110:B3159)</f>
        <v>2517.367</v>
      </c>
      <c r="D3159" s="7" t="n">
        <f aca="false">AVERAGE(B2960:B3159)</f>
        <v>2458.32305</v>
      </c>
      <c r="E3159" s="7" t="n">
        <f aca="false">B3159/MAX(B2908:B3159)-1</f>
        <v>-0.0206423154133606</v>
      </c>
      <c r="F3159" s="7" t="str">
        <f aca="false">IFERROR(INDEX(02_轉折點45個!B:B,MATCH(A3159,02_轉折點45個!A:A,0)),"")</f>
        <v/>
      </c>
      <c r="G3159" s="7" t="s">
        <v>1994</v>
      </c>
    </row>
    <row r="3160" customFormat="false" ht="15" hidden="false" customHeight="false" outlineLevel="0" collapsed="false">
      <c r="A3160" s="7" t="s">
        <v>4555</v>
      </c>
      <c r="B3160" s="7" t="n">
        <v>2589.46</v>
      </c>
      <c r="C3160" s="7" t="n">
        <f aca="false">AVERAGE(B3111:B3160)</f>
        <v>2516.6826</v>
      </c>
      <c r="D3160" s="7" t="n">
        <f aca="false">AVERAGE(B2961:B3160)</f>
        <v>2460.30825</v>
      </c>
      <c r="E3160" s="7" t="n">
        <f aca="false">B3160/MAX(B2909:B3160)-1</f>
        <v>-0.0136104434345704</v>
      </c>
      <c r="F3160" s="7" t="str">
        <f aca="false">IFERROR(INDEX(02_轉折點45個!B:B,MATCH(A3160,02_轉折點45個!A:A,0)),"")</f>
        <v/>
      </c>
      <c r="G3160" s="7" t="s">
        <v>1994</v>
      </c>
    </row>
    <row r="3161" customFormat="false" ht="15" hidden="false" customHeight="false" outlineLevel="0" collapsed="false">
      <c r="A3161" s="7" t="s">
        <v>4556</v>
      </c>
      <c r="B3161" s="7" t="n">
        <v>2611.75</v>
      </c>
      <c r="C3161" s="7" t="n">
        <f aca="false">AVERAGE(B3112:B3161)</f>
        <v>2516.9342</v>
      </c>
      <c r="D3161" s="7" t="n">
        <f aca="false">AVERAGE(B2962:B3161)</f>
        <v>2462.49245</v>
      </c>
      <c r="E3161" s="7" t="n">
        <f aca="false">B3161/MAX(B2910:B3161)-1</f>
        <v>-0.00511962943634559</v>
      </c>
      <c r="F3161" s="7" t="str">
        <f aca="false">IFERROR(INDEX(02_轉折點45個!B:B,MATCH(A3161,02_轉折點45個!A:A,0)),"")</f>
        <v/>
      </c>
      <c r="G3161" s="7" t="s">
        <v>1994</v>
      </c>
    </row>
    <row r="3162" customFormat="false" ht="15" hidden="false" customHeight="false" outlineLevel="0" collapsed="false">
      <c r="A3162" s="7" t="s">
        <v>4557</v>
      </c>
      <c r="B3162" s="7" t="n">
        <v>2597.1</v>
      </c>
      <c r="C3162" s="7" t="n">
        <f aca="false">AVERAGE(B3113:B3162)</f>
        <v>2516.5644</v>
      </c>
      <c r="D3162" s="7" t="n">
        <f aca="false">AVERAGE(B2963:B3162)</f>
        <v>2464.58965</v>
      </c>
      <c r="E3162" s="7" t="n">
        <f aca="false">B3162/MAX(B2911:B3162)-1</f>
        <v>-0.0107001778918859</v>
      </c>
      <c r="F3162" s="7" t="str">
        <f aca="false">IFERROR(INDEX(02_轉折點45個!B:B,MATCH(A3162,02_轉折點45個!A:A,0)),"")</f>
        <v/>
      </c>
      <c r="G3162" s="7" t="s">
        <v>1994</v>
      </c>
    </row>
    <row r="3163" customFormat="false" ht="15" hidden="false" customHeight="false" outlineLevel="0" collapsed="false">
      <c r="A3163" s="7" t="s">
        <v>4558</v>
      </c>
      <c r="B3163" s="7" t="n">
        <v>2594.51</v>
      </c>
      <c r="C3163" s="7" t="n">
        <f aca="false">AVERAGE(B3114:B3163)</f>
        <v>2516.7744</v>
      </c>
      <c r="D3163" s="7" t="n">
        <f aca="false">AVERAGE(B2964:B3163)</f>
        <v>2466.5906</v>
      </c>
      <c r="E3163" s="7" t="n">
        <f aca="false">B3163/MAX(B2912:B3163)-1</f>
        <v>-0.0116867731478483</v>
      </c>
      <c r="F3163" s="7" t="str">
        <f aca="false">IFERROR(INDEX(02_轉折點45個!B:B,MATCH(A3163,02_轉折點45個!A:A,0)),"")</f>
        <v/>
      </c>
      <c r="G3163" s="7" t="s">
        <v>1994</v>
      </c>
    </row>
    <row r="3164" customFormat="false" ht="15" hidden="false" customHeight="false" outlineLevel="0" collapsed="false">
      <c r="A3164" s="7" t="s">
        <v>4559</v>
      </c>
      <c r="B3164" s="7" t="n">
        <v>2525.84</v>
      </c>
      <c r="C3164" s="7" t="n">
        <f aca="false">AVERAGE(B3115:B3164)</f>
        <v>2516.4544</v>
      </c>
      <c r="D3164" s="7" t="n">
        <f aca="false">AVERAGE(B2965:B3164)</f>
        <v>2468.2463</v>
      </c>
      <c r="E3164" s="7" t="n">
        <f aca="false">B3164/MAX(B2913:B3164)-1</f>
        <v>-0.0378448797991764</v>
      </c>
      <c r="F3164" s="7" t="str">
        <f aca="false">IFERROR(INDEX(02_轉折點45個!B:B,MATCH(A3164,02_轉折點45個!A:A,0)),"")</f>
        <v/>
      </c>
      <c r="G3164" s="7" t="s">
        <v>1994</v>
      </c>
    </row>
    <row r="3165" customFormat="false" ht="15" hidden="false" customHeight="false" outlineLevel="0" collapsed="false">
      <c r="A3165" s="7" t="s">
        <v>4560</v>
      </c>
      <c r="B3165" s="7" t="n">
        <v>2527.17</v>
      </c>
      <c r="C3165" s="7" t="n">
        <f aca="false">AVERAGE(B3116:B3165)</f>
        <v>2516.1446</v>
      </c>
      <c r="D3165" s="7" t="n">
        <f aca="false">AVERAGE(B2966:B3165)</f>
        <v>2469.8374</v>
      </c>
      <c r="E3165" s="7" t="n">
        <f aca="false">B3165/MAX(B2914:B3165)-1</f>
        <v>-0.0373382498028714</v>
      </c>
      <c r="F3165" s="7" t="str">
        <f aca="false">IFERROR(INDEX(02_轉折點45個!B:B,MATCH(A3165,02_轉折點45個!A:A,0)),"")</f>
        <v/>
      </c>
      <c r="G3165" s="7" t="s">
        <v>1994</v>
      </c>
    </row>
    <row r="3166" customFormat="false" ht="15" hidden="false" customHeight="false" outlineLevel="0" collapsed="false">
      <c r="A3166" s="7" t="s">
        <v>952</v>
      </c>
      <c r="B3166" s="7" t="n">
        <v>2518.15</v>
      </c>
      <c r="C3166" s="7" t="n">
        <f aca="false">AVERAGE(B3117:B3166)</f>
        <v>2515.0734</v>
      </c>
      <c r="D3166" s="7" t="n">
        <f aca="false">AVERAGE(B2967:B3166)</f>
        <v>2471.27695</v>
      </c>
      <c r="E3166" s="7" t="n">
        <f aca="false">B3166/MAX(B2915:B3166)-1</f>
        <v>-0.0407741915823235</v>
      </c>
      <c r="F3166" s="7" t="str">
        <f aca="false">IFERROR(INDEX(02_轉折點45個!B:B,MATCH(A3166,02_轉折點45個!A:A,0)),"")</f>
        <v/>
      </c>
      <c r="G3166" s="7" t="s">
        <v>1994</v>
      </c>
    </row>
    <row r="3167" customFormat="false" ht="15" hidden="false" customHeight="false" outlineLevel="0" collapsed="false">
      <c r="A3167" s="7" t="s">
        <v>4561</v>
      </c>
      <c r="B3167" s="7" t="n">
        <v>2507.4</v>
      </c>
      <c r="C3167" s="7" t="n">
        <f aca="false">AVERAGE(B3118:B3167)</f>
        <v>2513.6354</v>
      </c>
      <c r="D3167" s="7" t="n">
        <f aca="false">AVERAGE(B2968:B3167)</f>
        <v>2472.68945</v>
      </c>
      <c r="E3167" s="7" t="n">
        <f aca="false">B3167/MAX(B2916:B3167)-1</f>
        <v>-0.0448691332817816</v>
      </c>
      <c r="F3167" s="7" t="str">
        <f aca="false">IFERROR(INDEX(02_轉折點45個!B:B,MATCH(A3167,02_轉折點45個!A:A,0)),"")</f>
        <v/>
      </c>
      <c r="G3167" s="7" t="s">
        <v>1994</v>
      </c>
    </row>
    <row r="3168" customFormat="false" ht="15" hidden="false" customHeight="false" outlineLevel="0" collapsed="false">
      <c r="A3168" s="7" t="s">
        <v>953</v>
      </c>
      <c r="B3168" s="7" t="n">
        <v>2438.54</v>
      </c>
      <c r="C3168" s="7" t="n">
        <f aca="false">AVERAGE(B3119:B3168)</f>
        <v>2511.1854</v>
      </c>
      <c r="D3168" s="7" t="n">
        <f aca="false">AVERAGE(B2969:B3168)</f>
        <v>2473.60515</v>
      </c>
      <c r="E3168" s="7" t="n">
        <f aca="false">B3168/MAX(B2917:B3168)-1</f>
        <v>-0.0710996156468675</v>
      </c>
      <c r="F3168" s="7" t="str">
        <f aca="false">IFERROR(INDEX(02_轉折點45個!B:B,MATCH(A3168,02_轉折點45個!A:A,0)),"")</f>
        <v/>
      </c>
      <c r="G3168" s="7" t="s">
        <v>1994</v>
      </c>
    </row>
    <row r="3169" customFormat="false" ht="15" hidden="false" customHeight="false" outlineLevel="0" collapsed="false">
      <c r="A3169" s="7" t="s">
        <v>4562</v>
      </c>
      <c r="B3169" s="7" t="n">
        <v>2460.32</v>
      </c>
      <c r="C3169" s="7" t="n">
        <f aca="false">AVERAGE(B3120:B3169)</f>
        <v>2509.9826</v>
      </c>
      <c r="D3169" s="7" t="n">
        <f aca="false">AVERAGE(B2970:B3169)</f>
        <v>2474.57545</v>
      </c>
      <c r="E3169" s="7" t="n">
        <f aca="false">B3169/MAX(B2918:B3169)-1</f>
        <v>-0.062803073301361</v>
      </c>
      <c r="F3169" s="7" t="str">
        <f aca="false">IFERROR(INDEX(02_轉折點45個!B:B,MATCH(A3169,02_轉折點45個!A:A,0)),"")</f>
        <v/>
      </c>
      <c r="G3169" s="7" t="s">
        <v>1994</v>
      </c>
    </row>
    <row r="3170" customFormat="false" ht="15" hidden="false" customHeight="false" outlineLevel="0" collapsed="false">
      <c r="A3170" s="7" t="s">
        <v>954</v>
      </c>
      <c r="B3170" s="7" t="n">
        <v>2335.45</v>
      </c>
      <c r="C3170" s="7" t="n">
        <f aca="false">AVERAGE(B3121:B3170)</f>
        <v>2506.5152</v>
      </c>
      <c r="D3170" s="7" t="n">
        <f aca="false">AVERAGE(B2971:B3170)</f>
        <v>2475.12105</v>
      </c>
      <c r="E3170" s="7" t="n">
        <f aca="false">B3170/MAX(B2919:B3170)-1</f>
        <v>-0.110369154232646</v>
      </c>
      <c r="F3170" s="7" t="str">
        <f aca="false">IFERROR(INDEX(02_轉折點45個!B:B,MATCH(A3170,02_轉折點45個!A:A,0)),"")</f>
        <v/>
      </c>
      <c r="G3170" s="7" t="s">
        <v>1994</v>
      </c>
    </row>
    <row r="3171" customFormat="false" ht="15" hidden="false" customHeight="false" outlineLevel="0" collapsed="false">
      <c r="A3171" s="7" t="s">
        <v>4563</v>
      </c>
      <c r="B3171" s="7" t="n">
        <v>2313.54</v>
      </c>
      <c r="C3171" s="7" t="n">
        <f aca="false">AVERAGE(B3122:B3171)</f>
        <v>2502.3316</v>
      </c>
      <c r="D3171" s="7" t="n">
        <f aca="false">AVERAGE(B2972:B3171)</f>
        <v>2475.46375</v>
      </c>
      <c r="E3171" s="7" t="n">
        <f aca="false">B3171/MAX(B2920:B3171)-1</f>
        <v>-0.118715216803355</v>
      </c>
      <c r="F3171" s="7" t="str">
        <f aca="false">IFERROR(INDEX(02_轉折點45個!B:B,MATCH(A3171,02_轉折點45個!A:A,0)),"")</f>
        <v/>
      </c>
      <c r="G3171" s="7" t="s">
        <v>1994</v>
      </c>
    </row>
    <row r="3172" customFormat="false" ht="15" hidden="false" customHeight="false" outlineLevel="0" collapsed="false">
      <c r="A3172" s="7" t="s">
        <v>4564</v>
      </c>
      <c r="B3172" s="7" t="n">
        <v>2153.92</v>
      </c>
      <c r="C3172" s="7" t="n">
        <f aca="false">AVERAGE(B3123:B3172)</f>
        <v>2494.562</v>
      </c>
      <c r="D3172" s="7" t="n">
        <f aca="false">AVERAGE(B2973:B3172)</f>
        <v>2474.9979</v>
      </c>
      <c r="E3172" s="7" t="n">
        <f aca="false">B3172/MAX(B2921:B3172)-1</f>
        <v>-0.179518434856144</v>
      </c>
      <c r="F3172" s="7" t="str">
        <f aca="false">IFERROR(INDEX(02_轉折點45個!B:B,MATCH(A3172,02_轉折點45個!A:A,0)),"")</f>
        <v/>
      </c>
      <c r="G3172" s="7" t="s">
        <v>1994</v>
      </c>
    </row>
    <row r="3173" customFormat="false" ht="15" hidden="false" customHeight="false" outlineLevel="0" collapsed="false">
      <c r="A3173" s="7" t="s">
        <v>4565</v>
      </c>
      <c r="B3173" s="7" t="n">
        <v>2267.96</v>
      </c>
      <c r="C3173" s="7" t="n">
        <f aca="false">AVERAGE(B3124:B3173)</f>
        <v>2488.8186</v>
      </c>
      <c r="D3173" s="7" t="n">
        <f aca="false">AVERAGE(B2974:B3173)</f>
        <v>2475.0122</v>
      </c>
      <c r="E3173" s="7" t="n">
        <f aca="false">B3173/MAX(B2922:B3173)-1</f>
        <v>-0.136077769609057</v>
      </c>
      <c r="F3173" s="7" t="str">
        <f aca="false">IFERROR(INDEX(02_轉折點45個!B:B,MATCH(A3173,02_轉折點45個!A:A,0)),"")</f>
        <v/>
      </c>
      <c r="G3173" s="7" t="s">
        <v>1994</v>
      </c>
    </row>
    <row r="3174" customFormat="false" ht="15" hidden="false" customHeight="false" outlineLevel="0" collapsed="false">
      <c r="A3174" s="7" t="s">
        <v>4566</v>
      </c>
      <c r="B3174" s="7" t="n">
        <v>2175.26</v>
      </c>
      <c r="C3174" s="7" t="n">
        <f aca="false">AVERAGE(B3125:B3174)</f>
        <v>2480.5188</v>
      </c>
      <c r="D3174" s="7" t="n">
        <f aca="false">AVERAGE(B2975:B3174)</f>
        <v>2474.51065</v>
      </c>
      <c r="E3174" s="7" t="n">
        <f aca="false">B3174/MAX(B2923:B3174)-1</f>
        <v>-0.171389499426708</v>
      </c>
      <c r="F3174" s="7" t="str">
        <f aca="false">IFERROR(INDEX(02_轉折點45個!B:B,MATCH(A3174,02_轉折點45個!A:A,0)),"")</f>
        <v/>
      </c>
      <c r="G3174" s="7" t="s">
        <v>1994</v>
      </c>
    </row>
    <row r="3175" customFormat="false" ht="15" hidden="false" customHeight="false" outlineLevel="0" collapsed="false">
      <c r="A3175" s="7" t="s">
        <v>4567</v>
      </c>
      <c r="B3175" s="7" t="n">
        <v>2277.24</v>
      </c>
      <c r="C3175" s="7" t="n">
        <f aca="false">AVERAGE(B3126:B3175)</f>
        <v>2475.4664</v>
      </c>
      <c r="D3175" s="7" t="n">
        <f aca="false">AVERAGE(B2976:B3175)</f>
        <v>2474.48955</v>
      </c>
      <c r="E3175" s="7" t="n">
        <f aca="false">B3175/MAX(B2924:B3175)-1</f>
        <v>-0.132542787379199</v>
      </c>
      <c r="F3175" s="7" t="str">
        <f aca="false">IFERROR(INDEX(02_轉折點45個!B:B,MATCH(A3175,02_轉折點45個!A:A,0)),"")</f>
        <v/>
      </c>
      <c r="G3175" s="7" t="s">
        <v>1994</v>
      </c>
    </row>
    <row r="3176" customFormat="false" ht="15" hidden="false" customHeight="false" outlineLevel="0" collapsed="false">
      <c r="A3176" s="7" t="s">
        <v>955</v>
      </c>
      <c r="B3176" s="7" t="n">
        <v>2291.22</v>
      </c>
      <c r="C3176" s="7" t="n">
        <f aca="false">AVERAGE(B3127:B3176)</f>
        <v>2470.6184</v>
      </c>
      <c r="D3176" s="7" t="n">
        <f aca="false">AVERAGE(B2977:B3176)</f>
        <v>2474.5111</v>
      </c>
      <c r="E3176" s="7" t="n">
        <f aca="false">B3176/MAX(B2925:B3176)-1</f>
        <v>-0.127217458545858</v>
      </c>
      <c r="F3176" s="7" t="str">
        <f aca="false">IFERROR(INDEX(02_轉折點45個!B:B,MATCH(A3176,02_轉折點45個!A:A,0)),"")</f>
        <v/>
      </c>
      <c r="G3176" s="7" t="s">
        <v>1994</v>
      </c>
    </row>
    <row r="3177" customFormat="false" ht="15" hidden="false" customHeight="false" outlineLevel="0" collapsed="false">
      <c r="A3177" s="7" t="s">
        <v>956</v>
      </c>
      <c r="B3177" s="7" t="n">
        <v>2334.36</v>
      </c>
      <c r="C3177" s="7" t="n">
        <f aca="false">AVERAGE(B3128:B3177)</f>
        <v>2467.3738</v>
      </c>
      <c r="D3177" s="7" t="n">
        <f aca="false">AVERAGE(B2978:B3177)</f>
        <v>2474.7296</v>
      </c>
      <c r="E3177" s="7" t="n">
        <f aca="false">B3177/MAX(B2926:B3177)-1</f>
        <v>-0.110784362274731</v>
      </c>
      <c r="F3177" s="7" t="str">
        <f aca="false">IFERROR(INDEX(02_轉折點45個!B:B,MATCH(A3177,02_轉折點45個!A:A,0)),"")</f>
        <v/>
      </c>
      <c r="G3177" s="7" t="s">
        <v>1994</v>
      </c>
    </row>
    <row r="3178" customFormat="false" ht="15" hidden="false" customHeight="false" outlineLevel="0" collapsed="false">
      <c r="A3178" s="7" t="s">
        <v>4568</v>
      </c>
      <c r="B3178" s="7" t="n">
        <v>2305.35</v>
      </c>
      <c r="C3178" s="7" t="n">
        <f aca="false">AVERAGE(B3129:B3178)</f>
        <v>2464.1012</v>
      </c>
      <c r="D3178" s="7" t="n">
        <f aca="false">AVERAGE(B2979:B3178)</f>
        <v>2474.80285</v>
      </c>
      <c r="E3178" s="7" t="n">
        <f aca="false">B3178/MAX(B2927:B3178)-1</f>
        <v>-0.121834990991128</v>
      </c>
      <c r="F3178" s="7" t="str">
        <f aca="false">IFERROR(INDEX(02_轉折點45個!B:B,MATCH(A3178,02_轉折點45個!A:A,0)),"")</f>
        <v/>
      </c>
      <c r="G3178" s="7" t="s">
        <v>1994</v>
      </c>
    </row>
    <row r="3179" customFormat="false" ht="15" hidden="false" customHeight="false" outlineLevel="0" collapsed="false">
      <c r="A3179" s="7" t="s">
        <v>4569</v>
      </c>
      <c r="B3179" s="7" t="n">
        <v>2294.42</v>
      </c>
      <c r="C3179" s="7" t="n">
        <f aca="false">AVERAGE(B3130:B3179)</f>
        <v>2460.6282</v>
      </c>
      <c r="D3179" s="7" t="n">
        <f aca="false">AVERAGE(B2980:B3179)</f>
        <v>2474.8332</v>
      </c>
      <c r="E3179" s="7" t="n">
        <f aca="false">B3179/MAX(B2928:B3179)-1</f>
        <v>-0.125998499156252</v>
      </c>
      <c r="F3179" s="7" t="str">
        <f aca="false">IFERROR(INDEX(02_轉折點45個!B:B,MATCH(A3179,02_轉折點45個!A:A,0)),"")</f>
        <v/>
      </c>
      <c r="G3179" s="7" t="s">
        <v>1994</v>
      </c>
    </row>
    <row r="3180" customFormat="false" ht="15" hidden="false" customHeight="false" outlineLevel="0" collapsed="false">
      <c r="A3180" s="7" t="s">
        <v>4570</v>
      </c>
      <c r="B3180" s="7" t="n">
        <v>2174.7</v>
      </c>
      <c r="C3180" s="7" t="n">
        <f aca="false">AVERAGE(B3131:B3180)</f>
        <v>2455.2392</v>
      </c>
      <c r="D3180" s="7" t="n">
        <f aca="false">AVERAGE(B2981:B3180)</f>
        <v>2474.13395</v>
      </c>
      <c r="E3180" s="7" t="n">
        <f aca="false">B3180/MAX(B2929:B3180)-1</f>
        <v>-0.171602817319889</v>
      </c>
      <c r="F3180" s="7" t="str">
        <f aca="false">IFERROR(INDEX(02_轉折點45個!B:B,MATCH(A3180,02_轉折點45個!A:A,0)),"")</f>
        <v/>
      </c>
      <c r="G3180" s="7" t="s">
        <v>1994</v>
      </c>
    </row>
    <row r="3181" customFormat="false" ht="15" hidden="false" customHeight="false" outlineLevel="0" collapsed="false">
      <c r="A3181" s="7" t="s">
        <v>957</v>
      </c>
      <c r="B3181" s="7" t="n">
        <v>2139.44</v>
      </c>
      <c r="C3181" s="7" t="n">
        <f aca="false">AVERAGE(B3132:B3181)</f>
        <v>2448.9716</v>
      </c>
      <c r="D3181" s="7" t="n">
        <f aca="false">AVERAGE(B2982:B3181)</f>
        <v>2473.22755</v>
      </c>
      <c r="E3181" s="7" t="n">
        <f aca="false">B3181/MAX(B2930:B3181)-1</f>
        <v>-0.185034226094111</v>
      </c>
      <c r="F3181" s="7" t="str">
        <f aca="false">IFERROR(INDEX(02_轉折點45個!B:B,MATCH(A3181,02_轉折點45個!A:A,0)),"")</f>
        <v/>
      </c>
      <c r="G3181" s="7" t="s">
        <v>1994</v>
      </c>
    </row>
    <row r="3182" customFormat="false" ht="15" hidden="false" customHeight="false" outlineLevel="0" collapsed="false">
      <c r="A3182" s="7" t="s">
        <v>4571</v>
      </c>
      <c r="B3182" s="7" t="n">
        <v>2142.67</v>
      </c>
      <c r="C3182" s="7" t="n">
        <f aca="false">AVERAGE(B3133:B3182)</f>
        <v>2443.5202</v>
      </c>
      <c r="D3182" s="7" t="n">
        <f aca="false">AVERAGE(B2983:B3182)</f>
        <v>2472.16795</v>
      </c>
      <c r="E3182" s="7" t="n">
        <f aca="false">B3182/MAX(B2931:B3182)-1</f>
        <v>-0.183803838960228</v>
      </c>
      <c r="F3182" s="7" t="str">
        <f aca="false">IFERROR(INDEX(02_轉折點45個!B:B,MATCH(A3182,02_轉折點45個!A:A,0)),"")</f>
        <v/>
      </c>
      <c r="G3182" s="7" t="s">
        <v>1994</v>
      </c>
    </row>
    <row r="3183" customFormat="false" ht="15" hidden="false" customHeight="false" outlineLevel="0" collapsed="false">
      <c r="A3183" s="7" t="s">
        <v>4572</v>
      </c>
      <c r="B3183" s="7" t="n">
        <v>2234.65</v>
      </c>
      <c r="C3183" s="7" t="n">
        <f aca="false">AVERAGE(B3134:B3183)</f>
        <v>2439.9822</v>
      </c>
      <c r="D3183" s="7" t="n">
        <f aca="false">AVERAGE(B2984:B3183)</f>
        <v>2471.56075</v>
      </c>
      <c r="E3183" s="7" t="n">
        <f aca="false">B3183/MAX(B2932:B3183)-1</f>
        <v>-0.148766375005238</v>
      </c>
      <c r="F3183" s="7" t="str">
        <f aca="false">IFERROR(INDEX(02_轉折點45個!B:B,MATCH(A3183,02_轉折點45個!A:A,0)),"")</f>
        <v/>
      </c>
      <c r="G3183" s="7" t="s">
        <v>1994</v>
      </c>
    </row>
    <row r="3184" customFormat="false" ht="15" hidden="false" customHeight="false" outlineLevel="0" collapsed="false">
      <c r="A3184" s="7" t="s">
        <v>4573</v>
      </c>
      <c r="B3184" s="7" t="n">
        <v>2254.41</v>
      </c>
      <c r="C3184" s="7" t="n">
        <f aca="false">AVERAGE(B3135:B3184)</f>
        <v>2436.1262</v>
      </c>
      <c r="D3184" s="7" t="n">
        <f aca="false">AVERAGE(B2985:B3184)</f>
        <v>2471.0475</v>
      </c>
      <c r="E3184" s="7" t="n">
        <f aca="false">B3184/MAX(B2933:B3184)-1</f>
        <v>-0.14123930077442</v>
      </c>
      <c r="F3184" s="7" t="str">
        <f aca="false">IFERROR(INDEX(02_轉折點45個!B:B,MATCH(A3184,02_轉折點45個!A:A,0)),"")</f>
        <v/>
      </c>
      <c r="G3184" s="7" t="s">
        <v>1994</v>
      </c>
    </row>
    <row r="3185" customFormat="false" ht="15" hidden="false" customHeight="false" outlineLevel="0" collapsed="false">
      <c r="A3185" s="7" t="s">
        <v>4574</v>
      </c>
      <c r="B3185" s="7" t="n">
        <v>2210.51</v>
      </c>
      <c r="C3185" s="7" t="n">
        <f aca="false">AVERAGE(B3136:B3185)</f>
        <v>2432.2558</v>
      </c>
      <c r="D3185" s="7" t="n">
        <f aca="false">AVERAGE(B2986:B3185)</f>
        <v>2470.3927</v>
      </c>
      <c r="E3185" s="7" t="n">
        <f aca="false">B3185/MAX(B2934:B3185)-1</f>
        <v>-0.157961899900579</v>
      </c>
      <c r="F3185" s="7" t="str">
        <f aca="false">IFERROR(INDEX(02_轉折點45個!B:B,MATCH(A3185,02_轉折點45個!A:A,0)),"")</f>
        <v/>
      </c>
      <c r="G3185" s="7" t="s">
        <v>1994</v>
      </c>
    </row>
    <row r="3186" customFormat="false" ht="15" hidden="false" customHeight="false" outlineLevel="0" collapsed="false">
      <c r="A3186" s="7" t="s">
        <v>958</v>
      </c>
      <c r="B3186" s="7" t="n">
        <v>2265.52</v>
      </c>
      <c r="C3186" s="7" t="n">
        <f aca="false">AVERAGE(B3137:B3186)</f>
        <v>2429.6274</v>
      </c>
      <c r="D3186" s="7" t="n">
        <f aca="false">AVERAGE(B2987:B3186)</f>
        <v>2469.9408</v>
      </c>
      <c r="E3186" s="7" t="n">
        <f aca="false">B3186/MAX(B2935:B3186)-1</f>
        <v>-0.137007226143632</v>
      </c>
      <c r="F3186" s="7" t="str">
        <f aca="false">IFERROR(INDEX(02_轉折點45個!B:B,MATCH(A3186,02_轉折點45個!A:A,0)),"")</f>
        <v/>
      </c>
      <c r="G3186" s="7" t="s">
        <v>1994</v>
      </c>
    </row>
    <row r="3187" customFormat="false" ht="15" hidden="false" customHeight="false" outlineLevel="0" collapsed="false">
      <c r="A3187" s="7" t="s">
        <v>4575</v>
      </c>
      <c r="B3187" s="7" t="n">
        <v>2340.67</v>
      </c>
      <c r="C3187" s="7" t="n">
        <f aca="false">AVERAGE(B3138:B3187)</f>
        <v>2428.634</v>
      </c>
      <c r="D3187" s="7" t="n">
        <f aca="false">AVERAGE(B2988:B3187)</f>
        <v>2469.9709</v>
      </c>
      <c r="E3187" s="7" t="n">
        <f aca="false">B3187/MAX(B2936:B3187)-1</f>
        <v>-0.108380726728351</v>
      </c>
      <c r="F3187" s="7" t="str">
        <f aca="false">IFERROR(INDEX(02_轉折點45個!B:B,MATCH(A3187,02_轉折點45個!A:A,0)),"")</f>
        <v/>
      </c>
      <c r="G3187" s="7" t="s">
        <v>1994</v>
      </c>
    </row>
    <row r="3188" customFormat="false" ht="15" hidden="false" customHeight="false" outlineLevel="0" collapsed="false">
      <c r="A3188" s="7" t="s">
        <v>4576</v>
      </c>
      <c r="B3188" s="7" t="n">
        <v>2353.46</v>
      </c>
      <c r="C3188" s="7" t="n">
        <f aca="false">AVERAGE(B3139:B3188)</f>
        <v>2427.6554</v>
      </c>
      <c r="D3188" s="7" t="n">
        <f aca="false">AVERAGE(B2989:B3188)</f>
        <v>2470.23535</v>
      </c>
      <c r="E3188" s="7" t="n">
        <f aca="false">B3188/MAX(B2937:B3188)-1</f>
        <v>-0.103508698418019</v>
      </c>
      <c r="F3188" s="7" t="str">
        <f aca="false">IFERROR(INDEX(02_轉折點45個!B:B,MATCH(A3188,02_轉折點45個!A:A,0)),"")</f>
        <v/>
      </c>
      <c r="G3188" s="7" t="s">
        <v>1994</v>
      </c>
    </row>
    <row r="3189" customFormat="false" ht="15" hidden="false" customHeight="false" outlineLevel="0" collapsed="false">
      <c r="A3189" s="7" t="s">
        <v>959</v>
      </c>
      <c r="B3189" s="7" t="n">
        <v>2356.52</v>
      </c>
      <c r="C3189" s="7" t="n">
        <f aca="false">AVERAGE(B3140:B3189)</f>
        <v>2425.6856</v>
      </c>
      <c r="D3189" s="7" t="n">
        <f aca="false">AVERAGE(B2990:B3189)</f>
        <v>2470.53515</v>
      </c>
      <c r="E3189" s="7" t="n">
        <f aca="false">B3189/MAX(B2938:B3189)-1</f>
        <v>-0.102343068501708</v>
      </c>
      <c r="F3189" s="7" t="str">
        <f aca="false">IFERROR(INDEX(02_轉折點45個!B:B,MATCH(A3189,02_轉折點45個!A:A,0)),"")</f>
        <v/>
      </c>
      <c r="G3189" s="7" t="s">
        <v>1994</v>
      </c>
    </row>
    <row r="3190" customFormat="false" ht="15" hidden="false" customHeight="false" outlineLevel="0" collapsed="false">
      <c r="A3190" s="7" t="s">
        <v>4577</v>
      </c>
      <c r="B3190" s="7" t="n">
        <v>2325.99</v>
      </c>
      <c r="C3190" s="7" t="n">
        <f aca="false">AVERAGE(B3141:B3190)</f>
        <v>2423.4354</v>
      </c>
      <c r="D3190" s="7" t="n">
        <f aca="false">AVERAGE(B2991:B3190)</f>
        <v>2470.8832</v>
      </c>
      <c r="E3190" s="7" t="n">
        <f aca="false">B3190/MAX(B2939:B3190)-1</f>
        <v>-0.113972702928169</v>
      </c>
      <c r="F3190" s="7" t="str">
        <f aca="false">IFERROR(INDEX(02_轉折點45個!B:B,MATCH(A3190,02_轉折點45個!A:A,0)),"")</f>
        <v/>
      </c>
      <c r="G3190" s="7" t="s">
        <v>1994</v>
      </c>
    </row>
    <row r="3191" customFormat="false" ht="15" hidden="false" customHeight="false" outlineLevel="0" collapsed="false">
      <c r="A3191" s="7" t="s">
        <v>4578</v>
      </c>
      <c r="B3191" s="7" t="n">
        <v>2265.96</v>
      </c>
      <c r="C3191" s="7" t="n">
        <f aca="false">AVERAGE(B3142:B3191)</f>
        <v>2419.6638</v>
      </c>
      <c r="D3191" s="7" t="n">
        <f aca="false">AVERAGE(B2992:B3191)</f>
        <v>2470.90295</v>
      </c>
      <c r="E3191" s="7" t="n">
        <f aca="false">B3191/MAX(B2940:B3191)-1</f>
        <v>-0.136839619227561</v>
      </c>
      <c r="F3191" s="7" t="str">
        <f aca="false">IFERROR(INDEX(02_轉折點45個!B:B,MATCH(A3191,02_轉折點45個!A:A,0)),"")</f>
        <v/>
      </c>
      <c r="G3191" s="7" t="s">
        <v>1994</v>
      </c>
    </row>
    <row r="3192" customFormat="false" ht="15" hidden="false" customHeight="false" outlineLevel="0" collapsed="false">
      <c r="A3192" s="7" t="s">
        <v>4579</v>
      </c>
      <c r="B3192" s="7" t="n">
        <v>2260.02</v>
      </c>
      <c r="C3192" s="7" t="n">
        <f aca="false">AVERAGE(B3143:B3192)</f>
        <v>2416.392</v>
      </c>
      <c r="D3192" s="7" t="n">
        <f aca="false">AVERAGE(B2993:B3192)</f>
        <v>2470.7176</v>
      </c>
      <c r="E3192" s="7" t="n">
        <f aca="false">B3192/MAX(B2941:B3192)-1</f>
        <v>-0.139102312594517</v>
      </c>
      <c r="F3192" s="7" t="str">
        <f aca="false">IFERROR(INDEX(02_轉折點45個!B:B,MATCH(A3192,02_轉折點45個!A:A,0)),"")</f>
        <v/>
      </c>
      <c r="G3192" s="7" t="s">
        <v>1994</v>
      </c>
    </row>
    <row r="3193" customFormat="false" ht="15" hidden="false" customHeight="false" outlineLevel="0" collapsed="false">
      <c r="A3193" s="7" t="s">
        <v>4580</v>
      </c>
      <c r="B3193" s="7" t="n">
        <v>2328.64</v>
      </c>
      <c r="C3193" s="7" t="n">
        <f aca="false">AVERAGE(B3144:B3193)</f>
        <v>2413.846</v>
      </c>
      <c r="D3193" s="7" t="n">
        <f aca="false">AVERAGE(B2994:B3193)</f>
        <v>2470.85835</v>
      </c>
      <c r="E3193" s="7" t="n">
        <f aca="false">B3193/MAX(B2942:B3193)-1</f>
        <v>-0.112963252183652</v>
      </c>
      <c r="F3193" s="7" t="str">
        <f aca="false">IFERROR(INDEX(02_轉折點45個!B:B,MATCH(A3193,02_轉折點45個!A:A,0)),"")</f>
        <v/>
      </c>
      <c r="G3193" s="7" t="s">
        <v>1994</v>
      </c>
    </row>
    <row r="3194" customFormat="false" ht="15" hidden="false" customHeight="false" outlineLevel="0" collapsed="false">
      <c r="A3194" s="7" t="s">
        <v>4581</v>
      </c>
      <c r="B3194" s="7" t="n">
        <v>2310.55</v>
      </c>
      <c r="C3194" s="7" t="n">
        <f aca="false">AVERAGE(B3145:B3194)</f>
        <v>2410.1886</v>
      </c>
      <c r="D3194" s="7" t="n">
        <f aca="false">AVERAGE(B2995:B3194)</f>
        <v>2470.8452</v>
      </c>
      <c r="E3194" s="7" t="n">
        <f aca="false">B3194/MAX(B2943:B3194)-1</f>
        <v>-0.119854181983018</v>
      </c>
      <c r="F3194" s="7" t="str">
        <f aca="false">IFERROR(INDEX(02_轉折點45個!B:B,MATCH(A3194,02_轉折點45個!A:A,0)),"")</f>
        <v/>
      </c>
      <c r="G3194" s="7" t="s">
        <v>1994</v>
      </c>
    </row>
    <row r="3195" customFormat="false" ht="15" hidden="false" customHeight="false" outlineLevel="0" collapsed="false">
      <c r="A3195" s="7" t="s">
        <v>4582</v>
      </c>
      <c r="B3195" s="7" t="n">
        <v>2254.69</v>
      </c>
      <c r="C3195" s="7" t="n">
        <f aca="false">AVERAGE(B3146:B3195)</f>
        <v>2405.2096</v>
      </c>
      <c r="D3195" s="7" t="n">
        <f aca="false">AVERAGE(B2996:B3195)</f>
        <v>2470.72205</v>
      </c>
      <c r="E3195" s="7" t="n">
        <f aca="false">B3195/MAX(B2944:B3195)-1</f>
        <v>-0.14113264182783</v>
      </c>
      <c r="F3195" s="7" t="str">
        <f aca="false">IFERROR(INDEX(02_轉折點45個!B:B,MATCH(A3195,02_轉折點45個!A:A,0)),"")</f>
        <v/>
      </c>
      <c r="G3195" s="7" t="s">
        <v>1994</v>
      </c>
    </row>
    <row r="3196" customFormat="false" ht="15" hidden="false" customHeight="false" outlineLevel="0" collapsed="false">
      <c r="A3196" s="7" t="s">
        <v>4583</v>
      </c>
      <c r="B3196" s="7" t="n">
        <v>2279.45</v>
      </c>
      <c r="C3196" s="7" t="n">
        <f aca="false">AVERAGE(B3147:B3196)</f>
        <v>2400.1224</v>
      </c>
      <c r="D3196" s="7" t="n">
        <f aca="false">AVERAGE(B2997:B3196)</f>
        <v>2470.5027</v>
      </c>
      <c r="E3196" s="7" t="n">
        <f aca="false">B3196/MAX(B2945:B3196)-1</f>
        <v>-0.131700943550753</v>
      </c>
      <c r="F3196" s="7" t="str">
        <f aca="false">IFERROR(INDEX(02_轉折點45個!B:B,MATCH(A3196,02_轉折點45個!A:A,0)),"")</f>
        <v/>
      </c>
      <c r="G3196" s="7" t="s">
        <v>1994</v>
      </c>
    </row>
    <row r="3197" customFormat="false" ht="15" hidden="false" customHeight="false" outlineLevel="0" collapsed="false">
      <c r="A3197" s="7" t="s">
        <v>4584</v>
      </c>
      <c r="B3197" s="7" t="n">
        <v>2313.3</v>
      </c>
      <c r="C3197" s="7" t="n">
        <f aca="false">AVERAGE(B3148:B3197)</f>
        <v>2394.9354</v>
      </c>
      <c r="D3197" s="7" t="n">
        <f aca="false">AVERAGE(B2998:B3197)</f>
        <v>2470.4917</v>
      </c>
      <c r="E3197" s="7" t="n">
        <f aca="false">B3197/MAX(B2946:B3197)-1</f>
        <v>-0.118806638757576</v>
      </c>
      <c r="F3197" s="7" t="str">
        <f aca="false">IFERROR(INDEX(02_轉折點45個!B:B,MATCH(A3197,02_轉折點45個!A:A,0)),"")</f>
        <v/>
      </c>
      <c r="G3197" s="7" t="s">
        <v>1994</v>
      </c>
    </row>
    <row r="3198" customFormat="false" ht="15" hidden="false" customHeight="false" outlineLevel="0" collapsed="false">
      <c r="A3198" s="7" t="s">
        <v>4585</v>
      </c>
      <c r="B3198" s="7" t="n">
        <v>2350.21</v>
      </c>
      <c r="C3198" s="7" t="n">
        <f aca="false">AVERAGE(B3149:B3198)</f>
        <v>2390.3086</v>
      </c>
      <c r="D3198" s="7" t="n">
        <f aca="false">AVERAGE(B2999:B3198)</f>
        <v>2470.7079</v>
      </c>
      <c r="E3198" s="7" t="n">
        <f aca="false">B3198/MAX(B2947:B3198)-1</f>
        <v>-0.104746704048088</v>
      </c>
      <c r="F3198" s="7" t="str">
        <f aca="false">IFERROR(INDEX(02_轉折點45個!B:B,MATCH(A3198,02_轉折點45個!A:A,0)),"")</f>
        <v/>
      </c>
      <c r="G3198" s="7" t="s">
        <v>1994</v>
      </c>
    </row>
    <row r="3199" customFormat="false" ht="15" hidden="false" customHeight="false" outlineLevel="0" collapsed="false">
      <c r="A3199" s="7" t="s">
        <v>4586</v>
      </c>
      <c r="B3199" s="7" t="n">
        <v>2381.75</v>
      </c>
      <c r="C3199" s="7" t="n">
        <f aca="false">AVERAGE(B3150:B3199)</f>
        <v>2386.162</v>
      </c>
      <c r="D3199" s="7" t="n">
        <f aca="false">AVERAGE(B3000:B3199)</f>
        <v>2471.2051</v>
      </c>
      <c r="E3199" s="7" t="n">
        <f aca="false">B3199/MAX(B2948:B3199)-1</f>
        <v>-0.092732335564283</v>
      </c>
      <c r="F3199" s="7" t="str">
        <f aca="false">IFERROR(INDEX(02_轉折點45個!B:B,MATCH(A3199,02_轉折點45個!A:A,0)),"")</f>
        <v/>
      </c>
      <c r="G3199" s="7" t="s">
        <v>1994</v>
      </c>
    </row>
    <row r="3200" customFormat="false" ht="15" hidden="false" customHeight="false" outlineLevel="0" collapsed="false">
      <c r="A3200" s="7" t="s">
        <v>4587</v>
      </c>
      <c r="B3200" s="7" t="n">
        <v>2395.67</v>
      </c>
      <c r="C3200" s="7" t="n">
        <f aca="false">AVERAGE(B3151:B3200)</f>
        <v>2381.5878</v>
      </c>
      <c r="D3200" s="7" t="n">
        <f aca="false">AVERAGE(B3001:B3200)</f>
        <v>2471.538</v>
      </c>
      <c r="E3200" s="7" t="n">
        <f aca="false">B3200/MAX(B2949:B3200)-1</f>
        <v>-0.0874298622194965</v>
      </c>
      <c r="F3200" s="7" t="str">
        <f aca="false">IFERROR(INDEX(02_轉折點45個!B:B,MATCH(A3200,02_轉折點45個!A:A,0)),"")</f>
        <v/>
      </c>
      <c r="G3200" s="7" t="s">
        <v>1994</v>
      </c>
    </row>
    <row r="3201" customFormat="false" ht="15" hidden="false" customHeight="false" outlineLevel="0" collapsed="false">
      <c r="A3201" s="7" t="s">
        <v>4588</v>
      </c>
      <c r="B3201" s="7" t="n">
        <v>2387.01</v>
      </c>
      <c r="C3201" s="7" t="n">
        <f aca="false">AVERAGE(B3152:B3201)</f>
        <v>2377.0752</v>
      </c>
      <c r="D3201" s="7" t="n">
        <f aca="false">AVERAGE(B3002:B3201)</f>
        <v>2471.69095</v>
      </c>
      <c r="E3201" s="7" t="n">
        <f aca="false">B3201/MAX(B2950:B3201)-1</f>
        <v>-0.090728671067618</v>
      </c>
      <c r="F3201" s="7" t="str">
        <f aca="false">IFERROR(INDEX(02_轉折點45個!B:B,MATCH(A3201,02_轉折點45個!A:A,0)),"")</f>
        <v/>
      </c>
      <c r="G3201" s="7" t="s">
        <v>1994</v>
      </c>
    </row>
    <row r="3202" customFormat="false" ht="15" hidden="false" customHeight="false" outlineLevel="0" collapsed="false">
      <c r="A3202" s="7" t="s">
        <v>4589</v>
      </c>
      <c r="B3202" s="7" t="n">
        <v>2366.37</v>
      </c>
      <c r="C3202" s="7" t="n">
        <f aca="false">AVERAGE(B3153:B3202)</f>
        <v>2373.1946</v>
      </c>
      <c r="D3202" s="7" t="n">
        <f aca="false">AVERAGE(B3003:B3202)</f>
        <v>2471.68535</v>
      </c>
      <c r="E3202" s="7" t="n">
        <f aca="false">B3202/MAX(B2951:B3202)-1</f>
        <v>-0.0985909591305773</v>
      </c>
      <c r="F3202" s="7" t="str">
        <f aca="false">IFERROR(INDEX(02_轉折點45個!B:B,MATCH(A3202,02_轉折點45個!A:A,0)),"")</f>
        <v/>
      </c>
      <c r="G3202" s="7" t="s">
        <v>1994</v>
      </c>
    </row>
    <row r="3203" customFormat="false" ht="15" hidden="false" customHeight="false" outlineLevel="0" collapsed="false">
      <c r="A3203" s="7" t="s">
        <v>4590</v>
      </c>
      <c r="B3203" s="7" t="n">
        <v>2318.82</v>
      </c>
      <c r="C3203" s="7" t="n">
        <f aca="false">AVERAGE(B3154:B3203)</f>
        <v>2368.7414</v>
      </c>
      <c r="D3203" s="7" t="n">
        <f aca="false">AVERAGE(B3004:B3203)</f>
        <v>2471.4262</v>
      </c>
      <c r="E3203" s="7" t="n">
        <f aca="false">B3203/MAX(B2952:B3203)-1</f>
        <v>-0.116703933810505</v>
      </c>
      <c r="F3203" s="7" t="str">
        <f aca="false">IFERROR(INDEX(02_轉折點45個!B:B,MATCH(A3203,02_轉折點45個!A:A,0)),"")</f>
        <v/>
      </c>
      <c r="G3203" s="7" t="s">
        <v>1994</v>
      </c>
    </row>
    <row r="3204" customFormat="false" ht="15" hidden="false" customHeight="false" outlineLevel="0" collapsed="false">
      <c r="A3204" s="7" t="s">
        <v>4591</v>
      </c>
      <c r="B3204" s="7" t="n">
        <v>2243.43</v>
      </c>
      <c r="C3204" s="7" t="n">
        <f aca="false">AVERAGE(B3155:B3204)</f>
        <v>2362.5062</v>
      </c>
      <c r="D3204" s="7" t="n">
        <f aca="false">AVERAGE(B3005:B3204)</f>
        <v>2470.7738</v>
      </c>
      <c r="E3204" s="7" t="n">
        <f aca="false">B3204/MAX(B2953:B3204)-1</f>
        <v>-0.145421855180006</v>
      </c>
      <c r="F3204" s="7" t="str">
        <f aca="false">IFERROR(INDEX(02_轉折點45個!B:B,MATCH(A3204,02_轉折點45個!A:A,0)),"")</f>
        <v/>
      </c>
      <c r="G3204" s="7" t="s">
        <v>1994</v>
      </c>
    </row>
    <row r="3205" customFormat="false" ht="15" hidden="false" customHeight="false" outlineLevel="0" collapsed="false">
      <c r="A3205" s="7" t="s">
        <v>4592</v>
      </c>
      <c r="B3205" s="7" t="n">
        <v>2268.61</v>
      </c>
      <c r="C3205" s="7" t="n">
        <f aca="false">AVERAGE(B3156:B3205)</f>
        <v>2357.4004</v>
      </c>
      <c r="D3205" s="7" t="n">
        <f aca="false">AVERAGE(B3006:B3205)</f>
        <v>2470.19855</v>
      </c>
      <c r="E3205" s="7" t="n">
        <f aca="false">B3205/MAX(B2954:B3205)-1</f>
        <v>-0.135830168483043</v>
      </c>
      <c r="F3205" s="7" t="str">
        <f aca="false">IFERROR(INDEX(02_轉折點45個!B:B,MATCH(A3205,02_轉折點45個!A:A,0)),"")</f>
        <v/>
      </c>
      <c r="G3205" s="7" t="s">
        <v>1994</v>
      </c>
    </row>
    <row r="3206" customFormat="false" ht="15" hidden="false" customHeight="false" outlineLevel="0" collapsed="false">
      <c r="A3206" s="7" t="s">
        <v>4593</v>
      </c>
      <c r="B3206" s="7" t="n">
        <v>2299.18</v>
      </c>
      <c r="C3206" s="7" t="n">
        <f aca="false">AVERAGE(B3157:B3206)</f>
        <v>2352.4104</v>
      </c>
      <c r="D3206" s="7" t="n">
        <f aca="false">AVERAGE(B3007:B3206)</f>
        <v>2469.74185</v>
      </c>
      <c r="E3206" s="7" t="n">
        <f aca="false">B3206/MAX(B2955:B3206)-1</f>
        <v>-0.124185297064213</v>
      </c>
      <c r="F3206" s="7" t="str">
        <f aca="false">IFERROR(INDEX(02_轉折點45個!B:B,MATCH(A3206,02_轉折點45個!A:A,0)),"")</f>
        <v/>
      </c>
      <c r="G3206" s="7" t="s">
        <v>1994</v>
      </c>
    </row>
    <row r="3207" customFormat="false" ht="15" hidden="false" customHeight="false" outlineLevel="0" collapsed="false">
      <c r="A3207" s="7" t="s">
        <v>4594</v>
      </c>
      <c r="B3207" s="7" t="n">
        <v>2326.71</v>
      </c>
      <c r="C3207" s="7" t="n">
        <f aca="false">AVERAGE(B3158:B3207)</f>
        <v>2348.422</v>
      </c>
      <c r="D3207" s="7" t="n">
        <f aca="false">AVERAGE(B3008:B3207)</f>
        <v>2469.3275</v>
      </c>
      <c r="E3207" s="7" t="n">
        <f aca="false">B3207/MAX(B2956:B3207)-1</f>
        <v>-0.113698437065508</v>
      </c>
      <c r="F3207" s="7" t="str">
        <f aca="false">IFERROR(INDEX(02_轉折點45個!B:B,MATCH(A3207,02_轉折點45個!A:A,0)),"")</f>
        <v/>
      </c>
      <c r="G3207" s="7" t="s">
        <v>1994</v>
      </c>
    </row>
    <row r="3208" customFormat="false" ht="15" hidden="false" customHeight="false" outlineLevel="0" collapsed="false">
      <c r="A3208" s="7" t="s">
        <v>4595</v>
      </c>
      <c r="B3208" s="7" t="n">
        <v>2276.24</v>
      </c>
      <c r="C3208" s="7" t="n">
        <f aca="false">AVERAGE(B3159:B3208)</f>
        <v>2342.3022</v>
      </c>
      <c r="D3208" s="7" t="n">
        <f aca="false">AVERAGE(B3009:B3208)</f>
        <v>2468.71845</v>
      </c>
      <c r="E3208" s="7" t="n">
        <f aca="false">B3208/MAX(B2957:B3208)-1</f>
        <v>-0.132923712188451</v>
      </c>
      <c r="F3208" s="7" t="str">
        <f aca="false">IFERROR(INDEX(02_轉折點45個!B:B,MATCH(A3208,02_轉折點45個!A:A,0)),"")</f>
        <v/>
      </c>
      <c r="G3208" s="7" t="s">
        <v>1994</v>
      </c>
    </row>
    <row r="3209" customFormat="false" ht="15" hidden="false" customHeight="false" outlineLevel="0" collapsed="false">
      <c r="A3209" s="7" t="s">
        <v>4596</v>
      </c>
      <c r="B3209" s="7" t="n">
        <v>2266.35</v>
      </c>
      <c r="C3209" s="7" t="n">
        <f aca="false">AVERAGE(B3160:B3209)</f>
        <v>2336.2092</v>
      </c>
      <c r="D3209" s="7" t="n">
        <f aca="false">AVERAGE(B3010:B3209)</f>
        <v>2468.04715</v>
      </c>
      <c r="E3209" s="7" t="n">
        <f aca="false">B3209/MAX(B2958:B3209)-1</f>
        <v>-0.136691058551953</v>
      </c>
      <c r="F3209" s="7" t="str">
        <f aca="false">IFERROR(INDEX(02_轉折點45個!B:B,MATCH(A3209,02_轉折點45個!A:A,0)),"")</f>
        <v/>
      </c>
      <c r="G3209" s="7" t="s">
        <v>1994</v>
      </c>
    </row>
    <row r="3210" customFormat="false" ht="15" hidden="false" customHeight="false" outlineLevel="0" collapsed="false">
      <c r="A3210" s="7" t="s">
        <v>4597</v>
      </c>
      <c r="B3210" s="7" t="n">
        <v>2206.64</v>
      </c>
      <c r="C3210" s="7" t="n">
        <f aca="false">AVERAGE(B3161:B3210)</f>
        <v>2328.5528</v>
      </c>
      <c r="D3210" s="7" t="n">
        <f aca="false">AVERAGE(B3011:B3210)</f>
        <v>2467.12525</v>
      </c>
      <c r="E3210" s="7" t="n">
        <f aca="false">B3210/MAX(B2959:B3210)-1</f>
        <v>-0.159436078912384</v>
      </c>
      <c r="F3210" s="7" t="str">
        <f aca="false">IFERROR(INDEX(02_轉折點45個!B:B,MATCH(A3210,02_轉折點45個!A:A,0)),"")</f>
        <v/>
      </c>
      <c r="G3210" s="7" t="s">
        <v>1994</v>
      </c>
    </row>
    <row r="3211" customFormat="false" ht="15" hidden="false" customHeight="false" outlineLevel="0" collapsed="false">
      <c r="A3211" s="7" t="s">
        <v>143</v>
      </c>
      <c r="B3211" s="7" t="n">
        <v>2133.95</v>
      </c>
      <c r="C3211" s="7" t="n">
        <f aca="false">AVERAGE(B3162:B3211)</f>
        <v>2318.9968</v>
      </c>
      <c r="D3211" s="7" t="n">
        <f aca="false">AVERAGE(B3012:B3211)</f>
        <v>2465.74815</v>
      </c>
      <c r="E3211" s="7" t="n">
        <f aca="false">B3211/MAX(B2960:B3211)-1</f>
        <v>-0.187125503296904</v>
      </c>
      <c r="F3211" s="7" t="str">
        <f aca="false">IFERROR(INDEX(02_轉折點45個!B:B,MATCH(A3211,02_轉折點45個!A:A,0)),"")</f>
        <v>BOTTOM</v>
      </c>
      <c r="G3211" s="7" t="s">
        <v>1994</v>
      </c>
    </row>
    <row r="3212" customFormat="false" ht="15" hidden="false" customHeight="false" outlineLevel="0" collapsed="false">
      <c r="A3212" s="7" t="s">
        <v>4598</v>
      </c>
      <c r="B3212" s="7" t="n">
        <v>2196.98</v>
      </c>
      <c r="C3212" s="7" t="n">
        <f aca="false">AVERAGE(B3163:B3212)</f>
        <v>2310.9944</v>
      </c>
      <c r="D3212" s="7" t="n">
        <f aca="false">AVERAGE(B3013:B3212)</f>
        <v>2464.66035</v>
      </c>
      <c r="E3212" s="7" t="n">
        <f aca="false">B3212/MAX(B2961:B3212)-1</f>
        <v>-0.163115812569757</v>
      </c>
      <c r="F3212" s="7" t="str">
        <f aca="false">IFERROR(INDEX(02_轉折點45個!B:B,MATCH(A3212,02_轉折點45個!A:A,0)),"")</f>
        <v/>
      </c>
      <c r="G3212" s="7" t="s">
        <v>1994</v>
      </c>
    </row>
    <row r="3213" customFormat="false" ht="15" hidden="false" customHeight="false" outlineLevel="0" collapsed="false">
      <c r="A3213" s="7" t="s">
        <v>4599</v>
      </c>
      <c r="B3213" s="7" t="n">
        <v>2247.85</v>
      </c>
      <c r="C3213" s="7" t="n">
        <f aca="false">AVERAGE(B3164:B3213)</f>
        <v>2304.0612</v>
      </c>
      <c r="D3213" s="7" t="n">
        <f aca="false">AVERAGE(B3014:B3213)</f>
        <v>2463.79675</v>
      </c>
      <c r="E3213" s="7" t="n">
        <f aca="false">B3213/MAX(B2962:B3213)-1</f>
        <v>-0.143738167523113</v>
      </c>
      <c r="F3213" s="7" t="str">
        <f aca="false">IFERROR(INDEX(02_轉折點45個!B:B,MATCH(A3213,02_轉折點45個!A:A,0)),"")</f>
        <v/>
      </c>
      <c r="G3213" s="7" t="s">
        <v>1994</v>
      </c>
    </row>
    <row r="3214" customFormat="false" ht="15" hidden="false" customHeight="false" outlineLevel="0" collapsed="false">
      <c r="A3214" s="7" t="s">
        <v>4600</v>
      </c>
      <c r="B3214" s="7" t="n">
        <v>2290.16</v>
      </c>
      <c r="C3214" s="7" t="n">
        <f aca="false">AVERAGE(B3165:B3214)</f>
        <v>2299.3476</v>
      </c>
      <c r="D3214" s="7" t="n">
        <f aca="false">AVERAGE(B3015:B3214)</f>
        <v>2463.06225</v>
      </c>
      <c r="E3214" s="7" t="n">
        <f aca="false">B3214/MAX(B2963:B3214)-1</f>
        <v>-0.127621238843665</v>
      </c>
      <c r="F3214" s="7" t="str">
        <f aca="false">IFERROR(INDEX(02_轉折點45個!B:B,MATCH(A3214,02_轉折點45個!A:A,0)),"")</f>
        <v/>
      </c>
      <c r="G3214" s="7" t="s">
        <v>1994</v>
      </c>
    </row>
    <row r="3215" customFormat="false" ht="15" hidden="false" customHeight="false" outlineLevel="0" collapsed="false">
      <c r="A3215" s="7" t="s">
        <v>4601</v>
      </c>
      <c r="B3215" s="7" t="n">
        <v>2265.07</v>
      </c>
      <c r="C3215" s="7" t="n">
        <f aca="false">AVERAGE(B3166:B3215)</f>
        <v>2294.1056</v>
      </c>
      <c r="D3215" s="7" t="n">
        <f aca="false">AVERAGE(B3016:B3215)</f>
        <v>2462.18465</v>
      </c>
      <c r="E3215" s="7" t="n">
        <f aca="false">B3215/MAX(B2964:B3215)-1</f>
        <v>-0.137178642307795</v>
      </c>
      <c r="F3215" s="7" t="str">
        <f aca="false">IFERROR(INDEX(02_轉折點45個!B:B,MATCH(A3215,02_轉折點45個!A:A,0)),"")</f>
        <v/>
      </c>
      <c r="G3215" s="7" t="s">
        <v>1994</v>
      </c>
    </row>
    <row r="3216" customFormat="false" ht="15" hidden="false" customHeight="false" outlineLevel="0" collapsed="false">
      <c r="A3216" s="7" t="s">
        <v>960</v>
      </c>
      <c r="B3216" s="7" t="n">
        <v>2344.27</v>
      </c>
      <c r="C3216" s="7" t="n">
        <f aca="false">AVERAGE(B3167:B3216)</f>
        <v>2290.628</v>
      </c>
      <c r="D3216" s="7" t="n">
        <f aca="false">AVERAGE(B3017:B3216)</f>
        <v>2461.7299</v>
      </c>
      <c r="E3216" s="7" t="n">
        <f aca="false">B3216/MAX(B2965:B3216)-1</f>
        <v>-0.107009397415044</v>
      </c>
      <c r="F3216" s="7" t="str">
        <f aca="false">IFERROR(INDEX(02_轉折點45個!B:B,MATCH(A3216,02_轉折點45個!A:A,0)),"")</f>
        <v/>
      </c>
      <c r="G3216" s="7" t="s">
        <v>1994</v>
      </c>
    </row>
    <row r="3217" customFormat="false" ht="15" hidden="false" customHeight="false" outlineLevel="0" collapsed="false">
      <c r="A3217" s="7" t="s">
        <v>4602</v>
      </c>
      <c r="B3217" s="7" t="n">
        <v>2359.79</v>
      </c>
      <c r="C3217" s="7" t="n">
        <f aca="false">AVERAGE(B3168:B3217)</f>
        <v>2287.6758</v>
      </c>
      <c r="D3217" s="7" t="n">
        <f aca="false">AVERAGE(B3018:B3217)</f>
        <v>2461.34515</v>
      </c>
      <c r="E3217" s="7" t="n">
        <f aca="false">B3217/MAX(B2966:B3217)-1</f>
        <v>-0.101097444375455</v>
      </c>
      <c r="F3217" s="7" t="str">
        <f aca="false">IFERROR(INDEX(02_轉折點45個!B:B,MATCH(A3217,02_轉折點45個!A:A,0)),"")</f>
        <v/>
      </c>
      <c r="G3217" s="7" t="s">
        <v>1994</v>
      </c>
    </row>
    <row r="3218" customFormat="false" ht="15" hidden="false" customHeight="false" outlineLevel="0" collapsed="false">
      <c r="A3218" s="7" t="s">
        <v>4603</v>
      </c>
      <c r="B3218" s="7" t="n">
        <v>2379.61</v>
      </c>
      <c r="C3218" s="7" t="n">
        <f aca="false">AVERAGE(B3169:B3218)</f>
        <v>2286.4972</v>
      </c>
      <c r="D3218" s="7" t="n">
        <f aca="false">AVERAGE(B3019:B3218)</f>
        <v>2461.07955</v>
      </c>
      <c r="E3218" s="7" t="n">
        <f aca="false">B3218/MAX(B2967:B3218)-1</f>
        <v>-0.093547514656082</v>
      </c>
      <c r="F3218" s="7" t="str">
        <f aca="false">IFERROR(INDEX(02_轉折點45個!B:B,MATCH(A3218,02_轉折點45個!A:A,0)),"")</f>
        <v/>
      </c>
      <c r="G3218" s="7" t="s">
        <v>1994</v>
      </c>
    </row>
    <row r="3219" customFormat="false" ht="15" hidden="false" customHeight="false" outlineLevel="0" collapsed="false">
      <c r="A3219" s="7" t="s">
        <v>4604</v>
      </c>
      <c r="B3219" s="7" t="n">
        <v>2393.78</v>
      </c>
      <c r="C3219" s="7" t="n">
        <f aca="false">AVERAGE(B3170:B3219)</f>
        <v>2285.1664</v>
      </c>
      <c r="D3219" s="7" t="n">
        <f aca="false">AVERAGE(B3020:B3219)</f>
        <v>2460.8663</v>
      </c>
      <c r="E3219" s="7" t="n">
        <f aca="false">B3219/MAX(B2968:B3219)-1</f>
        <v>-0.0881498101089825</v>
      </c>
      <c r="F3219" s="7" t="str">
        <f aca="false">IFERROR(INDEX(02_轉折點45個!B:B,MATCH(A3219,02_轉折點45個!A:A,0)),"")</f>
        <v/>
      </c>
      <c r="G3219" s="7" t="s">
        <v>1994</v>
      </c>
    </row>
    <row r="3220" customFormat="false" ht="15" hidden="false" customHeight="false" outlineLevel="0" collapsed="false">
      <c r="A3220" s="7" t="s">
        <v>4605</v>
      </c>
      <c r="B3220" s="7" t="n">
        <v>2437.27</v>
      </c>
      <c r="C3220" s="7" t="n">
        <f aca="false">AVERAGE(B3171:B3220)</f>
        <v>2287.2028</v>
      </c>
      <c r="D3220" s="7" t="n">
        <f aca="false">AVERAGE(B3021:B3220)</f>
        <v>2460.8885</v>
      </c>
      <c r="E3220" s="7" t="n">
        <f aca="false">B3220/MAX(B2969:B3220)-1</f>
        <v>-0.0715833901546175</v>
      </c>
      <c r="F3220" s="7" t="str">
        <f aca="false">IFERROR(INDEX(02_轉折點45個!B:B,MATCH(A3220,02_轉折點45個!A:A,0)),"")</f>
        <v/>
      </c>
      <c r="G3220" s="7" t="s">
        <v>1994</v>
      </c>
    </row>
    <row r="3221" customFormat="false" ht="15" hidden="false" customHeight="false" outlineLevel="0" collapsed="false">
      <c r="A3221" s="7" t="s">
        <v>4606</v>
      </c>
      <c r="B3221" s="7" t="n">
        <v>2388.92</v>
      </c>
      <c r="C3221" s="7" t="n">
        <f aca="false">AVERAGE(B3172:B3221)</f>
        <v>2288.7104</v>
      </c>
      <c r="D3221" s="7" t="n">
        <f aca="false">AVERAGE(B3022:B3221)</f>
        <v>2460.71515</v>
      </c>
      <c r="E3221" s="7" t="n">
        <f aca="false">B3221/MAX(B2970:B3221)-1</f>
        <v>-0.0900011046819468</v>
      </c>
      <c r="F3221" s="7" t="str">
        <f aca="false">IFERROR(INDEX(02_轉折點45個!B:B,MATCH(A3221,02_轉折點45個!A:A,0)),"")</f>
        <v/>
      </c>
      <c r="G3221" s="7" t="s">
        <v>1994</v>
      </c>
    </row>
    <row r="3222" customFormat="false" ht="15" hidden="false" customHeight="false" outlineLevel="0" collapsed="false">
      <c r="A3222" s="7" t="s">
        <v>961</v>
      </c>
      <c r="B3222" s="7" t="n">
        <v>2427.76</v>
      </c>
      <c r="C3222" s="7" t="n">
        <f aca="false">AVERAGE(B3173:B3222)</f>
        <v>2294.1872</v>
      </c>
      <c r="D3222" s="7" t="n">
        <f aca="false">AVERAGE(B3023:B3222)</f>
        <v>2460.55945</v>
      </c>
      <c r="E3222" s="7" t="n">
        <f aca="false">B3222/MAX(B2971:B3222)-1</f>
        <v>-0.0752059850906029</v>
      </c>
      <c r="F3222" s="7" t="str">
        <f aca="false">IFERROR(INDEX(02_轉折點45個!B:B,MATCH(A3222,02_轉折點45個!A:A,0)),"")</f>
        <v/>
      </c>
      <c r="G3222" s="7" t="s">
        <v>1994</v>
      </c>
    </row>
    <row r="3223" customFormat="false" ht="15" hidden="false" customHeight="false" outlineLevel="0" collapsed="false">
      <c r="A3223" s="7" t="s">
        <v>4607</v>
      </c>
      <c r="B3223" s="7" t="n">
        <v>2378.98</v>
      </c>
      <c r="C3223" s="7" t="n">
        <f aca="false">AVERAGE(B3174:B3223)</f>
        <v>2296.4076</v>
      </c>
      <c r="D3223" s="7" t="n">
        <f aca="false">AVERAGE(B3024:B3223)</f>
        <v>2460.20675</v>
      </c>
      <c r="E3223" s="7" t="n">
        <f aca="false">B3223/MAX(B2972:B3223)-1</f>
        <v>-0.0937874972859107</v>
      </c>
      <c r="F3223" s="7" t="str">
        <f aca="false">IFERROR(INDEX(02_轉折點45個!B:B,MATCH(A3223,02_轉折點45個!A:A,0)),"")</f>
        <v/>
      </c>
      <c r="G3223" s="7" t="s">
        <v>1994</v>
      </c>
    </row>
    <row r="3224" customFormat="false" ht="15" hidden="false" customHeight="false" outlineLevel="0" collapsed="false">
      <c r="A3224" s="7" t="s">
        <v>4608</v>
      </c>
      <c r="B3224" s="7" t="n">
        <v>2374.03</v>
      </c>
      <c r="C3224" s="7" t="n">
        <f aca="false">AVERAGE(B3175:B3224)</f>
        <v>2300.383</v>
      </c>
      <c r="D3224" s="7" t="n">
        <f aca="false">AVERAGE(B3025:B3224)</f>
        <v>2459.7336</v>
      </c>
      <c r="E3224" s="7" t="n">
        <f aca="false">B3224/MAX(B2973:B3224)-1</f>
        <v>-0.0956730750917076</v>
      </c>
      <c r="F3224" s="7" t="str">
        <f aca="false">IFERROR(INDEX(02_轉折點45個!B:B,MATCH(A3224,02_轉折點45個!A:A,0)),"")</f>
        <v/>
      </c>
      <c r="G3224" s="7" t="s">
        <v>1994</v>
      </c>
    </row>
    <row r="3225" customFormat="false" ht="15" hidden="false" customHeight="false" outlineLevel="0" collapsed="false">
      <c r="A3225" s="7" t="s">
        <v>962</v>
      </c>
      <c r="B3225" s="7" t="n">
        <v>2409.51</v>
      </c>
      <c r="C3225" s="7" t="n">
        <f aca="false">AVERAGE(B3176:B3225)</f>
        <v>2303.0284</v>
      </c>
      <c r="D3225" s="7" t="n">
        <f aca="false">AVERAGE(B3026:B3225)</f>
        <v>2459.40275</v>
      </c>
      <c r="E3225" s="7" t="n">
        <f aca="false">B3225/MAX(B2974:B3225)-1</f>
        <v>-0.0821578628594502</v>
      </c>
      <c r="F3225" s="7" t="str">
        <f aca="false">IFERROR(INDEX(02_轉折點45個!B:B,MATCH(A3225,02_轉折點45個!A:A,0)),"")</f>
        <v/>
      </c>
      <c r="G3225" s="7" t="s">
        <v>1994</v>
      </c>
    </row>
    <row r="3226" customFormat="false" ht="15" hidden="false" customHeight="false" outlineLevel="0" collapsed="false">
      <c r="A3226" s="7" t="s">
        <v>963</v>
      </c>
      <c r="B3226" s="7" t="n">
        <v>2466.13</v>
      </c>
      <c r="C3226" s="7" t="n">
        <f aca="false">AVERAGE(B3177:B3226)</f>
        <v>2306.5266</v>
      </c>
      <c r="D3226" s="7" t="n">
        <f aca="false">AVERAGE(B3027:B3226)</f>
        <v>2459.3857</v>
      </c>
      <c r="E3226" s="7" t="n">
        <f aca="false">B3226/MAX(B2975:B3226)-1</f>
        <v>-0.0605899001596075</v>
      </c>
      <c r="F3226" s="7" t="str">
        <f aca="false">IFERROR(INDEX(02_轉折點45個!B:B,MATCH(A3226,02_轉折點45個!A:A,0)),"")</f>
        <v/>
      </c>
      <c r="G3226" s="7" t="s">
        <v>1994</v>
      </c>
    </row>
    <row r="3227" customFormat="false" ht="15" hidden="false" customHeight="false" outlineLevel="0" collapsed="false">
      <c r="A3227" s="7" t="s">
        <v>964</v>
      </c>
      <c r="B3227" s="7" t="n">
        <v>2410.39</v>
      </c>
      <c r="C3227" s="7" t="n">
        <f aca="false">AVERAGE(B3178:B3227)</f>
        <v>2308.0472</v>
      </c>
      <c r="D3227" s="7" t="n">
        <f aca="false">AVERAGE(B3028:B3227)</f>
        <v>2459.0688</v>
      </c>
      <c r="E3227" s="7" t="n">
        <f aca="false">B3227/MAX(B2976:B3227)-1</f>
        <v>-0.0818226490273085</v>
      </c>
      <c r="F3227" s="7" t="str">
        <f aca="false">IFERROR(INDEX(02_轉折點45個!B:B,MATCH(A3227,02_轉折點45個!A:A,0)),"")</f>
        <v/>
      </c>
      <c r="G3227" s="7" t="s">
        <v>1994</v>
      </c>
    </row>
    <row r="3228" customFormat="false" ht="15" hidden="false" customHeight="false" outlineLevel="0" collapsed="false">
      <c r="A3228" s="7" t="s">
        <v>965</v>
      </c>
      <c r="B3228" s="7" t="n">
        <v>2421.58</v>
      </c>
      <c r="C3228" s="7" t="n">
        <f aca="false">AVERAGE(B3179:B3228)</f>
        <v>2310.3718</v>
      </c>
      <c r="D3228" s="7" t="n">
        <f aca="false">AVERAGE(B3029:B3228)</f>
        <v>2458.7666</v>
      </c>
      <c r="E3228" s="7" t="n">
        <f aca="false">B3228/MAX(B2977:B3228)-1</f>
        <v>-0.0775601004117797</v>
      </c>
      <c r="F3228" s="7" t="str">
        <f aca="false">IFERROR(INDEX(02_轉折點45個!B:B,MATCH(A3228,02_轉折點45個!A:A,0)),"")</f>
        <v/>
      </c>
      <c r="G3228" s="7" t="s">
        <v>1994</v>
      </c>
    </row>
    <row r="3229" customFormat="false" ht="15" hidden="false" customHeight="false" outlineLevel="0" collapsed="false">
      <c r="A3229" s="7" t="s">
        <v>966</v>
      </c>
      <c r="B3229" s="7" t="n">
        <v>2501.94</v>
      </c>
      <c r="C3229" s="7" t="n">
        <f aca="false">AVERAGE(B3180:B3229)</f>
        <v>2314.5222</v>
      </c>
      <c r="D3229" s="7" t="n">
        <f aca="false">AVERAGE(B3030:B3229)</f>
        <v>2458.77255</v>
      </c>
      <c r="E3229" s="7" t="n">
        <f aca="false">B3229/MAX(B2978:B3229)-1</f>
        <v>-0.0469489827402969</v>
      </c>
      <c r="F3229" s="7" t="str">
        <f aca="false">IFERROR(INDEX(02_轉折點45個!B:B,MATCH(A3229,02_轉折點45個!A:A,0)),"")</f>
        <v/>
      </c>
      <c r="G3229" s="7" t="s">
        <v>1994</v>
      </c>
    </row>
    <row r="3230" customFormat="false" ht="15" hidden="false" customHeight="false" outlineLevel="0" collapsed="false">
      <c r="A3230" s="7" t="s">
        <v>4609</v>
      </c>
      <c r="B3230" s="7" t="n">
        <v>2500.59</v>
      </c>
      <c r="C3230" s="7" t="n">
        <f aca="false">AVERAGE(B3181:B3230)</f>
        <v>2321.04</v>
      </c>
      <c r="D3230" s="7" t="n">
        <f aca="false">AVERAGE(B3031:B3230)</f>
        <v>2458.78105</v>
      </c>
      <c r="E3230" s="7" t="n">
        <f aca="false">B3230/MAX(B2979:B3230)-1</f>
        <v>-0.047463231232787</v>
      </c>
      <c r="F3230" s="7" t="str">
        <f aca="false">IFERROR(INDEX(02_轉折點45個!B:B,MATCH(A3230,02_轉折點45個!A:A,0)),"")</f>
        <v/>
      </c>
      <c r="G3230" s="7" t="s">
        <v>1994</v>
      </c>
    </row>
    <row r="3231" customFormat="false" ht="15" hidden="false" customHeight="false" outlineLevel="0" collapsed="false">
      <c r="A3231" s="7" t="s">
        <v>967</v>
      </c>
      <c r="B3231" s="7" t="n">
        <v>2452.4</v>
      </c>
      <c r="C3231" s="7" t="n">
        <f aca="false">AVERAGE(B3182:B3231)</f>
        <v>2327.2992</v>
      </c>
      <c r="D3231" s="7" t="n">
        <f aca="false">AVERAGE(B3032:B3231)</f>
        <v>2458.4572</v>
      </c>
      <c r="E3231" s="7" t="n">
        <f aca="false">B3231/MAX(B2980:B3231)-1</f>
        <v>-0.0658199977906361</v>
      </c>
      <c r="F3231" s="7" t="str">
        <f aca="false">IFERROR(INDEX(02_轉折點45個!B:B,MATCH(A3231,02_轉折點45個!A:A,0)),"")</f>
        <v/>
      </c>
      <c r="G3231" s="7" t="s">
        <v>1994</v>
      </c>
    </row>
    <row r="3232" customFormat="false" ht="15" hidden="false" customHeight="false" outlineLevel="0" collapsed="false">
      <c r="A3232" s="7" t="s">
        <v>4610</v>
      </c>
      <c r="B3232" s="7" t="n">
        <v>2381.65</v>
      </c>
      <c r="C3232" s="7" t="n">
        <f aca="false">AVERAGE(B3183:B3232)</f>
        <v>2332.0788</v>
      </c>
      <c r="D3232" s="7" t="n">
        <f aca="false">AVERAGE(B3033:B3232)</f>
        <v>2457.73145</v>
      </c>
      <c r="E3232" s="7" t="n">
        <f aca="false">B3232/MAX(B2981:B3232)-1</f>
        <v>-0.0927704280452082</v>
      </c>
      <c r="F3232" s="7" t="str">
        <f aca="false">IFERROR(INDEX(02_轉折點45個!B:B,MATCH(A3232,02_轉折點45個!A:A,0)),"")</f>
        <v/>
      </c>
      <c r="G3232" s="7" t="s">
        <v>1994</v>
      </c>
    </row>
    <row r="3233" customFormat="false" ht="15" hidden="false" customHeight="false" outlineLevel="0" collapsed="false">
      <c r="A3233" s="7" t="s">
        <v>4611</v>
      </c>
      <c r="B3233" s="7" t="n">
        <v>2411.81</v>
      </c>
      <c r="C3233" s="7" t="n">
        <f aca="false">AVERAGE(B3184:B3233)</f>
        <v>2335.622</v>
      </c>
      <c r="D3233" s="7" t="n">
        <f aca="false">AVERAGE(B3034:B3233)</f>
        <v>2457.34145</v>
      </c>
      <c r="E3233" s="7" t="n">
        <f aca="false">B3233/MAX(B2982:B3233)-1</f>
        <v>-0.0812817357981709</v>
      </c>
      <c r="F3233" s="7" t="str">
        <f aca="false">IFERROR(INDEX(02_轉折點45個!B:B,MATCH(A3233,02_轉折點45個!A:A,0)),"")</f>
        <v/>
      </c>
      <c r="G3233" s="7" t="s">
        <v>1994</v>
      </c>
    </row>
    <row r="3234" customFormat="false" ht="15" hidden="false" customHeight="false" outlineLevel="0" collapsed="false">
      <c r="A3234" s="7" t="s">
        <v>968</v>
      </c>
      <c r="B3234" s="7" t="n">
        <v>2464.79</v>
      </c>
      <c r="C3234" s="7" t="n">
        <f aca="false">AVERAGE(B3185:B3234)</f>
        <v>2339.8296</v>
      </c>
      <c r="D3234" s="7" t="n">
        <f aca="false">AVERAGE(B3035:B3234)</f>
        <v>2457.31255</v>
      </c>
      <c r="E3234" s="7" t="n">
        <f aca="false">B3234/MAX(B2983:B3234)-1</f>
        <v>-0.0611003394040051</v>
      </c>
      <c r="F3234" s="7" t="str">
        <f aca="false">IFERROR(INDEX(02_轉折點45個!B:B,MATCH(A3234,02_轉折點45個!A:A,0)),"")</f>
        <v/>
      </c>
      <c r="G3234" s="7" t="s">
        <v>1994</v>
      </c>
    </row>
    <row r="3235" customFormat="false" ht="15" hidden="false" customHeight="false" outlineLevel="0" collapsed="false">
      <c r="A3235" s="7" t="s">
        <v>969</v>
      </c>
      <c r="B3235" s="7" t="n">
        <v>2453.99</v>
      </c>
      <c r="C3235" s="7" t="n">
        <f aca="false">AVERAGE(B3186:B3235)</f>
        <v>2344.6992</v>
      </c>
      <c r="D3235" s="7" t="n">
        <f aca="false">AVERAGE(B3036:B3235)</f>
        <v>2457.29705</v>
      </c>
      <c r="E3235" s="7" t="n">
        <f aca="false">B3235/MAX(B2984:B3235)-1</f>
        <v>-0.0652143273439257</v>
      </c>
      <c r="F3235" s="7" t="str">
        <f aca="false">IFERROR(INDEX(02_轉折點45個!B:B,MATCH(A3235,02_轉折點45個!A:A,0)),"")</f>
        <v/>
      </c>
      <c r="G3235" s="7" t="s">
        <v>1994</v>
      </c>
    </row>
    <row r="3236" customFormat="false" ht="15" hidden="false" customHeight="false" outlineLevel="0" collapsed="false">
      <c r="A3236" s="7" t="s">
        <v>970</v>
      </c>
      <c r="B3236" s="7" t="n">
        <v>2462.31</v>
      </c>
      <c r="C3236" s="7" t="n">
        <f aca="false">AVERAGE(B3187:B3236)</f>
        <v>2348.635</v>
      </c>
      <c r="D3236" s="7" t="n">
        <f aca="false">AVERAGE(B3037:B3236)</f>
        <v>2457.1952</v>
      </c>
      <c r="E3236" s="7" t="n">
        <f aca="false">B3236/MAX(B2985:B3236)-1</f>
        <v>-0.0620450329309498</v>
      </c>
      <c r="F3236" s="7" t="str">
        <f aca="false">IFERROR(INDEX(02_轉折點45個!B:B,MATCH(A3236,02_轉折點45個!A:A,0)),"")</f>
        <v/>
      </c>
      <c r="G3236" s="7" t="s">
        <v>1994</v>
      </c>
    </row>
    <row r="3237" customFormat="false" ht="15" hidden="false" customHeight="false" outlineLevel="0" collapsed="false">
      <c r="A3237" s="7" t="s">
        <v>4612</v>
      </c>
      <c r="B3237" s="7" t="n">
        <v>2491.76</v>
      </c>
      <c r="C3237" s="7" t="n">
        <f aca="false">AVERAGE(B3188:B3237)</f>
        <v>2351.6568</v>
      </c>
      <c r="D3237" s="7" t="n">
        <f aca="false">AVERAGE(B3038:B3237)</f>
        <v>2457.23285</v>
      </c>
      <c r="E3237" s="7" t="n">
        <f aca="false">B3237/MAX(B2986:B3237)-1</f>
        <v>-0.0508267972984812</v>
      </c>
      <c r="F3237" s="7" t="str">
        <f aca="false">IFERROR(INDEX(02_轉折點45個!B:B,MATCH(A3237,02_轉折點45個!A:A,0)),"")</f>
        <v/>
      </c>
      <c r="G3237" s="7" t="s">
        <v>1994</v>
      </c>
    </row>
    <row r="3238" customFormat="false" ht="15" hidden="false" customHeight="false" outlineLevel="0" collapsed="false">
      <c r="A3238" s="7" t="s">
        <v>971</v>
      </c>
      <c r="B3238" s="7" t="n">
        <v>2395.07</v>
      </c>
      <c r="C3238" s="7" t="n">
        <f aca="false">AVERAGE(B3189:B3238)</f>
        <v>2352.489</v>
      </c>
      <c r="D3238" s="7" t="n">
        <f aca="false">AVERAGE(B3039:B3238)</f>
        <v>2456.69455</v>
      </c>
      <c r="E3238" s="7" t="n">
        <f aca="false">B3238/MAX(B2987:B3238)-1</f>
        <v>-0.0876584171050476</v>
      </c>
      <c r="F3238" s="7" t="str">
        <f aca="false">IFERROR(INDEX(02_轉折點45個!B:B,MATCH(A3238,02_轉折點45個!A:A,0)),"")</f>
        <v/>
      </c>
      <c r="G3238" s="7" t="s">
        <v>1994</v>
      </c>
    </row>
    <row r="3239" customFormat="false" ht="15" hidden="false" customHeight="false" outlineLevel="0" collapsed="false">
      <c r="A3239" s="7" t="s">
        <v>4613</v>
      </c>
      <c r="B3239" s="7" t="n">
        <v>2398.27</v>
      </c>
      <c r="C3239" s="7" t="n">
        <f aca="false">AVERAGE(B3190:B3239)</f>
        <v>2353.324</v>
      </c>
      <c r="D3239" s="7" t="n">
        <f aca="false">AVERAGE(B3040:B3239)</f>
        <v>2456.10015</v>
      </c>
      <c r="E3239" s="7" t="n">
        <f aca="false">B3239/MAX(B2988:B3239)-1</f>
        <v>-0.0864394577154416</v>
      </c>
      <c r="F3239" s="7" t="str">
        <f aca="false">IFERROR(INDEX(02_轉折點45個!B:B,MATCH(A3239,02_轉折點45個!A:A,0)),"")</f>
        <v/>
      </c>
      <c r="G3239" s="7" t="s">
        <v>1994</v>
      </c>
    </row>
    <row r="3240" customFormat="false" ht="15" hidden="false" customHeight="false" outlineLevel="0" collapsed="false">
      <c r="A3240" s="7" t="s">
        <v>4614</v>
      </c>
      <c r="B3240" s="7" t="n">
        <v>2447.23</v>
      </c>
      <c r="C3240" s="7" t="n">
        <f aca="false">AVERAGE(B3191:B3240)</f>
        <v>2355.7488</v>
      </c>
      <c r="D3240" s="7" t="n">
        <f aca="false">AVERAGE(B3041:B3240)</f>
        <v>2456.06295</v>
      </c>
      <c r="E3240" s="7" t="n">
        <f aca="false">B3240/MAX(B2989:B3240)-1</f>
        <v>-0.0677893790544685</v>
      </c>
      <c r="F3240" s="7" t="str">
        <f aca="false">IFERROR(INDEX(02_轉折點45個!B:B,MATCH(A3240,02_轉折點45個!A:A,0)),"")</f>
        <v/>
      </c>
      <c r="G3240" s="7" t="s">
        <v>1994</v>
      </c>
    </row>
    <row r="3241" customFormat="false" ht="15" hidden="false" customHeight="false" outlineLevel="0" collapsed="false">
      <c r="A3241" s="7" t="s">
        <v>4615</v>
      </c>
      <c r="B3241" s="7" t="n">
        <v>2427.56</v>
      </c>
      <c r="C3241" s="7" t="n">
        <f aca="false">AVERAGE(B3192:B3241)</f>
        <v>2358.9808</v>
      </c>
      <c r="D3241" s="7" t="n">
        <f aca="false">AVERAGE(B3042:B3241)</f>
        <v>2455.86715</v>
      </c>
      <c r="E3241" s="7" t="n">
        <f aca="false">B3241/MAX(B2990:B3241)-1</f>
        <v>-0.0752821700524534</v>
      </c>
      <c r="F3241" s="7" t="str">
        <f aca="false">IFERROR(INDEX(02_轉折點45個!B:B,MATCH(A3241,02_轉折點45個!A:A,0)),"")</f>
        <v/>
      </c>
      <c r="G3241" s="7" t="s">
        <v>1994</v>
      </c>
    </row>
    <row r="3242" customFormat="false" ht="15" hidden="false" customHeight="false" outlineLevel="0" collapsed="false">
      <c r="A3242" s="7" t="s">
        <v>4616</v>
      </c>
      <c r="B3242" s="7" t="n">
        <v>2454.04</v>
      </c>
      <c r="C3242" s="7" t="n">
        <f aca="false">AVERAGE(B3193:B3242)</f>
        <v>2362.8612</v>
      </c>
      <c r="D3242" s="7" t="n">
        <f aca="false">AVERAGE(B3043:B3242)</f>
        <v>2455.5703</v>
      </c>
      <c r="E3242" s="7" t="n">
        <f aca="false">B3242/MAX(B2991:B3242)-1</f>
        <v>-0.0651952811034631</v>
      </c>
      <c r="F3242" s="7" t="str">
        <f aca="false">IFERROR(INDEX(02_轉折點45個!B:B,MATCH(A3242,02_轉折點45個!A:A,0)),"")</f>
        <v/>
      </c>
      <c r="G3242" s="7" t="s">
        <v>1994</v>
      </c>
    </row>
    <row r="3243" customFormat="false" ht="15" hidden="false" customHeight="false" outlineLevel="0" collapsed="false">
      <c r="A3243" s="7" t="s">
        <v>4617</v>
      </c>
      <c r="B3243" s="7" t="n">
        <v>2411.48</v>
      </c>
      <c r="C3243" s="7" t="n">
        <f aca="false">AVERAGE(B3194:B3243)</f>
        <v>2364.518</v>
      </c>
      <c r="D3243" s="7" t="n">
        <f aca="false">AVERAGE(B3044:B3243)</f>
        <v>2455.0681</v>
      </c>
      <c r="E3243" s="7" t="n">
        <f aca="false">B3243/MAX(B2992:B3243)-1</f>
        <v>-0.0814074409852239</v>
      </c>
      <c r="F3243" s="7" t="str">
        <f aca="false">IFERROR(INDEX(02_轉折點45個!B:B,MATCH(A3243,02_轉折點45個!A:A,0)),"")</f>
        <v/>
      </c>
      <c r="G3243" s="7" t="s">
        <v>1994</v>
      </c>
    </row>
    <row r="3244" customFormat="false" ht="15" hidden="false" customHeight="false" outlineLevel="0" collapsed="false">
      <c r="A3244" s="7" t="s">
        <v>4618</v>
      </c>
      <c r="B3244" s="7" t="n">
        <v>2364.32</v>
      </c>
      <c r="C3244" s="7" t="n">
        <f aca="false">AVERAGE(B3195:B3244)</f>
        <v>2365.5934</v>
      </c>
      <c r="D3244" s="7" t="n">
        <f aca="false">AVERAGE(B3045:B3244)</f>
        <v>2454.31035</v>
      </c>
      <c r="E3244" s="7" t="n">
        <f aca="false">B3244/MAX(B2993:B3244)-1</f>
        <v>-0.0993718549895436</v>
      </c>
      <c r="F3244" s="7" t="str">
        <f aca="false">IFERROR(INDEX(02_轉折點45個!B:B,MATCH(A3244,02_轉折點45個!A:A,0)),"")</f>
        <v/>
      </c>
      <c r="G3244" s="7" t="s">
        <v>1994</v>
      </c>
    </row>
    <row r="3245" customFormat="false" ht="15" hidden="false" customHeight="false" outlineLevel="0" collapsed="false">
      <c r="A3245" s="7" t="s">
        <v>4619</v>
      </c>
      <c r="B3245" s="7" t="n">
        <v>2350.17</v>
      </c>
      <c r="C3245" s="7" t="n">
        <f aca="false">AVERAGE(B3196:B3245)</f>
        <v>2367.503</v>
      </c>
      <c r="D3245" s="7" t="n">
        <f aca="false">AVERAGE(B3046:B3245)</f>
        <v>2453.4114</v>
      </c>
      <c r="E3245" s="7" t="n">
        <f aca="false">B3245/MAX(B2994:B3245)-1</f>
        <v>-0.104761941040458</v>
      </c>
      <c r="F3245" s="7" t="str">
        <f aca="false">IFERROR(INDEX(02_轉折點45個!B:B,MATCH(A3245,02_轉折點45個!A:A,0)),"")</f>
        <v/>
      </c>
      <c r="G3245" s="7" t="s">
        <v>1994</v>
      </c>
    </row>
    <row r="3246" customFormat="false" ht="15" hidden="false" customHeight="false" outlineLevel="0" collapsed="false">
      <c r="A3246" s="7" t="s">
        <v>4620</v>
      </c>
      <c r="B3246" s="7" t="n">
        <v>2305.07</v>
      </c>
      <c r="C3246" s="7" t="n">
        <f aca="false">AVERAGE(B3197:B3246)</f>
        <v>2368.0154</v>
      </c>
      <c r="D3246" s="7" t="n">
        <f aca="false">AVERAGE(B3047:B3246)</f>
        <v>2452.21985</v>
      </c>
      <c r="E3246" s="7" t="n">
        <f aca="false">B3246/MAX(B2995:B3246)-1</f>
        <v>-0.121941649937719</v>
      </c>
      <c r="F3246" s="7" t="str">
        <f aca="false">IFERROR(INDEX(02_轉折點45個!B:B,MATCH(A3246,02_轉折點45個!A:A,0)),"")</f>
        <v/>
      </c>
      <c r="G3246" s="7" t="s">
        <v>1994</v>
      </c>
    </row>
    <row r="3247" customFormat="false" ht="15" hidden="false" customHeight="false" outlineLevel="0" collapsed="false">
      <c r="A3247" s="7" t="s">
        <v>4621</v>
      </c>
      <c r="B3247" s="7" t="n">
        <v>2303.37</v>
      </c>
      <c r="C3247" s="7" t="n">
        <f aca="false">AVERAGE(B3198:B3247)</f>
        <v>2367.8168</v>
      </c>
      <c r="D3247" s="7" t="n">
        <f aca="false">AVERAGE(B3048:B3247)</f>
        <v>2450.96015</v>
      </c>
      <c r="E3247" s="7" t="n">
        <f aca="false">B3247/MAX(B2996:B3247)-1</f>
        <v>-0.122589222113447</v>
      </c>
      <c r="F3247" s="7" t="str">
        <f aca="false">IFERROR(INDEX(02_轉折點45個!B:B,MATCH(A3247,02_轉折點45個!A:A,0)),"")</f>
        <v/>
      </c>
      <c r="G3247" s="7" t="s">
        <v>1994</v>
      </c>
    </row>
    <row r="3248" customFormat="false" ht="15" hidden="false" customHeight="false" outlineLevel="0" collapsed="false">
      <c r="A3248" s="7" t="s">
        <v>4622</v>
      </c>
      <c r="B3248" s="7" t="n">
        <v>2247.46</v>
      </c>
      <c r="C3248" s="7" t="n">
        <f aca="false">AVERAGE(B3199:B3248)</f>
        <v>2365.7618</v>
      </c>
      <c r="D3248" s="7" t="n">
        <f aca="false">AVERAGE(B3049:B3248)</f>
        <v>2449.45735</v>
      </c>
      <c r="E3248" s="7" t="n">
        <f aca="false">B3248/MAX(B2997:B3248)-1</f>
        <v>-0.143886728198721</v>
      </c>
      <c r="F3248" s="7" t="str">
        <f aca="false">IFERROR(INDEX(02_轉折點45個!B:B,MATCH(A3248,02_轉折點45個!A:A,0)),"")</f>
        <v/>
      </c>
      <c r="G3248" s="7" t="s">
        <v>1994</v>
      </c>
    </row>
    <row r="3249" customFormat="false" ht="15" hidden="false" customHeight="false" outlineLevel="0" collapsed="false">
      <c r="A3249" s="7" t="s">
        <v>4623</v>
      </c>
      <c r="B3249" s="7" t="n">
        <v>2230.5</v>
      </c>
      <c r="C3249" s="7" t="n">
        <f aca="false">AVERAGE(B3200:B3249)</f>
        <v>2362.7368</v>
      </c>
      <c r="D3249" s="7" t="n">
        <f aca="false">AVERAGE(B3050:B3249)</f>
        <v>2447.86345</v>
      </c>
      <c r="E3249" s="7" t="n">
        <f aca="false">B3249/MAX(B2998:B3249)-1</f>
        <v>-0.150347212963633</v>
      </c>
      <c r="F3249" s="7" t="str">
        <f aca="false">IFERROR(INDEX(02_轉折點45個!B:B,MATCH(A3249,02_轉折點45個!A:A,0)),"")</f>
        <v/>
      </c>
      <c r="G3249" s="7" t="s">
        <v>1994</v>
      </c>
    </row>
    <row r="3250" customFormat="false" ht="15" hidden="false" customHeight="false" outlineLevel="0" collapsed="false">
      <c r="A3250" s="7" t="s">
        <v>4624</v>
      </c>
      <c r="B3250" s="7" t="n">
        <v>2308.91</v>
      </c>
      <c r="C3250" s="7" t="n">
        <f aca="false">AVERAGE(B3201:B3250)</f>
        <v>2361.0016</v>
      </c>
      <c r="D3250" s="7" t="n">
        <f aca="false">AVERAGE(B3051:B3250)</f>
        <v>2446.57485</v>
      </c>
      <c r="E3250" s="7" t="n">
        <f aca="false">B3250/MAX(B2999:B3250)-1</f>
        <v>-0.120478898670192</v>
      </c>
      <c r="F3250" s="7" t="str">
        <f aca="false">IFERROR(INDEX(02_轉折點45個!B:B,MATCH(A3250,02_轉折點45個!A:A,0)),"")</f>
        <v/>
      </c>
      <c r="G3250" s="7" t="s">
        <v>1994</v>
      </c>
    </row>
    <row r="3251" customFormat="false" ht="15" hidden="false" customHeight="false" outlineLevel="0" collapsed="false">
      <c r="A3251" s="7" t="s">
        <v>4625</v>
      </c>
      <c r="B3251" s="7" t="n">
        <v>2298.1</v>
      </c>
      <c r="C3251" s="7" t="n">
        <f aca="false">AVERAGE(B3202:B3251)</f>
        <v>2359.2234</v>
      </c>
      <c r="D3251" s="7" t="n">
        <f aca="false">AVERAGE(B3052:B3251)</f>
        <v>2445.19685</v>
      </c>
      <c r="E3251" s="7" t="n">
        <f aca="false">B3251/MAX(B3000:B3251)-1</f>
        <v>-0.124596695858205</v>
      </c>
      <c r="F3251" s="7" t="str">
        <f aca="false">IFERROR(INDEX(02_轉折點45個!B:B,MATCH(A3251,02_轉折點45個!A:A,0)),"")</f>
        <v/>
      </c>
      <c r="G3251" s="7" t="s">
        <v>1994</v>
      </c>
    </row>
    <row r="3252" customFormat="false" ht="15" hidden="false" customHeight="false" outlineLevel="0" collapsed="false">
      <c r="A3252" s="7" t="s">
        <v>4626</v>
      </c>
      <c r="B3252" s="7" t="n">
        <v>2393.87</v>
      </c>
      <c r="C3252" s="7" t="n">
        <f aca="false">AVERAGE(B3203:B3252)</f>
        <v>2359.7734</v>
      </c>
      <c r="D3252" s="7" t="n">
        <f aca="false">AVERAGE(B3053:B3252)</f>
        <v>2444.3563</v>
      </c>
      <c r="E3252" s="7" t="n">
        <f aca="false">B3252/MAX(B3001:B3252)-1</f>
        <v>-0.08811552687615</v>
      </c>
      <c r="F3252" s="7" t="str">
        <f aca="false">IFERROR(INDEX(02_轉折點45個!B:B,MATCH(A3252,02_轉折點45個!A:A,0)),"")</f>
        <v/>
      </c>
      <c r="G3252" s="7" t="s">
        <v>1994</v>
      </c>
    </row>
    <row r="3253" customFormat="false" ht="15" hidden="false" customHeight="false" outlineLevel="0" collapsed="false">
      <c r="A3253" s="7" t="s">
        <v>4627</v>
      </c>
      <c r="B3253" s="7" t="n">
        <v>2399.22</v>
      </c>
      <c r="C3253" s="7" t="n">
        <f aca="false">AVERAGE(B3204:B3253)</f>
        <v>2361.3814</v>
      </c>
      <c r="D3253" s="7" t="n">
        <f aca="false">AVERAGE(B3054:B3253)</f>
        <v>2443.44565</v>
      </c>
      <c r="E3253" s="7" t="n">
        <f aca="false">B3253/MAX(B3002:B3253)-1</f>
        <v>-0.0860775791466524</v>
      </c>
      <c r="F3253" s="7" t="str">
        <f aca="false">IFERROR(INDEX(02_轉折點45個!B:B,MATCH(A3253,02_轉折點45個!A:A,0)),"")</f>
        <v/>
      </c>
      <c r="G3253" s="7" t="s">
        <v>1994</v>
      </c>
    </row>
    <row r="3254" customFormat="false" ht="15" hidden="false" customHeight="false" outlineLevel="0" collapsed="false">
      <c r="A3254" s="7" t="s">
        <v>4628</v>
      </c>
      <c r="B3254" s="7" t="n">
        <v>2399.89</v>
      </c>
      <c r="C3254" s="7" t="n">
        <f aca="false">AVERAGE(B3205:B3254)</f>
        <v>2364.5106</v>
      </c>
      <c r="D3254" s="7" t="n">
        <f aca="false">AVERAGE(B3055:B3254)</f>
        <v>2442.51085</v>
      </c>
      <c r="E3254" s="7" t="n">
        <f aca="false">B3254/MAX(B3003:B3254)-1</f>
        <v>-0.0858223595244535</v>
      </c>
      <c r="F3254" s="7" t="str">
        <f aca="false">IFERROR(INDEX(02_轉折點45個!B:B,MATCH(A3254,02_轉折點45個!A:A,0)),"")</f>
        <v/>
      </c>
      <c r="G3254" s="7" t="s">
        <v>1994</v>
      </c>
    </row>
    <row r="3255" customFormat="false" ht="15" hidden="false" customHeight="false" outlineLevel="0" collapsed="false">
      <c r="A3255" s="7" t="s">
        <v>4629</v>
      </c>
      <c r="B3255" s="7" t="n">
        <v>2426.23</v>
      </c>
      <c r="C3255" s="7" t="n">
        <f aca="false">AVERAGE(B3206:B3255)</f>
        <v>2367.663</v>
      </c>
      <c r="D3255" s="7" t="n">
        <f aca="false">AVERAGE(B3056:B3255)</f>
        <v>2441.6969</v>
      </c>
      <c r="E3255" s="7" t="n">
        <f aca="false">B3255/MAX(B3004:B3255)-1</f>
        <v>-0.0757888000487584</v>
      </c>
      <c r="F3255" s="7" t="str">
        <f aca="false">IFERROR(INDEX(02_轉折點45個!B:B,MATCH(A3255,02_轉折點45個!A:A,0)),"")</f>
        <v/>
      </c>
      <c r="G3255" s="7" t="s">
        <v>1994</v>
      </c>
    </row>
    <row r="3256" customFormat="false" ht="15" hidden="false" customHeight="false" outlineLevel="0" collapsed="false">
      <c r="A3256" s="7" t="s">
        <v>4630</v>
      </c>
      <c r="B3256" s="7" t="n">
        <v>2420.57</v>
      </c>
      <c r="C3256" s="7" t="n">
        <f aca="false">AVERAGE(B3207:B3256)</f>
        <v>2370.0908</v>
      </c>
      <c r="D3256" s="7" t="n">
        <f aca="false">AVERAGE(B3057:B3256)</f>
        <v>2441.2088</v>
      </c>
      <c r="E3256" s="7" t="n">
        <f aca="false">B3256/MAX(B3005:B3256)-1</f>
        <v>-0.0779448344691242</v>
      </c>
      <c r="F3256" s="7" t="str">
        <f aca="false">IFERROR(INDEX(02_轉折點45個!B:B,MATCH(A3256,02_轉折點45個!A:A,0)),"")</f>
        <v/>
      </c>
      <c r="G3256" s="7" t="s">
        <v>1994</v>
      </c>
    </row>
    <row r="3257" customFormat="false" ht="15" hidden="false" customHeight="false" outlineLevel="0" collapsed="false">
      <c r="A3257" s="7" t="s">
        <v>4631</v>
      </c>
      <c r="B3257" s="7" t="n">
        <v>2420.25</v>
      </c>
      <c r="C3257" s="7" t="n">
        <f aca="false">AVERAGE(B3208:B3257)</f>
        <v>2371.9616</v>
      </c>
      <c r="D3257" s="7" t="n">
        <f aca="false">AVERAGE(B3058:B3257)</f>
        <v>2440.8718</v>
      </c>
      <c r="E3257" s="7" t="n">
        <f aca="false">B3257/MAX(B3006:B3257)-1</f>
        <v>-0.0780667304080848</v>
      </c>
      <c r="F3257" s="7" t="str">
        <f aca="false">IFERROR(INDEX(02_轉折點45個!B:B,MATCH(A3257,02_轉折點45個!A:A,0)),"")</f>
        <v/>
      </c>
      <c r="G3257" s="7" t="s">
        <v>1994</v>
      </c>
    </row>
    <row r="3258" customFormat="false" ht="15" hidden="false" customHeight="false" outlineLevel="0" collapsed="false">
      <c r="A3258" s="7" t="s">
        <v>4632</v>
      </c>
      <c r="B3258" s="7" t="n">
        <v>2371.98</v>
      </c>
      <c r="C3258" s="7" t="n">
        <f aca="false">AVERAGE(B3209:B3258)</f>
        <v>2373.8764</v>
      </c>
      <c r="D3258" s="7" t="n">
        <f aca="false">AVERAGE(B3059:B3258)</f>
        <v>2440.22535</v>
      </c>
      <c r="E3258" s="7" t="n">
        <f aca="false">B3258/MAX(B3007:B3258)-1</f>
        <v>-0.0964539709506741</v>
      </c>
      <c r="F3258" s="7" t="str">
        <f aca="false">IFERROR(INDEX(02_轉折點45個!B:B,MATCH(A3258,02_轉折點45個!A:A,0)),"")</f>
        <v/>
      </c>
      <c r="G3258" s="7" t="s">
        <v>1994</v>
      </c>
    </row>
    <row r="3259" customFormat="false" ht="15" hidden="false" customHeight="false" outlineLevel="0" collapsed="false">
      <c r="A3259" s="7" t="s">
        <v>4633</v>
      </c>
      <c r="B3259" s="7" t="n">
        <v>2418.09</v>
      </c>
      <c r="C3259" s="7" t="n">
        <f aca="false">AVERAGE(B3210:B3259)</f>
        <v>2376.9112</v>
      </c>
      <c r="D3259" s="7" t="n">
        <f aca="false">AVERAGE(B3060:B3259)</f>
        <v>2439.61235</v>
      </c>
      <c r="E3259" s="7" t="n">
        <f aca="false">B3259/MAX(B3008:B3259)-1</f>
        <v>-0.0788895279960689</v>
      </c>
      <c r="F3259" s="7" t="str">
        <f aca="false">IFERROR(INDEX(02_轉折點45個!B:B,MATCH(A3259,02_轉折點45個!A:A,0)),"")</f>
        <v/>
      </c>
      <c r="G3259" s="7" t="s">
        <v>1994</v>
      </c>
    </row>
    <row r="3260" customFormat="false" ht="15" hidden="false" customHeight="false" outlineLevel="0" collapsed="false">
      <c r="A3260" s="7" t="s">
        <v>4634</v>
      </c>
      <c r="B3260" s="7" t="n">
        <v>2386.49</v>
      </c>
      <c r="C3260" s="7" t="n">
        <f aca="false">AVERAGE(B3211:B3260)</f>
        <v>2380.5082</v>
      </c>
      <c r="D3260" s="7" t="n">
        <f aca="false">AVERAGE(B3061:B3260)</f>
        <v>2438.83575</v>
      </c>
      <c r="E3260" s="7" t="n">
        <f aca="false">B3260/MAX(B3009:B3260)-1</f>
        <v>-0.090926751968429</v>
      </c>
      <c r="F3260" s="7" t="str">
        <f aca="false">IFERROR(INDEX(02_轉折點45個!B:B,MATCH(A3260,02_轉折點45個!A:A,0)),"")</f>
        <v/>
      </c>
      <c r="G3260" s="7" t="s">
        <v>1994</v>
      </c>
    </row>
    <row r="3261" customFormat="false" ht="15" hidden="false" customHeight="false" outlineLevel="0" collapsed="false">
      <c r="A3261" s="7" t="s">
        <v>4635</v>
      </c>
      <c r="B3261" s="7" t="n">
        <v>2356.35</v>
      </c>
      <c r="C3261" s="7" t="n">
        <f aca="false">AVERAGE(B3212:B3261)</f>
        <v>2384.9562</v>
      </c>
      <c r="D3261" s="7" t="n">
        <f aca="false">AVERAGE(B3062:B3261)</f>
        <v>2438.1134</v>
      </c>
      <c r="E3261" s="7" t="n">
        <f aca="false">B3261/MAX(B3010:B3261)-1</f>
        <v>-0.102407825719281</v>
      </c>
      <c r="F3261" s="7" t="str">
        <f aca="false">IFERROR(INDEX(02_轉折點45個!B:B,MATCH(A3261,02_轉折點45個!A:A,0)),"")</f>
        <v/>
      </c>
      <c r="G3261" s="7" t="s">
        <v>1994</v>
      </c>
    </row>
    <row r="3262" customFormat="false" ht="15" hidden="false" customHeight="false" outlineLevel="0" collapsed="false">
      <c r="A3262" s="7" t="s">
        <v>4636</v>
      </c>
      <c r="B3262" s="7" t="n">
        <v>2319.84</v>
      </c>
      <c r="C3262" s="7" t="n">
        <f aca="false">AVERAGE(B3213:B3262)</f>
        <v>2387.4134</v>
      </c>
      <c r="D3262" s="7" t="n">
        <f aca="false">AVERAGE(B3063:B3262)</f>
        <v>2437.1598</v>
      </c>
      <c r="E3262" s="7" t="n">
        <f aca="false">B3262/MAX(B3011:B3262)-1</f>
        <v>-0.116315390505068</v>
      </c>
      <c r="F3262" s="7" t="str">
        <f aca="false">IFERROR(INDEX(02_轉折點45個!B:B,MATCH(A3262,02_轉折點45個!A:A,0)),"")</f>
        <v/>
      </c>
      <c r="G3262" s="7" t="s">
        <v>1994</v>
      </c>
    </row>
    <row r="3263" customFormat="false" ht="15" hidden="false" customHeight="false" outlineLevel="0" collapsed="false">
      <c r="A3263" s="7" t="s">
        <v>4637</v>
      </c>
      <c r="B3263" s="7" t="n">
        <v>2321.4</v>
      </c>
      <c r="C3263" s="7" t="n">
        <f aca="false">AVERAGE(B3214:B3263)</f>
        <v>2388.8844</v>
      </c>
      <c r="D3263" s="7" t="n">
        <f aca="false">AVERAGE(B3064:B3263)</f>
        <v>2435.98255</v>
      </c>
      <c r="E3263" s="7" t="n">
        <f aca="false">B3263/MAX(B3012:B3263)-1</f>
        <v>-0.115721147802635</v>
      </c>
      <c r="F3263" s="7" t="str">
        <f aca="false">IFERROR(INDEX(02_轉折點45個!B:B,MATCH(A3263,02_轉折點45個!A:A,0)),"")</f>
        <v/>
      </c>
      <c r="G3263" s="7" t="s">
        <v>1994</v>
      </c>
    </row>
    <row r="3264" customFormat="false" ht="15" hidden="false" customHeight="false" outlineLevel="0" collapsed="false">
      <c r="A3264" s="7" t="s">
        <v>4638</v>
      </c>
      <c r="B3264" s="7" t="n">
        <v>2334.48</v>
      </c>
      <c r="C3264" s="7" t="n">
        <f aca="false">AVERAGE(B3215:B3264)</f>
        <v>2389.7708</v>
      </c>
      <c r="D3264" s="7" t="n">
        <f aca="false">AVERAGE(B3065:B3264)</f>
        <v>2434.93495</v>
      </c>
      <c r="E3264" s="7" t="n">
        <f aca="false">B3264/MAX(B3013:B3264)-1</f>
        <v>-0.11073865129762</v>
      </c>
      <c r="F3264" s="7" t="str">
        <f aca="false">IFERROR(INDEX(02_轉折點45個!B:B,MATCH(A3264,02_轉折點45個!A:A,0)),"")</f>
        <v/>
      </c>
      <c r="G3264" s="7" t="s">
        <v>1994</v>
      </c>
    </row>
    <row r="3265" customFormat="false" ht="15" hidden="false" customHeight="false" outlineLevel="0" collapsed="false">
      <c r="A3265" s="7" t="s">
        <v>4639</v>
      </c>
      <c r="B3265" s="7" t="n">
        <v>2305.07</v>
      </c>
      <c r="C3265" s="7" t="n">
        <f aca="false">AVERAGE(B3216:B3265)</f>
        <v>2390.5708</v>
      </c>
      <c r="D3265" s="7" t="n">
        <f aca="false">AVERAGE(B3066:B3265)</f>
        <v>2433.91865</v>
      </c>
      <c r="E3265" s="7" t="n">
        <f aca="false">B3265/MAX(B3014:B3265)-1</f>
        <v>-0.121941649937719</v>
      </c>
      <c r="F3265" s="7" t="str">
        <f aca="false">IFERROR(INDEX(02_轉折點45個!B:B,MATCH(A3265,02_轉折點45個!A:A,0)),"")</f>
        <v/>
      </c>
      <c r="G3265" s="7" t="s">
        <v>1994</v>
      </c>
    </row>
    <row r="3266" customFormat="false" ht="15" hidden="false" customHeight="false" outlineLevel="0" collapsed="false">
      <c r="A3266" s="7" t="s">
        <v>4640</v>
      </c>
      <c r="B3266" s="7" t="n">
        <v>2378.7</v>
      </c>
      <c r="C3266" s="7" t="n">
        <f aca="false">AVERAGE(B3217:B3266)</f>
        <v>2391.2594</v>
      </c>
      <c r="D3266" s="7" t="n">
        <f aca="false">AVERAGE(B3067:B3266)</f>
        <v>2433.1785</v>
      </c>
      <c r="E3266" s="7" t="n">
        <f aca="false">B3266/MAX(B3015:B3266)-1</f>
        <v>-0.0938941562325013</v>
      </c>
      <c r="F3266" s="7" t="str">
        <f aca="false">IFERROR(INDEX(02_轉折點45個!B:B,MATCH(A3266,02_轉折點45個!A:A,0)),"")</f>
        <v/>
      </c>
      <c r="G3266" s="7" t="s">
        <v>1994</v>
      </c>
    </row>
    <row r="3267" customFormat="false" ht="15" hidden="false" customHeight="false" outlineLevel="0" collapsed="false">
      <c r="A3267" s="7" t="s">
        <v>4641</v>
      </c>
      <c r="B3267" s="7" t="n">
        <v>2355.16</v>
      </c>
      <c r="C3267" s="7" t="n">
        <f aca="false">AVERAGE(B3218:B3267)</f>
        <v>2391.1668</v>
      </c>
      <c r="D3267" s="7" t="n">
        <f aca="false">AVERAGE(B3068:B3267)</f>
        <v>2432.3848</v>
      </c>
      <c r="E3267" s="7" t="n">
        <f aca="false">B3267/MAX(B3016:B3267)-1</f>
        <v>-0.102861126242291</v>
      </c>
      <c r="F3267" s="7" t="str">
        <f aca="false">IFERROR(INDEX(02_轉折點45個!B:B,MATCH(A3267,02_轉折點45個!A:A,0)),"")</f>
        <v/>
      </c>
      <c r="G3267" s="7" t="s">
        <v>1994</v>
      </c>
    </row>
    <row r="3268" customFormat="false" ht="15" hidden="false" customHeight="false" outlineLevel="0" collapsed="false">
      <c r="A3268" s="7" t="s">
        <v>4642</v>
      </c>
      <c r="B3268" s="7" t="n">
        <v>2374.79</v>
      </c>
      <c r="C3268" s="7" t="n">
        <f aca="false">AVERAGE(B3219:B3268)</f>
        <v>2391.0704</v>
      </c>
      <c r="D3268" s="7" t="n">
        <f aca="false">AVERAGE(B3069:B3268)</f>
        <v>2431.92085</v>
      </c>
      <c r="E3268" s="7" t="n">
        <f aca="false">B3268/MAX(B3017:B3268)-1</f>
        <v>-0.0953835722366763</v>
      </c>
      <c r="F3268" s="7" t="str">
        <f aca="false">IFERROR(INDEX(02_轉折點45個!B:B,MATCH(A3268,02_轉折點45個!A:A,0)),"")</f>
        <v/>
      </c>
      <c r="G3268" s="7" t="s">
        <v>1994</v>
      </c>
    </row>
    <row r="3269" customFormat="false" ht="15" hidden="false" customHeight="false" outlineLevel="0" collapsed="false">
      <c r="A3269" s="7" t="s">
        <v>4643</v>
      </c>
      <c r="B3269" s="7" t="n">
        <v>2392.32</v>
      </c>
      <c r="C3269" s="7" t="n">
        <f aca="false">AVERAGE(B3220:B3269)</f>
        <v>2391.0412</v>
      </c>
      <c r="D3269" s="7" t="n">
        <f aca="false">AVERAGE(B3070:B3269)</f>
        <v>2431.4779</v>
      </c>
      <c r="E3269" s="7" t="n">
        <f aca="false">B3269/MAX(B3018:B3269)-1</f>
        <v>-0.0887059603304903</v>
      </c>
      <c r="F3269" s="7" t="str">
        <f aca="false">IFERROR(INDEX(02_轉折點45個!B:B,MATCH(A3269,02_轉折點45個!A:A,0)),"")</f>
        <v/>
      </c>
      <c r="G3269" s="7" t="s">
        <v>1994</v>
      </c>
    </row>
    <row r="3270" customFormat="false" ht="15" hidden="false" customHeight="false" outlineLevel="0" collapsed="false">
      <c r="A3270" s="7" t="s">
        <v>4644</v>
      </c>
      <c r="B3270" s="7" t="n">
        <v>2398.31</v>
      </c>
      <c r="C3270" s="7" t="n">
        <f aca="false">AVERAGE(B3221:B3270)</f>
        <v>2390.262</v>
      </c>
      <c r="D3270" s="7" t="n">
        <f aca="false">AVERAGE(B3071:B3270)</f>
        <v>2431.1318</v>
      </c>
      <c r="E3270" s="7" t="n">
        <f aca="false">B3270/MAX(B3019:B3270)-1</f>
        <v>-0.0864242207230715</v>
      </c>
      <c r="F3270" s="7" t="str">
        <f aca="false">IFERROR(INDEX(02_轉折點45個!B:B,MATCH(A3270,02_轉折點45個!A:A,0)),"")</f>
        <v/>
      </c>
      <c r="G3270" s="7" t="s">
        <v>1994</v>
      </c>
    </row>
    <row r="3271" customFormat="false" ht="15" hidden="false" customHeight="false" outlineLevel="0" collapsed="false">
      <c r="A3271" s="7" t="s">
        <v>4645</v>
      </c>
      <c r="B3271" s="7" t="n">
        <v>2366.13</v>
      </c>
      <c r="C3271" s="7" t="n">
        <f aca="false">AVERAGE(B3222:B3271)</f>
        <v>2389.8062</v>
      </c>
      <c r="D3271" s="7" t="n">
        <f aca="false">AVERAGE(B3072:B3271)</f>
        <v>2430.77845</v>
      </c>
      <c r="E3271" s="7" t="n">
        <f aca="false">B3271/MAX(B3020:B3271)-1</f>
        <v>-0.0986823810847977</v>
      </c>
      <c r="F3271" s="7" t="str">
        <f aca="false">IFERROR(INDEX(02_轉折點45個!B:B,MATCH(A3271,02_轉折點45個!A:A,0)),"")</f>
        <v/>
      </c>
      <c r="G3271" s="7" t="s">
        <v>1994</v>
      </c>
    </row>
    <row r="3272" customFormat="false" ht="15" hidden="false" customHeight="false" outlineLevel="0" collapsed="false">
      <c r="A3272" s="7" t="s">
        <v>4646</v>
      </c>
      <c r="B3272" s="7" t="n">
        <v>2387.84</v>
      </c>
      <c r="C3272" s="7" t="n">
        <f aca="false">AVERAGE(B3223:B3272)</f>
        <v>2389.0078</v>
      </c>
      <c r="D3272" s="7" t="n">
        <f aca="false">AVERAGE(B3073:B3272)</f>
        <v>2430.76435</v>
      </c>
      <c r="E3272" s="7" t="n">
        <f aca="false">B3272/MAX(B3021:B3272)-1</f>
        <v>-0.0904125034759389</v>
      </c>
      <c r="F3272" s="7" t="str">
        <f aca="false">IFERROR(INDEX(02_轉折點45個!B:B,MATCH(A3272,02_轉折點45個!A:A,0)),"")</f>
        <v/>
      </c>
      <c r="G3272" s="7" t="s">
        <v>1994</v>
      </c>
    </row>
    <row r="3273" customFormat="false" ht="15" hidden="false" customHeight="false" outlineLevel="0" collapsed="false">
      <c r="A3273" s="7" t="s">
        <v>4647</v>
      </c>
      <c r="B3273" s="7" t="n">
        <v>2379.99</v>
      </c>
      <c r="C3273" s="7" t="n">
        <f aca="false">AVERAGE(B3224:B3273)</f>
        <v>2389.028</v>
      </c>
      <c r="D3273" s="7" t="n">
        <f aca="false">AVERAGE(B3074:B3273)</f>
        <v>2430.6232</v>
      </c>
      <c r="E3273" s="7" t="n">
        <f aca="false">B3273/MAX(B3022:B3273)-1</f>
        <v>-0.0934027632285664</v>
      </c>
      <c r="F3273" s="7" t="str">
        <f aca="false">IFERROR(INDEX(02_轉折點45個!B:B,MATCH(A3273,02_轉折點45個!A:A,0)),"")</f>
        <v/>
      </c>
      <c r="G3273" s="7" t="s">
        <v>1994</v>
      </c>
    </row>
    <row r="3274" customFormat="false" ht="15" hidden="false" customHeight="false" outlineLevel="0" collapsed="false">
      <c r="A3274" s="7" t="s">
        <v>972</v>
      </c>
      <c r="B3274" s="7" t="n">
        <v>2419.8</v>
      </c>
      <c r="C3274" s="7" t="n">
        <f aca="false">AVERAGE(B3225:B3274)</f>
        <v>2389.9434</v>
      </c>
      <c r="D3274" s="7" t="n">
        <f aca="false">AVERAGE(B3075:B3274)</f>
        <v>2430.6463</v>
      </c>
      <c r="E3274" s="7" t="n">
        <f aca="false">B3274/MAX(B3023:B3274)-1</f>
        <v>-0.078238146572248</v>
      </c>
      <c r="F3274" s="7" t="str">
        <f aca="false">IFERROR(INDEX(02_轉折點45個!B:B,MATCH(A3274,02_轉折點45個!A:A,0)),"")</f>
        <v/>
      </c>
      <c r="G3274" s="7" t="s">
        <v>1994</v>
      </c>
    </row>
    <row r="3275" customFormat="false" ht="15" hidden="false" customHeight="false" outlineLevel="0" collapsed="false">
      <c r="A3275" s="7" t="s">
        <v>4648</v>
      </c>
      <c r="B3275" s="7" t="n">
        <v>2419.47</v>
      </c>
      <c r="C3275" s="7" t="n">
        <f aca="false">AVERAGE(B3226:B3275)</f>
        <v>2390.1426</v>
      </c>
      <c r="D3275" s="7" t="n">
        <f aca="false">AVERAGE(B3076:B3275)</f>
        <v>2430.44655</v>
      </c>
      <c r="E3275" s="7" t="n">
        <f aca="false">B3275/MAX(B3024:B3275)-1</f>
        <v>-0.0783638517593013</v>
      </c>
      <c r="F3275" s="7" t="str">
        <f aca="false">IFERROR(INDEX(02_轉折點45個!B:B,MATCH(A3275,02_轉折點45個!A:A,0)),"")</f>
        <v/>
      </c>
      <c r="G3275" s="7" t="s">
        <v>1994</v>
      </c>
    </row>
    <row r="3276" customFormat="false" ht="15" hidden="false" customHeight="false" outlineLevel="0" collapsed="false">
      <c r="A3276" s="7" t="s">
        <v>973</v>
      </c>
      <c r="B3276" s="7" t="n">
        <v>2439.11</v>
      </c>
      <c r="C3276" s="7" t="n">
        <f aca="false">AVERAGE(B3227:B3276)</f>
        <v>2389.6022</v>
      </c>
      <c r="D3276" s="7" t="n">
        <f aca="false">AVERAGE(B3077:B3276)</f>
        <v>2430.38255</v>
      </c>
      <c r="E3276" s="7" t="n">
        <f aca="false">B3276/MAX(B3025:B3276)-1</f>
        <v>-0.0708824885055939</v>
      </c>
      <c r="F3276" s="7" t="str">
        <f aca="false">IFERROR(INDEX(02_轉折點45個!B:B,MATCH(A3276,02_轉折點45個!A:A,0)),"")</f>
        <v/>
      </c>
      <c r="G3276" s="7" t="s">
        <v>1994</v>
      </c>
    </row>
    <row r="3277" customFormat="false" ht="15" hidden="false" customHeight="false" outlineLevel="0" collapsed="false">
      <c r="A3277" s="7" t="s">
        <v>4649</v>
      </c>
      <c r="B3277" s="7" t="n">
        <v>2443.09</v>
      </c>
      <c r="C3277" s="7" t="n">
        <f aca="false">AVERAGE(B3228:B3277)</f>
        <v>2390.2562</v>
      </c>
      <c r="D3277" s="7" t="n">
        <f aca="false">AVERAGE(B3078:B3277)</f>
        <v>2430.27255</v>
      </c>
      <c r="E3277" s="7" t="n">
        <f aca="false">B3277/MAX(B3026:B3277)-1</f>
        <v>-0.0693664077647713</v>
      </c>
      <c r="F3277" s="7" t="str">
        <f aca="false">IFERROR(INDEX(02_轉折點45個!B:B,MATCH(A3277,02_轉折點45個!A:A,0)),"")</f>
        <v/>
      </c>
      <c r="G3277" s="7" t="s">
        <v>1994</v>
      </c>
    </row>
    <row r="3278" customFormat="false" ht="15" hidden="false" customHeight="false" outlineLevel="0" collapsed="false">
      <c r="A3278" s="7" t="s">
        <v>4650</v>
      </c>
      <c r="B3278" s="7" t="n">
        <v>2445.23</v>
      </c>
      <c r="C3278" s="7" t="n">
        <f aca="false">AVERAGE(B3229:B3278)</f>
        <v>2390.7292</v>
      </c>
      <c r="D3278" s="7" t="n">
        <f aca="false">AVERAGE(B3079:B3278)</f>
        <v>2429.9991</v>
      </c>
      <c r="E3278" s="7" t="n">
        <f aca="false">B3278/MAX(B3027:B3278)-1</f>
        <v>-0.0685512286729723</v>
      </c>
      <c r="F3278" s="7" t="str">
        <f aca="false">IFERROR(INDEX(02_轉折點45個!B:B,MATCH(A3278,02_轉折點45個!A:A,0)),"")</f>
        <v/>
      </c>
      <c r="G3278" s="7" t="s">
        <v>1994</v>
      </c>
    </row>
    <row r="3279" customFormat="false" ht="15" hidden="false" customHeight="false" outlineLevel="0" collapsed="false">
      <c r="A3279" s="7" t="s">
        <v>4651</v>
      </c>
      <c r="B3279" s="7" t="n">
        <v>2468.93</v>
      </c>
      <c r="C3279" s="7" t="n">
        <f aca="false">AVERAGE(B3230:B3279)</f>
        <v>2390.069</v>
      </c>
      <c r="D3279" s="7" t="n">
        <f aca="false">AVERAGE(B3080:B3279)</f>
        <v>2429.81385</v>
      </c>
      <c r="E3279" s="7" t="n">
        <f aca="false">B3279/MAX(B3028:B3279)-1</f>
        <v>-0.0595233106937022</v>
      </c>
      <c r="F3279" s="7" t="str">
        <f aca="false">IFERROR(INDEX(02_轉折點45個!B:B,MATCH(A3279,02_轉折點45個!A:A,0)),"")</f>
        <v/>
      </c>
      <c r="G3279" s="7" t="s">
        <v>1994</v>
      </c>
    </row>
    <row r="3280" customFormat="false" ht="15" hidden="false" customHeight="false" outlineLevel="0" collapsed="false">
      <c r="A3280" s="7" t="s">
        <v>4652</v>
      </c>
      <c r="B3280" s="7" t="n">
        <v>2476.48</v>
      </c>
      <c r="C3280" s="7" t="n">
        <f aca="false">AVERAGE(B3231:B3280)</f>
        <v>2389.5868</v>
      </c>
      <c r="D3280" s="7" t="n">
        <f aca="false">AVERAGE(B3081:B3280)</f>
        <v>2429.7229</v>
      </c>
      <c r="E3280" s="7" t="n">
        <f aca="false">B3280/MAX(B3029:B3280)-1</f>
        <v>-0.0566473283838503</v>
      </c>
      <c r="F3280" s="7" t="str">
        <f aca="false">IFERROR(INDEX(02_轉折點45個!B:B,MATCH(A3280,02_轉折點45個!A:A,0)),"")</f>
        <v/>
      </c>
      <c r="G3280" s="7" t="s">
        <v>1994</v>
      </c>
    </row>
    <row r="3281" customFormat="false" ht="15" hidden="false" customHeight="false" outlineLevel="0" collapsed="false">
      <c r="A3281" s="7" t="s">
        <v>4653</v>
      </c>
      <c r="B3281" s="7" t="n">
        <v>2489.21</v>
      </c>
      <c r="C3281" s="7" t="n">
        <f aca="false">AVERAGE(B3232:B3281)</f>
        <v>2390.323</v>
      </c>
      <c r="D3281" s="7" t="n">
        <f aca="false">AVERAGE(B3082:B3281)</f>
        <v>2429.57585</v>
      </c>
      <c r="E3281" s="7" t="n">
        <f aca="false">B3281/MAX(B3030:B3281)-1</f>
        <v>-0.0517981555620736</v>
      </c>
      <c r="F3281" s="7" t="str">
        <f aca="false">IFERROR(INDEX(02_轉折點45個!B:B,MATCH(A3281,02_轉折點45個!A:A,0)),"")</f>
        <v/>
      </c>
      <c r="G3281" s="7" t="s">
        <v>1994</v>
      </c>
    </row>
    <row r="3282" customFormat="false" ht="15" hidden="false" customHeight="false" outlineLevel="0" collapsed="false">
      <c r="A3282" s="7" t="s">
        <v>4654</v>
      </c>
      <c r="B3282" s="7" t="n">
        <v>2476.39</v>
      </c>
      <c r="C3282" s="7" t="n">
        <f aca="false">AVERAGE(B3233:B3282)</f>
        <v>2392.2178</v>
      </c>
      <c r="D3282" s="7" t="n">
        <f aca="false">AVERAGE(B3083:B3282)</f>
        <v>2429.2738</v>
      </c>
      <c r="E3282" s="7" t="n">
        <f aca="false">B3282/MAX(B3031:B3282)-1</f>
        <v>-0.0566816116166831</v>
      </c>
      <c r="F3282" s="7" t="str">
        <f aca="false">IFERROR(INDEX(02_轉折點45個!B:B,MATCH(A3282,02_轉折點45個!A:A,0)),"")</f>
        <v/>
      </c>
      <c r="G3282" s="7" t="s">
        <v>1994</v>
      </c>
    </row>
    <row r="3283" customFormat="false" ht="15" hidden="false" customHeight="false" outlineLevel="0" collapsed="false">
      <c r="A3283" s="7" t="s">
        <v>4655</v>
      </c>
      <c r="B3283" s="7" t="n">
        <v>2492.3</v>
      </c>
      <c r="C3283" s="7" t="n">
        <f aca="false">AVERAGE(B3234:B3283)</f>
        <v>2393.8276</v>
      </c>
      <c r="D3283" s="7" t="n">
        <f aca="false">AVERAGE(B3084:B3283)</f>
        <v>2429.03175</v>
      </c>
      <c r="E3283" s="7" t="n">
        <f aca="false">B3283/MAX(B3032:B3283)-1</f>
        <v>-0.0506210979014852</v>
      </c>
      <c r="F3283" s="7" t="str">
        <f aca="false">IFERROR(INDEX(02_轉折點45個!B:B,MATCH(A3283,02_轉折點45個!A:A,0)),"")</f>
        <v/>
      </c>
      <c r="G3283" s="7" t="s">
        <v>1994</v>
      </c>
    </row>
    <row r="3284" customFormat="false" ht="15" hidden="false" customHeight="false" outlineLevel="0" collapsed="false">
      <c r="A3284" s="7" t="s">
        <v>4656</v>
      </c>
      <c r="B3284" s="7" t="n">
        <v>2530.33</v>
      </c>
      <c r="C3284" s="7" t="n">
        <f aca="false">AVERAGE(B3235:B3284)</f>
        <v>2395.1384</v>
      </c>
      <c r="D3284" s="7" t="n">
        <f aca="false">AVERAGE(B3085:B3284)</f>
        <v>2428.9409</v>
      </c>
      <c r="E3284" s="7" t="n">
        <f aca="false">B3284/MAX(B3033:B3284)-1</f>
        <v>-0.0361345274056355</v>
      </c>
      <c r="F3284" s="7" t="str">
        <f aca="false">IFERROR(INDEX(02_轉折點45個!B:B,MATCH(A3284,02_轉折點45個!A:A,0)),"")</f>
        <v/>
      </c>
      <c r="G3284" s="7" t="s">
        <v>1994</v>
      </c>
    </row>
    <row r="3285" customFormat="false" ht="15" hidden="false" customHeight="false" outlineLevel="0" collapsed="false">
      <c r="A3285" s="7" t="s">
        <v>4657</v>
      </c>
      <c r="B3285" s="7" t="n">
        <v>2547.34</v>
      </c>
      <c r="C3285" s="7" t="n">
        <f aca="false">AVERAGE(B3236:B3285)</f>
        <v>2397.0054</v>
      </c>
      <c r="D3285" s="7" t="n">
        <f aca="false">AVERAGE(B3086:B3285)</f>
        <v>2428.93695</v>
      </c>
      <c r="E3285" s="7" t="n">
        <f aca="false">B3285/MAX(B3034:B3285)-1</f>
        <v>-0.0296549964002605</v>
      </c>
      <c r="F3285" s="7" t="str">
        <f aca="false">IFERROR(INDEX(02_轉折點45個!B:B,MATCH(A3285,02_轉折點45個!A:A,0)),"")</f>
        <v/>
      </c>
      <c r="G3285" s="7" t="s">
        <v>1994</v>
      </c>
    </row>
    <row r="3286" customFormat="false" ht="15" hidden="false" customHeight="false" outlineLevel="0" collapsed="false">
      <c r="A3286" s="7" t="s">
        <v>4658</v>
      </c>
      <c r="B3286" s="7" t="n">
        <v>2545.85</v>
      </c>
      <c r="C3286" s="7" t="n">
        <f aca="false">AVERAGE(B3237:B3286)</f>
        <v>2398.6762</v>
      </c>
      <c r="D3286" s="7" t="n">
        <f aca="false">AVERAGE(B3087:B3286)</f>
        <v>2428.91645</v>
      </c>
      <c r="E3286" s="7" t="n">
        <f aca="false">B3286/MAX(B3035:B3286)-1</f>
        <v>-0.0302225743660459</v>
      </c>
      <c r="F3286" s="7" t="str">
        <f aca="false">IFERROR(INDEX(02_轉折點45個!B:B,MATCH(A3286,02_轉折點45個!A:A,0)),"")</f>
        <v/>
      </c>
      <c r="G3286" s="7" t="s">
        <v>1994</v>
      </c>
    </row>
    <row r="3287" customFormat="false" ht="15" hidden="false" customHeight="false" outlineLevel="0" collapsed="false">
      <c r="A3287" s="7" t="s">
        <v>4659</v>
      </c>
      <c r="B3287" s="7" t="n">
        <v>2543.54</v>
      </c>
      <c r="C3287" s="7" t="n">
        <f aca="false">AVERAGE(B3238:B3287)</f>
        <v>2399.7118</v>
      </c>
      <c r="D3287" s="7" t="n">
        <f aca="false">AVERAGE(B3088:B3287)</f>
        <v>2428.84495</v>
      </c>
      <c r="E3287" s="7" t="n">
        <f aca="false">B3287/MAX(B3036:B3287)-1</f>
        <v>-0.0311025106754178</v>
      </c>
      <c r="F3287" s="7" t="str">
        <f aca="false">IFERROR(INDEX(02_轉折點45個!B:B,MATCH(A3287,02_轉折點45個!A:A,0)),"")</f>
        <v/>
      </c>
      <c r="G3287" s="7" t="s">
        <v>1994</v>
      </c>
    </row>
    <row r="3288" customFormat="false" ht="15" hidden="false" customHeight="false" outlineLevel="0" collapsed="false">
      <c r="A3288" s="7" t="s">
        <v>4660</v>
      </c>
      <c r="B3288" s="7" t="n">
        <v>2545.8</v>
      </c>
      <c r="C3288" s="7" t="n">
        <f aca="false">AVERAGE(B3239:B3288)</f>
        <v>2402.7264</v>
      </c>
      <c r="D3288" s="7" t="n">
        <f aca="false">AVERAGE(B3089:B3288)</f>
        <v>2428.80155</v>
      </c>
      <c r="E3288" s="7" t="n">
        <f aca="false">B3288/MAX(B3037:B3288)-1</f>
        <v>-0.0302416206065085</v>
      </c>
      <c r="F3288" s="7" t="str">
        <f aca="false">IFERROR(INDEX(02_轉折點45個!B:B,MATCH(A3288,02_轉折點45個!A:A,0)),"")</f>
        <v/>
      </c>
      <c r="G3288" s="7" t="s">
        <v>1994</v>
      </c>
    </row>
    <row r="3289" customFormat="false" ht="15" hidden="false" customHeight="false" outlineLevel="0" collapsed="false">
      <c r="A3289" s="7" t="s">
        <v>4661</v>
      </c>
      <c r="B3289" s="7" t="n">
        <v>2574.73</v>
      </c>
      <c r="C3289" s="7" t="n">
        <f aca="false">AVERAGE(B3240:B3289)</f>
        <v>2406.2556</v>
      </c>
      <c r="D3289" s="7" t="n">
        <f aca="false">AVERAGE(B3090:B3289)</f>
        <v>2428.9746</v>
      </c>
      <c r="E3289" s="7" t="n">
        <f aca="false">B3289/MAX(B3038:B3289)-1</f>
        <v>-0.019221465874851</v>
      </c>
      <c r="F3289" s="7" t="str">
        <f aca="false">IFERROR(INDEX(02_轉折點45個!B:B,MATCH(A3289,02_轉折點45個!A:A,0)),"")</f>
        <v/>
      </c>
      <c r="G3289" s="7" t="s">
        <v>1994</v>
      </c>
    </row>
    <row r="3290" customFormat="false" ht="15" hidden="false" customHeight="false" outlineLevel="0" collapsed="false">
      <c r="A3290" s="7" t="s">
        <v>4662</v>
      </c>
      <c r="B3290" s="7" t="n">
        <v>2562.83</v>
      </c>
      <c r="C3290" s="7" t="n">
        <f aca="false">AVERAGE(B3241:B3290)</f>
        <v>2408.5676</v>
      </c>
      <c r="D3290" s="7" t="n">
        <f aca="false">AVERAGE(B3091:B3290)</f>
        <v>2429.12885</v>
      </c>
      <c r="E3290" s="7" t="n">
        <f aca="false">B3290/MAX(B3039:B3290)-1</f>
        <v>-0.0237544711049487</v>
      </c>
      <c r="F3290" s="7" t="str">
        <f aca="false">IFERROR(INDEX(02_轉折點45個!B:B,MATCH(A3290,02_轉折點45個!A:A,0)),"")</f>
        <v/>
      </c>
      <c r="G3290" s="7" t="s">
        <v>1994</v>
      </c>
    </row>
    <row r="3291" customFormat="false" ht="15" hidden="false" customHeight="false" outlineLevel="0" collapsed="false">
      <c r="A3291" s="7" t="s">
        <v>4663</v>
      </c>
      <c r="B3291" s="7" t="n">
        <v>2573.12</v>
      </c>
      <c r="C3291" s="7" t="n">
        <f aca="false">AVERAGE(B3242:B3291)</f>
        <v>2411.4788</v>
      </c>
      <c r="D3291" s="7" t="n">
        <f aca="false">AVERAGE(B3092:B3291)</f>
        <v>2429.4566</v>
      </c>
      <c r="E3291" s="7" t="n">
        <f aca="false">B3291/MAX(B3040:B3291)-1</f>
        <v>-0.0198347548177465</v>
      </c>
      <c r="F3291" s="7" t="str">
        <f aca="false">IFERROR(INDEX(02_轉折點45個!B:B,MATCH(A3291,02_轉折點45個!A:A,0)),"")</f>
        <v/>
      </c>
      <c r="G3291" s="7" t="s">
        <v>1994</v>
      </c>
    </row>
    <row r="3292" customFormat="false" ht="15" hidden="false" customHeight="false" outlineLevel="0" collapsed="false">
      <c r="A3292" s="7" t="s">
        <v>4664</v>
      </c>
      <c r="B3292" s="7" t="n">
        <v>2568.91</v>
      </c>
      <c r="C3292" s="7" t="n">
        <f aca="false">AVERAGE(B3243:B3292)</f>
        <v>2413.7762</v>
      </c>
      <c r="D3292" s="7" t="n">
        <f aca="false">AVERAGE(B3093:B3292)</f>
        <v>2429.6869</v>
      </c>
      <c r="E3292" s="7" t="n">
        <f aca="false">B3292/MAX(B3041:B3292)-1</f>
        <v>-0.0214384482646971</v>
      </c>
      <c r="F3292" s="7" t="str">
        <f aca="false">IFERROR(INDEX(02_轉折點45個!B:B,MATCH(A3292,02_轉折點45個!A:A,0)),"")</f>
        <v/>
      </c>
      <c r="G3292" s="7" t="s">
        <v>1994</v>
      </c>
    </row>
    <row r="3293" customFormat="false" ht="15" hidden="false" customHeight="false" outlineLevel="0" collapsed="false">
      <c r="A3293" s="7" t="s">
        <v>4665</v>
      </c>
      <c r="B3293" s="7" t="n">
        <v>2570.65</v>
      </c>
      <c r="C3293" s="7" t="n">
        <f aca="false">AVERAGE(B3244:B3293)</f>
        <v>2416.9596</v>
      </c>
      <c r="D3293" s="7" t="n">
        <f aca="false">AVERAGE(B3094:B3293)</f>
        <v>2429.93185</v>
      </c>
      <c r="E3293" s="7" t="n">
        <f aca="false">B3293/MAX(B3042:B3293)-1</f>
        <v>-0.0207756390965987</v>
      </c>
      <c r="F3293" s="7" t="str">
        <f aca="false">IFERROR(INDEX(02_轉折點45個!B:B,MATCH(A3293,02_轉折點45個!A:A,0)),"")</f>
        <v/>
      </c>
      <c r="G3293" s="7" t="s">
        <v>1994</v>
      </c>
    </row>
    <row r="3294" customFormat="false" ht="15" hidden="false" customHeight="false" outlineLevel="0" collapsed="false">
      <c r="A3294" s="7" t="s">
        <v>4666</v>
      </c>
      <c r="B3294" s="7" t="n">
        <v>2602.1</v>
      </c>
      <c r="C3294" s="7" t="n">
        <f aca="false">AVERAGE(B3245:B3294)</f>
        <v>2421.7152</v>
      </c>
      <c r="D3294" s="7" t="n">
        <f aca="false">AVERAGE(B3095:B3294)</f>
        <v>2430.3138</v>
      </c>
      <c r="E3294" s="7" t="n">
        <f aca="false">B3294/MAX(B3043:B3294)-1</f>
        <v>-0.00879555384562647</v>
      </c>
      <c r="F3294" s="7" t="str">
        <f aca="false">IFERROR(INDEX(02_轉折點45個!B:B,MATCH(A3294,02_轉折點45個!A:A,0)),"")</f>
        <v/>
      </c>
      <c r="G3294" s="7" t="s">
        <v>1994</v>
      </c>
    </row>
    <row r="3295" customFormat="false" ht="15" hidden="false" customHeight="false" outlineLevel="0" collapsed="false">
      <c r="A3295" s="7" t="s">
        <v>4667</v>
      </c>
      <c r="B3295" s="7" t="n">
        <v>2612.53</v>
      </c>
      <c r="C3295" s="7" t="n">
        <f aca="false">AVERAGE(B3246:B3295)</f>
        <v>2426.9624</v>
      </c>
      <c r="D3295" s="7" t="n">
        <f aca="false">AVERAGE(B3096:B3295)</f>
        <v>2430.8816</v>
      </c>
      <c r="E3295" s="7" t="n">
        <f aca="false">B3295/MAX(B3044:B3295)-1</f>
        <v>-0.00482250808512907</v>
      </c>
      <c r="F3295" s="7" t="str">
        <f aca="false">IFERROR(INDEX(02_轉折點45個!B:B,MATCH(A3295,02_轉折點45個!A:A,0)),"")</f>
        <v/>
      </c>
      <c r="G3295" s="7" t="s">
        <v>1994</v>
      </c>
    </row>
    <row r="3296" customFormat="false" ht="15" hidden="false" customHeight="false" outlineLevel="0" collapsed="false">
      <c r="A3296" s="7" t="s">
        <v>974</v>
      </c>
      <c r="B3296" s="7" t="n">
        <v>2654.53</v>
      </c>
      <c r="C3296" s="7" t="n">
        <f aca="false">AVERAGE(B3247:B3296)</f>
        <v>2433.9516</v>
      </c>
      <c r="D3296" s="7" t="n">
        <f aca="false">AVERAGE(B3097:B3296)</f>
        <v>2431.6156</v>
      </c>
      <c r="E3296" s="7" t="n">
        <f aca="false">B3296/MAX(B3045:B3296)-1</f>
        <v>0</v>
      </c>
      <c r="F3296" s="7" t="str">
        <f aca="false">IFERROR(INDEX(02_轉折點45個!B:B,MATCH(A3296,02_轉折點45個!A:A,0)),"")</f>
        <v/>
      </c>
      <c r="G3296" s="7" t="s">
        <v>1994</v>
      </c>
    </row>
    <row r="3297" customFormat="false" ht="15" hidden="false" customHeight="false" outlineLevel="0" collapsed="false">
      <c r="A3297" s="7" t="s">
        <v>4668</v>
      </c>
      <c r="B3297" s="7" t="n">
        <v>2651.18</v>
      </c>
      <c r="C3297" s="7" t="n">
        <f aca="false">AVERAGE(B3248:B3297)</f>
        <v>2440.9078</v>
      </c>
      <c r="D3297" s="7" t="n">
        <f aca="false">AVERAGE(B3098:B3297)</f>
        <v>2432.07</v>
      </c>
      <c r="E3297" s="7" t="n">
        <f aca="false">B3297/MAX(B3046:B3297)-1</f>
        <v>-0.00126199364859325</v>
      </c>
      <c r="F3297" s="7" t="str">
        <f aca="false">IFERROR(INDEX(02_轉折點45個!B:B,MATCH(A3297,02_轉折點45個!A:A,0)),"")</f>
        <v/>
      </c>
      <c r="G3297" s="7" t="s">
        <v>1994</v>
      </c>
    </row>
    <row r="3298" customFormat="false" ht="15" hidden="false" customHeight="false" outlineLevel="0" collapsed="false">
      <c r="A3298" s="7" t="s">
        <v>4669</v>
      </c>
      <c r="B3298" s="7" t="n">
        <v>2653.09</v>
      </c>
      <c r="C3298" s="7" t="n">
        <f aca="false">AVERAGE(B3249:B3298)</f>
        <v>2449.0204</v>
      </c>
      <c r="D3298" s="7" t="n">
        <f aca="false">AVERAGE(B3099:B3298)</f>
        <v>2432.45335</v>
      </c>
      <c r="E3298" s="7" t="n">
        <f aca="false">B3298/MAX(B3047:B3298)-1</f>
        <v>-0.00054246891163412</v>
      </c>
      <c r="F3298" s="7" t="str">
        <f aca="false">IFERROR(INDEX(02_轉折點45個!B:B,MATCH(A3298,02_轉折點45個!A:A,0)),"")</f>
        <v/>
      </c>
      <c r="G3298" s="7" t="s">
        <v>1994</v>
      </c>
    </row>
    <row r="3299" customFormat="false" ht="15" hidden="false" customHeight="false" outlineLevel="0" collapsed="false">
      <c r="A3299" s="7" t="s">
        <v>4670</v>
      </c>
      <c r="B3299" s="7" t="n">
        <v>2663.85</v>
      </c>
      <c r="C3299" s="7" t="n">
        <f aca="false">AVERAGE(B3250:B3299)</f>
        <v>2457.6874</v>
      </c>
      <c r="D3299" s="7" t="n">
        <f aca="false">AVERAGE(B3100:B3299)</f>
        <v>2432.86435</v>
      </c>
      <c r="E3299" s="7" t="n">
        <f aca="false">B3299/MAX(B3048:B3299)-1</f>
        <v>0</v>
      </c>
      <c r="F3299" s="7" t="str">
        <f aca="false">IFERROR(INDEX(02_轉折點45個!B:B,MATCH(A3299,02_轉折點45個!A:A,0)),"")</f>
        <v/>
      </c>
      <c r="G3299" s="7" t="s">
        <v>1994</v>
      </c>
    </row>
    <row r="3300" customFormat="false" ht="15" hidden="false" customHeight="false" outlineLevel="0" collapsed="false">
      <c r="A3300" s="7" t="s">
        <v>4671</v>
      </c>
      <c r="B3300" s="7" t="n">
        <v>2674.24</v>
      </c>
      <c r="C3300" s="7" t="n">
        <f aca="false">AVERAGE(B3251:B3300)</f>
        <v>2464.994</v>
      </c>
      <c r="D3300" s="7" t="n">
        <f aca="false">AVERAGE(B3101:B3300)</f>
        <v>2433.2284</v>
      </c>
      <c r="E3300" s="7" t="n">
        <f aca="false">B3300/MAX(B3049:B3300)-1</f>
        <v>0</v>
      </c>
      <c r="F3300" s="7" t="str">
        <f aca="false">IFERROR(INDEX(02_轉折點45個!B:B,MATCH(A3300,02_轉折點45個!A:A,0)),"")</f>
        <v/>
      </c>
      <c r="G3300" s="7" t="s">
        <v>1994</v>
      </c>
    </row>
    <row r="3301" customFormat="false" ht="15" hidden="false" customHeight="false" outlineLevel="0" collapsed="false">
      <c r="A3301" s="7" t="s">
        <v>4672</v>
      </c>
      <c r="B3301" s="7" t="n">
        <v>2652.91</v>
      </c>
      <c r="C3301" s="7" t="n">
        <f aca="false">AVERAGE(B3252:B3301)</f>
        <v>2472.0902</v>
      </c>
      <c r="D3301" s="7" t="n">
        <f aca="false">AVERAGE(B3102:B3301)</f>
        <v>2433.38375</v>
      </c>
      <c r="E3301" s="7" t="n">
        <f aca="false">B3301/MAX(B3050:B3301)-1</f>
        <v>-0.00797609788201503</v>
      </c>
      <c r="F3301" s="7" t="str">
        <f aca="false">IFERROR(INDEX(02_轉折點45個!B:B,MATCH(A3301,02_轉折點45個!A:A,0)),"")</f>
        <v/>
      </c>
      <c r="G3301" s="7" t="s">
        <v>1994</v>
      </c>
    </row>
    <row r="3302" customFormat="false" ht="15" hidden="false" customHeight="false" outlineLevel="0" collapsed="false">
      <c r="A3302" s="7" t="s">
        <v>4673</v>
      </c>
      <c r="B3302" s="7" t="n">
        <v>2678.04</v>
      </c>
      <c r="C3302" s="7" t="n">
        <f aca="false">AVERAGE(B3253:B3302)</f>
        <v>2477.7736</v>
      </c>
      <c r="D3302" s="7" t="n">
        <f aca="false">AVERAGE(B3103:B3302)</f>
        <v>2433.65265</v>
      </c>
      <c r="E3302" s="7" t="n">
        <f aca="false">B3302/MAX(B3051:B3302)-1</f>
        <v>0</v>
      </c>
      <c r="F3302" s="7" t="str">
        <f aca="false">IFERROR(INDEX(02_轉折點45個!B:B,MATCH(A3302,02_轉折點45個!A:A,0)),"")</f>
        <v/>
      </c>
      <c r="G3302" s="7" t="s">
        <v>1994</v>
      </c>
    </row>
    <row r="3303" customFormat="false" ht="15" hidden="false" customHeight="false" outlineLevel="0" collapsed="false">
      <c r="A3303" s="7" t="s">
        <v>4674</v>
      </c>
      <c r="B3303" s="7" t="n">
        <v>2678.44</v>
      </c>
      <c r="C3303" s="7" t="n">
        <f aca="false">AVERAGE(B3254:B3303)</f>
        <v>2483.358</v>
      </c>
      <c r="D3303" s="7" t="n">
        <f aca="false">AVERAGE(B3104:B3303)</f>
        <v>2433.9189</v>
      </c>
      <c r="E3303" s="7" t="n">
        <f aca="false">B3303/MAX(B3052:B3303)-1</f>
        <v>0</v>
      </c>
      <c r="F3303" s="7" t="str">
        <f aca="false">IFERROR(INDEX(02_轉折點45個!B:B,MATCH(A3303,02_轉折點45個!A:A,0)),"")</f>
        <v/>
      </c>
      <c r="G3303" s="7" t="s">
        <v>1994</v>
      </c>
    </row>
    <row r="3304" customFormat="false" ht="15" hidden="false" customHeight="false" outlineLevel="0" collapsed="false">
      <c r="A3304" s="7" t="s">
        <v>4675</v>
      </c>
      <c r="B3304" s="7" t="n">
        <v>2663.82</v>
      </c>
      <c r="C3304" s="7" t="n">
        <f aca="false">AVERAGE(B3255:B3304)</f>
        <v>2488.6366</v>
      </c>
      <c r="D3304" s="7" t="n">
        <f aca="false">AVERAGE(B3105:B3304)</f>
        <v>2434.15525</v>
      </c>
      <c r="E3304" s="7" t="n">
        <f aca="false">B3304/MAX(B3053:B3304)-1</f>
        <v>-0.00545840115888352</v>
      </c>
      <c r="F3304" s="7" t="str">
        <f aca="false">IFERROR(INDEX(02_轉折點45個!B:B,MATCH(A3304,02_轉折點45個!A:A,0)),"")</f>
        <v/>
      </c>
      <c r="G3304" s="7" t="s">
        <v>1994</v>
      </c>
    </row>
    <row r="3305" customFormat="false" ht="15" hidden="false" customHeight="false" outlineLevel="0" collapsed="false">
      <c r="A3305" s="7" t="s">
        <v>4676</v>
      </c>
      <c r="B3305" s="7" t="n">
        <v>2704.04</v>
      </c>
      <c r="C3305" s="7" t="n">
        <f aca="false">AVERAGE(B3256:B3305)</f>
        <v>2494.1928</v>
      </c>
      <c r="D3305" s="7" t="n">
        <f aca="false">AVERAGE(B3106:B3305)</f>
        <v>2434.6953</v>
      </c>
      <c r="E3305" s="7" t="n">
        <f aca="false">B3305/MAX(B3054:B3305)-1</f>
        <v>0</v>
      </c>
      <c r="F3305" s="7" t="str">
        <f aca="false">IFERROR(INDEX(02_轉折點45個!B:B,MATCH(A3305,02_轉折點45個!A:A,0)),"")</f>
        <v/>
      </c>
      <c r="G3305" s="7" t="s">
        <v>1994</v>
      </c>
    </row>
    <row r="3306" customFormat="false" ht="15" hidden="false" customHeight="false" outlineLevel="0" collapsed="false">
      <c r="A3306" s="7" t="s">
        <v>4677</v>
      </c>
      <c r="B3306" s="7" t="n">
        <v>2696.67</v>
      </c>
      <c r="C3306" s="7" t="n">
        <f aca="false">AVERAGE(B3257:B3306)</f>
        <v>2499.7148</v>
      </c>
      <c r="D3306" s="7" t="n">
        <f aca="false">AVERAGE(B3107:B3306)</f>
        <v>2435.2597</v>
      </c>
      <c r="E3306" s="7" t="n">
        <f aca="false">B3306/MAX(B3055:B3306)-1</f>
        <v>-0.00272555139716868</v>
      </c>
      <c r="F3306" s="7" t="str">
        <f aca="false">IFERROR(INDEX(02_轉折點45個!B:B,MATCH(A3306,02_轉折點45個!A:A,0)),"")</f>
        <v/>
      </c>
      <c r="G3306" s="7" t="s">
        <v>1994</v>
      </c>
    </row>
    <row r="3307" customFormat="false" ht="15" hidden="false" customHeight="false" outlineLevel="0" collapsed="false">
      <c r="A3307" s="7" t="s">
        <v>4678</v>
      </c>
      <c r="B3307" s="7" t="n">
        <v>2693.73</v>
      </c>
      <c r="C3307" s="7" t="n">
        <f aca="false">AVERAGE(B3258:B3307)</f>
        <v>2505.1844</v>
      </c>
      <c r="D3307" s="7" t="n">
        <f aca="false">AVERAGE(B3108:B3307)</f>
        <v>2435.8711</v>
      </c>
      <c r="E3307" s="7" t="n">
        <f aca="false">B3307/MAX(B3056:B3307)-1</f>
        <v>-0.00381281341991979</v>
      </c>
      <c r="F3307" s="7" t="str">
        <f aca="false">IFERROR(INDEX(02_轉折點45個!B:B,MATCH(A3307,02_轉折點45個!A:A,0)),"")</f>
        <v/>
      </c>
      <c r="G3307" s="7" t="s">
        <v>1994</v>
      </c>
    </row>
    <row r="3308" customFormat="false" ht="15" hidden="false" customHeight="false" outlineLevel="0" collapsed="false">
      <c r="A3308" s="7" t="s">
        <v>975</v>
      </c>
      <c r="B3308" s="7" t="n">
        <v>2679.66</v>
      </c>
      <c r="C3308" s="7" t="n">
        <f aca="false">AVERAGE(B3259:B3308)</f>
        <v>2511.338</v>
      </c>
      <c r="D3308" s="7" t="n">
        <f aca="false">AVERAGE(B3109:B3308)</f>
        <v>2436.3535</v>
      </c>
      <c r="E3308" s="7" t="n">
        <f aca="false">B3308/MAX(B3057:B3308)-1</f>
        <v>-0.00901613881451457</v>
      </c>
      <c r="F3308" s="7" t="str">
        <f aca="false">IFERROR(INDEX(02_轉折點45個!B:B,MATCH(A3308,02_轉折點45個!A:A,0)),"")</f>
        <v/>
      </c>
      <c r="G3308" s="7" t="s">
        <v>1994</v>
      </c>
    </row>
    <row r="3309" customFormat="false" ht="15" hidden="false" customHeight="false" outlineLevel="0" collapsed="false">
      <c r="A3309" s="7" t="s">
        <v>4679</v>
      </c>
      <c r="B3309" s="7" t="n">
        <v>2701.42</v>
      </c>
      <c r="C3309" s="7" t="n">
        <f aca="false">AVERAGE(B3260:B3309)</f>
        <v>2517.0046</v>
      </c>
      <c r="D3309" s="7" t="n">
        <f aca="false">AVERAGE(B3110:B3309)</f>
        <v>2436.873</v>
      </c>
      <c r="E3309" s="7" t="n">
        <f aca="false">B3309/MAX(B3058:B3309)-1</f>
        <v>-0.000968920578097943</v>
      </c>
      <c r="F3309" s="7" t="str">
        <f aca="false">IFERROR(INDEX(02_轉折點45個!B:B,MATCH(A3309,02_轉折點45個!A:A,0)),"")</f>
        <v/>
      </c>
      <c r="G3309" s="7" t="s">
        <v>1994</v>
      </c>
    </row>
    <row r="3310" customFormat="false" ht="15" hidden="false" customHeight="false" outlineLevel="0" collapsed="false">
      <c r="A3310" s="7" t="s">
        <v>976</v>
      </c>
      <c r="B3310" s="7" t="n">
        <v>2707.6</v>
      </c>
      <c r="C3310" s="7" t="n">
        <f aca="false">AVERAGE(B3261:B3310)</f>
        <v>2523.4268</v>
      </c>
      <c r="D3310" s="7" t="n">
        <f aca="false">AVERAGE(B3111:B3310)</f>
        <v>2437.2926</v>
      </c>
      <c r="E3310" s="7" t="n">
        <f aca="false">B3310/MAX(B3059:B3310)-1</f>
        <v>0</v>
      </c>
      <c r="F3310" s="7" t="str">
        <f aca="false">IFERROR(INDEX(02_轉折點45個!B:B,MATCH(A3310,02_轉折點45個!A:A,0)),"")</f>
        <v/>
      </c>
      <c r="G3310" s="7" t="s">
        <v>1994</v>
      </c>
    </row>
    <row r="3311" customFormat="false" ht="15" hidden="false" customHeight="false" outlineLevel="0" collapsed="false">
      <c r="A3311" s="7" t="s">
        <v>977</v>
      </c>
      <c r="B3311" s="7" t="n">
        <v>2709.8</v>
      </c>
      <c r="C3311" s="7" t="n">
        <f aca="false">AVERAGE(B3262:B3311)</f>
        <v>2530.4958</v>
      </c>
      <c r="D3311" s="7" t="n">
        <f aca="false">AVERAGE(B3112:B3311)</f>
        <v>2437.84575</v>
      </c>
      <c r="E3311" s="7" t="n">
        <f aca="false">B3311/MAX(B3060:B3311)-1</f>
        <v>0</v>
      </c>
      <c r="F3311" s="7" t="str">
        <f aca="false">IFERROR(INDEX(02_轉折點45個!B:B,MATCH(A3311,02_轉折點45個!A:A,0)),"")</f>
        <v/>
      </c>
      <c r="G3311" s="7" t="s">
        <v>1994</v>
      </c>
    </row>
    <row r="3312" customFormat="false" ht="15" hidden="false" customHeight="false" outlineLevel="0" collapsed="false">
      <c r="A3312" s="7" t="s">
        <v>4680</v>
      </c>
      <c r="B3312" s="7" t="n">
        <v>2728.62</v>
      </c>
      <c r="C3312" s="7" t="n">
        <f aca="false">AVERAGE(B3263:B3312)</f>
        <v>2538.6714</v>
      </c>
      <c r="D3312" s="7" t="n">
        <f aca="false">AVERAGE(B3113:B3312)</f>
        <v>2438.4109</v>
      </c>
      <c r="E3312" s="7" t="n">
        <f aca="false">B3312/MAX(B3061:B3312)-1</f>
        <v>0</v>
      </c>
      <c r="F3312" s="7" t="str">
        <f aca="false">IFERROR(INDEX(02_轉折點45個!B:B,MATCH(A3312,02_轉折點45個!A:A,0)),"")</f>
        <v/>
      </c>
      <c r="G3312" s="7" t="s">
        <v>1994</v>
      </c>
    </row>
    <row r="3313" customFormat="false" ht="15" hidden="false" customHeight="false" outlineLevel="0" collapsed="false">
      <c r="A3313" s="7" t="s">
        <v>978</v>
      </c>
      <c r="B3313" s="7" t="n">
        <v>2710.47</v>
      </c>
      <c r="C3313" s="7" t="n">
        <f aca="false">AVERAGE(B3264:B3313)</f>
        <v>2546.4528</v>
      </c>
      <c r="D3313" s="7" t="n">
        <f aca="false">AVERAGE(B3114:B3313)</f>
        <v>2439.0432</v>
      </c>
      <c r="E3313" s="7" t="n">
        <f aca="false">B3313/MAX(B3062:B3313)-1</f>
        <v>-0.00665171405325771</v>
      </c>
      <c r="F3313" s="7" t="str">
        <f aca="false">IFERROR(INDEX(02_轉折點45個!B:B,MATCH(A3313,02_轉折點45個!A:A,0)),"")</f>
        <v/>
      </c>
      <c r="G3313" s="7" t="s">
        <v>1994</v>
      </c>
    </row>
    <row r="3314" customFormat="false" ht="15" hidden="false" customHeight="false" outlineLevel="0" collapsed="false">
      <c r="A3314" s="7" t="s">
        <v>979</v>
      </c>
      <c r="B3314" s="7" t="n">
        <v>2730.64</v>
      </c>
      <c r="C3314" s="7" t="n">
        <f aca="false">AVERAGE(B3265:B3314)</f>
        <v>2554.376</v>
      </c>
      <c r="D3314" s="7" t="n">
        <f aca="false">AVERAGE(B3115:B3314)</f>
        <v>2439.9872</v>
      </c>
      <c r="E3314" s="7" t="n">
        <f aca="false">B3314/MAX(B3063:B3314)-1</f>
        <v>0</v>
      </c>
      <c r="F3314" s="7" t="str">
        <f aca="false">IFERROR(INDEX(02_轉折點45個!B:B,MATCH(A3314,02_轉折點45個!A:A,0)),"")</f>
        <v/>
      </c>
      <c r="G3314" s="7" t="s">
        <v>1994</v>
      </c>
    </row>
    <row r="3315" customFormat="false" ht="15" hidden="false" customHeight="false" outlineLevel="0" collapsed="false">
      <c r="A3315" s="7" t="s">
        <v>4681</v>
      </c>
      <c r="B3315" s="7" t="n">
        <v>2718.97</v>
      </c>
      <c r="C3315" s="7" t="n">
        <f aca="false">AVERAGE(B3266:B3315)</f>
        <v>2562.654</v>
      </c>
      <c r="D3315" s="7" t="n">
        <f aca="false">AVERAGE(B3116:B3315)</f>
        <v>2440.86875</v>
      </c>
      <c r="E3315" s="7" t="n">
        <f aca="false">B3315/MAX(B3064:B3315)-1</f>
        <v>-0.00427372337620491</v>
      </c>
      <c r="F3315" s="7" t="str">
        <f aca="false">IFERROR(INDEX(02_轉折點45個!B:B,MATCH(A3315,02_轉折點45個!A:A,0)),"")</f>
        <v/>
      </c>
      <c r="G3315" s="7" t="s">
        <v>1994</v>
      </c>
    </row>
    <row r="3316" customFormat="false" ht="15" hidden="false" customHeight="false" outlineLevel="0" collapsed="false">
      <c r="A3316" s="7" t="s">
        <v>4682</v>
      </c>
      <c r="B3316" s="7" t="n">
        <v>2695.48</v>
      </c>
      <c r="C3316" s="7" t="n">
        <f aca="false">AVERAGE(B3267:B3316)</f>
        <v>2568.9896</v>
      </c>
      <c r="D3316" s="7" t="n">
        <f aca="false">AVERAGE(B3117:B3316)</f>
        <v>2441.4876</v>
      </c>
      <c r="E3316" s="7" t="n">
        <f aca="false">B3316/MAX(B3065:B3316)-1</f>
        <v>-0.0128761023056865</v>
      </c>
      <c r="F3316" s="7" t="str">
        <f aca="false">IFERROR(INDEX(02_轉折點45個!B:B,MATCH(A3316,02_轉折點45個!A:A,0)),"")</f>
        <v/>
      </c>
      <c r="G3316" s="7" t="s">
        <v>1994</v>
      </c>
    </row>
    <row r="3317" customFormat="false" ht="15" hidden="false" customHeight="false" outlineLevel="0" collapsed="false">
      <c r="A3317" s="7" t="s">
        <v>980</v>
      </c>
      <c r="B3317" s="7" t="n">
        <v>2658.79</v>
      </c>
      <c r="C3317" s="7" t="n">
        <f aca="false">AVERAGE(B3268:B3317)</f>
        <v>2575.0622</v>
      </c>
      <c r="D3317" s="7" t="n">
        <f aca="false">AVERAGE(B3118:B3317)</f>
        <v>2441.88505</v>
      </c>
      <c r="E3317" s="7" t="n">
        <f aca="false">B3317/MAX(B3066:B3317)-1</f>
        <v>-0.0263125128175079</v>
      </c>
      <c r="F3317" s="7" t="str">
        <f aca="false">IFERROR(INDEX(02_轉折點45個!B:B,MATCH(A3317,02_轉折點45個!A:A,0)),"")</f>
        <v/>
      </c>
      <c r="G3317" s="7" t="s">
        <v>1994</v>
      </c>
    </row>
    <row r="3318" customFormat="false" ht="15" hidden="false" customHeight="false" outlineLevel="0" collapsed="false">
      <c r="A3318" s="7" t="s">
        <v>4683</v>
      </c>
      <c r="B3318" s="7" t="n">
        <v>2681.97</v>
      </c>
      <c r="C3318" s="7" t="n">
        <f aca="false">AVERAGE(B3269:B3318)</f>
        <v>2581.2058</v>
      </c>
      <c r="D3318" s="7" t="n">
        <f aca="false">AVERAGE(B3119:B3318)</f>
        <v>2442.4897</v>
      </c>
      <c r="E3318" s="7" t="n">
        <f aca="false">B3318/MAX(B3067:B3318)-1</f>
        <v>-0.0178236603873085</v>
      </c>
      <c r="F3318" s="7" t="str">
        <f aca="false">IFERROR(INDEX(02_轉折點45個!B:B,MATCH(A3318,02_轉折點45個!A:A,0)),"")</f>
        <v/>
      </c>
      <c r="G3318" s="7" t="s">
        <v>1994</v>
      </c>
    </row>
    <row r="3319" customFormat="false" ht="15" hidden="false" customHeight="false" outlineLevel="0" collapsed="false">
      <c r="A3319" s="7" t="s">
        <v>4684</v>
      </c>
      <c r="B3319" s="7" t="n">
        <v>2713.69</v>
      </c>
      <c r="C3319" s="7" t="n">
        <f aca="false">AVERAGE(B3270:B3319)</f>
        <v>2587.6332</v>
      </c>
      <c r="D3319" s="7" t="n">
        <f aca="false">AVERAGE(B3120:B3319)</f>
        <v>2443.45585</v>
      </c>
      <c r="E3319" s="7" t="n">
        <f aca="false">B3319/MAX(B3068:B3319)-1</f>
        <v>-0.0062073360091407</v>
      </c>
      <c r="F3319" s="7" t="str">
        <f aca="false">IFERROR(INDEX(02_轉折點45個!B:B,MATCH(A3319,02_轉折點45個!A:A,0)),"")</f>
        <v/>
      </c>
      <c r="G3319" s="7" t="s">
        <v>1994</v>
      </c>
    </row>
    <row r="3320" customFormat="false" ht="15" hidden="false" customHeight="false" outlineLevel="0" collapsed="false">
      <c r="A3320" s="7" t="s">
        <v>4685</v>
      </c>
      <c r="B3320" s="7" t="n">
        <v>2730.07</v>
      </c>
      <c r="C3320" s="7" t="n">
        <f aca="false">AVERAGE(B3271:B3320)</f>
        <v>2594.2684</v>
      </c>
      <c r="D3320" s="7" t="n">
        <f aca="false">AVERAGE(B3121:B3320)</f>
        <v>2444.5621</v>
      </c>
      <c r="E3320" s="7" t="n">
        <f aca="false">B3320/MAX(B3069:B3320)-1</f>
        <v>-0.000208742272873597</v>
      </c>
      <c r="F3320" s="7" t="str">
        <f aca="false">IFERROR(INDEX(02_轉折點45個!B:B,MATCH(A3320,02_轉折點45個!A:A,0)),"")</f>
        <v/>
      </c>
      <c r="G3320" s="7" t="s">
        <v>1994</v>
      </c>
    </row>
    <row r="3321" customFormat="false" ht="15" hidden="false" customHeight="false" outlineLevel="0" collapsed="false">
      <c r="A3321" s="7" t="s">
        <v>4686</v>
      </c>
      <c r="B3321" s="7" t="n">
        <v>2725.79</v>
      </c>
      <c r="C3321" s="7" t="n">
        <f aca="false">AVERAGE(B3272:B3321)</f>
        <v>2601.4616</v>
      </c>
      <c r="D3321" s="7" t="n">
        <f aca="false">AVERAGE(B3122:B3321)</f>
        <v>2445.57745</v>
      </c>
      <c r="E3321" s="7" t="n">
        <f aca="false">B3321/MAX(B3070:B3321)-1</f>
        <v>-0.00177614039199603</v>
      </c>
      <c r="F3321" s="7" t="str">
        <f aca="false">IFERROR(INDEX(02_轉折點45個!B:B,MATCH(A3321,02_轉折點45個!A:A,0)),"")</f>
        <v/>
      </c>
      <c r="G3321" s="7" t="s">
        <v>1994</v>
      </c>
    </row>
    <row r="3322" customFormat="false" ht="15" hidden="false" customHeight="false" outlineLevel="0" collapsed="false">
      <c r="A3322" s="7" t="s">
        <v>981</v>
      </c>
      <c r="B3322" s="7" t="n">
        <v>2777.15</v>
      </c>
      <c r="C3322" s="7" t="n">
        <f aca="false">AVERAGE(B3273:B3322)</f>
        <v>2609.2478</v>
      </c>
      <c r="D3322" s="7" t="n">
        <f aca="false">AVERAGE(B3123:B3322)</f>
        <v>2446.7512</v>
      </c>
      <c r="E3322" s="7" t="n">
        <f aca="false">B3322/MAX(B3071:B3322)-1</f>
        <v>0</v>
      </c>
      <c r="F3322" s="7" t="str">
        <f aca="false">IFERROR(INDEX(02_轉折點45個!B:B,MATCH(A3322,02_轉折點45個!A:A,0)),"")</f>
        <v/>
      </c>
      <c r="G3322" s="7" t="s">
        <v>1994</v>
      </c>
    </row>
    <row r="3323" customFormat="false" ht="15" hidden="false" customHeight="false" outlineLevel="0" collapsed="false">
      <c r="A3323" s="7" t="s">
        <v>982</v>
      </c>
      <c r="B3323" s="7" t="n">
        <v>2777.93</v>
      </c>
      <c r="C3323" s="7" t="n">
        <f aca="false">AVERAGE(B3274:B3323)</f>
        <v>2617.2066</v>
      </c>
      <c r="D3323" s="7" t="n">
        <f aca="false">AVERAGE(B3124:B3323)</f>
        <v>2447.8652</v>
      </c>
      <c r="E3323" s="7" t="n">
        <f aca="false">B3323/MAX(B3072:B3323)-1</f>
        <v>0</v>
      </c>
      <c r="F3323" s="7" t="str">
        <f aca="false">IFERROR(INDEX(02_轉折點45個!B:B,MATCH(A3323,02_轉折點45個!A:A,0)),"")</f>
        <v/>
      </c>
      <c r="G3323" s="7" t="s">
        <v>1994</v>
      </c>
    </row>
    <row r="3324" customFormat="false" ht="15" hidden="false" customHeight="false" outlineLevel="0" collapsed="false">
      <c r="A3324" s="7" t="s">
        <v>4687</v>
      </c>
      <c r="B3324" s="7" t="n">
        <v>2792.22</v>
      </c>
      <c r="C3324" s="7" t="n">
        <f aca="false">AVERAGE(B3275:B3324)</f>
        <v>2624.655</v>
      </c>
      <c r="D3324" s="7" t="n">
        <f aca="false">AVERAGE(B3125:B3324)</f>
        <v>2448.87505</v>
      </c>
      <c r="E3324" s="7" t="n">
        <f aca="false">B3324/MAX(B3073:B3324)-1</f>
        <v>0</v>
      </c>
      <c r="F3324" s="7" t="str">
        <f aca="false">IFERROR(INDEX(02_轉折點45個!B:B,MATCH(A3324,02_轉折點45個!A:A,0)),"")</f>
        <v/>
      </c>
      <c r="G3324" s="7" t="s">
        <v>1994</v>
      </c>
    </row>
    <row r="3325" customFormat="false" ht="15" hidden="false" customHeight="false" outlineLevel="0" collapsed="false">
      <c r="A3325" s="7" t="s">
        <v>4688</v>
      </c>
      <c r="B3325" s="7" t="n">
        <v>2791.2</v>
      </c>
      <c r="C3325" s="7" t="n">
        <f aca="false">AVERAGE(B3276:B3325)</f>
        <v>2632.0896</v>
      </c>
      <c r="D3325" s="7" t="n">
        <f aca="false">AVERAGE(B3126:B3325)</f>
        <v>2450.18175</v>
      </c>
      <c r="E3325" s="7" t="n">
        <f aca="false">B3325/MAX(B3074:B3325)-1</f>
        <v>-0.000365300728452644</v>
      </c>
      <c r="F3325" s="7" t="str">
        <f aca="false">IFERROR(INDEX(02_轉折點45個!B:B,MATCH(A3325,02_轉折點45個!A:A,0)),"")</f>
        <v/>
      </c>
      <c r="G3325" s="7" t="s">
        <v>1994</v>
      </c>
    </row>
    <row r="3326" customFormat="false" ht="15" hidden="false" customHeight="false" outlineLevel="0" collapsed="false">
      <c r="A3326" s="7" t="s">
        <v>4689</v>
      </c>
      <c r="B3326" s="7" t="n">
        <v>2812.27</v>
      </c>
      <c r="C3326" s="7" t="n">
        <f aca="false">AVERAGE(B3277:B3326)</f>
        <v>2639.5528</v>
      </c>
      <c r="D3326" s="7" t="n">
        <f aca="false">AVERAGE(B3127:B3326)</f>
        <v>2451.575</v>
      </c>
      <c r="E3326" s="7" t="n">
        <f aca="false">B3326/MAX(B3075:B3326)-1</f>
        <v>0</v>
      </c>
      <c r="F3326" s="7" t="str">
        <f aca="false">IFERROR(INDEX(02_轉折點45個!B:B,MATCH(A3326,02_轉折點45個!A:A,0)),"")</f>
        <v/>
      </c>
      <c r="G3326" s="7" t="s">
        <v>1994</v>
      </c>
    </row>
    <row r="3327" customFormat="false" ht="15" hidden="false" customHeight="false" outlineLevel="0" collapsed="false">
      <c r="A3327" s="7" t="s">
        <v>4690</v>
      </c>
      <c r="B3327" s="7" t="n">
        <v>2808.46</v>
      </c>
      <c r="C3327" s="7" t="n">
        <f aca="false">AVERAGE(B3278:B3327)</f>
        <v>2646.8602</v>
      </c>
      <c r="D3327" s="7" t="n">
        <f aca="false">AVERAGE(B3128:B3327)</f>
        <v>2453.13435</v>
      </c>
      <c r="E3327" s="7" t="n">
        <f aca="false">B3327/MAX(B3076:B3327)-1</f>
        <v>-0.00135477745735646</v>
      </c>
      <c r="F3327" s="7" t="str">
        <f aca="false">IFERROR(INDEX(02_轉折點45個!B:B,MATCH(A3327,02_轉折點45個!A:A,0)),"")</f>
        <v/>
      </c>
      <c r="G3327" s="7" t="s">
        <v>1994</v>
      </c>
    </row>
    <row r="3328" customFormat="false" ht="15" hidden="false" customHeight="false" outlineLevel="0" collapsed="false">
      <c r="A3328" s="7" t="s">
        <v>4691</v>
      </c>
      <c r="B3328" s="7" t="n">
        <v>2809.53</v>
      </c>
      <c r="C3328" s="7" t="n">
        <f aca="false">AVERAGE(B3279:B3328)</f>
        <v>2654.1462</v>
      </c>
      <c r="D3328" s="7" t="n">
        <f aca="false">AVERAGE(B3129:B3328)</f>
        <v>2454.8371</v>
      </c>
      <c r="E3328" s="7" t="n">
        <f aca="false">B3328/MAX(B3077:B3328)-1</f>
        <v>-0.000974301898466257</v>
      </c>
      <c r="F3328" s="7" t="str">
        <f aca="false">IFERROR(INDEX(02_轉折點45個!B:B,MATCH(A3328,02_轉折點45個!A:A,0)),"")</f>
        <v/>
      </c>
      <c r="G3328" s="7" t="s">
        <v>1994</v>
      </c>
    </row>
    <row r="3329" customFormat="false" ht="15" hidden="false" customHeight="false" outlineLevel="0" collapsed="false">
      <c r="A3329" s="7" t="s">
        <v>4692</v>
      </c>
      <c r="B3329" s="7" t="n">
        <v>2798.57</v>
      </c>
      <c r="C3329" s="7" t="n">
        <f aca="false">AVERAGE(B3280:B3329)</f>
        <v>2660.739</v>
      </c>
      <c r="D3329" s="7" t="n">
        <f aca="false">AVERAGE(B3130:B3329)</f>
        <v>2456.4896</v>
      </c>
      <c r="E3329" s="7" t="n">
        <f aca="false">B3329/MAX(B3078:B3329)-1</f>
        <v>-0.00487150949233173</v>
      </c>
      <c r="F3329" s="7" t="str">
        <f aca="false">IFERROR(INDEX(02_轉折點45個!B:B,MATCH(A3329,02_轉折點45個!A:A,0)),"")</f>
        <v/>
      </c>
      <c r="G3329" s="7" t="s">
        <v>1994</v>
      </c>
    </row>
    <row r="3330" customFormat="false" ht="15" hidden="false" customHeight="false" outlineLevel="0" collapsed="false">
      <c r="A3330" s="7" t="s">
        <v>4693</v>
      </c>
      <c r="B3330" s="7" t="n">
        <v>2802.77</v>
      </c>
      <c r="C3330" s="7" t="n">
        <f aca="false">AVERAGE(B3281:B3330)</f>
        <v>2667.2648</v>
      </c>
      <c r="D3330" s="7" t="n">
        <f aca="false">AVERAGE(B3131:B3330)</f>
        <v>2458.2827</v>
      </c>
      <c r="E3330" s="7" t="n">
        <f aca="false">B3330/MAX(B3079:B3330)-1</f>
        <v>-0.00337805402752933</v>
      </c>
      <c r="F3330" s="7" t="str">
        <f aca="false">IFERROR(INDEX(02_轉折點45個!B:B,MATCH(A3330,02_轉折點45個!A:A,0)),"")</f>
        <v/>
      </c>
      <c r="G3330" s="7" t="s">
        <v>1994</v>
      </c>
    </row>
    <row r="3331" customFormat="false" ht="15" hidden="false" customHeight="false" outlineLevel="0" collapsed="false">
      <c r="A3331" s="7" t="s">
        <v>4694</v>
      </c>
      <c r="B3331" s="7" t="n">
        <v>2852.69</v>
      </c>
      <c r="C3331" s="7" t="n">
        <f aca="false">AVERAGE(B3282:B3331)</f>
        <v>2674.5344</v>
      </c>
      <c r="D3331" s="7" t="n">
        <f aca="false">AVERAGE(B3132:B3331)</f>
        <v>2460.28205</v>
      </c>
      <c r="E3331" s="7" t="n">
        <f aca="false">B3331/MAX(B3080:B3331)-1</f>
        <v>0</v>
      </c>
      <c r="F3331" s="7" t="str">
        <f aca="false">IFERROR(INDEX(02_轉折點45個!B:B,MATCH(A3331,02_轉折點45個!A:A,0)),"")</f>
        <v/>
      </c>
      <c r="G3331" s="7" t="s">
        <v>1994</v>
      </c>
    </row>
    <row r="3332" customFormat="false" ht="15" hidden="false" customHeight="false" outlineLevel="0" collapsed="false">
      <c r="A3332" s="7" t="s">
        <v>4695</v>
      </c>
      <c r="B3332" s="7" t="n">
        <v>2850.67</v>
      </c>
      <c r="C3332" s="7" t="n">
        <f aca="false">AVERAGE(B3283:B3332)</f>
        <v>2682.02</v>
      </c>
      <c r="D3332" s="7" t="n">
        <f aca="false">AVERAGE(B3133:B3332)</f>
        <v>2462.4592</v>
      </c>
      <c r="E3332" s="7" t="n">
        <f aca="false">B3332/MAX(B3081:B3332)-1</f>
        <v>-0.000708103579428521</v>
      </c>
      <c r="F3332" s="7" t="str">
        <f aca="false">IFERROR(INDEX(02_轉折點45個!B:B,MATCH(A3332,02_轉折點45個!A:A,0)),"")</f>
        <v/>
      </c>
      <c r="G3332" s="7" t="s">
        <v>1994</v>
      </c>
    </row>
    <row r="3333" customFormat="false" ht="15" hidden="false" customHeight="false" outlineLevel="0" collapsed="false">
      <c r="A3333" s="7" t="s">
        <v>4696</v>
      </c>
      <c r="B3333" s="7" t="n">
        <v>2836.61</v>
      </c>
      <c r="C3333" s="7" t="n">
        <f aca="false">AVERAGE(B3284:B3333)</f>
        <v>2688.9062</v>
      </c>
      <c r="D3333" s="7" t="n">
        <f aca="false">AVERAGE(B3134:B3333)</f>
        <v>2464.5845</v>
      </c>
      <c r="E3333" s="7" t="n">
        <f aca="false">B3333/MAX(B3082:B3333)-1</f>
        <v>-0.0056367849293123</v>
      </c>
      <c r="F3333" s="7" t="str">
        <f aca="false">IFERROR(INDEX(02_轉折點45個!B:B,MATCH(A3333,02_轉折點45個!A:A,0)),"")</f>
        <v/>
      </c>
      <c r="G3333" s="7" t="s">
        <v>1994</v>
      </c>
    </row>
    <row r="3334" customFormat="false" ht="15" hidden="false" customHeight="false" outlineLevel="0" collapsed="false">
      <c r="A3334" s="7" t="s">
        <v>4697</v>
      </c>
      <c r="B3334" s="7" t="n">
        <v>2827.84</v>
      </c>
      <c r="C3334" s="7" t="n">
        <f aca="false">AVERAGE(B3285:B3334)</f>
        <v>2694.8564</v>
      </c>
      <c r="D3334" s="7" t="n">
        <f aca="false">AVERAGE(B3135:B3334)</f>
        <v>2466.48765</v>
      </c>
      <c r="E3334" s="7" t="n">
        <f aca="false">B3334/MAX(B3083:B3334)-1</f>
        <v>-0.00871107621227685</v>
      </c>
      <c r="F3334" s="7" t="str">
        <f aca="false">IFERROR(INDEX(02_轉折點45個!B:B,MATCH(A3334,02_轉折點45個!A:A,0)),"")</f>
        <v/>
      </c>
      <c r="G3334" s="7" t="s">
        <v>1994</v>
      </c>
    </row>
    <row r="3335" customFormat="false" ht="15" hidden="false" customHeight="false" outlineLevel="0" collapsed="false">
      <c r="A3335" s="7" t="s">
        <v>4698</v>
      </c>
      <c r="B3335" s="7" t="n">
        <v>2824.37</v>
      </c>
      <c r="C3335" s="7" t="n">
        <f aca="false">AVERAGE(B3286:B3335)</f>
        <v>2700.397</v>
      </c>
      <c r="D3335" s="7" t="n">
        <f aca="false">AVERAGE(B3136:B3335)</f>
        <v>2468.58935</v>
      </c>
      <c r="E3335" s="7" t="n">
        <f aca="false">B3335/MAX(B3084:B3335)-1</f>
        <v>-0.00992747196505761</v>
      </c>
      <c r="F3335" s="7" t="str">
        <f aca="false">IFERROR(INDEX(02_轉折點45個!B:B,MATCH(A3335,02_轉折點45個!A:A,0)),"")</f>
        <v/>
      </c>
      <c r="G3335" s="7" t="s">
        <v>1994</v>
      </c>
    </row>
    <row r="3336" customFormat="false" ht="15" hidden="false" customHeight="false" outlineLevel="0" collapsed="false">
      <c r="A3336" s="7" t="s">
        <v>4699</v>
      </c>
      <c r="B3336" s="7" t="n">
        <v>2850.07</v>
      </c>
      <c r="C3336" s="7" t="n">
        <f aca="false">AVERAGE(B3287:B3336)</f>
        <v>2706.4814</v>
      </c>
      <c r="D3336" s="7" t="n">
        <f aca="false">AVERAGE(B3137:B3336)</f>
        <v>2470.855</v>
      </c>
      <c r="E3336" s="7" t="n">
        <f aca="false">B3336/MAX(B3085:B3336)-1</f>
        <v>-0.000918431375298345</v>
      </c>
      <c r="F3336" s="7" t="str">
        <f aca="false">IFERROR(INDEX(02_轉折點45個!B:B,MATCH(A3336,02_轉折點45個!A:A,0)),"")</f>
        <v/>
      </c>
      <c r="G3336" s="7" t="s">
        <v>1994</v>
      </c>
    </row>
    <row r="3337" customFormat="false" ht="15" hidden="false" customHeight="false" outlineLevel="0" collapsed="false">
      <c r="A3337" s="7" t="s">
        <v>4700</v>
      </c>
      <c r="B3337" s="7" t="n">
        <v>2844.47</v>
      </c>
      <c r="C3337" s="7" t="n">
        <f aca="false">AVERAGE(B3288:B3337)</f>
        <v>2712.5</v>
      </c>
      <c r="D3337" s="7" t="n">
        <f aca="false">AVERAGE(B3138:B3337)</f>
        <v>2473.12565</v>
      </c>
      <c r="E3337" s="7" t="n">
        <f aca="false">B3337/MAX(B3086:B3337)-1</f>
        <v>-0.00288149080341726</v>
      </c>
      <c r="F3337" s="7" t="str">
        <f aca="false">IFERROR(INDEX(02_轉折點45個!B:B,MATCH(A3337,02_轉折點45個!A:A,0)),"")</f>
        <v/>
      </c>
      <c r="G3337" s="7" t="s">
        <v>1994</v>
      </c>
    </row>
    <row r="3338" customFormat="false" ht="15" hidden="false" customHeight="false" outlineLevel="0" collapsed="false">
      <c r="A3338" s="7" t="s">
        <v>4701</v>
      </c>
      <c r="B3338" s="7" t="n">
        <v>2802.92</v>
      </c>
      <c r="C3338" s="7" t="n">
        <f aca="false">AVERAGE(B3289:B3338)</f>
        <v>2717.6424</v>
      </c>
      <c r="D3338" s="7" t="n">
        <f aca="false">AVERAGE(B3139:B3338)</f>
        <v>2475.1283</v>
      </c>
      <c r="E3338" s="7" t="n">
        <f aca="false">B3338/MAX(B3087:B3338)-1</f>
        <v>-0.0174466906674051</v>
      </c>
      <c r="F3338" s="7" t="str">
        <f aca="false">IFERROR(INDEX(02_轉折點45個!B:B,MATCH(A3338,02_轉折點45個!A:A,0)),"")</f>
        <v/>
      </c>
      <c r="G3338" s="7" t="s">
        <v>1994</v>
      </c>
    </row>
    <row r="3339" customFormat="false" ht="15" hidden="false" customHeight="false" outlineLevel="0" collapsed="false">
      <c r="A3339" s="7" t="s">
        <v>983</v>
      </c>
      <c r="B3339" s="7" t="n">
        <v>2814.26</v>
      </c>
      <c r="C3339" s="7" t="n">
        <f aca="false">AVERAGE(B3290:B3339)</f>
        <v>2722.433</v>
      </c>
      <c r="D3339" s="7" t="n">
        <f aca="false">AVERAGE(B3140:B3339)</f>
        <v>2476.92455</v>
      </c>
      <c r="E3339" s="7" t="n">
        <f aca="false">B3339/MAX(B3088:B3339)-1</f>
        <v>-0.0134714953254647</v>
      </c>
      <c r="F3339" s="7" t="str">
        <f aca="false">IFERROR(INDEX(02_轉折點45個!B:B,MATCH(A3339,02_轉折點45個!A:A,0)),"")</f>
        <v/>
      </c>
      <c r="G3339" s="7" t="s">
        <v>1994</v>
      </c>
    </row>
    <row r="3340" customFormat="false" ht="15" hidden="false" customHeight="false" outlineLevel="0" collapsed="false">
      <c r="A3340" s="7" t="s">
        <v>4702</v>
      </c>
      <c r="B3340" s="7" t="n">
        <v>2783.73</v>
      </c>
      <c r="C3340" s="7" t="n">
        <f aca="false">AVERAGE(B3291:B3340)</f>
        <v>2726.851</v>
      </c>
      <c r="D3340" s="7" t="n">
        <f aca="false">AVERAGE(B3141:B3340)</f>
        <v>2478.6507</v>
      </c>
      <c r="E3340" s="7" t="n">
        <f aca="false">B3340/MAX(B3089:B3340)-1</f>
        <v>-0.0241736746719763</v>
      </c>
      <c r="F3340" s="7" t="str">
        <f aca="false">IFERROR(INDEX(02_轉折點45個!B:B,MATCH(A3340,02_轉折點45個!A:A,0)),"")</f>
        <v/>
      </c>
      <c r="G3340" s="7" t="s">
        <v>1994</v>
      </c>
    </row>
    <row r="3341" customFormat="false" ht="15" hidden="false" customHeight="false" outlineLevel="0" collapsed="false">
      <c r="A3341" s="7" t="s">
        <v>4703</v>
      </c>
      <c r="B3341" s="7" t="n">
        <v>2732.7</v>
      </c>
      <c r="C3341" s="7" t="n">
        <f aca="false">AVERAGE(B3292:B3341)</f>
        <v>2730.0426</v>
      </c>
      <c r="D3341" s="7" t="n">
        <f aca="false">AVERAGE(B3142:B3341)</f>
        <v>2480.0415</v>
      </c>
      <c r="E3341" s="7" t="n">
        <f aca="false">B3341/MAX(B3090:B3341)-1</f>
        <v>-0.0420620537107083</v>
      </c>
      <c r="F3341" s="7" t="str">
        <f aca="false">IFERROR(INDEX(02_轉折點45個!B:B,MATCH(A3341,02_轉折點45個!A:A,0)),"")</f>
        <v/>
      </c>
      <c r="G3341" s="7" t="s">
        <v>1994</v>
      </c>
    </row>
    <row r="3342" customFormat="false" ht="15" hidden="false" customHeight="false" outlineLevel="0" collapsed="false">
      <c r="A3342" s="7" t="s">
        <v>4704</v>
      </c>
      <c r="B3342" s="7" t="n">
        <v>2755.76</v>
      </c>
      <c r="C3342" s="7" t="n">
        <f aca="false">AVERAGE(B3293:B3342)</f>
        <v>2733.7796</v>
      </c>
      <c r="D3342" s="7" t="n">
        <f aca="false">AVERAGE(B3143:B3342)</f>
        <v>2481.70225</v>
      </c>
      <c r="E3342" s="7" t="n">
        <f aca="false">B3342/MAX(B3091:B3342)-1</f>
        <v>-0.0339784554227763</v>
      </c>
      <c r="F3342" s="7" t="str">
        <f aca="false">IFERROR(INDEX(02_轉折點45個!B:B,MATCH(A3342,02_轉折點45個!A:A,0)),"")</f>
        <v/>
      </c>
      <c r="G3342" s="7" t="s">
        <v>1994</v>
      </c>
    </row>
    <row r="3343" customFormat="false" ht="15" hidden="false" customHeight="false" outlineLevel="0" collapsed="false">
      <c r="A3343" s="7" t="s">
        <v>4705</v>
      </c>
      <c r="B3343" s="7" t="n">
        <v>2791.47</v>
      </c>
      <c r="C3343" s="7" t="n">
        <f aca="false">AVERAGE(B3294:B3343)</f>
        <v>2738.196</v>
      </c>
      <c r="D3343" s="7" t="n">
        <f aca="false">AVERAGE(B3144:B3343)</f>
        <v>2483.3799</v>
      </c>
      <c r="E3343" s="7" t="n">
        <f aca="false">B3343/MAX(B3092:B3343)-1</f>
        <v>-0.0214604461052551</v>
      </c>
      <c r="F3343" s="7" t="str">
        <f aca="false">IFERROR(INDEX(02_轉折點45個!B:B,MATCH(A3343,02_轉折點45個!A:A,0)),"")</f>
        <v/>
      </c>
      <c r="G3343" s="7" t="s">
        <v>1994</v>
      </c>
    </row>
    <row r="3344" customFormat="false" ht="15" hidden="false" customHeight="false" outlineLevel="0" collapsed="false">
      <c r="A3344" s="7" t="s">
        <v>4706</v>
      </c>
      <c r="B3344" s="7" t="n">
        <v>2751.07</v>
      </c>
      <c r="C3344" s="7" t="n">
        <f aca="false">AVERAGE(B3295:B3344)</f>
        <v>2741.1754</v>
      </c>
      <c r="D3344" s="7" t="n">
        <f aca="false">AVERAGE(B3145:B3344)</f>
        <v>2484.66815</v>
      </c>
      <c r="E3344" s="7" t="n">
        <f aca="false">B3344/MAX(B3093:B3344)-1</f>
        <v>-0.0356225176938257</v>
      </c>
      <c r="F3344" s="7" t="str">
        <f aca="false">IFERROR(INDEX(02_轉折點45個!B:B,MATCH(A3344,02_轉折點45個!A:A,0)),"")</f>
        <v/>
      </c>
      <c r="G3344" s="7" t="s">
        <v>1994</v>
      </c>
    </row>
    <row r="3345" customFormat="false" ht="15" hidden="false" customHeight="false" outlineLevel="0" collapsed="false">
      <c r="A3345" s="7" t="s">
        <v>4707</v>
      </c>
      <c r="B3345" s="7" t="n">
        <v>2730.12</v>
      </c>
      <c r="C3345" s="7" t="n">
        <f aca="false">AVERAGE(B3296:B3345)</f>
        <v>2743.5272</v>
      </c>
      <c r="D3345" s="7" t="n">
        <f aca="false">AVERAGE(B3146:B3345)</f>
        <v>2485.80055</v>
      </c>
      <c r="E3345" s="7" t="n">
        <f aca="false">B3345/MAX(B3094:B3345)-1</f>
        <v>-0.0429664632329486</v>
      </c>
      <c r="F3345" s="7" t="str">
        <f aca="false">IFERROR(INDEX(02_轉折點45個!B:B,MATCH(A3345,02_轉折點45個!A:A,0)),"")</f>
        <v/>
      </c>
      <c r="G3345" s="7" t="s">
        <v>1994</v>
      </c>
    </row>
    <row r="3346" customFormat="false" ht="15" hidden="false" customHeight="false" outlineLevel="0" collapsed="false">
      <c r="A3346" s="7" t="s">
        <v>4708</v>
      </c>
      <c r="B3346" s="7" t="n">
        <v>2779.84</v>
      </c>
      <c r="C3346" s="7" t="n">
        <f aca="false">AVERAGE(B3297:B3346)</f>
        <v>2746.0334</v>
      </c>
      <c r="D3346" s="7" t="n">
        <f aca="false">AVERAGE(B3147:B3346)</f>
        <v>2487.0307</v>
      </c>
      <c r="E3346" s="7" t="n">
        <f aca="false">B3346/MAX(B3095:B3346)-1</f>
        <v>-0.0255372998818658</v>
      </c>
      <c r="F3346" s="7" t="str">
        <f aca="false">IFERROR(INDEX(02_轉折點45個!B:B,MATCH(A3346,02_轉折點45個!A:A,0)),"")</f>
        <v/>
      </c>
      <c r="G3346" s="7" t="s">
        <v>1994</v>
      </c>
    </row>
    <row r="3347" customFormat="false" ht="15" hidden="false" customHeight="false" outlineLevel="0" collapsed="false">
      <c r="A3347" s="7" t="s">
        <v>984</v>
      </c>
      <c r="B3347" s="7" t="n">
        <v>2769.45</v>
      </c>
      <c r="C3347" s="7" t="n">
        <f aca="false">AVERAGE(B3298:B3347)</f>
        <v>2748.3988</v>
      </c>
      <c r="D3347" s="7" t="n">
        <f aca="false">AVERAGE(B3148:B3347)</f>
        <v>2488.0147</v>
      </c>
      <c r="E3347" s="7" t="n">
        <f aca="false">B3347/MAX(B3096:B3347)-1</f>
        <v>-0.0291794762136791</v>
      </c>
      <c r="F3347" s="7" t="str">
        <f aca="false">IFERROR(INDEX(02_轉折點45個!B:B,MATCH(A3347,02_轉折點45個!A:A,0)),"")</f>
        <v/>
      </c>
      <c r="G3347" s="7" t="s">
        <v>1994</v>
      </c>
    </row>
    <row r="3348" customFormat="false" ht="15" hidden="false" customHeight="false" outlineLevel="0" collapsed="false">
      <c r="A3348" s="7" t="s">
        <v>4709</v>
      </c>
      <c r="B3348" s="7" t="n">
        <v>2747.62</v>
      </c>
      <c r="C3348" s="7" t="n">
        <f aca="false">AVERAGE(B3299:B3348)</f>
        <v>2750.2894</v>
      </c>
      <c r="D3348" s="7" t="n">
        <f aca="false">AVERAGE(B3149:B3348)</f>
        <v>2488.84505</v>
      </c>
      <c r="E3348" s="7" t="n">
        <f aca="false">B3348/MAX(B3097:B3348)-1</f>
        <v>-0.0368319025200776</v>
      </c>
      <c r="F3348" s="7" t="str">
        <f aca="false">IFERROR(INDEX(02_轉折點45個!B:B,MATCH(A3348,02_轉折點45個!A:A,0)),"")</f>
        <v/>
      </c>
      <c r="G3348" s="7" t="s">
        <v>1994</v>
      </c>
    </row>
    <row r="3349" customFormat="false" ht="15" hidden="false" customHeight="false" outlineLevel="0" collapsed="false">
      <c r="A3349" s="7" t="s">
        <v>4710</v>
      </c>
      <c r="B3349" s="7" t="n">
        <v>2741.13</v>
      </c>
      <c r="C3349" s="7" t="n">
        <f aca="false">AVERAGE(B3300:B3349)</f>
        <v>2751.835</v>
      </c>
      <c r="D3349" s="7" t="n">
        <f aca="false">AVERAGE(B3150:B3349)</f>
        <v>2489.6053</v>
      </c>
      <c r="E3349" s="7" t="n">
        <f aca="false">B3349/MAX(B3098:B3349)-1</f>
        <v>-0.0391069481787365</v>
      </c>
      <c r="F3349" s="7" t="str">
        <f aca="false">IFERROR(INDEX(02_轉折點45個!B:B,MATCH(A3349,02_轉折點45個!A:A,0)),"")</f>
        <v/>
      </c>
      <c r="G3349" s="7" t="s">
        <v>1994</v>
      </c>
    </row>
    <row r="3350" customFormat="false" ht="15" hidden="false" customHeight="false" outlineLevel="0" collapsed="false">
      <c r="A3350" s="7" t="s">
        <v>4711</v>
      </c>
      <c r="B3350" s="7" t="n">
        <v>2713.72</v>
      </c>
      <c r="C3350" s="7" t="n">
        <f aca="false">AVERAGE(B3301:B3350)</f>
        <v>2752.6246</v>
      </c>
      <c r="D3350" s="7" t="n">
        <f aca="false">AVERAGE(B3151:B3350)</f>
        <v>2490.052</v>
      </c>
      <c r="E3350" s="7" t="n">
        <f aca="false">B3350/MAX(B3099:B3350)-1</f>
        <v>-0.0487154229867249</v>
      </c>
      <c r="F3350" s="7" t="str">
        <f aca="false">IFERROR(INDEX(02_轉折點45個!B:B,MATCH(A3350,02_轉折點45個!A:A,0)),"")</f>
        <v/>
      </c>
      <c r="G3350" s="7" t="s">
        <v>1994</v>
      </c>
    </row>
    <row r="3351" customFormat="false" ht="15" hidden="false" customHeight="false" outlineLevel="0" collapsed="false">
      <c r="A3351" s="7" t="s">
        <v>4712</v>
      </c>
      <c r="B3351" s="7" t="n">
        <v>2705.64</v>
      </c>
      <c r="C3351" s="7" t="n">
        <f aca="false">AVERAGE(B3302:B3351)</f>
        <v>2753.6792</v>
      </c>
      <c r="D3351" s="7" t="n">
        <f aca="false">AVERAGE(B3152:B3351)</f>
        <v>2490.517</v>
      </c>
      <c r="E3351" s="7" t="n">
        <f aca="false">B3351/MAX(B3100:B3351)-1</f>
        <v>-0.051547837304439</v>
      </c>
      <c r="F3351" s="7" t="str">
        <f aca="false">IFERROR(INDEX(02_轉折點45個!B:B,MATCH(A3351,02_轉折點45個!A:A,0)),"")</f>
        <v/>
      </c>
      <c r="G3351" s="7" t="s">
        <v>1994</v>
      </c>
    </row>
    <row r="3352" customFormat="false" ht="15" hidden="false" customHeight="false" outlineLevel="0" collapsed="false">
      <c r="A3352" s="7" t="s">
        <v>985</v>
      </c>
      <c r="B3352" s="7" t="n">
        <v>2767.79</v>
      </c>
      <c r="C3352" s="7" t="n">
        <f aca="false">AVERAGE(B3303:B3352)</f>
        <v>2755.4742</v>
      </c>
      <c r="D3352" s="7" t="n">
        <f aca="false">AVERAGE(B3153:B3352)</f>
        <v>2491.55395</v>
      </c>
      <c r="E3352" s="7" t="n">
        <f aca="false">B3352/MAX(B3101:B3352)-1</f>
        <v>-0.0297613831155856</v>
      </c>
      <c r="F3352" s="7" t="str">
        <f aca="false">IFERROR(INDEX(02_轉折點45個!B:B,MATCH(A3352,02_轉折點45個!A:A,0)),"")</f>
        <v/>
      </c>
      <c r="G3352" s="7" t="s">
        <v>1994</v>
      </c>
    </row>
    <row r="3353" customFormat="false" ht="15" hidden="false" customHeight="false" outlineLevel="0" collapsed="false">
      <c r="A3353" s="7" t="s">
        <v>4713</v>
      </c>
      <c r="B3353" s="7" t="n">
        <v>2786.95</v>
      </c>
      <c r="C3353" s="7" t="n">
        <f aca="false">AVERAGE(B3304:B3353)</f>
        <v>2757.6444</v>
      </c>
      <c r="D3353" s="7" t="n">
        <f aca="false">AVERAGE(B3154:B3353)</f>
        <v>2492.7813</v>
      </c>
      <c r="E3353" s="7" t="n">
        <f aca="false">B3353/MAX(B3102:B3353)-1</f>
        <v>-0.0230449155008081</v>
      </c>
      <c r="F3353" s="7" t="str">
        <f aca="false">IFERROR(INDEX(02_轉折點45個!B:B,MATCH(A3353,02_轉折點45個!A:A,0)),"")</f>
        <v/>
      </c>
      <c r="G3353" s="7" t="s">
        <v>1994</v>
      </c>
    </row>
    <row r="3354" customFormat="false" ht="15" hidden="false" customHeight="false" outlineLevel="0" collapsed="false">
      <c r="A3354" s="7" t="s">
        <v>4714</v>
      </c>
      <c r="B3354" s="7" t="n">
        <v>2803.94</v>
      </c>
      <c r="C3354" s="7" t="n">
        <f aca="false">AVERAGE(B3305:B3354)</f>
        <v>2760.4468</v>
      </c>
      <c r="D3354" s="7" t="n">
        <f aca="false">AVERAGE(B3155:B3354)</f>
        <v>2494.02505</v>
      </c>
      <c r="E3354" s="7" t="n">
        <f aca="false">B3354/MAX(B3103:B3354)-1</f>
        <v>-0.0170891334144264</v>
      </c>
      <c r="F3354" s="7" t="str">
        <f aca="false">IFERROR(INDEX(02_轉折點45個!B:B,MATCH(A3354,02_轉折點45個!A:A,0)),"")</f>
        <v/>
      </c>
      <c r="G3354" s="7" t="s">
        <v>1994</v>
      </c>
    </row>
    <row r="3355" customFormat="false" ht="15" hidden="false" customHeight="false" outlineLevel="0" collapsed="false">
      <c r="A3355" s="7" t="s">
        <v>4715</v>
      </c>
      <c r="B3355" s="7" t="n">
        <v>2783.07</v>
      </c>
      <c r="C3355" s="7" t="n">
        <f aca="false">AVERAGE(B3306:B3355)</f>
        <v>2762.0274</v>
      </c>
      <c r="D3355" s="7" t="n">
        <f aca="false">AVERAGE(B3156:B3355)</f>
        <v>2495.3209</v>
      </c>
      <c r="E3355" s="7" t="n">
        <f aca="false">B3355/MAX(B3104:B3355)-1</f>
        <v>-0.0244050352474331</v>
      </c>
      <c r="F3355" s="7" t="str">
        <f aca="false">IFERROR(INDEX(02_轉折點45個!B:B,MATCH(A3355,02_轉折點45個!A:A,0)),"")</f>
        <v/>
      </c>
      <c r="G3355" s="7" t="s">
        <v>1994</v>
      </c>
    </row>
    <row r="3356" customFormat="false" ht="15" hidden="false" customHeight="false" outlineLevel="0" collapsed="false">
      <c r="A3356" s="7" t="s">
        <v>4716</v>
      </c>
      <c r="B3356" s="7" t="n">
        <v>2786.8</v>
      </c>
      <c r="C3356" s="7" t="n">
        <f aca="false">AVERAGE(B3307:B3356)</f>
        <v>2763.83</v>
      </c>
      <c r="D3356" s="7" t="n">
        <f aca="false">AVERAGE(B3157:B3356)</f>
        <v>2496.5115</v>
      </c>
      <c r="E3356" s="7" t="n">
        <f aca="false">B3356/MAX(B3105:B3356)-1</f>
        <v>-0.0230974974497754</v>
      </c>
      <c r="F3356" s="7" t="str">
        <f aca="false">IFERROR(INDEX(02_轉折點45個!B:B,MATCH(A3356,02_轉折點45個!A:A,0)),"")</f>
        <v/>
      </c>
      <c r="G3356" s="7" t="s">
        <v>1994</v>
      </c>
    </row>
    <row r="3357" customFormat="false" ht="15" hidden="false" customHeight="false" outlineLevel="0" collapsed="false">
      <c r="A3357" s="7" t="s">
        <v>4717</v>
      </c>
      <c r="B3357" s="7" t="n">
        <v>2795.4</v>
      </c>
      <c r="C3357" s="7" t="n">
        <f aca="false">AVERAGE(B3308:B3357)</f>
        <v>2765.8634</v>
      </c>
      <c r="D3357" s="7" t="n">
        <f aca="false">AVERAGE(B3158:B3357)</f>
        <v>2497.85785</v>
      </c>
      <c r="E3357" s="7" t="n">
        <f aca="false">B3357/MAX(B3106:B3357)-1</f>
        <v>-0.0200827990423075</v>
      </c>
      <c r="F3357" s="7" t="str">
        <f aca="false">IFERROR(INDEX(02_轉折點45個!B:B,MATCH(A3357,02_轉折點45個!A:A,0)),"")</f>
        <v/>
      </c>
      <c r="G3357" s="7" t="s">
        <v>1994</v>
      </c>
    </row>
    <row r="3358" customFormat="false" ht="15" hidden="false" customHeight="false" outlineLevel="0" collapsed="false">
      <c r="A3358" s="7" t="s">
        <v>4718</v>
      </c>
      <c r="B3358" s="7" t="n">
        <v>2762.92</v>
      </c>
      <c r="C3358" s="7" t="n">
        <f aca="false">AVERAGE(B3309:B3358)</f>
        <v>2767.5286</v>
      </c>
      <c r="D3358" s="7" t="n">
        <f aca="false">AVERAGE(B3159:B3358)</f>
        <v>2498.7613</v>
      </c>
      <c r="E3358" s="7" t="n">
        <f aca="false">B3358/MAX(B3107:B3358)-1</f>
        <v>-0.031468543725396</v>
      </c>
      <c r="F3358" s="7" t="str">
        <f aca="false">IFERROR(INDEX(02_轉折點45個!B:B,MATCH(A3358,02_轉折點45個!A:A,0)),"")</f>
        <v/>
      </c>
      <c r="G3358" s="7" t="s">
        <v>1994</v>
      </c>
    </row>
    <row r="3359" customFormat="false" ht="15" hidden="false" customHeight="false" outlineLevel="0" collapsed="false">
      <c r="A3359" s="7" t="s">
        <v>986</v>
      </c>
      <c r="B3359" s="7" t="n">
        <v>2700.83</v>
      </c>
      <c r="C3359" s="7" t="n">
        <f aca="false">AVERAGE(B3310:B3359)</f>
        <v>2767.5168</v>
      </c>
      <c r="D3359" s="7" t="n">
        <f aca="false">AVERAGE(B3160:B3359)</f>
        <v>2499.41045</v>
      </c>
      <c r="E3359" s="7" t="n">
        <f aca="false">B3359/MAX(B3108:B3359)-1</f>
        <v>-0.0532339651346624</v>
      </c>
      <c r="F3359" s="7" t="str">
        <f aca="false">IFERROR(INDEX(02_轉折點45個!B:B,MATCH(A3359,02_轉折點45個!A:A,0)),"")</f>
        <v/>
      </c>
      <c r="G3359" s="7" t="s">
        <v>1994</v>
      </c>
    </row>
    <row r="3360" customFormat="false" ht="15" hidden="false" customHeight="false" outlineLevel="0" collapsed="false">
      <c r="A3360" s="7" t="s">
        <v>4719</v>
      </c>
      <c r="B3360" s="7" t="n">
        <v>2702.13</v>
      </c>
      <c r="C3360" s="7" t="n">
        <f aca="false">AVERAGE(B3311:B3360)</f>
        <v>2767.4074</v>
      </c>
      <c r="D3360" s="7" t="n">
        <f aca="false">AVERAGE(B3161:B3360)</f>
        <v>2499.9738</v>
      </c>
      <c r="E3360" s="7" t="n">
        <f aca="false">B3360/MAX(B3109:B3360)-1</f>
        <v>-0.0527782549102777</v>
      </c>
      <c r="F3360" s="7" t="str">
        <f aca="false">IFERROR(INDEX(02_轉折點45個!B:B,MATCH(A3360,02_轉折點45個!A:A,0)),"")</f>
        <v/>
      </c>
      <c r="G3360" s="7" t="s">
        <v>1994</v>
      </c>
    </row>
    <row r="3361" customFormat="false" ht="15" hidden="false" customHeight="false" outlineLevel="0" collapsed="false">
      <c r="A3361" s="7" t="s">
        <v>4720</v>
      </c>
      <c r="B3361" s="7" t="n">
        <v>2691.63</v>
      </c>
      <c r="C3361" s="7" t="n">
        <f aca="false">AVERAGE(B3312:B3361)</f>
        <v>2767.044</v>
      </c>
      <c r="D3361" s="7" t="n">
        <f aca="false">AVERAGE(B3162:B3361)</f>
        <v>2500.3732</v>
      </c>
      <c r="E3361" s="7" t="n">
        <f aca="false">B3361/MAX(B3110:B3361)-1</f>
        <v>-0.0564589913380003</v>
      </c>
      <c r="F3361" s="7" t="str">
        <f aca="false">IFERROR(INDEX(02_轉折點45個!B:B,MATCH(A3361,02_轉折點45個!A:A,0)),"")</f>
        <v/>
      </c>
      <c r="G3361" s="7" t="s">
        <v>1994</v>
      </c>
    </row>
    <row r="3362" customFormat="false" ht="15" hidden="false" customHeight="false" outlineLevel="0" collapsed="false">
      <c r="A3362" s="7" t="s">
        <v>987</v>
      </c>
      <c r="B3362" s="7" t="n">
        <v>2681.07</v>
      </c>
      <c r="C3362" s="7" t="n">
        <f aca="false">AVERAGE(B3313:B3362)</f>
        <v>2766.093</v>
      </c>
      <c r="D3362" s="7" t="n">
        <f aca="false">AVERAGE(B3163:B3362)</f>
        <v>2500.79305</v>
      </c>
      <c r="E3362" s="7" t="n">
        <f aca="false">B3362/MAX(B3111:B3362)-1</f>
        <v>-0.0601607605453098</v>
      </c>
      <c r="F3362" s="7" t="str">
        <f aca="false">IFERROR(INDEX(02_轉折點45個!B:B,MATCH(A3362,02_轉折點45個!A:A,0)),"")</f>
        <v/>
      </c>
      <c r="G3362" s="7" t="s">
        <v>1994</v>
      </c>
    </row>
    <row r="3363" customFormat="false" ht="15" hidden="false" customHeight="false" outlineLevel="0" collapsed="false">
      <c r="A3363" s="7" t="s">
        <v>4721</v>
      </c>
      <c r="B3363" s="7" t="n">
        <v>2680.09</v>
      </c>
      <c r="C3363" s="7" t="n">
        <f aca="false">AVERAGE(B3314:B3363)</f>
        <v>2765.4854</v>
      </c>
      <c r="D3363" s="7" t="n">
        <f aca="false">AVERAGE(B3164:B3363)</f>
        <v>2501.22095</v>
      </c>
      <c r="E3363" s="7" t="n">
        <f aca="false">B3363/MAX(B3112:B3363)-1</f>
        <v>-0.0605042959452307</v>
      </c>
      <c r="F3363" s="7" t="str">
        <f aca="false">IFERROR(INDEX(02_轉折點45個!B:B,MATCH(A3363,02_轉折點45個!A:A,0)),"")</f>
        <v/>
      </c>
      <c r="G3363" s="7" t="s">
        <v>1994</v>
      </c>
    </row>
    <row r="3364" customFormat="false" ht="15" hidden="false" customHeight="false" outlineLevel="0" collapsed="false">
      <c r="A3364" s="7" t="s">
        <v>4722</v>
      </c>
      <c r="B3364" s="7" t="n">
        <v>2680.26</v>
      </c>
      <c r="C3364" s="7" t="n">
        <f aca="false">AVERAGE(B3315:B3364)</f>
        <v>2764.4778</v>
      </c>
      <c r="D3364" s="7" t="n">
        <f aca="false">AVERAGE(B3165:B3364)</f>
        <v>2501.99305</v>
      </c>
      <c r="E3364" s="7" t="n">
        <f aca="false">B3364/MAX(B3113:B3364)-1</f>
        <v>-0.0604447030697342</v>
      </c>
      <c r="F3364" s="7" t="str">
        <f aca="false">IFERROR(INDEX(02_轉折點45個!B:B,MATCH(A3364,02_轉折點45個!A:A,0)),"")</f>
        <v/>
      </c>
      <c r="G3364" s="7" t="s">
        <v>1994</v>
      </c>
    </row>
    <row r="3365" customFormat="false" ht="15" hidden="false" customHeight="false" outlineLevel="0" collapsed="false">
      <c r="A3365" s="7" t="s">
        <v>4723</v>
      </c>
      <c r="B3365" s="7" t="n">
        <v>2651.72</v>
      </c>
      <c r="C3365" s="7" t="n">
        <f aca="false">AVERAGE(B3316:B3365)</f>
        <v>2763.1328</v>
      </c>
      <c r="D3365" s="7" t="n">
        <f aca="false">AVERAGE(B3166:B3365)</f>
        <v>2502.6158</v>
      </c>
      <c r="E3365" s="7" t="n">
        <f aca="false">B3365/MAX(B3114:B3365)-1</f>
        <v>-0.0704492952266108</v>
      </c>
      <c r="F3365" s="7" t="str">
        <f aca="false">IFERROR(INDEX(02_轉折點45個!B:B,MATCH(A3365,02_轉折點45個!A:A,0)),"")</f>
        <v/>
      </c>
      <c r="G3365" s="7" t="s">
        <v>1994</v>
      </c>
    </row>
    <row r="3366" customFormat="false" ht="15" hidden="false" customHeight="false" outlineLevel="0" collapsed="false">
      <c r="A3366" s="7" t="s">
        <v>4724</v>
      </c>
      <c r="B3366" s="7" t="n">
        <v>2643.66</v>
      </c>
      <c r="C3366" s="7" t="n">
        <f aca="false">AVERAGE(B3317:B3366)</f>
        <v>2762.0964</v>
      </c>
      <c r="D3366" s="7" t="n">
        <f aca="false">AVERAGE(B3167:B3366)</f>
        <v>2503.24335</v>
      </c>
      <c r="E3366" s="7" t="n">
        <f aca="false">B3366/MAX(B3115:B3366)-1</f>
        <v>-0.0732746986177959</v>
      </c>
      <c r="F3366" s="7" t="str">
        <f aca="false">IFERROR(INDEX(02_轉折點45個!B:B,MATCH(A3366,02_轉折點45個!A:A,0)),"")</f>
        <v/>
      </c>
      <c r="G3366" s="7" t="s">
        <v>1994</v>
      </c>
    </row>
    <row r="3367" customFormat="false" ht="15" hidden="false" customHeight="false" outlineLevel="0" collapsed="false">
      <c r="A3367" s="7" t="s">
        <v>4725</v>
      </c>
      <c r="B3367" s="7" t="n">
        <v>2625.64</v>
      </c>
      <c r="C3367" s="7" t="n">
        <f aca="false">AVERAGE(B3318:B3367)</f>
        <v>2761.4334</v>
      </c>
      <c r="D3367" s="7" t="n">
        <f aca="false">AVERAGE(B3168:B3367)</f>
        <v>2503.83455</v>
      </c>
      <c r="E3367" s="7" t="n">
        <f aca="false">B3367/MAX(B3116:B3367)-1</f>
        <v>-0.0795915434204207</v>
      </c>
      <c r="F3367" s="7" t="str">
        <f aca="false">IFERROR(INDEX(02_轉折點45個!B:B,MATCH(A3367,02_轉折點45個!A:A,0)),"")</f>
        <v/>
      </c>
      <c r="G3367" s="7" t="s">
        <v>1994</v>
      </c>
    </row>
    <row r="3368" customFormat="false" ht="15" hidden="false" customHeight="false" outlineLevel="0" collapsed="false">
      <c r="A3368" s="7" t="s">
        <v>4726</v>
      </c>
      <c r="B3368" s="7" t="n">
        <v>2570.51</v>
      </c>
      <c r="C3368" s="7" t="n">
        <f aca="false">AVERAGE(B3319:B3368)</f>
        <v>2759.2042</v>
      </c>
      <c r="D3368" s="7" t="n">
        <f aca="false">AVERAGE(B3169:B3368)</f>
        <v>2504.4944</v>
      </c>
      <c r="E3368" s="7" t="n">
        <f aca="false">B3368/MAX(B3117:B3368)-1</f>
        <v>-0.0989171623975966</v>
      </c>
      <c r="F3368" s="7" t="str">
        <f aca="false">IFERROR(INDEX(02_轉折點45個!B:B,MATCH(A3368,02_轉折點45個!A:A,0)),"")</f>
        <v/>
      </c>
      <c r="G3368" s="7" t="s">
        <v>1994</v>
      </c>
    </row>
    <row r="3369" customFormat="false" ht="15" hidden="false" customHeight="false" outlineLevel="0" collapsed="false">
      <c r="A3369" s="7" t="s">
        <v>4727</v>
      </c>
      <c r="B3369" s="7" t="n">
        <v>2538.63</v>
      </c>
      <c r="C3369" s="7" t="n">
        <f aca="false">AVERAGE(B3320:B3369)</f>
        <v>2755.703</v>
      </c>
      <c r="D3369" s="7" t="n">
        <f aca="false">AVERAGE(B3170:B3369)</f>
        <v>2504.88595</v>
      </c>
      <c r="E3369" s="7" t="n">
        <f aca="false">B3369/MAX(B3118:B3369)-1</f>
        <v>-0.110092579284815</v>
      </c>
      <c r="F3369" s="7" t="str">
        <f aca="false">IFERROR(INDEX(02_轉折點45個!B:B,MATCH(A3369,02_轉折點45個!A:A,0)),"")</f>
        <v/>
      </c>
      <c r="G3369" s="7" t="s">
        <v>1994</v>
      </c>
    </row>
    <row r="3370" customFormat="false" ht="15" hidden="false" customHeight="false" outlineLevel="0" collapsed="false">
      <c r="A3370" s="7" t="s">
        <v>4728</v>
      </c>
      <c r="B3370" s="7" t="n">
        <v>2601.13</v>
      </c>
      <c r="C3370" s="7" t="n">
        <f aca="false">AVERAGE(B3321:B3370)</f>
        <v>2753.1242</v>
      </c>
      <c r="D3370" s="7" t="n">
        <f aca="false">AVERAGE(B3171:B3370)</f>
        <v>2506.21435</v>
      </c>
      <c r="E3370" s="7" t="n">
        <f aca="false">B3370/MAX(B3119:B3370)-1</f>
        <v>-0.0881834338817046</v>
      </c>
      <c r="F3370" s="7" t="str">
        <f aca="false">IFERROR(INDEX(02_轉折點45個!B:B,MATCH(A3370,02_轉折點45個!A:A,0)),"")</f>
        <v/>
      </c>
      <c r="G3370" s="7" t="s">
        <v>1994</v>
      </c>
    </row>
    <row r="3371" customFormat="false" ht="15" hidden="false" customHeight="false" outlineLevel="0" collapsed="false">
      <c r="A3371" s="7" t="s">
        <v>4729</v>
      </c>
      <c r="B3371" s="7" t="n">
        <v>2593.71</v>
      </c>
      <c r="C3371" s="7" t="n">
        <f aca="false">AVERAGE(B3322:B3371)</f>
        <v>2750.4826</v>
      </c>
      <c r="D3371" s="7" t="n">
        <f aca="false">AVERAGE(B3172:B3371)</f>
        <v>2507.6152</v>
      </c>
      <c r="E3371" s="7" t="n">
        <f aca="false">B3371/MAX(B3120:B3371)-1</f>
        <v>-0.090784487623962</v>
      </c>
      <c r="F3371" s="7" t="str">
        <f aca="false">IFERROR(INDEX(02_轉折點45個!B:B,MATCH(A3371,02_轉折點45個!A:A,0)),"")</f>
        <v/>
      </c>
      <c r="G3371" s="7" t="s">
        <v>1994</v>
      </c>
    </row>
    <row r="3372" customFormat="false" ht="15" hidden="false" customHeight="false" outlineLevel="0" collapsed="false">
      <c r="A3372" s="7" t="s">
        <v>4730</v>
      </c>
      <c r="B3372" s="7" t="n">
        <v>2603.79</v>
      </c>
      <c r="C3372" s="7" t="n">
        <f aca="false">AVERAGE(B3323:B3372)</f>
        <v>2747.0154</v>
      </c>
      <c r="D3372" s="7" t="n">
        <f aca="false">AVERAGE(B3173:B3372)</f>
        <v>2509.86455</v>
      </c>
      <c r="E3372" s="7" t="n">
        <f aca="false">B3372/MAX(B3121:B3372)-1</f>
        <v>-0.0872509806533482</v>
      </c>
      <c r="F3372" s="7" t="str">
        <f aca="false">IFERROR(INDEX(02_轉折點45個!B:B,MATCH(A3372,02_轉折點45個!A:A,0)),"")</f>
        <v/>
      </c>
      <c r="G3372" s="7" t="s">
        <v>1994</v>
      </c>
    </row>
    <row r="3373" customFormat="false" ht="15" hidden="false" customHeight="false" outlineLevel="0" collapsed="false">
      <c r="A3373" s="7" t="s">
        <v>4731</v>
      </c>
      <c r="B3373" s="7" t="n">
        <v>2593.98</v>
      </c>
      <c r="C3373" s="7" t="n">
        <f aca="false">AVERAGE(B3324:B3373)</f>
        <v>2743.3364</v>
      </c>
      <c r="D3373" s="7" t="n">
        <f aca="false">AVERAGE(B3174:B3373)</f>
        <v>2511.49465</v>
      </c>
      <c r="E3373" s="7" t="n">
        <f aca="false">B3373/MAX(B3122:B3373)-1</f>
        <v>-0.0906898401158205</v>
      </c>
      <c r="F3373" s="7" t="str">
        <f aca="false">IFERROR(INDEX(02_轉折點45個!B:B,MATCH(A3373,02_轉折點45個!A:A,0)),"")</f>
        <v/>
      </c>
      <c r="G3373" s="7" t="s">
        <v>1994</v>
      </c>
    </row>
    <row r="3374" customFormat="false" ht="15" hidden="false" customHeight="false" outlineLevel="0" collapsed="false">
      <c r="A3374" s="7" t="s">
        <v>4732</v>
      </c>
      <c r="B3374" s="7" t="n">
        <v>2592.29</v>
      </c>
      <c r="C3374" s="7" t="n">
        <f aca="false">AVERAGE(B3325:B3374)</f>
        <v>2739.3378</v>
      </c>
      <c r="D3374" s="7" t="n">
        <f aca="false">AVERAGE(B3175:B3374)</f>
        <v>2513.5798</v>
      </c>
      <c r="E3374" s="7" t="n">
        <f aca="false">B3374/MAX(B3123:B3374)-1</f>
        <v>-0.0912822634075207</v>
      </c>
      <c r="F3374" s="7" t="str">
        <f aca="false">IFERROR(INDEX(02_轉折點45個!B:B,MATCH(A3374,02_轉折點45個!A:A,0)),"")</f>
        <v/>
      </c>
      <c r="G3374" s="7" t="s">
        <v>1994</v>
      </c>
    </row>
    <row r="3375" customFormat="false" ht="15" hidden="false" customHeight="false" outlineLevel="0" collapsed="false">
      <c r="A3375" s="7" t="s">
        <v>4733</v>
      </c>
      <c r="B3375" s="7" t="n">
        <v>2622.86</v>
      </c>
      <c r="C3375" s="7" t="n">
        <f aca="false">AVERAGE(B3326:B3375)</f>
        <v>2735.971</v>
      </c>
      <c r="D3375" s="7" t="n">
        <f aca="false">AVERAGE(B3176:B3375)</f>
        <v>2515.3079</v>
      </c>
      <c r="E3375" s="7" t="n">
        <f aca="false">B3375/MAX(B3124:B3375)-1</f>
        <v>-0.080566062207951</v>
      </c>
      <c r="F3375" s="7" t="str">
        <f aca="false">IFERROR(INDEX(02_轉折點45個!B:B,MATCH(A3375,02_轉折點45個!A:A,0)),"")</f>
        <v/>
      </c>
      <c r="G3375" s="7" t="s">
        <v>1994</v>
      </c>
    </row>
    <row r="3376" customFormat="false" ht="15" hidden="false" customHeight="false" outlineLevel="0" collapsed="false">
      <c r="A3376" s="7" t="s">
        <v>4734</v>
      </c>
      <c r="B3376" s="7" t="n">
        <v>2592.13</v>
      </c>
      <c r="C3376" s="7" t="n">
        <f aca="false">AVERAGE(B3327:B3376)</f>
        <v>2731.5682</v>
      </c>
      <c r="D3376" s="7" t="n">
        <f aca="false">AVERAGE(B3177:B3376)</f>
        <v>2516.81245</v>
      </c>
      <c r="E3376" s="7" t="n">
        <f aca="false">B3376/MAX(B3125:B3376)-1</f>
        <v>-0.0913383508197526</v>
      </c>
      <c r="F3376" s="7" t="str">
        <f aca="false">IFERROR(INDEX(02_轉折點45個!B:B,MATCH(A3376,02_轉折點45個!A:A,0)),"")</f>
        <v/>
      </c>
      <c r="G3376" s="7" t="s">
        <v>1994</v>
      </c>
    </row>
    <row r="3377" customFormat="false" ht="15" hidden="false" customHeight="false" outlineLevel="0" collapsed="false">
      <c r="A3377" s="7" t="s">
        <v>4735</v>
      </c>
      <c r="B3377" s="7" t="n">
        <v>2582.98</v>
      </c>
      <c r="C3377" s="7" t="n">
        <f aca="false">AVERAGE(B3328:B3377)</f>
        <v>2727.0586</v>
      </c>
      <c r="D3377" s="7" t="n">
        <f aca="false">AVERAGE(B3178:B3377)</f>
        <v>2518.05555</v>
      </c>
      <c r="E3377" s="7" t="n">
        <f aca="false">B3377/MAX(B3126:B3377)-1</f>
        <v>-0.0945458497067681</v>
      </c>
      <c r="F3377" s="7" t="str">
        <f aca="false">IFERROR(INDEX(02_轉折點45個!B:B,MATCH(A3377,02_轉折點45個!A:A,0)),"")</f>
        <v/>
      </c>
      <c r="G3377" s="7" t="s">
        <v>1994</v>
      </c>
    </row>
    <row r="3378" customFormat="false" ht="15" hidden="false" customHeight="false" outlineLevel="0" collapsed="false">
      <c r="A3378" s="7" t="s">
        <v>988</v>
      </c>
      <c r="B3378" s="7" t="n">
        <v>2510.02</v>
      </c>
      <c r="C3378" s="7" t="n">
        <f aca="false">AVERAGE(B3329:B3378)</f>
        <v>2721.0684</v>
      </c>
      <c r="D3378" s="7" t="n">
        <f aca="false">AVERAGE(B3179:B3378)</f>
        <v>2519.0789</v>
      </c>
      <c r="E3378" s="7" t="n">
        <f aca="false">B3378/MAX(B3127:B3378)-1</f>
        <v>-0.120121709684543</v>
      </c>
      <c r="F3378" s="7" t="str">
        <f aca="false">IFERROR(INDEX(02_轉折點45個!B:B,MATCH(A3378,02_轉折點45個!A:A,0)),"")</f>
        <v/>
      </c>
      <c r="G3378" s="7" t="s">
        <v>1994</v>
      </c>
    </row>
    <row r="3379" customFormat="false" ht="15" hidden="false" customHeight="false" outlineLevel="0" collapsed="false">
      <c r="A3379" s="7" t="s">
        <v>989</v>
      </c>
      <c r="B3379" s="7" t="n">
        <v>2521.47</v>
      </c>
      <c r="C3379" s="7" t="n">
        <f aca="false">AVERAGE(B3330:B3379)</f>
        <v>2715.5264</v>
      </c>
      <c r="D3379" s="7" t="n">
        <f aca="false">AVERAGE(B3180:B3379)</f>
        <v>2520.21415</v>
      </c>
      <c r="E3379" s="7" t="n">
        <f aca="false">B3379/MAX(B3128:B3379)-1</f>
        <v>-0.116107954246694</v>
      </c>
      <c r="F3379" s="7" t="str">
        <f aca="false">IFERROR(INDEX(02_轉折點45個!B:B,MATCH(A3379,02_轉折點45個!A:A,0)),"")</f>
        <v/>
      </c>
      <c r="G3379" s="7" t="s">
        <v>1994</v>
      </c>
    </row>
    <row r="3380" customFormat="false" ht="15" hidden="false" customHeight="false" outlineLevel="0" collapsed="false">
      <c r="A3380" s="7" t="s">
        <v>4736</v>
      </c>
      <c r="B3380" s="7" t="n">
        <v>2538.01</v>
      </c>
      <c r="C3380" s="7" t="n">
        <f aca="false">AVERAGE(B3331:B3380)</f>
        <v>2710.2312</v>
      </c>
      <c r="D3380" s="7" t="n">
        <f aca="false">AVERAGE(B3181:B3380)</f>
        <v>2522.0307</v>
      </c>
      <c r="E3380" s="7" t="n">
        <f aca="false">B3380/MAX(B3129:B3380)-1</f>
        <v>-0.110309918007214</v>
      </c>
      <c r="F3380" s="7" t="str">
        <f aca="false">IFERROR(INDEX(02_轉折點45個!B:B,MATCH(A3380,02_轉折點45個!A:A,0)),"")</f>
        <v/>
      </c>
      <c r="G3380" s="7" t="s">
        <v>1994</v>
      </c>
    </row>
    <row r="3381" customFormat="false" ht="15" hidden="false" customHeight="false" outlineLevel="0" collapsed="false">
      <c r="A3381" s="7" t="s">
        <v>4737</v>
      </c>
      <c r="B3381" s="7" t="n">
        <v>2598.86</v>
      </c>
      <c r="C3381" s="7" t="n">
        <f aca="false">AVERAGE(B3332:B3381)</f>
        <v>2705.1546</v>
      </c>
      <c r="D3381" s="7" t="n">
        <f aca="false">AVERAGE(B3182:B3381)</f>
        <v>2524.3278</v>
      </c>
      <c r="E3381" s="7" t="n">
        <f aca="false">B3381/MAX(B3130:B3381)-1</f>
        <v>-0.0889791740427456</v>
      </c>
      <c r="F3381" s="7" t="str">
        <f aca="false">IFERROR(INDEX(02_轉折點45個!B:B,MATCH(A3381,02_轉折點45個!A:A,0)),"")</f>
        <v/>
      </c>
      <c r="G3381" s="7" t="s">
        <v>1994</v>
      </c>
    </row>
    <row r="3382" customFormat="false" ht="15" hidden="false" customHeight="false" outlineLevel="0" collapsed="false">
      <c r="A3382" s="7" t="s">
        <v>4738</v>
      </c>
      <c r="B3382" s="7" t="n">
        <v>2586.34</v>
      </c>
      <c r="C3382" s="7" t="n">
        <f aca="false">AVERAGE(B3333:B3382)</f>
        <v>2699.868</v>
      </c>
      <c r="D3382" s="7" t="n">
        <f aca="false">AVERAGE(B3183:B3382)</f>
        <v>2526.54615</v>
      </c>
      <c r="E3382" s="7" t="n">
        <f aca="false">B3382/MAX(B3131:B3382)-1</f>
        <v>-0.0933680140498967</v>
      </c>
      <c r="F3382" s="7" t="str">
        <f aca="false">IFERROR(INDEX(02_轉折點45個!B:B,MATCH(A3382,02_轉折點45個!A:A,0)),"")</f>
        <v/>
      </c>
      <c r="G3382" s="7" t="s">
        <v>1994</v>
      </c>
    </row>
    <row r="3383" customFormat="false" ht="15" hidden="false" customHeight="false" outlineLevel="0" collapsed="false">
      <c r="A3383" s="7" t="s">
        <v>4739</v>
      </c>
      <c r="B3383" s="7" t="n">
        <v>2611.37</v>
      </c>
      <c r="C3383" s="7" t="n">
        <f aca="false">AVERAGE(B3334:B3383)</f>
        <v>2695.3632</v>
      </c>
      <c r="D3383" s="7" t="n">
        <f aca="false">AVERAGE(B3184:B3383)</f>
        <v>2528.42975</v>
      </c>
      <c r="E3383" s="7" t="n">
        <f aca="false">B3383/MAX(B3132:B3383)-1</f>
        <v>-0.084593839498859</v>
      </c>
      <c r="F3383" s="7" t="str">
        <f aca="false">IFERROR(INDEX(02_轉折點45個!B:B,MATCH(A3383,02_轉折點45個!A:A,0)),"")</f>
        <v/>
      </c>
      <c r="G3383" s="7" t="s">
        <v>1994</v>
      </c>
    </row>
    <row r="3384" customFormat="false" ht="15" hidden="false" customHeight="false" outlineLevel="0" collapsed="false">
      <c r="A3384" s="7" t="s">
        <v>4740</v>
      </c>
      <c r="B3384" s="7" t="n">
        <v>2566.89</v>
      </c>
      <c r="C3384" s="7" t="n">
        <f aca="false">AVERAGE(B3335:B3384)</f>
        <v>2690.1442</v>
      </c>
      <c r="D3384" s="7" t="n">
        <f aca="false">AVERAGE(B3185:B3384)</f>
        <v>2529.99215</v>
      </c>
      <c r="E3384" s="7" t="n">
        <f aca="false">B3384/MAX(B3133:B3384)-1</f>
        <v>-0.100186140099345</v>
      </c>
      <c r="F3384" s="7" t="str">
        <f aca="false">IFERROR(INDEX(02_轉折點45個!B:B,MATCH(A3384,02_轉折點45個!A:A,0)),"")</f>
        <v/>
      </c>
      <c r="G3384" s="7" t="s">
        <v>1994</v>
      </c>
    </row>
    <row r="3385" customFormat="false" ht="15" hidden="false" customHeight="false" outlineLevel="0" collapsed="false">
      <c r="A3385" s="7" t="s">
        <v>4741</v>
      </c>
      <c r="B3385" s="7" t="n">
        <v>2597.35</v>
      </c>
      <c r="C3385" s="7" t="n">
        <f aca="false">AVERAGE(B3336:B3385)</f>
        <v>2685.6038</v>
      </c>
      <c r="D3385" s="7" t="n">
        <f aca="false">AVERAGE(B3186:B3385)</f>
        <v>2531.92635</v>
      </c>
      <c r="E3385" s="7" t="n">
        <f aca="false">B3385/MAX(B3134:B3385)-1</f>
        <v>-0.0895084989956848</v>
      </c>
      <c r="F3385" s="7" t="str">
        <f aca="false">IFERROR(INDEX(02_轉折點45個!B:B,MATCH(A3385,02_轉折點45個!A:A,0)),"")</f>
        <v/>
      </c>
      <c r="G3385" s="7" t="s">
        <v>1994</v>
      </c>
    </row>
    <row r="3386" customFormat="false" ht="15" hidden="false" customHeight="false" outlineLevel="0" collapsed="false">
      <c r="A3386" s="7" t="s">
        <v>4742</v>
      </c>
      <c r="B3386" s="7" t="n">
        <v>2575.01</v>
      </c>
      <c r="C3386" s="7" t="n">
        <f aca="false">AVERAGE(B3337:B3386)</f>
        <v>2680.1026</v>
      </c>
      <c r="D3386" s="7" t="n">
        <f aca="false">AVERAGE(B3187:B3386)</f>
        <v>2533.4738</v>
      </c>
      <c r="E3386" s="7" t="n">
        <f aca="false">B3386/MAX(B3135:B3386)-1</f>
        <v>-0.0973397039285726</v>
      </c>
      <c r="F3386" s="7" t="str">
        <f aca="false">IFERROR(INDEX(02_轉折點45個!B:B,MATCH(A3386,02_轉折點45個!A:A,0)),"")</f>
        <v/>
      </c>
      <c r="G3386" s="7" t="s">
        <v>1994</v>
      </c>
    </row>
    <row r="3387" customFormat="false" ht="15" hidden="false" customHeight="false" outlineLevel="0" collapsed="false">
      <c r="A3387" s="7" t="s">
        <v>4743</v>
      </c>
      <c r="B3387" s="7" t="n">
        <v>2591.19</v>
      </c>
      <c r="C3387" s="7" t="n">
        <f aca="false">AVERAGE(B3338:B3387)</f>
        <v>2675.037</v>
      </c>
      <c r="D3387" s="7" t="n">
        <f aca="false">AVERAGE(B3188:B3387)</f>
        <v>2534.7264</v>
      </c>
      <c r="E3387" s="7" t="n">
        <f aca="false">B3387/MAX(B3136:B3387)-1</f>
        <v>-0.0916678643666153</v>
      </c>
      <c r="F3387" s="7" t="str">
        <f aca="false">IFERROR(INDEX(02_轉折點45個!B:B,MATCH(A3387,02_轉折點45個!A:A,0)),"")</f>
        <v/>
      </c>
      <c r="G3387" s="7" t="s">
        <v>1994</v>
      </c>
    </row>
    <row r="3388" customFormat="false" ht="15" hidden="false" customHeight="false" outlineLevel="0" collapsed="false">
      <c r="A3388" s="7" t="s">
        <v>990</v>
      </c>
      <c r="B3388" s="7" t="n">
        <v>2624.51</v>
      </c>
      <c r="C3388" s="7" t="n">
        <f aca="false">AVERAGE(B3339:B3388)</f>
        <v>2671.4688</v>
      </c>
      <c r="D3388" s="7" t="n">
        <f aca="false">AVERAGE(B3189:B3388)</f>
        <v>2536.08165</v>
      </c>
      <c r="E3388" s="7" t="n">
        <f aca="false">B3388/MAX(B3137:B3388)-1</f>
        <v>-0.0799876607693089</v>
      </c>
      <c r="F3388" s="7" t="str">
        <f aca="false">IFERROR(INDEX(02_轉折點45個!B:B,MATCH(A3388,02_轉折點45個!A:A,0)),"")</f>
        <v/>
      </c>
      <c r="G3388" s="7" t="s">
        <v>1994</v>
      </c>
    </row>
    <row r="3389" customFormat="false" ht="15" hidden="false" customHeight="false" outlineLevel="0" collapsed="false">
      <c r="A3389" s="7" t="s">
        <v>4744</v>
      </c>
      <c r="B3389" s="7" t="n">
        <v>2645.09</v>
      </c>
      <c r="C3389" s="7" t="n">
        <f aca="false">AVERAGE(B3340:B3389)</f>
        <v>2668.0854</v>
      </c>
      <c r="D3389" s="7" t="n">
        <f aca="false">AVERAGE(B3190:B3389)</f>
        <v>2537.5245</v>
      </c>
      <c r="E3389" s="7" t="n">
        <f aca="false">B3389/MAX(B3138:B3389)-1</f>
        <v>-0.0727734173709727</v>
      </c>
      <c r="F3389" s="7" t="str">
        <f aca="false">IFERROR(INDEX(02_轉折點45個!B:B,MATCH(A3389,02_轉折點45個!A:A,0)),"")</f>
        <v/>
      </c>
      <c r="G3389" s="7" t="s">
        <v>1994</v>
      </c>
    </row>
    <row r="3390" customFormat="false" ht="15" hidden="false" customHeight="false" outlineLevel="0" collapsed="false">
      <c r="A3390" s="7" t="s">
        <v>4745</v>
      </c>
      <c r="B3390" s="7" t="n">
        <v>2676.55</v>
      </c>
      <c r="C3390" s="7" t="n">
        <f aca="false">AVERAGE(B3341:B3390)</f>
        <v>2665.9418</v>
      </c>
      <c r="D3390" s="7" t="n">
        <f aca="false">AVERAGE(B3191:B3390)</f>
        <v>2539.2773</v>
      </c>
      <c r="E3390" s="7" t="n">
        <f aca="false">B3390/MAX(B3139:B3390)-1</f>
        <v>-0.0617452299408627</v>
      </c>
      <c r="F3390" s="7" t="str">
        <f aca="false">IFERROR(INDEX(02_轉折點45個!B:B,MATCH(A3390,02_轉折點45個!A:A,0)),"")</f>
        <v/>
      </c>
      <c r="G3390" s="7" t="s">
        <v>1994</v>
      </c>
    </row>
    <row r="3391" customFormat="false" ht="15" hidden="false" customHeight="false" outlineLevel="0" collapsed="false">
      <c r="A3391" s="7" t="s">
        <v>4746</v>
      </c>
      <c r="B3391" s="7" t="n">
        <v>2677.18</v>
      </c>
      <c r="C3391" s="7" t="n">
        <f aca="false">AVERAGE(B3342:B3391)</f>
        <v>2664.8314</v>
      </c>
      <c r="D3391" s="7" t="n">
        <f aca="false">AVERAGE(B3192:B3391)</f>
        <v>2541.3334</v>
      </c>
      <c r="E3391" s="7" t="n">
        <f aca="false">B3391/MAX(B3140:B3391)-1</f>
        <v>-0.0615243857551996</v>
      </c>
      <c r="F3391" s="7" t="str">
        <f aca="false">IFERROR(INDEX(02_轉折點45個!B:B,MATCH(A3391,02_轉折點45個!A:A,0)),"")</f>
        <v/>
      </c>
      <c r="G3391" s="7" t="s">
        <v>1994</v>
      </c>
    </row>
    <row r="3392" customFormat="false" ht="15" hidden="false" customHeight="false" outlineLevel="0" collapsed="false">
      <c r="A3392" s="7" t="s">
        <v>4747</v>
      </c>
      <c r="B3392" s="7" t="n">
        <v>2611.99</v>
      </c>
      <c r="C3392" s="7" t="n">
        <f aca="false">AVERAGE(B3343:B3392)</f>
        <v>2661.956</v>
      </c>
      <c r="D3392" s="7" t="n">
        <f aca="false">AVERAGE(B3193:B3392)</f>
        <v>2543.09325</v>
      </c>
      <c r="E3392" s="7" t="n">
        <f aca="false">B3392/MAX(B3141:B3392)-1</f>
        <v>-0.0843765007764602</v>
      </c>
      <c r="F3392" s="7" t="str">
        <f aca="false">IFERROR(INDEX(02_轉折點45個!B:B,MATCH(A3392,02_轉折點45個!A:A,0)),"")</f>
        <v/>
      </c>
      <c r="G3392" s="7" t="s">
        <v>1994</v>
      </c>
    </row>
    <row r="3393" customFormat="false" ht="15" hidden="false" customHeight="false" outlineLevel="0" collapsed="false">
      <c r="A3393" s="7" t="s">
        <v>991</v>
      </c>
      <c r="B3393" s="7" t="n">
        <v>2642.44</v>
      </c>
      <c r="C3393" s="7" t="n">
        <f aca="false">AVERAGE(B3344:B3393)</f>
        <v>2658.9754</v>
      </c>
      <c r="D3393" s="7" t="n">
        <f aca="false">AVERAGE(B3194:B3393)</f>
        <v>2544.66225</v>
      </c>
      <c r="E3393" s="7" t="n">
        <f aca="false">B3393/MAX(B3142:B3393)-1</f>
        <v>-0.0737023651360645</v>
      </c>
      <c r="F3393" s="7" t="str">
        <f aca="false">IFERROR(INDEX(02_轉折點45個!B:B,MATCH(A3393,02_轉折點45個!A:A,0)),"")</f>
        <v/>
      </c>
      <c r="G3393" s="7" t="s">
        <v>1994</v>
      </c>
    </row>
    <row r="3394" customFormat="false" ht="15" hidden="false" customHeight="false" outlineLevel="0" collapsed="false">
      <c r="A3394" s="7" t="s">
        <v>4748</v>
      </c>
      <c r="B3394" s="7" t="n">
        <v>2591.04</v>
      </c>
      <c r="C3394" s="7" t="n">
        <f aca="false">AVERAGE(B3345:B3394)</f>
        <v>2655.7748</v>
      </c>
      <c r="D3394" s="7" t="n">
        <f aca="false">AVERAGE(B3195:B3394)</f>
        <v>2546.0647</v>
      </c>
      <c r="E3394" s="7" t="n">
        <f aca="false">B3394/MAX(B3143:B3394)-1</f>
        <v>-0.0917204463155829</v>
      </c>
      <c r="F3394" s="7" t="str">
        <f aca="false">IFERROR(INDEX(02_轉折點45個!B:B,MATCH(A3394,02_轉折點45個!A:A,0)),"")</f>
        <v/>
      </c>
      <c r="G3394" s="7" t="s">
        <v>1994</v>
      </c>
    </row>
    <row r="3395" customFormat="false" ht="15" hidden="false" customHeight="false" outlineLevel="0" collapsed="false">
      <c r="A3395" s="7" t="s">
        <v>4749</v>
      </c>
      <c r="B3395" s="7" t="n">
        <v>2607.39</v>
      </c>
      <c r="C3395" s="7" t="n">
        <f aca="false">AVERAGE(B3346:B3395)</f>
        <v>2653.3202</v>
      </c>
      <c r="D3395" s="7" t="n">
        <f aca="false">AVERAGE(B3196:B3395)</f>
        <v>2547.8282</v>
      </c>
      <c r="E3395" s="7" t="n">
        <f aca="false">B3395/MAX(B3144:B3395)-1</f>
        <v>-0.0859890138781291</v>
      </c>
      <c r="F3395" s="7" t="str">
        <f aca="false">IFERROR(INDEX(02_轉折點45個!B:B,MATCH(A3395,02_轉折點45個!A:A,0)),"")</f>
        <v/>
      </c>
      <c r="G3395" s="7" t="s">
        <v>1994</v>
      </c>
    </row>
    <row r="3396" customFormat="false" ht="15" hidden="false" customHeight="false" outlineLevel="0" collapsed="false">
      <c r="A3396" s="7" t="s">
        <v>4750</v>
      </c>
      <c r="B3396" s="7" t="n">
        <v>2626.81</v>
      </c>
      <c r="C3396" s="7" t="n">
        <f aca="false">AVERAGE(B3347:B3396)</f>
        <v>2650.2596</v>
      </c>
      <c r="D3396" s="7" t="n">
        <f aca="false">AVERAGE(B3197:B3396)</f>
        <v>2549.565</v>
      </c>
      <c r="E3396" s="7" t="n">
        <f aca="false">B3396/MAX(B3145:B3396)-1</f>
        <v>-0.0791814042184745</v>
      </c>
      <c r="F3396" s="7" t="str">
        <f aca="false">IFERROR(INDEX(02_轉折點45個!B:B,MATCH(A3396,02_轉折點45個!A:A,0)),"")</f>
        <v/>
      </c>
      <c r="G3396" s="7" t="s">
        <v>1994</v>
      </c>
    </row>
    <row r="3397" customFormat="false" ht="15" hidden="false" customHeight="false" outlineLevel="0" collapsed="false">
      <c r="A3397" s="7" t="s">
        <v>4751</v>
      </c>
      <c r="B3397" s="7" t="n">
        <v>2603.22</v>
      </c>
      <c r="C3397" s="7" t="n">
        <f aca="false">AVERAGE(B3348:B3397)</f>
        <v>2646.935</v>
      </c>
      <c r="D3397" s="7" t="n">
        <f aca="false">AVERAGE(B3198:B3397)</f>
        <v>2551.0146</v>
      </c>
      <c r="E3397" s="7" t="n">
        <f aca="false">B3397/MAX(B3146:B3397)-1</f>
        <v>-0.0874507920594247</v>
      </c>
      <c r="F3397" s="7" t="str">
        <f aca="false">IFERROR(INDEX(02_轉折點45個!B:B,MATCH(A3397,02_轉折點45個!A:A,0)),"")</f>
        <v/>
      </c>
      <c r="G3397" s="7" t="s">
        <v>1994</v>
      </c>
    </row>
    <row r="3398" customFormat="false" ht="15" hidden="false" customHeight="false" outlineLevel="0" collapsed="false">
      <c r="A3398" s="7" t="s">
        <v>992</v>
      </c>
      <c r="B3398" s="7" t="n">
        <v>2681.38</v>
      </c>
      <c r="C3398" s="7" t="n">
        <f aca="false">AVERAGE(B3349:B3398)</f>
        <v>2645.6102</v>
      </c>
      <c r="D3398" s="7" t="n">
        <f aca="false">AVERAGE(B3199:B3398)</f>
        <v>2552.67045</v>
      </c>
      <c r="E3398" s="7" t="n">
        <f aca="false">B3398/MAX(B3147:B3398)-1</f>
        <v>-0.0600520911841104</v>
      </c>
      <c r="F3398" s="7" t="str">
        <f aca="false">IFERROR(INDEX(02_轉折點45個!B:B,MATCH(A3398,02_轉折點45個!A:A,0)),"")</f>
        <v/>
      </c>
      <c r="G3398" s="7" t="s">
        <v>1994</v>
      </c>
    </row>
    <row r="3399" customFormat="false" ht="15" hidden="false" customHeight="false" outlineLevel="0" collapsed="false">
      <c r="A3399" s="7" t="s">
        <v>4752</v>
      </c>
      <c r="B3399" s="7" t="n">
        <v>2696.16</v>
      </c>
      <c r="C3399" s="7" t="n">
        <f aca="false">AVERAGE(B3350:B3399)</f>
        <v>2644.7108</v>
      </c>
      <c r="D3399" s="7" t="n">
        <f aca="false">AVERAGE(B3200:B3399)</f>
        <v>2554.2425</v>
      </c>
      <c r="E3399" s="7" t="n">
        <f aca="false">B3399/MAX(B3148:B3399)-1</f>
        <v>-0.0548710164791829</v>
      </c>
      <c r="F3399" s="7" t="str">
        <f aca="false">IFERROR(INDEX(02_轉折點45個!B:B,MATCH(A3399,02_轉折點45個!A:A,0)),"")</f>
        <v/>
      </c>
      <c r="G3399" s="7" t="s">
        <v>1994</v>
      </c>
    </row>
    <row r="3400" customFormat="false" ht="15" hidden="false" customHeight="false" outlineLevel="0" collapsed="false">
      <c r="A3400" s="7" t="s">
        <v>993</v>
      </c>
      <c r="B3400" s="7" t="n">
        <v>2718.87</v>
      </c>
      <c r="C3400" s="7" t="n">
        <f aca="false">AVERAGE(B3351:B3400)</f>
        <v>2644.8138</v>
      </c>
      <c r="D3400" s="7" t="n">
        <f aca="false">AVERAGE(B3201:B3400)</f>
        <v>2555.8585</v>
      </c>
      <c r="E3400" s="7" t="n">
        <f aca="false">B3400/MAX(B3149:B3400)-1</f>
        <v>-0.0469101094055086</v>
      </c>
      <c r="F3400" s="7" t="str">
        <f aca="false">IFERROR(INDEX(02_轉折點45個!B:B,MATCH(A3400,02_轉折點45個!A:A,0)),"")</f>
        <v/>
      </c>
      <c r="G3400" s="7" t="s">
        <v>1994</v>
      </c>
    </row>
    <row r="3401" customFormat="false" ht="15" hidden="false" customHeight="false" outlineLevel="0" collapsed="false">
      <c r="A3401" s="7" t="s">
        <v>4753</v>
      </c>
      <c r="B3401" s="7" t="n">
        <v>2718.9</v>
      </c>
      <c r="C3401" s="7" t="n">
        <f aca="false">AVERAGE(B3352:B3401)</f>
        <v>2645.079</v>
      </c>
      <c r="D3401" s="7" t="n">
        <f aca="false">AVERAGE(B3202:B3401)</f>
        <v>2557.51795</v>
      </c>
      <c r="E3401" s="7" t="n">
        <f aca="false">B3401/MAX(B3150:B3401)-1</f>
        <v>-0.046899593015715</v>
      </c>
      <c r="F3401" s="7" t="str">
        <f aca="false">IFERROR(INDEX(02_轉折點45個!B:B,MATCH(A3401,02_轉折點45個!A:A,0)),"")</f>
        <v/>
      </c>
      <c r="G3401" s="7" t="s">
        <v>1994</v>
      </c>
    </row>
    <row r="3402" customFormat="false" ht="15" hidden="false" customHeight="false" outlineLevel="0" collapsed="false">
      <c r="A3402" s="7" t="s">
        <v>4754</v>
      </c>
      <c r="B3402" s="7" t="n">
        <v>2683.46</v>
      </c>
      <c r="C3402" s="7" t="n">
        <f aca="false">AVERAGE(B3353:B3402)</f>
        <v>2643.3924</v>
      </c>
      <c r="D3402" s="7" t="n">
        <f aca="false">AVERAGE(B3203:B3402)</f>
        <v>2559.1034</v>
      </c>
      <c r="E3402" s="7" t="n">
        <f aca="false">B3402/MAX(B3151:B3402)-1</f>
        <v>-0.0593229548250949</v>
      </c>
      <c r="F3402" s="7" t="str">
        <f aca="false">IFERROR(INDEX(02_轉折點45個!B:B,MATCH(A3402,02_轉折點45個!A:A,0)),"")</f>
        <v/>
      </c>
      <c r="G3402" s="7" t="s">
        <v>1994</v>
      </c>
    </row>
    <row r="3403" customFormat="false" ht="15" hidden="false" customHeight="false" outlineLevel="0" collapsed="false">
      <c r="A3403" s="7" t="s">
        <v>994</v>
      </c>
      <c r="B3403" s="7" t="n">
        <v>2678.38</v>
      </c>
      <c r="C3403" s="7" t="n">
        <f aca="false">AVERAGE(B3354:B3403)</f>
        <v>2641.221</v>
      </c>
      <c r="D3403" s="7" t="n">
        <f aca="false">AVERAGE(B3204:B3403)</f>
        <v>2560.9012</v>
      </c>
      <c r="E3403" s="7" t="n">
        <f aca="false">B3403/MAX(B3152:B3403)-1</f>
        <v>-0.0611037301634597</v>
      </c>
      <c r="F3403" s="7" t="str">
        <f aca="false">IFERROR(INDEX(02_轉折點45個!B:B,MATCH(A3403,02_轉折點45個!A:A,0)),"")</f>
        <v/>
      </c>
      <c r="G3403" s="7" t="s">
        <v>1994</v>
      </c>
    </row>
    <row r="3404" customFormat="false" ht="15" hidden="false" customHeight="false" outlineLevel="0" collapsed="false">
      <c r="A3404" s="7" t="s">
        <v>995</v>
      </c>
      <c r="B3404" s="7" t="n">
        <v>2651.49</v>
      </c>
      <c r="C3404" s="7" t="n">
        <f aca="false">AVERAGE(B3355:B3404)</f>
        <v>2638.172</v>
      </c>
      <c r="D3404" s="7" t="n">
        <f aca="false">AVERAGE(B3205:B3404)</f>
        <v>2562.9415</v>
      </c>
      <c r="E3404" s="7" t="n">
        <f aca="false">B3404/MAX(B3153:B3404)-1</f>
        <v>-0.0705299208816942</v>
      </c>
      <c r="F3404" s="7" t="str">
        <f aca="false">IFERROR(INDEX(02_轉折點45個!B:B,MATCH(A3404,02_轉折點45個!A:A,0)),"")</f>
        <v/>
      </c>
      <c r="G3404" s="7" t="s">
        <v>1994</v>
      </c>
    </row>
    <row r="3405" customFormat="false" ht="15" hidden="false" customHeight="false" outlineLevel="0" collapsed="false">
      <c r="A3405" s="7" t="s">
        <v>4755</v>
      </c>
      <c r="B3405" s="7" t="n">
        <v>2638.38</v>
      </c>
      <c r="C3405" s="7" t="n">
        <f aca="false">AVERAGE(B3356:B3405)</f>
        <v>2635.2782</v>
      </c>
      <c r="D3405" s="7" t="n">
        <f aca="false">AVERAGE(B3206:B3405)</f>
        <v>2564.79035</v>
      </c>
      <c r="E3405" s="7" t="n">
        <f aca="false">B3405/MAX(B3154:B3405)-1</f>
        <v>-0.0751255832214506</v>
      </c>
      <c r="F3405" s="7" t="str">
        <f aca="false">IFERROR(INDEX(02_轉折點45個!B:B,MATCH(A3405,02_轉折點45個!A:A,0)),"")</f>
        <v/>
      </c>
      <c r="G3405" s="7" t="s">
        <v>1994</v>
      </c>
    </row>
    <row r="3406" customFormat="false" ht="15" hidden="false" customHeight="false" outlineLevel="0" collapsed="false">
      <c r="A3406" s="7" t="s">
        <v>4756</v>
      </c>
      <c r="B3406" s="7" t="n">
        <v>2618.47</v>
      </c>
      <c r="C3406" s="7" t="n">
        <f aca="false">AVERAGE(B3357:B3406)</f>
        <v>2631.9116</v>
      </c>
      <c r="D3406" s="7" t="n">
        <f aca="false">AVERAGE(B3207:B3406)</f>
        <v>2566.3868</v>
      </c>
      <c r="E3406" s="7" t="n">
        <f aca="false">B3406/MAX(B3155:B3406)-1</f>
        <v>-0.0821049605810656</v>
      </c>
      <c r="F3406" s="7" t="str">
        <f aca="false">IFERROR(INDEX(02_轉折點45個!B:B,MATCH(A3406,02_轉折點45個!A:A,0)),"")</f>
        <v/>
      </c>
      <c r="G3406" s="7" t="s">
        <v>1994</v>
      </c>
    </row>
    <row r="3407" customFormat="false" ht="15" hidden="false" customHeight="false" outlineLevel="0" collapsed="false">
      <c r="A3407" s="7" t="s">
        <v>996</v>
      </c>
      <c r="B3407" s="7" t="n">
        <v>2657.1</v>
      </c>
      <c r="C3407" s="7" t="n">
        <f aca="false">AVERAGE(B3358:B3407)</f>
        <v>2629.1456</v>
      </c>
      <c r="D3407" s="7" t="n">
        <f aca="false">AVERAGE(B3208:B3407)</f>
        <v>2568.03875</v>
      </c>
      <c r="E3407" s="7" t="n">
        <f aca="false">B3407/MAX(B3156:B3407)-1</f>
        <v>-0.0685633559903109</v>
      </c>
      <c r="F3407" s="7" t="str">
        <f aca="false">IFERROR(INDEX(02_轉折點45個!B:B,MATCH(A3407,02_轉折點45個!A:A,0)),"")</f>
        <v/>
      </c>
      <c r="G3407" s="7" t="s">
        <v>1994</v>
      </c>
    </row>
    <row r="3408" customFormat="false" ht="15" hidden="false" customHeight="false" outlineLevel="0" collapsed="false">
      <c r="A3408" s="7" t="s">
        <v>4757</v>
      </c>
      <c r="B3408" s="7" t="n">
        <v>2646.57</v>
      </c>
      <c r="C3408" s="7" t="n">
        <f aca="false">AVERAGE(B3359:B3408)</f>
        <v>2626.8186</v>
      </c>
      <c r="D3408" s="7" t="n">
        <f aca="false">AVERAGE(B3209:B3408)</f>
        <v>2569.8904</v>
      </c>
      <c r="E3408" s="7" t="n">
        <f aca="false">B3408/MAX(B3157:B3408)-1</f>
        <v>-0.072254608807827</v>
      </c>
      <c r="F3408" s="7" t="str">
        <f aca="false">IFERROR(INDEX(02_轉折點45個!B:B,MATCH(A3408,02_轉折點45個!A:A,0)),"")</f>
        <v/>
      </c>
      <c r="G3408" s="7" t="s">
        <v>1994</v>
      </c>
    </row>
    <row r="3409" customFormat="false" ht="15" hidden="false" customHeight="false" outlineLevel="0" collapsed="false">
      <c r="A3409" s="7" t="s">
        <v>4758</v>
      </c>
      <c r="B3409" s="7" t="n">
        <v>2658.53</v>
      </c>
      <c r="C3409" s="7" t="n">
        <f aca="false">AVERAGE(B3360:B3409)</f>
        <v>2625.9726</v>
      </c>
      <c r="D3409" s="7" t="n">
        <f aca="false">AVERAGE(B3210:B3409)</f>
        <v>2571.8513</v>
      </c>
      <c r="E3409" s="7" t="n">
        <f aca="false">B3409/MAX(B3158:B3409)-1</f>
        <v>-0.0680620747434877</v>
      </c>
      <c r="F3409" s="7" t="str">
        <f aca="false">IFERROR(INDEX(02_轉折點45個!B:B,MATCH(A3409,02_轉折點45個!A:A,0)),"")</f>
        <v/>
      </c>
      <c r="G3409" s="7" t="s">
        <v>1994</v>
      </c>
    </row>
    <row r="3410" customFormat="false" ht="15" hidden="false" customHeight="false" outlineLevel="0" collapsed="false">
      <c r="A3410" s="7" t="s">
        <v>4759</v>
      </c>
      <c r="B3410" s="7" t="n">
        <v>2688.28</v>
      </c>
      <c r="C3410" s="7" t="n">
        <f aca="false">AVERAGE(B3361:B3410)</f>
        <v>2625.6956</v>
      </c>
      <c r="D3410" s="7" t="n">
        <f aca="false">AVERAGE(B3211:B3410)</f>
        <v>2574.2595</v>
      </c>
      <c r="E3410" s="7" t="n">
        <f aca="false">B3410/MAX(B3159:B3410)-1</f>
        <v>-0.0576333215316069</v>
      </c>
      <c r="F3410" s="7" t="str">
        <f aca="false">IFERROR(INDEX(02_轉折點45個!B:B,MATCH(A3410,02_轉折點45個!A:A,0)),"")</f>
        <v/>
      </c>
      <c r="G3410" s="7" t="s">
        <v>1994</v>
      </c>
    </row>
    <row r="3411" customFormat="false" ht="15" hidden="false" customHeight="false" outlineLevel="0" collapsed="false">
      <c r="A3411" s="7" t="s">
        <v>4760</v>
      </c>
      <c r="B3411" s="7" t="n">
        <v>2709.56</v>
      </c>
      <c r="C3411" s="7" t="n">
        <f aca="false">AVERAGE(B3362:B3411)</f>
        <v>2626.0542</v>
      </c>
      <c r="D3411" s="7" t="n">
        <f aca="false">AVERAGE(B3212:B3411)</f>
        <v>2577.13755</v>
      </c>
      <c r="E3411" s="7" t="n">
        <f aca="false">B3411/MAX(B3160:B3411)-1</f>
        <v>-0.0501736957047559</v>
      </c>
      <c r="F3411" s="7" t="str">
        <f aca="false">IFERROR(INDEX(02_轉折點45個!B:B,MATCH(A3411,02_轉折點45個!A:A,0)),"")</f>
        <v/>
      </c>
      <c r="G3411" s="7" t="s">
        <v>1994</v>
      </c>
    </row>
    <row r="3412" customFormat="false" ht="15" hidden="false" customHeight="false" outlineLevel="0" collapsed="false">
      <c r="A3412" s="7" t="s">
        <v>997</v>
      </c>
      <c r="B3412" s="7" t="n">
        <v>2672.47</v>
      </c>
      <c r="C3412" s="7" t="n">
        <f aca="false">AVERAGE(B3363:B3412)</f>
        <v>2625.8822</v>
      </c>
      <c r="D3412" s="7" t="n">
        <f aca="false">AVERAGE(B3213:B3412)</f>
        <v>2579.515</v>
      </c>
      <c r="E3412" s="7" t="n">
        <f aca="false">B3412/MAX(B3161:B3412)-1</f>
        <v>-0.063175458952778</v>
      </c>
      <c r="F3412" s="7" t="str">
        <f aca="false">IFERROR(INDEX(02_轉折點45個!B:B,MATCH(A3412,02_轉折點45個!A:A,0)),"")</f>
        <v/>
      </c>
      <c r="G3412" s="7" t="s">
        <v>1994</v>
      </c>
    </row>
    <row r="3413" customFormat="false" ht="15" hidden="false" customHeight="false" outlineLevel="0" collapsed="false">
      <c r="A3413" s="7" t="s">
        <v>4761</v>
      </c>
      <c r="B3413" s="7" t="n">
        <v>2640.36</v>
      </c>
      <c r="C3413" s="7" t="n">
        <f aca="false">AVERAGE(B3364:B3413)</f>
        <v>2625.0876</v>
      </c>
      <c r="D3413" s="7" t="n">
        <f aca="false">AVERAGE(B3214:B3413)</f>
        <v>2581.47755</v>
      </c>
      <c r="E3413" s="7" t="n">
        <f aca="false">B3413/MAX(B3162:B3413)-1</f>
        <v>-0.07443150149508</v>
      </c>
      <c r="F3413" s="7" t="str">
        <f aca="false">IFERROR(INDEX(02_轉折點45個!B:B,MATCH(A3413,02_轉折點45個!A:A,0)),"")</f>
        <v/>
      </c>
      <c r="G3413" s="7" t="s">
        <v>1994</v>
      </c>
    </row>
    <row r="3414" customFormat="false" ht="15" hidden="false" customHeight="false" outlineLevel="0" collapsed="false">
      <c r="A3414" s="7" t="s">
        <v>4762</v>
      </c>
      <c r="B3414" s="7" t="n">
        <v>2615.55</v>
      </c>
      <c r="C3414" s="7" t="n">
        <f aca="false">AVERAGE(B3365:B3414)</f>
        <v>2623.7934</v>
      </c>
      <c r="D3414" s="7" t="n">
        <f aca="false">AVERAGE(B3215:B3414)</f>
        <v>2583.1045</v>
      </c>
      <c r="E3414" s="7" t="n">
        <f aca="false">B3414/MAX(B3163:B3414)-1</f>
        <v>-0.0831285558542989</v>
      </c>
      <c r="F3414" s="7" t="str">
        <f aca="false">IFERROR(INDEX(02_轉折點45個!B:B,MATCH(A3414,02_轉折點45個!A:A,0)),"")</f>
        <v/>
      </c>
      <c r="G3414" s="7" t="s">
        <v>1994</v>
      </c>
    </row>
    <row r="3415" customFormat="false" ht="15" hidden="false" customHeight="false" outlineLevel="0" collapsed="false">
      <c r="A3415" s="7" t="s">
        <v>4763</v>
      </c>
      <c r="B3415" s="7" t="n">
        <v>2607.56</v>
      </c>
      <c r="C3415" s="7" t="n">
        <f aca="false">AVERAGE(B3366:B3415)</f>
        <v>2622.9102</v>
      </c>
      <c r="D3415" s="7" t="n">
        <f aca="false">AVERAGE(B3216:B3415)</f>
        <v>2584.81695</v>
      </c>
      <c r="E3415" s="7" t="n">
        <f aca="false">B3415/MAX(B3164:B3415)-1</f>
        <v>-0.0859294210026327</v>
      </c>
      <c r="F3415" s="7" t="str">
        <f aca="false">IFERROR(INDEX(02_轉折點45個!B:B,MATCH(A3415,02_轉折點45個!A:A,0)),"")</f>
        <v/>
      </c>
      <c r="G3415" s="7" t="s">
        <v>1994</v>
      </c>
    </row>
    <row r="3416" customFormat="false" ht="15" hidden="false" customHeight="false" outlineLevel="0" collapsed="false">
      <c r="A3416" s="7" t="s">
        <v>998</v>
      </c>
      <c r="B3416" s="7" t="n">
        <v>2643.19</v>
      </c>
      <c r="C3416" s="7" t="n">
        <f aca="false">AVERAGE(B3367:B3416)</f>
        <v>2622.9008</v>
      </c>
      <c r="D3416" s="7" t="n">
        <f aca="false">AVERAGE(B3217:B3416)</f>
        <v>2586.31155</v>
      </c>
      <c r="E3416" s="7" t="n">
        <f aca="false">B3416/MAX(B3165:B3416)-1</f>
        <v>-0.0734394553912272</v>
      </c>
      <c r="F3416" s="7" t="str">
        <f aca="false">IFERROR(INDEX(02_轉折點45個!B:B,MATCH(A3416,02_轉折點45個!A:A,0)),"")</f>
        <v/>
      </c>
      <c r="G3416" s="7" t="s">
        <v>1994</v>
      </c>
    </row>
    <row r="3417" customFormat="false" ht="15" hidden="false" customHeight="false" outlineLevel="0" collapsed="false">
      <c r="A3417" s="7" t="s">
        <v>4764</v>
      </c>
      <c r="B3417" s="7" t="n">
        <v>2702.43</v>
      </c>
      <c r="C3417" s="7" t="n">
        <f aca="false">AVERAGE(B3368:B3417)</f>
        <v>2624.4366</v>
      </c>
      <c r="D3417" s="7" t="n">
        <f aca="false">AVERAGE(B3218:B3417)</f>
        <v>2588.02475</v>
      </c>
      <c r="E3417" s="7" t="n">
        <f aca="false">B3417/MAX(B3166:B3417)-1</f>
        <v>-0.0526730910123429</v>
      </c>
      <c r="F3417" s="7" t="str">
        <f aca="false">IFERROR(INDEX(02_轉折點45個!B:B,MATCH(A3417,02_轉折點45個!A:A,0)),"")</f>
        <v/>
      </c>
      <c r="G3417" s="7" t="s">
        <v>1994</v>
      </c>
    </row>
    <row r="3418" customFormat="false" ht="15" hidden="false" customHeight="false" outlineLevel="0" collapsed="false">
      <c r="A3418" s="7" t="s">
        <v>4765</v>
      </c>
      <c r="B3418" s="7" t="n">
        <v>2691.24</v>
      </c>
      <c r="C3418" s="7" t="n">
        <f aca="false">AVERAGE(B3369:B3418)</f>
        <v>2626.8512</v>
      </c>
      <c r="D3418" s="7" t="n">
        <f aca="false">AVERAGE(B3219:B3418)</f>
        <v>2589.5829</v>
      </c>
      <c r="E3418" s="7" t="n">
        <f aca="false">B3418/MAX(B3167:B3418)-1</f>
        <v>-0.0565957044053158</v>
      </c>
      <c r="F3418" s="7" t="str">
        <f aca="false">IFERROR(INDEX(02_轉折點45個!B:B,MATCH(A3418,02_轉折點45個!A:A,0)),"")</f>
        <v/>
      </c>
      <c r="G3418" s="7" t="s">
        <v>1994</v>
      </c>
    </row>
    <row r="3419" customFormat="false" ht="15" hidden="false" customHeight="false" outlineLevel="0" collapsed="false">
      <c r="A3419" s="7" t="s">
        <v>4766</v>
      </c>
      <c r="B3419" s="7" t="n">
        <v>2685.47</v>
      </c>
      <c r="C3419" s="7" t="n">
        <f aca="false">AVERAGE(B3370:B3419)</f>
        <v>2629.788</v>
      </c>
      <c r="D3419" s="7" t="n">
        <f aca="false">AVERAGE(B3220:B3419)</f>
        <v>2591.04135</v>
      </c>
      <c r="E3419" s="7" t="n">
        <f aca="false">B3419/MAX(B3168:B3419)-1</f>
        <v>-0.058618356708931</v>
      </c>
      <c r="F3419" s="7" t="str">
        <f aca="false">IFERROR(INDEX(02_轉折點45個!B:B,MATCH(A3419,02_轉折點45個!A:A,0)),"")</f>
        <v/>
      </c>
      <c r="G3419" s="7" t="s">
        <v>1994</v>
      </c>
    </row>
    <row r="3420" customFormat="false" ht="15" hidden="false" customHeight="false" outlineLevel="0" collapsed="false">
      <c r="A3420" s="7" t="s">
        <v>999</v>
      </c>
      <c r="B3420" s="7" t="n">
        <v>2667.82</v>
      </c>
      <c r="C3420" s="7" t="n">
        <f aca="false">AVERAGE(B3371:B3420)</f>
        <v>2631.1218</v>
      </c>
      <c r="D3420" s="7" t="n">
        <f aca="false">AVERAGE(B3221:B3420)</f>
        <v>2592.1941</v>
      </c>
      <c r="E3420" s="7" t="n">
        <f aca="false">B3420/MAX(B3169:B3420)-1</f>
        <v>-0.0648054993707693</v>
      </c>
      <c r="F3420" s="7" t="str">
        <f aca="false">IFERROR(INDEX(02_轉折點45個!B:B,MATCH(A3420,02_轉折點45個!A:A,0)),"")</f>
        <v/>
      </c>
      <c r="G3420" s="7" t="s">
        <v>1994</v>
      </c>
    </row>
    <row r="3421" customFormat="false" ht="15" hidden="false" customHeight="false" outlineLevel="0" collapsed="false">
      <c r="A3421" s="7" t="s">
        <v>4767</v>
      </c>
      <c r="B3421" s="7" t="n">
        <v>2658.29</v>
      </c>
      <c r="C3421" s="7" t="n">
        <f aca="false">AVERAGE(B3372:B3421)</f>
        <v>2632.4134</v>
      </c>
      <c r="D3421" s="7" t="n">
        <f aca="false">AVERAGE(B3222:B3421)</f>
        <v>2593.54095</v>
      </c>
      <c r="E3421" s="7" t="n">
        <f aca="false">B3421/MAX(B3170:B3421)-1</f>
        <v>-0.0681462058618357</v>
      </c>
      <c r="F3421" s="7" t="str">
        <f aca="false">IFERROR(INDEX(02_轉折點45個!B:B,MATCH(A3421,02_轉折點45個!A:A,0)),"")</f>
        <v/>
      </c>
      <c r="G3421" s="7" t="s">
        <v>1994</v>
      </c>
    </row>
    <row r="3422" customFormat="false" ht="15" hidden="false" customHeight="false" outlineLevel="0" collapsed="false">
      <c r="A3422" s="7" t="s">
        <v>4768</v>
      </c>
      <c r="B3422" s="7" t="n">
        <v>2711.39</v>
      </c>
      <c r="C3422" s="7" t="n">
        <f aca="false">AVERAGE(B3373:B3422)</f>
        <v>2634.5654</v>
      </c>
      <c r="D3422" s="7" t="n">
        <f aca="false">AVERAGE(B3223:B3422)</f>
        <v>2594.9591</v>
      </c>
      <c r="E3422" s="7" t="n">
        <f aca="false">B3422/MAX(B3171:B3422)-1</f>
        <v>-0.0495321959273528</v>
      </c>
      <c r="F3422" s="7" t="str">
        <f aca="false">IFERROR(INDEX(02_轉折點45個!B:B,MATCH(A3422,02_轉折點45個!A:A,0)),"")</f>
        <v/>
      </c>
      <c r="G3422" s="7" t="s">
        <v>1994</v>
      </c>
    </row>
    <row r="3423" customFormat="false" ht="15" hidden="false" customHeight="false" outlineLevel="0" collapsed="false">
      <c r="A3423" s="7" t="s">
        <v>4769</v>
      </c>
      <c r="B3423" s="7" t="n">
        <v>2731.5</v>
      </c>
      <c r="C3423" s="7" t="n">
        <f aca="false">AVERAGE(B3374:B3423)</f>
        <v>2637.3158</v>
      </c>
      <c r="D3423" s="7" t="n">
        <f aca="false">AVERAGE(B3224:B3423)</f>
        <v>2596.7217</v>
      </c>
      <c r="E3423" s="7" t="n">
        <f aca="false">B3423/MAX(B3172:B3423)-1</f>
        <v>-0.0424827093024479</v>
      </c>
      <c r="F3423" s="7" t="str">
        <f aca="false">IFERROR(INDEX(02_轉折點45個!B:B,MATCH(A3423,02_轉折點45個!A:A,0)),"")</f>
        <v/>
      </c>
      <c r="G3423" s="7" t="s">
        <v>1994</v>
      </c>
    </row>
    <row r="3424" customFormat="false" ht="15" hidden="false" customHeight="false" outlineLevel="0" collapsed="false">
      <c r="A3424" s="7" t="s">
        <v>4770</v>
      </c>
      <c r="B3424" s="7" t="n">
        <v>2755.21</v>
      </c>
      <c r="C3424" s="7" t="n">
        <f aca="false">AVERAGE(B3375:B3424)</f>
        <v>2640.5742</v>
      </c>
      <c r="D3424" s="7" t="n">
        <f aca="false">AVERAGE(B3225:B3424)</f>
        <v>2598.6276</v>
      </c>
      <c r="E3424" s="7" t="n">
        <f aca="false">B3424/MAX(B3173:B3424)-1</f>
        <v>-0.0341712559023237</v>
      </c>
      <c r="F3424" s="7" t="str">
        <f aca="false">IFERROR(INDEX(02_轉折點45個!B:B,MATCH(A3424,02_轉折點45個!A:A,0)),"")</f>
        <v/>
      </c>
      <c r="G3424" s="7" t="s">
        <v>1994</v>
      </c>
    </row>
    <row r="3425" customFormat="false" ht="15" hidden="false" customHeight="false" outlineLevel="0" collapsed="false">
      <c r="A3425" s="7" t="s">
        <v>4771</v>
      </c>
      <c r="B3425" s="7" t="n">
        <v>2751</v>
      </c>
      <c r="C3425" s="7" t="n">
        <f aca="false">AVERAGE(B3376:B3425)</f>
        <v>2643.137</v>
      </c>
      <c r="D3425" s="7" t="n">
        <f aca="false">AVERAGE(B3226:B3425)</f>
        <v>2600.33505</v>
      </c>
      <c r="E3425" s="7" t="n">
        <f aca="false">B3425/MAX(B3174:B3425)-1</f>
        <v>-0.0356470559366774</v>
      </c>
      <c r="F3425" s="7" t="str">
        <f aca="false">IFERROR(INDEX(02_轉折點45個!B:B,MATCH(A3425,02_轉折點45個!A:A,0)),"")</f>
        <v/>
      </c>
      <c r="G3425" s="7" t="s">
        <v>1994</v>
      </c>
    </row>
    <row r="3426" customFormat="false" ht="15" hidden="false" customHeight="false" outlineLevel="0" collapsed="false">
      <c r="A3426" s="7" t="s">
        <v>4772</v>
      </c>
      <c r="B3426" s="7" t="n">
        <v>2757.75</v>
      </c>
      <c r="C3426" s="7" t="n">
        <f aca="false">AVERAGE(B3377:B3426)</f>
        <v>2646.4494</v>
      </c>
      <c r="D3426" s="7" t="n">
        <f aca="false">AVERAGE(B3227:B3426)</f>
        <v>2601.79315</v>
      </c>
      <c r="E3426" s="7" t="n">
        <f aca="false">B3426/MAX(B3175:B3426)-1</f>
        <v>-0.0332808682331414</v>
      </c>
      <c r="F3426" s="7" t="str">
        <f aca="false">IFERROR(INDEX(02_轉折點45個!B:B,MATCH(A3426,02_轉折點45個!A:A,0)),"")</f>
        <v/>
      </c>
      <c r="G3426" s="7" t="s">
        <v>1994</v>
      </c>
    </row>
    <row r="3427" customFormat="false" ht="15" hidden="false" customHeight="false" outlineLevel="0" collapsed="false">
      <c r="A3427" s="7" t="s">
        <v>4773</v>
      </c>
      <c r="B3427" s="7" t="n">
        <v>2759.78</v>
      </c>
      <c r="C3427" s="7" t="n">
        <f aca="false">AVERAGE(B3378:B3427)</f>
        <v>2649.9854</v>
      </c>
      <c r="D3427" s="7" t="n">
        <f aca="false">AVERAGE(B3228:B3427)</f>
        <v>2603.5401</v>
      </c>
      <c r="E3427" s="7" t="n">
        <f aca="false">B3427/MAX(B3176:B3427)-1</f>
        <v>-0.0325692591904483</v>
      </c>
      <c r="F3427" s="7" t="str">
        <f aca="false">IFERROR(INDEX(02_轉折點45個!B:B,MATCH(A3427,02_轉折點45個!A:A,0)),"")</f>
        <v/>
      </c>
      <c r="G3427" s="7" t="s">
        <v>1994</v>
      </c>
    </row>
    <row r="3428" customFormat="false" ht="15" hidden="false" customHeight="false" outlineLevel="0" collapsed="false">
      <c r="A3428" s="7" t="s">
        <v>1000</v>
      </c>
      <c r="B3428" s="7" t="n">
        <v>2761.29</v>
      </c>
      <c r="C3428" s="7" t="n">
        <f aca="false">AVERAGE(B3379:B3428)</f>
        <v>2655.0108</v>
      </c>
      <c r="D3428" s="7" t="n">
        <f aca="false">AVERAGE(B3229:B3428)</f>
        <v>2605.23865</v>
      </c>
      <c r="E3428" s="7" t="n">
        <f aca="false">B3428/MAX(B3177:B3428)-1</f>
        <v>-0.0320399342375092</v>
      </c>
      <c r="F3428" s="7" t="str">
        <f aca="false">IFERROR(INDEX(02_轉折點45個!B:B,MATCH(A3428,02_轉折點45個!A:A,0)),"")</f>
        <v/>
      </c>
      <c r="G3428" s="7" t="s">
        <v>1994</v>
      </c>
    </row>
    <row r="3429" customFormat="false" ht="15" hidden="false" customHeight="false" outlineLevel="0" collapsed="false">
      <c r="A3429" s="7" t="s">
        <v>4774</v>
      </c>
      <c r="B3429" s="7" t="n">
        <v>2756.23</v>
      </c>
      <c r="C3429" s="7" t="n">
        <f aca="false">AVERAGE(B3380:B3429)</f>
        <v>2659.706</v>
      </c>
      <c r="D3429" s="7" t="n">
        <f aca="false">AVERAGE(B3230:B3429)</f>
        <v>2606.5101</v>
      </c>
      <c r="E3429" s="7" t="n">
        <f aca="false">B3429/MAX(B3178:B3429)-1</f>
        <v>-0.033813698649345</v>
      </c>
      <c r="F3429" s="7" t="str">
        <f aca="false">IFERROR(INDEX(02_轉折點45個!B:B,MATCH(A3429,02_轉折點45個!A:A,0)),"")</f>
        <v/>
      </c>
      <c r="G3429" s="7" t="s">
        <v>1994</v>
      </c>
    </row>
    <row r="3430" customFormat="false" ht="15" hidden="false" customHeight="false" outlineLevel="0" collapsed="false">
      <c r="A3430" s="7" t="s">
        <v>4775</v>
      </c>
      <c r="B3430" s="7" t="n">
        <v>2768.97</v>
      </c>
      <c r="C3430" s="7" t="n">
        <f aca="false">AVERAGE(B3381:B3430)</f>
        <v>2664.3252</v>
      </c>
      <c r="D3430" s="7" t="n">
        <f aca="false">AVERAGE(B3231:B3430)</f>
        <v>2607.852</v>
      </c>
      <c r="E3430" s="7" t="n">
        <f aca="false">B3430/MAX(B3179:B3430)-1</f>
        <v>-0.029347738450375</v>
      </c>
      <c r="F3430" s="7" t="str">
        <f aca="false">IFERROR(INDEX(02_轉折點45個!B:B,MATCH(A3430,02_轉折點45個!A:A,0)),"")</f>
        <v/>
      </c>
      <c r="G3430" s="7" t="s">
        <v>1994</v>
      </c>
    </row>
    <row r="3431" customFormat="false" ht="15" hidden="false" customHeight="false" outlineLevel="0" collapsed="false">
      <c r="A3431" s="7" t="s">
        <v>4776</v>
      </c>
      <c r="B3431" s="7" t="n">
        <v>2797.72</v>
      </c>
      <c r="C3431" s="7" t="n">
        <f aca="false">AVERAGE(B3382:B3431)</f>
        <v>2668.3024</v>
      </c>
      <c r="D3431" s="7" t="n">
        <f aca="false">AVERAGE(B3232:B3431)</f>
        <v>2609.5786</v>
      </c>
      <c r="E3431" s="7" t="n">
        <f aca="false">B3431/MAX(B3180:B3431)-1</f>
        <v>-0.019269531564944</v>
      </c>
      <c r="F3431" s="7" t="str">
        <f aca="false">IFERROR(INDEX(02_轉折點45個!B:B,MATCH(A3431,02_轉折點45個!A:A,0)),"")</f>
        <v/>
      </c>
      <c r="G3431" s="7" t="s">
        <v>1994</v>
      </c>
    </row>
    <row r="3432" customFormat="false" ht="15" hidden="false" customHeight="false" outlineLevel="0" collapsed="false">
      <c r="A3432" s="7" t="s">
        <v>4777</v>
      </c>
      <c r="B3432" s="7" t="n">
        <v>2810.69</v>
      </c>
      <c r="C3432" s="7" t="n">
        <f aca="false">AVERAGE(B3383:B3432)</f>
        <v>2672.7894</v>
      </c>
      <c r="D3432" s="7" t="n">
        <f aca="false">AVERAGE(B3233:B3432)</f>
        <v>2611.7238</v>
      </c>
      <c r="E3432" s="7" t="n">
        <f aca="false">B3432/MAX(B3181:B3432)-1</f>
        <v>-0.0147229457108904</v>
      </c>
      <c r="F3432" s="7" t="str">
        <f aca="false">IFERROR(INDEX(02_轉折點45個!B:B,MATCH(A3432,02_轉折點45個!A:A,0)),"")</f>
        <v/>
      </c>
      <c r="G3432" s="7" t="s">
        <v>1994</v>
      </c>
    </row>
    <row r="3433" customFormat="false" ht="15" hidden="false" customHeight="false" outlineLevel="0" collapsed="false">
      <c r="A3433" s="7" t="s">
        <v>4778</v>
      </c>
      <c r="B3433" s="7" t="n">
        <v>2810.34</v>
      </c>
      <c r="C3433" s="7" t="n">
        <f aca="false">AVERAGE(B3384:B3433)</f>
        <v>2676.7688</v>
      </c>
      <c r="D3433" s="7" t="n">
        <f aca="false">AVERAGE(B3234:B3433)</f>
        <v>2613.71645</v>
      </c>
      <c r="E3433" s="7" t="n">
        <f aca="false">B3433/MAX(B3182:B3433)-1</f>
        <v>-0.0148456369251478</v>
      </c>
      <c r="F3433" s="7" t="str">
        <f aca="false">IFERROR(INDEX(02_轉折點45個!B:B,MATCH(A3433,02_轉折點45個!A:A,0)),"")</f>
        <v/>
      </c>
      <c r="G3433" s="7" t="s">
        <v>1994</v>
      </c>
    </row>
    <row r="3434" customFormat="false" ht="15" hidden="false" customHeight="false" outlineLevel="0" collapsed="false">
      <c r="A3434" s="7" t="s">
        <v>1001</v>
      </c>
      <c r="B3434" s="7" t="n">
        <v>2802.16</v>
      </c>
      <c r="C3434" s="7" t="n">
        <f aca="false">AVERAGE(B3385:B3434)</f>
        <v>2681.4742</v>
      </c>
      <c r="D3434" s="7" t="n">
        <f aca="false">AVERAGE(B3235:B3434)</f>
        <v>2615.4033</v>
      </c>
      <c r="E3434" s="7" t="n">
        <f aca="false">B3434/MAX(B3183:B3434)-1</f>
        <v>-0.017713105875507</v>
      </c>
      <c r="F3434" s="7" t="str">
        <f aca="false">IFERROR(INDEX(02_轉折點45個!B:B,MATCH(A3434,02_轉折點45個!A:A,0)),"")</f>
        <v/>
      </c>
      <c r="G3434" s="7" t="s">
        <v>1994</v>
      </c>
    </row>
    <row r="3435" customFormat="false" ht="15" hidden="false" customHeight="false" outlineLevel="0" collapsed="false">
      <c r="A3435" s="7" t="s">
        <v>4779</v>
      </c>
      <c r="B3435" s="7" t="n">
        <v>2808.02</v>
      </c>
      <c r="C3435" s="7" t="n">
        <f aca="false">AVERAGE(B3386:B3435)</f>
        <v>2685.6876</v>
      </c>
      <c r="D3435" s="7" t="n">
        <f aca="false">AVERAGE(B3236:B3435)</f>
        <v>2617.17345</v>
      </c>
      <c r="E3435" s="7" t="n">
        <f aca="false">B3435/MAX(B3184:B3435)-1</f>
        <v>-0.0156589044025114</v>
      </c>
      <c r="F3435" s="7" t="str">
        <f aca="false">IFERROR(INDEX(02_轉折點45個!B:B,MATCH(A3435,02_轉折點45個!A:A,0)),"")</f>
        <v/>
      </c>
      <c r="G3435" s="7" t="s">
        <v>1994</v>
      </c>
    </row>
    <row r="3436" customFormat="false" ht="15" hidden="false" customHeight="false" outlineLevel="0" collapsed="false">
      <c r="A3436" s="7" t="s">
        <v>4780</v>
      </c>
      <c r="B3436" s="7" t="n">
        <v>2789.5</v>
      </c>
      <c r="C3436" s="7" t="n">
        <f aca="false">AVERAGE(B3387:B3436)</f>
        <v>2689.9774</v>
      </c>
      <c r="D3436" s="7" t="n">
        <f aca="false">AVERAGE(B3237:B3436)</f>
        <v>2618.8094</v>
      </c>
      <c r="E3436" s="7" t="n">
        <f aca="false">B3436/MAX(B3185:B3436)-1</f>
        <v>-0.0221510223683611</v>
      </c>
      <c r="F3436" s="7" t="str">
        <f aca="false">IFERROR(INDEX(02_轉折點45個!B:B,MATCH(A3436,02_轉折點45個!A:A,0)),"")</f>
        <v/>
      </c>
      <c r="G3436" s="7" t="s">
        <v>1994</v>
      </c>
    </row>
    <row r="3437" customFormat="false" ht="15" hidden="false" customHeight="false" outlineLevel="0" collapsed="false">
      <c r="A3437" s="7" t="s">
        <v>4781</v>
      </c>
      <c r="B3437" s="7" t="n">
        <v>2804.48</v>
      </c>
      <c r="C3437" s="7" t="n">
        <f aca="false">AVERAGE(B3388:B3437)</f>
        <v>2694.2432</v>
      </c>
      <c r="D3437" s="7" t="n">
        <f aca="false">AVERAGE(B3238:B3437)</f>
        <v>2620.373</v>
      </c>
      <c r="E3437" s="7" t="n">
        <f aca="false">B3437/MAX(B3186:B3437)-1</f>
        <v>-0.0168998383981436</v>
      </c>
      <c r="F3437" s="7" t="str">
        <f aca="false">IFERROR(INDEX(02_轉折點45個!B:B,MATCH(A3437,02_轉折點45個!A:A,0)),"")</f>
        <v/>
      </c>
      <c r="G3437" s="7" t="s">
        <v>1994</v>
      </c>
    </row>
    <row r="3438" customFormat="false" ht="15" hidden="false" customHeight="false" outlineLevel="0" collapsed="false">
      <c r="A3438" s="7" t="s">
        <v>4782</v>
      </c>
      <c r="B3438" s="7" t="n">
        <v>2807.58</v>
      </c>
      <c r="C3438" s="7" t="n">
        <f aca="false">AVERAGE(B3389:B3438)</f>
        <v>2697.9046</v>
      </c>
      <c r="D3438" s="7" t="n">
        <f aca="false">AVERAGE(B3239:B3438)</f>
        <v>2622.43555</v>
      </c>
      <c r="E3438" s="7" t="n">
        <f aca="false">B3438/MAX(B3187:B3438)-1</f>
        <v>-0.0158131447861493</v>
      </c>
      <c r="F3438" s="7" t="str">
        <f aca="false">IFERROR(INDEX(02_轉折點45個!B:B,MATCH(A3438,02_轉折點45個!A:A,0)),"")</f>
        <v/>
      </c>
      <c r="G3438" s="7" t="s">
        <v>1994</v>
      </c>
    </row>
    <row r="3439" customFormat="false" ht="15" hidden="false" customHeight="false" outlineLevel="0" collapsed="false">
      <c r="A3439" s="7" t="s">
        <v>1002</v>
      </c>
      <c r="B3439" s="7" t="n">
        <v>2811.19</v>
      </c>
      <c r="C3439" s="7" t="n">
        <f aca="false">AVERAGE(B3390:B3439)</f>
        <v>2701.2266</v>
      </c>
      <c r="D3439" s="7" t="n">
        <f aca="false">AVERAGE(B3240:B3439)</f>
        <v>2624.50015</v>
      </c>
      <c r="E3439" s="7" t="n">
        <f aca="false">B3439/MAX(B3188:B3439)-1</f>
        <v>-0.0145476725476655</v>
      </c>
      <c r="F3439" s="7" t="str">
        <f aca="false">IFERROR(INDEX(02_轉折點45個!B:B,MATCH(A3439,02_轉折點45個!A:A,0)),"")</f>
        <v/>
      </c>
      <c r="G3439" s="7" t="s">
        <v>1994</v>
      </c>
    </row>
    <row r="3440" customFormat="false" ht="15" hidden="false" customHeight="false" outlineLevel="0" collapsed="false">
      <c r="A3440" s="7" t="s">
        <v>1003</v>
      </c>
      <c r="B3440" s="7" t="n">
        <v>2814.89</v>
      </c>
      <c r="C3440" s="7" t="n">
        <f aca="false">AVERAGE(B3391:B3440)</f>
        <v>2703.9934</v>
      </c>
      <c r="D3440" s="7" t="n">
        <f aca="false">AVERAGE(B3241:B3440)</f>
        <v>2626.33845</v>
      </c>
      <c r="E3440" s="7" t="n">
        <f aca="false">B3440/MAX(B3189:B3440)-1</f>
        <v>-0.0132506511398014</v>
      </c>
      <c r="F3440" s="7" t="str">
        <f aca="false">IFERROR(INDEX(02_轉折點45個!B:B,MATCH(A3440,02_轉折點45個!A:A,0)),"")</f>
        <v/>
      </c>
      <c r="G3440" s="7" t="s">
        <v>1994</v>
      </c>
    </row>
    <row r="3441" customFormat="false" ht="15" hidden="false" customHeight="false" outlineLevel="0" collapsed="false">
      <c r="A3441" s="7" t="s">
        <v>4783</v>
      </c>
      <c r="B3441" s="7" t="n">
        <v>2785.22</v>
      </c>
      <c r="C3441" s="7" t="n">
        <f aca="false">AVERAGE(B3392:B3441)</f>
        <v>2706.1542</v>
      </c>
      <c r="D3441" s="7" t="n">
        <f aca="false">AVERAGE(B3242:B3441)</f>
        <v>2628.12675</v>
      </c>
      <c r="E3441" s="7" t="n">
        <f aca="false">B3441/MAX(B3190:B3441)-1</f>
        <v>-0.0236513606455662</v>
      </c>
      <c r="F3441" s="7" t="str">
        <f aca="false">IFERROR(INDEX(02_轉折點45個!B:B,MATCH(A3441,02_轉折點45個!A:A,0)),"")</f>
        <v/>
      </c>
      <c r="G3441" s="7" t="s">
        <v>1994</v>
      </c>
    </row>
    <row r="3442" customFormat="false" ht="15" hidden="false" customHeight="false" outlineLevel="0" collapsed="false">
      <c r="A3442" s="7" t="s">
        <v>4784</v>
      </c>
      <c r="B3442" s="7" t="n">
        <v>2801.89</v>
      </c>
      <c r="C3442" s="7" t="n">
        <f aca="false">AVERAGE(B3393:B3442)</f>
        <v>2709.9522</v>
      </c>
      <c r="D3442" s="7" t="n">
        <f aca="false">AVERAGE(B3243:B3442)</f>
        <v>2629.866</v>
      </c>
      <c r="E3442" s="7" t="n">
        <f aca="false">B3442/MAX(B3191:B3442)-1</f>
        <v>-0.0178077533836485</v>
      </c>
      <c r="F3442" s="7" t="str">
        <f aca="false">IFERROR(INDEX(02_轉折點45個!B:B,MATCH(A3442,02_轉折點45個!A:A,0)),"")</f>
        <v/>
      </c>
      <c r="G3442" s="7" t="s">
        <v>1994</v>
      </c>
    </row>
    <row r="3443" customFormat="false" ht="15" hidden="false" customHeight="false" outlineLevel="0" collapsed="false">
      <c r="A3443" s="7" t="s">
        <v>4785</v>
      </c>
      <c r="B3443" s="7" t="n">
        <v>2809.29</v>
      </c>
      <c r="C3443" s="7" t="n">
        <f aca="false">AVERAGE(B3394:B3443)</f>
        <v>2713.2892</v>
      </c>
      <c r="D3443" s="7" t="n">
        <f aca="false">AVERAGE(B3244:B3443)</f>
        <v>2631.85505</v>
      </c>
      <c r="E3443" s="7" t="n">
        <f aca="false">B3443/MAX(B3192:B3443)-1</f>
        <v>-0.0152137105679201</v>
      </c>
      <c r="F3443" s="7" t="str">
        <f aca="false">IFERROR(INDEX(02_轉折點45個!B:B,MATCH(A3443,02_轉折點45個!A:A,0)),"")</f>
        <v/>
      </c>
      <c r="G3443" s="7" t="s">
        <v>1994</v>
      </c>
    </row>
    <row r="3444" customFormat="false" ht="15" hidden="false" customHeight="false" outlineLevel="0" collapsed="false">
      <c r="A3444" s="7" t="s">
        <v>1004</v>
      </c>
      <c r="B3444" s="7" t="n">
        <v>2804</v>
      </c>
      <c r="C3444" s="7" t="n">
        <f aca="false">AVERAGE(B3395:B3444)</f>
        <v>2717.5484</v>
      </c>
      <c r="D3444" s="7" t="n">
        <f aca="false">AVERAGE(B3245:B3444)</f>
        <v>2634.05345</v>
      </c>
      <c r="E3444" s="7" t="n">
        <f aca="false">B3444/MAX(B3193:B3444)-1</f>
        <v>-0.0170681006348394</v>
      </c>
      <c r="F3444" s="7" t="str">
        <f aca="false">IFERROR(INDEX(02_轉折點45個!B:B,MATCH(A3444,02_轉折點45個!A:A,0)),"")</f>
        <v/>
      </c>
      <c r="G3444" s="7" t="s">
        <v>1994</v>
      </c>
    </row>
    <row r="3445" customFormat="false" ht="15" hidden="false" customHeight="false" outlineLevel="0" collapsed="false">
      <c r="A3445" s="7" t="s">
        <v>1005</v>
      </c>
      <c r="B3445" s="7" t="n">
        <v>2864.79</v>
      </c>
      <c r="C3445" s="7" t="n">
        <f aca="false">AVERAGE(B3396:B3445)</f>
        <v>2722.6964</v>
      </c>
      <c r="D3445" s="7" t="n">
        <f aca="false">AVERAGE(B3246:B3445)</f>
        <v>2636.62655</v>
      </c>
      <c r="E3445" s="7" t="n">
        <f aca="false">B3445/MAX(B3194:B3445)-1</f>
        <v>0</v>
      </c>
      <c r="F3445" s="7" t="str">
        <f aca="false">IFERROR(INDEX(02_轉折點45個!B:B,MATCH(A3445,02_轉折點45個!A:A,0)),"")</f>
        <v/>
      </c>
      <c r="G3445" s="7" t="s">
        <v>1994</v>
      </c>
    </row>
    <row r="3446" customFormat="false" ht="15" hidden="false" customHeight="false" outlineLevel="0" collapsed="false">
      <c r="A3446" s="7" t="s">
        <v>4786</v>
      </c>
      <c r="B3446" s="7" t="n">
        <v>2865.35</v>
      </c>
      <c r="C3446" s="7" t="n">
        <f aca="false">AVERAGE(B3397:B3446)</f>
        <v>2727.4672</v>
      </c>
      <c r="D3446" s="7" t="n">
        <f aca="false">AVERAGE(B3247:B3446)</f>
        <v>2639.42795</v>
      </c>
      <c r="E3446" s="7" t="n">
        <f aca="false">B3446/MAX(B3195:B3446)-1</f>
        <v>0</v>
      </c>
      <c r="F3446" s="7" t="str">
        <f aca="false">IFERROR(INDEX(02_轉折點45個!B:B,MATCH(A3446,02_轉折點45個!A:A,0)),"")</f>
        <v/>
      </c>
      <c r="G3446" s="7" t="s">
        <v>1994</v>
      </c>
    </row>
    <row r="3447" customFormat="false" ht="15" hidden="false" customHeight="false" outlineLevel="0" collapsed="false">
      <c r="A3447" s="7" t="s">
        <v>4787</v>
      </c>
      <c r="B3447" s="7" t="n">
        <v>2835.75</v>
      </c>
      <c r="C3447" s="7" t="n">
        <f aca="false">AVERAGE(B3398:B3447)</f>
        <v>2732.1178</v>
      </c>
      <c r="D3447" s="7" t="n">
        <f aca="false">AVERAGE(B3248:B3447)</f>
        <v>2642.08985</v>
      </c>
      <c r="E3447" s="7" t="n">
        <f aca="false">B3447/MAX(B3196:B3447)-1</f>
        <v>-0.0103303261381681</v>
      </c>
      <c r="F3447" s="7" t="str">
        <f aca="false">IFERROR(INDEX(02_轉折點45個!B:B,MATCH(A3447,02_轉折點45個!A:A,0)),"")</f>
        <v/>
      </c>
      <c r="G3447" s="7" t="s">
        <v>1994</v>
      </c>
    </row>
    <row r="3448" customFormat="false" ht="15" hidden="false" customHeight="false" outlineLevel="0" collapsed="false">
      <c r="A3448" s="7" t="s">
        <v>4788</v>
      </c>
      <c r="B3448" s="7" t="n">
        <v>2836.21</v>
      </c>
      <c r="C3448" s="7" t="n">
        <f aca="false">AVERAGE(B3399:B3448)</f>
        <v>2735.2144</v>
      </c>
      <c r="D3448" s="7" t="n">
        <f aca="false">AVERAGE(B3249:B3448)</f>
        <v>2645.0336</v>
      </c>
      <c r="E3448" s="7" t="n">
        <f aca="false">B3448/MAX(B3197:B3448)-1</f>
        <v>-0.0101697872860209</v>
      </c>
      <c r="F3448" s="7" t="str">
        <f aca="false">IFERROR(INDEX(02_轉折點45個!B:B,MATCH(A3448,02_轉折點45個!A:A,0)),"")</f>
        <v/>
      </c>
      <c r="G3448" s="7" t="s">
        <v>1994</v>
      </c>
    </row>
    <row r="3449" customFormat="false" ht="15" hidden="false" customHeight="false" outlineLevel="0" collapsed="false">
      <c r="A3449" s="7" t="s">
        <v>4789</v>
      </c>
      <c r="B3449" s="7" t="n">
        <v>2845.15</v>
      </c>
      <c r="C3449" s="7" t="n">
        <f aca="false">AVERAGE(B3400:B3449)</f>
        <v>2738.1942</v>
      </c>
      <c r="D3449" s="7" t="n">
        <f aca="false">AVERAGE(B3250:B3449)</f>
        <v>2648.10685</v>
      </c>
      <c r="E3449" s="7" t="n">
        <f aca="false">B3449/MAX(B3198:B3449)-1</f>
        <v>-0.00704974959429039</v>
      </c>
      <c r="F3449" s="7" t="str">
        <f aca="false">IFERROR(INDEX(02_轉折點45個!B:B,MATCH(A3449,02_轉折點45個!A:A,0)),"")</f>
        <v/>
      </c>
      <c r="G3449" s="7" t="s">
        <v>1994</v>
      </c>
    </row>
    <row r="3450" customFormat="false" ht="15" hidden="false" customHeight="false" outlineLevel="0" collapsed="false">
      <c r="A3450" s="7" t="s">
        <v>4790</v>
      </c>
      <c r="B3450" s="7" t="n">
        <v>2883.08</v>
      </c>
      <c r="C3450" s="7" t="n">
        <f aca="false">AVERAGE(B3401:B3450)</f>
        <v>2741.4784</v>
      </c>
      <c r="D3450" s="7" t="n">
        <f aca="false">AVERAGE(B3251:B3450)</f>
        <v>2650.9777</v>
      </c>
      <c r="E3450" s="7" t="n">
        <f aca="false">B3450/MAX(B3199:B3450)-1</f>
        <v>0</v>
      </c>
      <c r="F3450" s="7" t="str">
        <f aca="false">IFERROR(INDEX(02_轉折點45個!B:B,MATCH(A3450,02_轉折點45個!A:A,0)),"")</f>
        <v/>
      </c>
      <c r="G3450" s="7" t="s">
        <v>1994</v>
      </c>
    </row>
    <row r="3451" customFormat="false" ht="15" hidden="false" customHeight="false" outlineLevel="0" collapsed="false">
      <c r="A3451" s="7" t="s">
        <v>4791</v>
      </c>
      <c r="B3451" s="7" t="n">
        <v>2908.77</v>
      </c>
      <c r="C3451" s="7" t="n">
        <f aca="false">AVERAGE(B3402:B3451)</f>
        <v>2745.2758</v>
      </c>
      <c r="D3451" s="7" t="n">
        <f aca="false">AVERAGE(B3252:B3451)</f>
        <v>2654.03105</v>
      </c>
      <c r="E3451" s="7" t="n">
        <f aca="false">B3451/MAX(B3200:B3451)-1</f>
        <v>0</v>
      </c>
      <c r="F3451" s="7" t="str">
        <f aca="false">IFERROR(INDEX(02_轉折點45個!B:B,MATCH(A3451,02_轉折點45個!A:A,0)),"")</f>
        <v/>
      </c>
      <c r="G3451" s="7" t="s">
        <v>1994</v>
      </c>
    </row>
    <row r="3452" customFormat="false" ht="15" hidden="false" customHeight="false" outlineLevel="0" collapsed="false">
      <c r="A3452" s="7" t="s">
        <v>4792</v>
      </c>
      <c r="B3452" s="7" t="n">
        <v>2903.95</v>
      </c>
      <c r="C3452" s="7" t="n">
        <f aca="false">AVERAGE(B3403:B3452)</f>
        <v>2749.6856</v>
      </c>
      <c r="D3452" s="7" t="n">
        <f aca="false">AVERAGE(B3253:B3452)</f>
        <v>2656.58145</v>
      </c>
      <c r="E3452" s="7" t="n">
        <f aca="false">B3452/MAX(B3201:B3452)-1</f>
        <v>-0.00165705779418801</v>
      </c>
      <c r="F3452" s="7" t="str">
        <f aca="false">IFERROR(INDEX(02_轉折點45個!B:B,MATCH(A3452,02_轉折點45個!A:A,0)),"")</f>
        <v/>
      </c>
      <c r="G3452" s="7" t="s">
        <v>1994</v>
      </c>
    </row>
    <row r="3453" customFormat="false" ht="15" hidden="false" customHeight="false" outlineLevel="0" collapsed="false">
      <c r="A3453" s="7" t="s">
        <v>4793</v>
      </c>
      <c r="B3453" s="7" t="n">
        <v>2903.15</v>
      </c>
      <c r="C3453" s="7" t="n">
        <f aca="false">AVERAGE(B3404:B3453)</f>
        <v>2754.181</v>
      </c>
      <c r="D3453" s="7" t="n">
        <f aca="false">AVERAGE(B3254:B3453)</f>
        <v>2659.1011</v>
      </c>
      <c r="E3453" s="7" t="n">
        <f aca="false">B3453/MAX(B3202:B3453)-1</f>
        <v>-0.00193208813347223</v>
      </c>
      <c r="F3453" s="7" t="str">
        <f aca="false">IFERROR(INDEX(02_轉折點45個!B:B,MATCH(A3453,02_轉折點45個!A:A,0)),"")</f>
        <v/>
      </c>
      <c r="G3453" s="7" t="s">
        <v>1994</v>
      </c>
    </row>
    <row r="3454" customFormat="false" ht="15" hidden="false" customHeight="false" outlineLevel="0" collapsed="false">
      <c r="A3454" s="7" t="s">
        <v>4794</v>
      </c>
      <c r="B3454" s="7" t="n">
        <v>2907.55</v>
      </c>
      <c r="C3454" s="7" t="n">
        <f aca="false">AVERAGE(B3405:B3454)</f>
        <v>2759.3022</v>
      </c>
      <c r="D3454" s="7" t="n">
        <f aca="false">AVERAGE(B3255:B3454)</f>
        <v>2661.6394</v>
      </c>
      <c r="E3454" s="7" t="n">
        <f aca="false">B3454/MAX(B3203:B3454)-1</f>
        <v>-0.00041942126740846</v>
      </c>
      <c r="F3454" s="7" t="str">
        <f aca="false">IFERROR(INDEX(02_轉折點45個!B:B,MATCH(A3454,02_轉折點45個!A:A,0)),"")</f>
        <v/>
      </c>
      <c r="G3454" s="7" t="s">
        <v>1994</v>
      </c>
    </row>
    <row r="3455" customFormat="false" ht="15" hidden="false" customHeight="false" outlineLevel="0" collapsed="false">
      <c r="A3455" s="7" t="s">
        <v>4795</v>
      </c>
      <c r="B3455" s="7" t="n">
        <v>2901.47</v>
      </c>
      <c r="C3455" s="7" t="n">
        <f aca="false">AVERAGE(B3406:B3455)</f>
        <v>2764.564</v>
      </c>
      <c r="D3455" s="7" t="n">
        <f aca="false">AVERAGE(B3256:B3455)</f>
        <v>2664.0156</v>
      </c>
      <c r="E3455" s="7" t="n">
        <f aca="false">B3455/MAX(B3204:B3455)-1</f>
        <v>-0.0025096518459693</v>
      </c>
      <c r="F3455" s="7" t="str">
        <f aca="false">IFERROR(INDEX(02_轉折點45個!B:B,MATCH(A3455,02_轉折點45個!A:A,0)),"")</f>
        <v/>
      </c>
      <c r="G3455" s="7" t="s">
        <v>1994</v>
      </c>
    </row>
    <row r="3456" customFormat="false" ht="15" hidden="false" customHeight="false" outlineLevel="0" collapsed="false">
      <c r="A3456" s="7" t="s">
        <v>4796</v>
      </c>
      <c r="B3456" s="7" t="n">
        <v>2905.12</v>
      </c>
      <c r="C3456" s="7" t="n">
        <f aca="false">AVERAGE(B3407:B3456)</f>
        <v>2770.297</v>
      </c>
      <c r="D3456" s="7" t="n">
        <f aca="false">AVERAGE(B3257:B3456)</f>
        <v>2666.43835</v>
      </c>
      <c r="E3456" s="7" t="n">
        <f aca="false">B3456/MAX(B3205:B3456)-1</f>
        <v>-0.00125482592298465</v>
      </c>
      <c r="F3456" s="7" t="str">
        <f aca="false">IFERROR(INDEX(02_轉折點45個!B:B,MATCH(A3456,02_轉折點45個!A:A,0)),"")</f>
        <v/>
      </c>
      <c r="G3456" s="7" t="s">
        <v>1994</v>
      </c>
    </row>
    <row r="3457" customFormat="false" ht="15" hidden="false" customHeight="false" outlineLevel="0" collapsed="false">
      <c r="A3457" s="7" t="s">
        <v>4797</v>
      </c>
      <c r="B3457" s="7" t="n">
        <v>2887.6</v>
      </c>
      <c r="C3457" s="7" t="n">
        <f aca="false">AVERAGE(B3408:B3457)</f>
        <v>2774.907</v>
      </c>
      <c r="D3457" s="7" t="n">
        <f aca="false">AVERAGE(B3258:B3457)</f>
        <v>2668.7751</v>
      </c>
      <c r="E3457" s="7" t="n">
        <f aca="false">B3457/MAX(B3206:B3457)-1</f>
        <v>-0.00727799035331089</v>
      </c>
      <c r="F3457" s="7" t="str">
        <f aca="false">IFERROR(INDEX(02_轉折點45個!B:B,MATCH(A3457,02_轉折點45個!A:A,0)),"")</f>
        <v/>
      </c>
      <c r="G3457" s="7" t="s">
        <v>1994</v>
      </c>
    </row>
    <row r="3458" customFormat="false" ht="15" hidden="false" customHeight="false" outlineLevel="0" collapsed="false">
      <c r="A3458" s="7" t="s">
        <v>4798</v>
      </c>
      <c r="B3458" s="7" t="n">
        <v>2848.27</v>
      </c>
      <c r="C3458" s="7" t="n">
        <f aca="false">AVERAGE(B3409:B3458)</f>
        <v>2778.941</v>
      </c>
      <c r="D3458" s="7" t="n">
        <f aca="false">AVERAGE(B3259:B3458)</f>
        <v>2671.15655</v>
      </c>
      <c r="E3458" s="7" t="n">
        <f aca="false">B3458/MAX(B3207:B3458)-1</f>
        <v>-0.0207991694083753</v>
      </c>
      <c r="F3458" s="7" t="str">
        <f aca="false">IFERROR(INDEX(02_轉折點45個!B:B,MATCH(A3458,02_轉折點45個!A:A,0)),"")</f>
        <v/>
      </c>
      <c r="G3458" s="7" t="s">
        <v>1994</v>
      </c>
    </row>
    <row r="3459" customFormat="false" ht="15" hidden="false" customHeight="false" outlineLevel="0" collapsed="false">
      <c r="A3459" s="7" t="s">
        <v>1006</v>
      </c>
      <c r="B3459" s="7" t="n">
        <v>2826.32</v>
      </c>
      <c r="C3459" s="7" t="n">
        <f aca="false">AVERAGE(B3410:B3459)</f>
        <v>2782.2968</v>
      </c>
      <c r="D3459" s="7" t="n">
        <f aca="false">AVERAGE(B3260:B3459)</f>
        <v>2673.1977</v>
      </c>
      <c r="E3459" s="7" t="n">
        <f aca="false">B3459/MAX(B3208:B3459)-1</f>
        <v>-0.0283453143424883</v>
      </c>
      <c r="F3459" s="7" t="str">
        <f aca="false">IFERROR(INDEX(02_轉折點45個!B:B,MATCH(A3459,02_轉折點45個!A:A,0)),"")</f>
        <v/>
      </c>
      <c r="G3459" s="7" t="s">
        <v>1994</v>
      </c>
    </row>
    <row r="3460" customFormat="false" ht="15" hidden="false" customHeight="false" outlineLevel="0" collapsed="false">
      <c r="A3460" s="7" t="s">
        <v>4799</v>
      </c>
      <c r="B3460" s="7" t="n">
        <v>2865.51</v>
      </c>
      <c r="C3460" s="7" t="n">
        <f aca="false">AVERAGE(B3411:B3460)</f>
        <v>2785.8414</v>
      </c>
      <c r="D3460" s="7" t="n">
        <f aca="false">AVERAGE(B3261:B3460)</f>
        <v>2675.5928</v>
      </c>
      <c r="E3460" s="7" t="n">
        <f aca="false">B3460/MAX(B3209:B3460)-1</f>
        <v>-0.0148722655967986</v>
      </c>
      <c r="F3460" s="7" t="str">
        <f aca="false">IFERROR(INDEX(02_轉折點45個!B:B,MATCH(A3460,02_轉折點45個!A:A,0)),"")</f>
        <v/>
      </c>
      <c r="G3460" s="7" t="s">
        <v>1994</v>
      </c>
    </row>
    <row r="3461" customFormat="false" ht="15" hidden="false" customHeight="false" outlineLevel="0" collapsed="false">
      <c r="A3461" s="7" t="s">
        <v>4800</v>
      </c>
      <c r="B3461" s="7" t="n">
        <v>2846.9</v>
      </c>
      <c r="C3461" s="7" t="n">
        <f aca="false">AVERAGE(B3412:B3461)</f>
        <v>2788.5882</v>
      </c>
      <c r="D3461" s="7" t="n">
        <f aca="false">AVERAGE(B3262:B3461)</f>
        <v>2678.04555</v>
      </c>
      <c r="E3461" s="7" t="n">
        <f aca="false">B3461/MAX(B3210:B3461)-1</f>
        <v>-0.0212701588643996</v>
      </c>
      <c r="F3461" s="7" t="str">
        <f aca="false">IFERROR(INDEX(02_轉折點45個!B:B,MATCH(A3461,02_轉折點45個!A:A,0)),"")</f>
        <v/>
      </c>
      <c r="G3461" s="7" t="s">
        <v>1994</v>
      </c>
    </row>
    <row r="3462" customFormat="false" ht="15" hidden="false" customHeight="false" outlineLevel="0" collapsed="false">
      <c r="A3462" s="7" t="s">
        <v>4801</v>
      </c>
      <c r="B3462" s="7" t="n">
        <v>2844.44</v>
      </c>
      <c r="C3462" s="7" t="n">
        <f aca="false">AVERAGE(B3413:B3462)</f>
        <v>2792.0276</v>
      </c>
      <c r="D3462" s="7" t="n">
        <f aca="false">AVERAGE(B3263:B3462)</f>
        <v>2680.66855</v>
      </c>
      <c r="E3462" s="7" t="n">
        <f aca="false">B3462/MAX(B3211:B3462)-1</f>
        <v>-0.0221158771576989</v>
      </c>
      <c r="F3462" s="7" t="str">
        <f aca="false">IFERROR(INDEX(02_轉折點45個!B:B,MATCH(A3462,02_轉折點45個!A:A,0)),"")</f>
        <v/>
      </c>
      <c r="G3462" s="7" t="s">
        <v>1994</v>
      </c>
    </row>
    <row r="3463" customFormat="false" ht="15" hidden="false" customHeight="false" outlineLevel="0" collapsed="false">
      <c r="A3463" s="7" t="s">
        <v>4802</v>
      </c>
      <c r="B3463" s="7" t="n">
        <v>2850.38</v>
      </c>
      <c r="C3463" s="7" t="n">
        <f aca="false">AVERAGE(B3414:B3463)</f>
        <v>2796.228</v>
      </c>
      <c r="D3463" s="7" t="n">
        <f aca="false">AVERAGE(B3264:B3463)</f>
        <v>2683.31345</v>
      </c>
      <c r="E3463" s="7" t="n">
        <f aca="false">B3463/MAX(B3212:B3463)-1</f>
        <v>-0.020073776888513</v>
      </c>
      <c r="F3463" s="7" t="str">
        <f aca="false">IFERROR(INDEX(02_轉折點45個!B:B,MATCH(A3463,02_轉折點45個!A:A,0)),"")</f>
        <v/>
      </c>
      <c r="G3463" s="7" t="s">
        <v>1994</v>
      </c>
    </row>
    <row r="3464" customFormat="false" ht="15" hidden="false" customHeight="false" outlineLevel="0" collapsed="false">
      <c r="A3464" s="7" t="s">
        <v>4803</v>
      </c>
      <c r="B3464" s="7" t="n">
        <v>2864.26</v>
      </c>
      <c r="C3464" s="7" t="n">
        <f aca="false">AVERAGE(B3415:B3464)</f>
        <v>2801.2022</v>
      </c>
      <c r="D3464" s="7" t="n">
        <f aca="false">AVERAGE(B3265:B3464)</f>
        <v>2685.96235</v>
      </c>
      <c r="E3464" s="7" t="n">
        <f aca="false">B3464/MAX(B3213:B3464)-1</f>
        <v>-0.0153020005019303</v>
      </c>
      <c r="F3464" s="7" t="str">
        <f aca="false">IFERROR(INDEX(02_轉折點45個!B:B,MATCH(A3464,02_轉折點45個!A:A,0)),"")</f>
        <v/>
      </c>
      <c r="G3464" s="7" t="s">
        <v>1994</v>
      </c>
    </row>
    <row r="3465" customFormat="false" ht="15" hidden="false" customHeight="false" outlineLevel="0" collapsed="false">
      <c r="A3465" s="7" t="s">
        <v>4804</v>
      </c>
      <c r="B3465" s="7" t="n">
        <v>2877.26</v>
      </c>
      <c r="C3465" s="7" t="n">
        <f aca="false">AVERAGE(B3416:B3465)</f>
        <v>2806.5962</v>
      </c>
      <c r="D3465" s="7" t="n">
        <f aca="false">AVERAGE(B3266:B3465)</f>
        <v>2688.8233</v>
      </c>
      <c r="E3465" s="7" t="n">
        <f aca="false">B3465/MAX(B3214:B3465)-1</f>
        <v>-0.0108327574885604</v>
      </c>
      <c r="F3465" s="7" t="str">
        <f aca="false">IFERROR(INDEX(02_轉折點45個!B:B,MATCH(A3465,02_轉折點45個!A:A,0)),"")</f>
        <v/>
      </c>
      <c r="G3465" s="7" t="s">
        <v>1994</v>
      </c>
    </row>
    <row r="3466" customFormat="false" ht="15" hidden="false" customHeight="false" outlineLevel="0" collapsed="false">
      <c r="A3466" s="7" t="s">
        <v>4805</v>
      </c>
      <c r="B3466" s="7" t="n">
        <v>2865.14</v>
      </c>
      <c r="C3466" s="7" t="n">
        <f aca="false">AVERAGE(B3417:B3466)</f>
        <v>2811.0352</v>
      </c>
      <c r="D3466" s="7" t="n">
        <f aca="false">AVERAGE(B3267:B3466)</f>
        <v>2691.2555</v>
      </c>
      <c r="E3466" s="7" t="n">
        <f aca="false">B3466/MAX(B3215:B3466)-1</f>
        <v>-0.0149994671287177</v>
      </c>
      <c r="F3466" s="7" t="str">
        <f aca="false">IFERROR(INDEX(02_轉折點45個!B:B,MATCH(A3466,02_轉折點45個!A:A,0)),"")</f>
        <v/>
      </c>
      <c r="G3466" s="7" t="s">
        <v>1994</v>
      </c>
    </row>
    <row r="3467" customFormat="false" ht="15" hidden="false" customHeight="false" outlineLevel="0" collapsed="false">
      <c r="A3467" s="7" t="s">
        <v>4806</v>
      </c>
      <c r="B3467" s="7" t="n">
        <v>2843.36</v>
      </c>
      <c r="C3467" s="7" t="n">
        <f aca="false">AVERAGE(B3418:B3467)</f>
        <v>2813.8538</v>
      </c>
      <c r="D3467" s="7" t="n">
        <f aca="false">AVERAGE(B3268:B3467)</f>
        <v>2693.6965</v>
      </c>
      <c r="E3467" s="7" t="n">
        <f aca="false">B3467/MAX(B3216:B3467)-1</f>
        <v>-0.0224871681157327</v>
      </c>
      <c r="F3467" s="7" t="str">
        <f aca="false">IFERROR(INDEX(02_轉折點45個!B:B,MATCH(A3467,02_轉折點45個!A:A,0)),"")</f>
        <v/>
      </c>
      <c r="G3467" s="7" t="s">
        <v>1994</v>
      </c>
    </row>
    <row r="3468" customFormat="false" ht="15" hidden="false" customHeight="false" outlineLevel="0" collapsed="false">
      <c r="A3468" s="7" t="s">
        <v>4807</v>
      </c>
      <c r="B3468" s="7" t="n">
        <v>2800.12</v>
      </c>
      <c r="C3468" s="7" t="n">
        <f aca="false">AVERAGE(B3419:B3468)</f>
        <v>2816.0314</v>
      </c>
      <c r="D3468" s="7" t="n">
        <f aca="false">AVERAGE(B3269:B3468)</f>
        <v>2695.82315</v>
      </c>
      <c r="E3468" s="7" t="n">
        <f aca="false">B3468/MAX(B3217:B3468)-1</f>
        <v>-0.0373525579540494</v>
      </c>
      <c r="F3468" s="7" t="str">
        <f aca="false">IFERROR(INDEX(02_轉折點45個!B:B,MATCH(A3468,02_轉折點45個!A:A,0)),"")</f>
        <v/>
      </c>
      <c r="G3468" s="7" t="s">
        <v>1994</v>
      </c>
    </row>
    <row r="3469" customFormat="false" ht="15" hidden="false" customHeight="false" outlineLevel="0" collapsed="false">
      <c r="A3469" s="7" t="s">
        <v>1008</v>
      </c>
      <c r="B3469" s="7" t="n">
        <v>2788.02</v>
      </c>
      <c r="C3469" s="7" t="n">
        <f aca="false">AVERAGE(B3420:B3469)</f>
        <v>2818.0824</v>
      </c>
      <c r="D3469" s="7" t="n">
        <f aca="false">AVERAGE(B3270:B3469)</f>
        <v>2697.80165</v>
      </c>
      <c r="E3469" s="7" t="n">
        <f aca="false">B3469/MAX(B3218:B3469)-1</f>
        <v>-0.0415123918357244</v>
      </c>
      <c r="F3469" s="7" t="str">
        <f aca="false">IFERROR(INDEX(02_轉折點45個!B:B,MATCH(A3469,02_轉折點45個!A:A,0)),"")</f>
        <v/>
      </c>
      <c r="G3469" s="7" t="s">
        <v>1994</v>
      </c>
    </row>
    <row r="3470" customFormat="false" ht="15" hidden="false" customHeight="false" outlineLevel="0" collapsed="false">
      <c r="A3470" s="7" t="s">
        <v>4808</v>
      </c>
      <c r="B3470" s="7" t="n">
        <v>2785.86</v>
      </c>
      <c r="C3470" s="7" t="n">
        <f aca="false">AVERAGE(B3421:B3470)</f>
        <v>2820.4432</v>
      </c>
      <c r="D3470" s="7" t="n">
        <f aca="false">AVERAGE(B3271:B3470)</f>
        <v>2699.7394</v>
      </c>
      <c r="E3470" s="7" t="n">
        <f aca="false">B3470/MAX(B3219:B3470)-1</f>
        <v>-0.042254973751792</v>
      </c>
      <c r="F3470" s="7" t="str">
        <f aca="false">IFERROR(INDEX(02_轉折點45個!B:B,MATCH(A3470,02_轉折點45個!A:A,0)),"")</f>
        <v/>
      </c>
      <c r="G3470" s="7" t="s">
        <v>1994</v>
      </c>
    </row>
    <row r="3471" customFormat="false" ht="15" hidden="false" customHeight="false" outlineLevel="0" collapsed="false">
      <c r="A3471" s="7" t="s">
        <v>4809</v>
      </c>
      <c r="B3471" s="7" t="n">
        <v>2781.02</v>
      </c>
      <c r="C3471" s="7" t="n">
        <f aca="false">AVERAGE(B3422:B3471)</f>
        <v>2822.8978</v>
      </c>
      <c r="D3471" s="7" t="n">
        <f aca="false">AVERAGE(B3272:B3471)</f>
        <v>2701.81385</v>
      </c>
      <c r="E3471" s="7" t="n">
        <f aca="false">B3471/MAX(B3220:B3471)-1</f>
        <v>-0.043918907304462</v>
      </c>
      <c r="F3471" s="7" t="str">
        <f aca="false">IFERROR(INDEX(02_轉折點45個!B:B,MATCH(A3471,02_轉折點45個!A:A,0)),"")</f>
        <v/>
      </c>
      <c r="G3471" s="7" t="s">
        <v>1994</v>
      </c>
    </row>
    <row r="3472" customFormat="false" ht="15" hidden="false" customHeight="false" outlineLevel="0" collapsed="false">
      <c r="A3472" s="7" t="s">
        <v>4810</v>
      </c>
      <c r="B3472" s="7" t="n">
        <v>2799.35</v>
      </c>
      <c r="C3472" s="7" t="n">
        <f aca="false">AVERAGE(B3423:B3472)</f>
        <v>2824.657</v>
      </c>
      <c r="D3472" s="7" t="n">
        <f aca="false">AVERAGE(B3273:B3472)</f>
        <v>2703.8714</v>
      </c>
      <c r="E3472" s="7" t="n">
        <f aca="false">B3472/MAX(B3221:B3472)-1</f>
        <v>-0.0376172746556105</v>
      </c>
      <c r="F3472" s="7" t="str">
        <f aca="false">IFERROR(INDEX(02_轉折點45個!B:B,MATCH(A3472,02_轉折點45個!A:A,0)),"")</f>
        <v/>
      </c>
      <c r="G3472" s="7" t="s">
        <v>1994</v>
      </c>
    </row>
    <row r="3473" customFormat="false" ht="15" hidden="false" customHeight="false" outlineLevel="0" collapsed="false">
      <c r="A3473" s="7" t="s">
        <v>4811</v>
      </c>
      <c r="B3473" s="7" t="n">
        <v>2833.14</v>
      </c>
      <c r="C3473" s="7" t="n">
        <f aca="false">AVERAGE(B3424:B3473)</f>
        <v>2826.6898</v>
      </c>
      <c r="D3473" s="7" t="n">
        <f aca="false">AVERAGE(B3274:B3473)</f>
        <v>2706.13715</v>
      </c>
      <c r="E3473" s="7" t="n">
        <f aca="false">B3473/MAX(B3222:B3473)-1</f>
        <v>-0.0260006807000898</v>
      </c>
      <c r="F3473" s="7" t="str">
        <f aca="false">IFERROR(INDEX(02_轉折點45個!B:B,MATCH(A3473,02_轉折點45個!A:A,0)),"")</f>
        <v/>
      </c>
      <c r="G3473" s="7" t="s">
        <v>1994</v>
      </c>
    </row>
    <row r="3474" customFormat="false" ht="15" hidden="false" customHeight="false" outlineLevel="0" collapsed="false">
      <c r="A3474" s="7" t="s">
        <v>4812</v>
      </c>
      <c r="B3474" s="7" t="n">
        <v>2835.84</v>
      </c>
      <c r="C3474" s="7" t="n">
        <f aca="false">AVERAGE(B3425:B3474)</f>
        <v>2828.3024</v>
      </c>
      <c r="D3474" s="7" t="n">
        <f aca="false">AVERAGE(B3275:B3474)</f>
        <v>2708.21735</v>
      </c>
      <c r="E3474" s="7" t="n">
        <f aca="false">B3474/MAX(B3223:B3474)-1</f>
        <v>-0.0250724533050052</v>
      </c>
      <c r="F3474" s="7" t="str">
        <f aca="false">IFERROR(INDEX(02_轉折點45個!B:B,MATCH(A3474,02_轉折點45個!A:A,0)),"")</f>
        <v/>
      </c>
      <c r="G3474" s="7" t="s">
        <v>1994</v>
      </c>
    </row>
    <row r="3475" customFormat="false" ht="15" hidden="false" customHeight="false" outlineLevel="0" collapsed="false">
      <c r="A3475" s="7" t="s">
        <v>1009</v>
      </c>
      <c r="B3475" s="7" t="n">
        <v>2807.29</v>
      </c>
      <c r="C3475" s="7" t="n">
        <f aca="false">AVERAGE(B3426:B3475)</f>
        <v>2829.4282</v>
      </c>
      <c r="D3475" s="7" t="n">
        <f aca="false">AVERAGE(B3276:B3475)</f>
        <v>2710.15645</v>
      </c>
      <c r="E3475" s="7" t="n">
        <f aca="false">B3475/MAX(B3224:B3475)-1</f>
        <v>-0.0348875985382138</v>
      </c>
      <c r="F3475" s="7" t="str">
        <f aca="false">IFERROR(INDEX(02_轉折點45個!B:B,MATCH(A3475,02_轉折點45個!A:A,0)),"")</f>
        <v/>
      </c>
      <c r="G3475" s="7" t="s">
        <v>1994</v>
      </c>
    </row>
    <row r="3476" customFormat="false" ht="15" hidden="false" customHeight="false" outlineLevel="0" collapsed="false">
      <c r="A3476" s="7" t="s">
        <v>1010</v>
      </c>
      <c r="B3476" s="7" t="n">
        <v>2745.85</v>
      </c>
      <c r="C3476" s="7" t="n">
        <f aca="false">AVERAGE(B3427:B3476)</f>
        <v>2829.1902</v>
      </c>
      <c r="D3476" s="7" t="n">
        <f aca="false">AVERAGE(B3277:B3476)</f>
        <v>2711.69015</v>
      </c>
      <c r="E3476" s="7" t="n">
        <f aca="false">B3476/MAX(B3225:B3476)-1</f>
        <v>-0.0560099285952482</v>
      </c>
      <c r="F3476" s="7" t="str">
        <f aca="false">IFERROR(INDEX(02_轉折點45個!B:B,MATCH(A3476,02_轉折點45個!A:A,0)),"")</f>
        <v/>
      </c>
      <c r="G3476" s="7" t="s">
        <v>1994</v>
      </c>
    </row>
    <row r="3477" customFormat="false" ht="15" hidden="false" customHeight="false" outlineLevel="0" collapsed="false">
      <c r="A3477" s="7" t="s">
        <v>4813</v>
      </c>
      <c r="B3477" s="7" t="n">
        <v>2756.21</v>
      </c>
      <c r="C3477" s="7" t="n">
        <f aca="false">AVERAGE(B3428:B3477)</f>
        <v>2829.1188</v>
      </c>
      <c r="D3477" s="7" t="n">
        <f aca="false">AVERAGE(B3278:B3477)</f>
        <v>2713.25575</v>
      </c>
      <c r="E3477" s="7" t="n">
        <f aca="false">B3477/MAX(B3226:B3477)-1</f>
        <v>-0.0524482857015164</v>
      </c>
      <c r="F3477" s="7" t="str">
        <f aca="false">IFERROR(INDEX(02_轉折點45個!B:B,MATCH(A3477,02_轉折點45個!A:A,0)),"")</f>
        <v/>
      </c>
      <c r="G3477" s="7" t="s">
        <v>1994</v>
      </c>
    </row>
    <row r="3478" customFormat="false" ht="15" hidden="false" customHeight="false" outlineLevel="0" collapsed="false">
      <c r="A3478" s="7" t="s">
        <v>1011</v>
      </c>
      <c r="B3478" s="7" t="n">
        <v>2732</v>
      </c>
      <c r="C3478" s="7" t="n">
        <f aca="false">AVERAGE(B3429:B3478)</f>
        <v>2828.533</v>
      </c>
      <c r="D3478" s="7" t="n">
        <f aca="false">AVERAGE(B3279:B3478)</f>
        <v>2714.6896</v>
      </c>
      <c r="E3478" s="7" t="n">
        <f aca="false">B3478/MAX(B3227:B3478)-1</f>
        <v>-0.0607713913441077</v>
      </c>
      <c r="F3478" s="7" t="str">
        <f aca="false">IFERROR(INDEX(02_轉折點45個!B:B,MATCH(A3478,02_轉折點45個!A:A,0)),"")</f>
        <v/>
      </c>
      <c r="G3478" s="7" t="s">
        <v>1994</v>
      </c>
    </row>
    <row r="3479" customFormat="false" ht="15" hidden="false" customHeight="false" outlineLevel="0" collapsed="false">
      <c r="A3479" s="7" t="s">
        <v>4814</v>
      </c>
      <c r="B3479" s="7" t="n">
        <v>2724</v>
      </c>
      <c r="C3479" s="7" t="n">
        <f aca="false">AVERAGE(B3430:B3479)</f>
        <v>2827.8884</v>
      </c>
      <c r="D3479" s="7" t="n">
        <f aca="false">AVERAGE(B3280:B3479)</f>
        <v>2715.96495</v>
      </c>
      <c r="E3479" s="7" t="n">
        <f aca="false">B3479/MAX(B3228:B3479)-1</f>
        <v>-0.0635216947369507</v>
      </c>
      <c r="F3479" s="7" t="str">
        <f aca="false">IFERROR(INDEX(02_轉折點45個!B:B,MATCH(A3479,02_轉折點45個!A:A,0)),"")</f>
        <v/>
      </c>
      <c r="G3479" s="7" t="s">
        <v>1994</v>
      </c>
    </row>
    <row r="3480" customFormat="false" ht="15" hidden="false" customHeight="false" outlineLevel="0" collapsed="false">
      <c r="A3480" s="7" t="s">
        <v>4815</v>
      </c>
      <c r="B3480" s="7" t="n">
        <v>2728.04</v>
      </c>
      <c r="C3480" s="7" t="n">
        <f aca="false">AVERAGE(B3431:B3480)</f>
        <v>2827.0698</v>
      </c>
      <c r="D3480" s="7" t="n">
        <f aca="false">AVERAGE(B3281:B3480)</f>
        <v>2717.22275</v>
      </c>
      <c r="E3480" s="7" t="n">
        <f aca="false">B3480/MAX(B3229:B3480)-1</f>
        <v>-0.062132791523565</v>
      </c>
      <c r="F3480" s="7" t="str">
        <f aca="false">IFERROR(INDEX(02_轉折點45個!B:B,MATCH(A3480,02_轉折點45個!A:A,0)),"")</f>
        <v/>
      </c>
      <c r="G3480" s="7" t="s">
        <v>1994</v>
      </c>
    </row>
    <row r="3481" customFormat="false" ht="15" hidden="false" customHeight="false" outlineLevel="0" collapsed="false">
      <c r="A3481" s="7" t="s">
        <v>4816</v>
      </c>
      <c r="B3481" s="7" t="n">
        <v>2729.71</v>
      </c>
      <c r="C3481" s="7" t="n">
        <f aca="false">AVERAGE(B3432:B3481)</f>
        <v>2825.7096</v>
      </c>
      <c r="D3481" s="7" t="n">
        <f aca="false">AVERAGE(B3282:B3481)</f>
        <v>2718.42525</v>
      </c>
      <c r="E3481" s="7" t="n">
        <f aca="false">B3481/MAX(B3230:B3481)-1</f>
        <v>-0.061558665690309</v>
      </c>
      <c r="F3481" s="7" t="str">
        <f aca="false">IFERROR(INDEX(02_轉折點45個!B:B,MATCH(A3481,02_轉折點45個!A:A,0)),"")</f>
        <v/>
      </c>
      <c r="G3481" s="7" t="s">
        <v>1994</v>
      </c>
    </row>
    <row r="3482" customFormat="false" ht="15" hidden="false" customHeight="false" outlineLevel="0" collapsed="false">
      <c r="A3482" s="7" t="s">
        <v>4817</v>
      </c>
      <c r="B3482" s="7" t="n">
        <v>2719.92</v>
      </c>
      <c r="C3482" s="7" t="n">
        <f aca="false">AVERAGE(B3433:B3482)</f>
        <v>2823.8942</v>
      </c>
      <c r="D3482" s="7" t="n">
        <f aca="false">AVERAGE(B3283:B3482)</f>
        <v>2719.6429</v>
      </c>
      <c r="E3482" s="7" t="n">
        <f aca="false">B3482/MAX(B3231:B3482)-1</f>
        <v>-0.0649243494673006</v>
      </c>
      <c r="F3482" s="7" t="str">
        <f aca="false">IFERROR(INDEX(02_轉折點45個!B:B,MATCH(A3482,02_轉折點45個!A:A,0)),"")</f>
        <v/>
      </c>
      <c r="G3482" s="7" t="s">
        <v>1994</v>
      </c>
    </row>
    <row r="3483" customFormat="false" ht="15" hidden="false" customHeight="false" outlineLevel="0" collapsed="false">
      <c r="A3483" s="7" t="s">
        <v>4818</v>
      </c>
      <c r="B3483" s="7" t="n">
        <v>2759.04</v>
      </c>
      <c r="C3483" s="7" t="n">
        <f aca="false">AVERAGE(B3434:B3483)</f>
        <v>2822.8682</v>
      </c>
      <c r="D3483" s="7" t="n">
        <f aca="false">AVERAGE(B3284:B3483)</f>
        <v>2720.9766</v>
      </c>
      <c r="E3483" s="7" t="n">
        <f aca="false">B3483/MAX(B3232:B3483)-1</f>
        <v>-0.0514753658762982</v>
      </c>
      <c r="F3483" s="7" t="str">
        <f aca="false">IFERROR(INDEX(02_轉折點45個!B:B,MATCH(A3483,02_轉折點45個!A:A,0)),"")</f>
        <v/>
      </c>
      <c r="G3483" s="7" t="s">
        <v>1994</v>
      </c>
    </row>
    <row r="3484" customFormat="false" ht="15" hidden="false" customHeight="false" outlineLevel="0" collapsed="false">
      <c r="A3484" s="7" t="s">
        <v>1012</v>
      </c>
      <c r="B3484" s="7" t="n">
        <v>2724.39</v>
      </c>
      <c r="C3484" s="7" t="n">
        <f aca="false">AVERAGE(B3435:B3484)</f>
        <v>2821.3128</v>
      </c>
      <c r="D3484" s="7" t="n">
        <f aca="false">AVERAGE(B3285:B3484)</f>
        <v>2721.9469</v>
      </c>
      <c r="E3484" s="7" t="n">
        <f aca="false">B3484/MAX(B3233:B3484)-1</f>
        <v>-0.0633876174465496</v>
      </c>
      <c r="F3484" s="7" t="str">
        <f aca="false">IFERROR(INDEX(02_轉折點45個!B:B,MATCH(A3484,02_轉折點45個!A:A,0)),"")</f>
        <v/>
      </c>
      <c r="G3484" s="7" t="s">
        <v>1994</v>
      </c>
    </row>
    <row r="3485" customFormat="false" ht="15" hidden="false" customHeight="false" outlineLevel="0" collapsed="false">
      <c r="A3485" s="7" t="s">
        <v>4819</v>
      </c>
      <c r="B3485" s="7" t="n">
        <v>2740.41</v>
      </c>
      <c r="C3485" s="7" t="n">
        <f aca="false">AVERAGE(B3436:B3485)</f>
        <v>2819.9606</v>
      </c>
      <c r="D3485" s="7" t="n">
        <f aca="false">AVERAGE(B3286:B3485)</f>
        <v>2722.91225</v>
      </c>
      <c r="E3485" s="7" t="n">
        <f aca="false">B3485/MAX(B3234:B3485)-1</f>
        <v>-0.0578801349023814</v>
      </c>
      <c r="F3485" s="7" t="str">
        <f aca="false">IFERROR(INDEX(02_轉折點45個!B:B,MATCH(A3485,02_轉折點45個!A:A,0)),"")</f>
        <v/>
      </c>
      <c r="G3485" s="7" t="s">
        <v>1994</v>
      </c>
    </row>
    <row r="3486" customFormat="false" ht="15" hidden="false" customHeight="false" outlineLevel="0" collapsed="false">
      <c r="A3486" s="7" t="s">
        <v>4820</v>
      </c>
      <c r="B3486" s="7" t="n">
        <v>2751.62</v>
      </c>
      <c r="C3486" s="7" t="n">
        <f aca="false">AVERAGE(B3437:B3486)</f>
        <v>2819.203</v>
      </c>
      <c r="D3486" s="7" t="n">
        <f aca="false">AVERAGE(B3287:B3486)</f>
        <v>2723.9411</v>
      </c>
      <c r="E3486" s="7" t="n">
        <f aca="false">B3486/MAX(B3235:B3486)-1</f>
        <v>-0.0540262722731602</v>
      </c>
      <c r="F3486" s="7" t="str">
        <f aca="false">IFERROR(INDEX(02_轉折點45個!B:B,MATCH(A3486,02_轉折點45個!A:A,0)),"")</f>
        <v/>
      </c>
      <c r="G3486" s="7" t="s">
        <v>1994</v>
      </c>
    </row>
    <row r="3487" customFormat="false" ht="15" hidden="false" customHeight="false" outlineLevel="0" collapsed="false">
      <c r="A3487" s="7" t="s">
        <v>1013</v>
      </c>
      <c r="B3487" s="7" t="n">
        <v>2683.43</v>
      </c>
      <c r="C3487" s="7" t="n">
        <f aca="false">AVERAGE(B3438:B3487)</f>
        <v>2816.782</v>
      </c>
      <c r="D3487" s="7" t="n">
        <f aca="false">AVERAGE(B3288:B3487)</f>
        <v>2724.64055</v>
      </c>
      <c r="E3487" s="7" t="n">
        <f aca="false">B3487/MAX(B3236:B3487)-1</f>
        <v>-0.0774691708179059</v>
      </c>
      <c r="F3487" s="7" t="str">
        <f aca="false">IFERROR(INDEX(02_轉折點45個!B:B,MATCH(A3487,02_轉折點45個!A:A,0)),"")</f>
        <v/>
      </c>
      <c r="G3487" s="7" t="s">
        <v>1994</v>
      </c>
    </row>
    <row r="3488" customFormat="false" ht="15" hidden="false" customHeight="false" outlineLevel="0" collapsed="false">
      <c r="A3488" s="7" t="s">
        <v>4821</v>
      </c>
      <c r="B3488" s="7" t="n">
        <v>2645.32</v>
      </c>
      <c r="C3488" s="7" t="n">
        <f aca="false">AVERAGE(B3439:B3488)</f>
        <v>2813.5368</v>
      </c>
      <c r="D3488" s="7" t="n">
        <f aca="false">AVERAGE(B3289:B3488)</f>
        <v>2725.13815</v>
      </c>
      <c r="E3488" s="7" t="n">
        <f aca="false">B3488/MAX(B3237:B3488)-1</f>
        <v>-0.0905709286055617</v>
      </c>
      <c r="F3488" s="7" t="str">
        <f aca="false">IFERROR(INDEX(02_轉折點45個!B:B,MATCH(A3488,02_轉折點45個!A:A,0)),"")</f>
        <v/>
      </c>
      <c r="G3488" s="7" t="s">
        <v>1994</v>
      </c>
    </row>
    <row r="3489" customFormat="false" ht="15" hidden="false" customHeight="false" outlineLevel="0" collapsed="false">
      <c r="A3489" s="7" t="s">
        <v>4822</v>
      </c>
      <c r="B3489" s="7" t="n">
        <v>2653.81</v>
      </c>
      <c r="C3489" s="7" t="n">
        <f aca="false">AVERAGE(B3440:B3489)</f>
        <v>2810.3892</v>
      </c>
      <c r="D3489" s="7" t="n">
        <f aca="false">AVERAGE(B3290:B3489)</f>
        <v>2725.53355</v>
      </c>
      <c r="E3489" s="7" t="n">
        <f aca="false">B3489/MAX(B3238:B3489)-1</f>
        <v>-0.0876521691299071</v>
      </c>
      <c r="F3489" s="7" t="str">
        <f aca="false">IFERROR(INDEX(02_轉折點45個!B:B,MATCH(A3489,02_轉折點45個!A:A,0)),"")</f>
        <v/>
      </c>
      <c r="G3489" s="7" t="s">
        <v>1994</v>
      </c>
    </row>
    <row r="3490" customFormat="false" ht="15" hidden="false" customHeight="false" outlineLevel="0" collapsed="false">
      <c r="A3490" s="7" t="s">
        <v>4823</v>
      </c>
      <c r="B3490" s="7" t="n">
        <v>2653.24</v>
      </c>
      <c r="C3490" s="7" t="n">
        <f aca="false">AVERAGE(B3441:B3490)</f>
        <v>2807.1562</v>
      </c>
      <c r="D3490" s="7" t="n">
        <f aca="false">AVERAGE(B3291:B3490)</f>
        <v>2725.9856</v>
      </c>
      <c r="E3490" s="7" t="n">
        <f aca="false">B3490/MAX(B3239:B3490)-1</f>
        <v>-0.0878481282466472</v>
      </c>
      <c r="F3490" s="7" t="str">
        <f aca="false">IFERROR(INDEX(02_轉折點45個!B:B,MATCH(A3490,02_轉折點45個!A:A,0)),"")</f>
        <v/>
      </c>
      <c r="G3490" s="7" t="s">
        <v>1994</v>
      </c>
    </row>
    <row r="3491" customFormat="false" ht="15" hidden="false" customHeight="false" outlineLevel="0" collapsed="false">
      <c r="A3491" s="7" t="s">
        <v>4824</v>
      </c>
      <c r="B3491" s="7" t="n">
        <v>2634.64</v>
      </c>
      <c r="C3491" s="7" t="n">
        <f aca="false">AVERAGE(B3442:B3491)</f>
        <v>2804.1446</v>
      </c>
      <c r="D3491" s="7" t="n">
        <f aca="false">AVERAGE(B3292:B3491)</f>
        <v>2726.2932</v>
      </c>
      <c r="E3491" s="7" t="n">
        <f aca="false">B3491/MAX(B3240:B3491)-1</f>
        <v>-0.0942425836350073</v>
      </c>
      <c r="F3491" s="7" t="str">
        <f aca="false">IFERROR(INDEX(02_轉折點45個!B:B,MATCH(A3491,02_轉折點45個!A:A,0)),"")</f>
        <v/>
      </c>
      <c r="G3491" s="7" t="s">
        <v>1994</v>
      </c>
    </row>
    <row r="3492" customFormat="false" ht="15" hidden="false" customHeight="false" outlineLevel="0" collapsed="false">
      <c r="A3492" s="7" t="s">
        <v>4825</v>
      </c>
      <c r="B3492" s="7" t="n">
        <v>2600.77</v>
      </c>
      <c r="C3492" s="7" t="n">
        <f aca="false">AVERAGE(B3443:B3492)</f>
        <v>2800.1222</v>
      </c>
      <c r="D3492" s="7" t="n">
        <f aca="false">AVERAGE(B3293:B3492)</f>
        <v>2726.4525</v>
      </c>
      <c r="E3492" s="7" t="n">
        <f aca="false">B3492/MAX(B3241:B3492)-1</f>
        <v>-0.105886680624456</v>
      </c>
      <c r="F3492" s="7" t="str">
        <f aca="false">IFERROR(INDEX(02_轉折點45個!B:B,MATCH(A3492,02_轉折點45個!A:A,0)),"")</f>
        <v/>
      </c>
      <c r="G3492" s="7" t="s">
        <v>1994</v>
      </c>
    </row>
    <row r="3493" customFormat="false" ht="15" hidden="false" customHeight="false" outlineLevel="0" collapsed="false">
      <c r="A3493" s="7" t="s">
        <v>4826</v>
      </c>
      <c r="B3493" s="7" t="n">
        <v>2591.75</v>
      </c>
      <c r="C3493" s="7" t="n">
        <f aca="false">AVERAGE(B3444:B3493)</f>
        <v>2795.7714</v>
      </c>
      <c r="D3493" s="7" t="n">
        <f aca="false">AVERAGE(B3294:B3493)</f>
        <v>2726.558</v>
      </c>
      <c r="E3493" s="7" t="n">
        <f aca="false">B3493/MAX(B3242:B3493)-1</f>
        <v>-0.108987647699887</v>
      </c>
      <c r="F3493" s="7" t="str">
        <f aca="false">IFERROR(INDEX(02_轉折點45個!B:B,MATCH(A3493,02_轉折點45個!A:A,0)),"")</f>
        <v/>
      </c>
      <c r="G3493" s="7" t="s">
        <v>1994</v>
      </c>
    </row>
    <row r="3494" customFormat="false" ht="15" hidden="false" customHeight="false" outlineLevel="0" collapsed="false">
      <c r="A3494" s="7" t="s">
        <v>4827</v>
      </c>
      <c r="B3494" s="7" t="n">
        <v>2606.54</v>
      </c>
      <c r="C3494" s="7" t="n">
        <f aca="false">AVERAGE(B3445:B3494)</f>
        <v>2791.8222</v>
      </c>
      <c r="D3494" s="7" t="n">
        <f aca="false">AVERAGE(B3295:B3494)</f>
        <v>2726.5802</v>
      </c>
      <c r="E3494" s="7" t="n">
        <f aca="false">B3494/MAX(B3243:B3494)-1</f>
        <v>-0.103903024302368</v>
      </c>
      <c r="F3494" s="7" t="str">
        <f aca="false">IFERROR(INDEX(02_轉折點45個!B:B,MATCH(A3494,02_轉折點45個!A:A,0)),"")</f>
        <v/>
      </c>
      <c r="G3494" s="7" t="s">
        <v>1994</v>
      </c>
    </row>
    <row r="3495" customFormat="false" ht="15" hidden="false" customHeight="false" outlineLevel="0" collapsed="false">
      <c r="A3495" s="7" t="s">
        <v>4828</v>
      </c>
      <c r="B3495" s="7" t="n">
        <v>2664.04</v>
      </c>
      <c r="C3495" s="7" t="n">
        <f aca="false">AVERAGE(B3446:B3495)</f>
        <v>2787.8072</v>
      </c>
      <c r="D3495" s="7" t="n">
        <f aca="false">AVERAGE(B3296:B3495)</f>
        <v>2726.83775</v>
      </c>
      <c r="E3495" s="7" t="n">
        <f aca="false">B3495/MAX(B3244:B3495)-1</f>
        <v>-0.0841352186663091</v>
      </c>
      <c r="F3495" s="7" t="str">
        <f aca="false">IFERROR(INDEX(02_轉折點45個!B:B,MATCH(A3495,02_轉折點45個!A:A,0)),"")</f>
        <v/>
      </c>
      <c r="G3495" s="7" t="s">
        <v>1994</v>
      </c>
    </row>
    <row r="3496" customFormat="false" ht="15" hidden="false" customHeight="false" outlineLevel="0" collapsed="false">
      <c r="A3496" s="7" t="s">
        <v>4829</v>
      </c>
      <c r="B3496" s="7" t="n">
        <v>2664.6</v>
      </c>
      <c r="C3496" s="7" t="n">
        <f aca="false">AVERAGE(B3447:B3496)</f>
        <v>2783.7922</v>
      </c>
      <c r="D3496" s="7" t="n">
        <f aca="false">AVERAGE(B3297:B3496)</f>
        <v>2726.8881</v>
      </c>
      <c r="E3496" s="7" t="n">
        <f aca="false">B3496/MAX(B3245:B3496)-1</f>
        <v>-0.0839426974288101</v>
      </c>
      <c r="F3496" s="7" t="str">
        <f aca="false">IFERROR(INDEX(02_轉折點45個!B:B,MATCH(A3496,02_轉折點45個!A:A,0)),"")</f>
        <v/>
      </c>
      <c r="G3496" s="7" t="s">
        <v>1994</v>
      </c>
    </row>
    <row r="3497" customFormat="false" ht="15" hidden="false" customHeight="false" outlineLevel="0" collapsed="false">
      <c r="A3497" s="7" t="s">
        <v>4830</v>
      </c>
      <c r="B3497" s="7" t="n">
        <v>2673.62</v>
      </c>
      <c r="C3497" s="7" t="n">
        <f aca="false">AVERAGE(B3448:B3497)</f>
        <v>2780.5496</v>
      </c>
      <c r="D3497" s="7" t="n">
        <f aca="false">AVERAGE(B3298:B3497)</f>
        <v>2727.0003</v>
      </c>
      <c r="E3497" s="7" t="n">
        <f aca="false">B3497/MAX(B3246:B3497)-1</f>
        <v>-0.0808417303533796</v>
      </c>
      <c r="F3497" s="7" t="str">
        <f aca="false">IFERROR(INDEX(02_轉折點45個!B:B,MATCH(A3497,02_轉折點45個!A:A,0)),"")</f>
        <v/>
      </c>
      <c r="G3497" s="7" t="s">
        <v>1994</v>
      </c>
    </row>
    <row r="3498" customFormat="false" ht="15" hidden="false" customHeight="false" outlineLevel="0" collapsed="false">
      <c r="A3498" s="7" t="s">
        <v>1014</v>
      </c>
      <c r="B3498" s="7" t="n">
        <v>2710.43</v>
      </c>
      <c r="C3498" s="7" t="n">
        <f aca="false">AVERAGE(B3449:B3498)</f>
        <v>2778.034</v>
      </c>
      <c r="D3498" s="7" t="n">
        <f aca="false">AVERAGE(B3299:B3498)</f>
        <v>2727.287</v>
      </c>
      <c r="E3498" s="7" t="n">
        <f aca="false">B3498/MAX(B3247:B3498)-1</f>
        <v>-0.0681868968670607</v>
      </c>
      <c r="F3498" s="7" t="str">
        <f aca="false">IFERROR(INDEX(02_轉折點45個!B:B,MATCH(A3498,02_轉折點45個!A:A,0)),"")</f>
        <v/>
      </c>
      <c r="G3498" s="7" t="s">
        <v>1994</v>
      </c>
    </row>
    <row r="3499" customFormat="false" ht="15" hidden="false" customHeight="false" outlineLevel="0" collapsed="false">
      <c r="A3499" s="7" t="s">
        <v>4831</v>
      </c>
      <c r="B3499" s="7" t="n">
        <v>2719.5</v>
      </c>
      <c r="C3499" s="7" t="n">
        <f aca="false">AVERAGE(B3450:B3499)</f>
        <v>2775.521</v>
      </c>
      <c r="D3499" s="7" t="n">
        <f aca="false">AVERAGE(B3300:B3499)</f>
        <v>2727.56525</v>
      </c>
      <c r="E3499" s="7" t="n">
        <f aca="false">B3499/MAX(B3248:B3499)-1</f>
        <v>-0.0650687403954249</v>
      </c>
      <c r="F3499" s="7" t="str">
        <f aca="false">IFERROR(INDEX(02_轉折點45個!B:B,MATCH(A3499,02_轉折點45個!A:A,0)),"")</f>
        <v/>
      </c>
      <c r="G3499" s="7" t="s">
        <v>1994</v>
      </c>
    </row>
    <row r="3500" customFormat="false" ht="15" hidden="false" customHeight="false" outlineLevel="0" collapsed="false">
      <c r="A3500" s="7" t="s">
        <v>4832</v>
      </c>
      <c r="B3500" s="7" t="n">
        <v>2711.29</v>
      </c>
      <c r="C3500" s="7" t="n">
        <f aca="false">AVERAGE(B3451:B3500)</f>
        <v>2772.0852</v>
      </c>
      <c r="D3500" s="7" t="n">
        <f aca="false">AVERAGE(B3301:B3500)</f>
        <v>2727.7505</v>
      </c>
      <c r="E3500" s="7" t="n">
        <f aca="false">B3500/MAX(B3249:B3500)-1</f>
        <v>-0.06789123925233</v>
      </c>
      <c r="F3500" s="7" t="str">
        <f aca="false">IFERROR(INDEX(02_轉折點45個!B:B,MATCH(A3500,02_轉折點45個!A:A,0)),"")</f>
        <v/>
      </c>
      <c r="G3500" s="7" t="s">
        <v>1994</v>
      </c>
    </row>
    <row r="3501" customFormat="false" ht="15" hidden="false" customHeight="false" outlineLevel="0" collapsed="false">
      <c r="A3501" s="7" t="s">
        <v>1015</v>
      </c>
      <c r="B3501" s="7" t="n">
        <v>2733.21</v>
      </c>
      <c r="C3501" s="7" t="n">
        <f aca="false">AVERAGE(B3452:B3501)</f>
        <v>2768.574</v>
      </c>
      <c r="D3501" s="7" t="n">
        <f aca="false">AVERAGE(B3302:B3501)</f>
        <v>2728.152</v>
      </c>
      <c r="E3501" s="7" t="n">
        <f aca="false">B3501/MAX(B3250:B3501)-1</f>
        <v>-0.0603554079559401</v>
      </c>
      <c r="F3501" s="7" t="str">
        <f aca="false">IFERROR(INDEX(02_轉折點45個!B:B,MATCH(A3501,02_轉折點45個!A:A,0)),"")</f>
        <v/>
      </c>
      <c r="G3501" s="7" t="s">
        <v>1994</v>
      </c>
    </row>
    <row r="3502" customFormat="false" ht="15" hidden="false" customHeight="false" outlineLevel="0" collapsed="false">
      <c r="A3502" s="7" t="s">
        <v>4833</v>
      </c>
      <c r="B3502" s="7" t="n">
        <v>2751.71</v>
      </c>
      <c r="C3502" s="7" t="n">
        <f aca="false">AVERAGE(B3453:B3502)</f>
        <v>2765.5292</v>
      </c>
      <c r="D3502" s="7" t="n">
        <f aca="false">AVERAGE(B3303:B3502)</f>
        <v>2728.52035</v>
      </c>
      <c r="E3502" s="7" t="n">
        <f aca="false">B3502/MAX(B3251:B3502)-1</f>
        <v>-0.0539953313599907</v>
      </c>
      <c r="F3502" s="7" t="str">
        <f aca="false">IFERROR(INDEX(02_轉折點45個!B:B,MATCH(A3502,02_轉折點45個!A:A,0)),"")</f>
        <v/>
      </c>
      <c r="G3502" s="7" t="s">
        <v>1994</v>
      </c>
    </row>
    <row r="3503" customFormat="false" ht="15" hidden="false" customHeight="false" outlineLevel="0" collapsed="false">
      <c r="A3503" s="7" t="s">
        <v>4834</v>
      </c>
      <c r="B3503" s="7" t="n">
        <v>2750.07</v>
      </c>
      <c r="C3503" s="7" t="n">
        <f aca="false">AVERAGE(B3454:B3503)</f>
        <v>2762.4676</v>
      </c>
      <c r="D3503" s="7" t="n">
        <f aca="false">AVERAGE(B3304:B3503)</f>
        <v>2728.8785</v>
      </c>
      <c r="E3503" s="7" t="n">
        <f aca="false">B3503/MAX(B3252:B3503)-1</f>
        <v>-0.0545591435555234</v>
      </c>
      <c r="F3503" s="7" t="str">
        <f aca="false">IFERROR(INDEX(02_轉折點45個!B:B,MATCH(A3503,02_轉折點45個!A:A,0)),"")</f>
        <v/>
      </c>
      <c r="G3503" s="7" t="s">
        <v>1994</v>
      </c>
    </row>
    <row r="3504" customFormat="false" ht="15" hidden="false" customHeight="false" outlineLevel="0" collapsed="false">
      <c r="A3504" s="7" t="s">
        <v>4835</v>
      </c>
      <c r="B3504" s="7" t="n">
        <v>2742.73</v>
      </c>
      <c r="C3504" s="7" t="n">
        <f aca="false">AVERAGE(B3455:B3504)</f>
        <v>2759.1712</v>
      </c>
      <c r="D3504" s="7" t="n">
        <f aca="false">AVERAGE(B3305:B3504)</f>
        <v>2729.27305</v>
      </c>
      <c r="E3504" s="7" t="n">
        <f aca="false">B3504/MAX(B3253:B3504)-1</f>
        <v>-0.0570825469184569</v>
      </c>
      <c r="F3504" s="7" t="str">
        <f aca="false">IFERROR(INDEX(02_轉折點45個!B:B,MATCH(A3504,02_轉折點45個!A:A,0)),"")</f>
        <v/>
      </c>
      <c r="G3504" s="7" t="s">
        <v>1994</v>
      </c>
    </row>
    <row r="3505" customFormat="false" ht="15" hidden="false" customHeight="false" outlineLevel="0" collapsed="false">
      <c r="A3505" s="7" t="s">
        <v>4836</v>
      </c>
      <c r="B3505" s="7" t="n">
        <v>2737.69</v>
      </c>
      <c r="C3505" s="7" t="n">
        <f aca="false">AVERAGE(B3456:B3505)</f>
        <v>2755.8956</v>
      </c>
      <c r="D3505" s="7" t="n">
        <f aca="false">AVERAGE(B3306:B3505)</f>
        <v>2729.4413</v>
      </c>
      <c r="E3505" s="7" t="n">
        <f aca="false">B3505/MAX(B3254:B3505)-1</f>
        <v>-0.058815238055948</v>
      </c>
      <c r="F3505" s="7" t="str">
        <f aca="false">IFERROR(INDEX(02_轉折點45個!B:B,MATCH(A3505,02_轉折點45個!A:A,0)),"")</f>
        <v/>
      </c>
      <c r="G3505" s="7" t="s">
        <v>1994</v>
      </c>
    </row>
    <row r="3506" customFormat="false" ht="15" hidden="false" customHeight="false" outlineLevel="0" collapsed="false">
      <c r="A3506" s="7" t="s">
        <v>1016</v>
      </c>
      <c r="B3506" s="7" t="n">
        <v>2716.69</v>
      </c>
      <c r="C3506" s="7" t="n">
        <f aca="false">AVERAGE(B3457:B3506)</f>
        <v>2752.127</v>
      </c>
      <c r="D3506" s="7" t="n">
        <f aca="false">AVERAGE(B3307:B3506)</f>
        <v>2729.5414</v>
      </c>
      <c r="E3506" s="7" t="n">
        <f aca="false">B3506/MAX(B3255:B3506)-1</f>
        <v>-0.0660347844621609</v>
      </c>
      <c r="F3506" s="7" t="str">
        <f aca="false">IFERROR(INDEX(02_轉折點45個!B:B,MATCH(A3506,02_轉折點45個!A:A,0)),"")</f>
        <v/>
      </c>
      <c r="G3506" s="7" t="s">
        <v>1994</v>
      </c>
    </row>
    <row r="3507" customFormat="false" ht="15" hidden="false" customHeight="false" outlineLevel="0" collapsed="false">
      <c r="A3507" s="7" t="s">
        <v>1017</v>
      </c>
      <c r="B3507" s="7" t="n">
        <v>2730.92</v>
      </c>
      <c r="C3507" s="7" t="n">
        <f aca="false">AVERAGE(B3458:B3507)</f>
        <v>2748.9934</v>
      </c>
      <c r="D3507" s="7" t="n">
        <f aca="false">AVERAGE(B3308:B3507)</f>
        <v>2729.72735</v>
      </c>
      <c r="E3507" s="7" t="n">
        <f aca="false">B3507/MAX(B3256:B3507)-1</f>
        <v>-0.0611426823021414</v>
      </c>
      <c r="F3507" s="7" t="str">
        <f aca="false">IFERROR(INDEX(02_轉折點45個!B:B,MATCH(A3507,02_轉折點45個!A:A,0)),"")</f>
        <v/>
      </c>
      <c r="G3507" s="7" t="s">
        <v>1994</v>
      </c>
    </row>
    <row r="3508" customFormat="false" ht="15" hidden="false" customHeight="false" outlineLevel="0" collapsed="false">
      <c r="A3508" s="7" t="s">
        <v>1018</v>
      </c>
      <c r="B3508" s="7" t="n">
        <v>2720.66</v>
      </c>
      <c r="C3508" s="7" t="n">
        <f aca="false">AVERAGE(B3459:B3508)</f>
        <v>2746.4412</v>
      </c>
      <c r="D3508" s="7" t="n">
        <f aca="false">AVERAGE(B3309:B3508)</f>
        <v>2729.93235</v>
      </c>
      <c r="E3508" s="7" t="n">
        <f aca="false">B3508/MAX(B3257:B3508)-1</f>
        <v>-0.0646699464034627</v>
      </c>
      <c r="F3508" s="7" t="str">
        <f aca="false">IFERROR(INDEX(02_轉折點45個!B:B,MATCH(A3508,02_轉折點45個!A:A,0)),"")</f>
        <v/>
      </c>
      <c r="G3508" s="7" t="s">
        <v>1994</v>
      </c>
    </row>
    <row r="3509" customFormat="false" ht="15" hidden="false" customHeight="false" outlineLevel="0" collapsed="false">
      <c r="A3509" s="7" t="s">
        <v>4837</v>
      </c>
      <c r="B3509" s="7" t="n">
        <v>2728.8</v>
      </c>
      <c r="C3509" s="7" t="n">
        <f aca="false">AVERAGE(B3460:B3509)</f>
        <v>2744.4908</v>
      </c>
      <c r="D3509" s="7" t="n">
        <f aca="false">AVERAGE(B3310:B3509)</f>
        <v>2730.06925</v>
      </c>
      <c r="E3509" s="7" t="n">
        <f aca="false">B3509/MAX(B3258:B3509)-1</f>
        <v>-0.0618715127012448</v>
      </c>
      <c r="F3509" s="7" t="str">
        <f aca="false">IFERROR(INDEX(02_轉折點45個!B:B,MATCH(A3509,02_轉折點45個!A:A,0)),"")</f>
        <v/>
      </c>
      <c r="G3509" s="7" t="s">
        <v>1994</v>
      </c>
    </row>
    <row r="3510" customFormat="false" ht="15" hidden="false" customHeight="false" outlineLevel="0" collapsed="false">
      <c r="A3510" s="7" t="s">
        <v>1019</v>
      </c>
      <c r="B3510" s="7" t="n">
        <v>2761.09</v>
      </c>
      <c r="C3510" s="7" t="n">
        <f aca="false">AVERAGE(B3461:B3510)</f>
        <v>2742.4024</v>
      </c>
      <c r="D3510" s="7" t="n">
        <f aca="false">AVERAGE(B3311:B3510)</f>
        <v>2730.3367</v>
      </c>
      <c r="E3510" s="7" t="n">
        <f aca="false">B3510/MAX(B3259:B3510)-1</f>
        <v>-0.0507706006318821</v>
      </c>
      <c r="F3510" s="7" t="str">
        <f aca="false">IFERROR(INDEX(02_轉折點45個!B:B,MATCH(A3510,02_轉折點45個!A:A,0)),"")</f>
        <v/>
      </c>
      <c r="G3510" s="7" t="s">
        <v>1994</v>
      </c>
    </row>
    <row r="3511" customFormat="false" ht="15" hidden="false" customHeight="false" outlineLevel="0" collapsed="false">
      <c r="A3511" s="7" t="s">
        <v>4838</v>
      </c>
      <c r="B3511" s="7" t="n">
        <v>2753.33</v>
      </c>
      <c r="C3511" s="7" t="n">
        <f aca="false">AVERAGE(B3462:B3511)</f>
        <v>2740.531</v>
      </c>
      <c r="D3511" s="7" t="n">
        <f aca="false">AVERAGE(B3312:B3511)</f>
        <v>2730.55435</v>
      </c>
      <c r="E3511" s="7" t="n">
        <f aca="false">B3511/MAX(B3260:B3511)-1</f>
        <v>-0.05343839492294</v>
      </c>
      <c r="F3511" s="7" t="str">
        <f aca="false">IFERROR(INDEX(02_轉折點45個!B:B,MATCH(A3511,02_轉折點45個!A:A,0)),"")</f>
        <v/>
      </c>
      <c r="G3511" s="7" t="s">
        <v>1994</v>
      </c>
    </row>
    <row r="3512" customFormat="false" ht="15" hidden="false" customHeight="false" outlineLevel="0" collapsed="false">
      <c r="A3512" s="7" t="s">
        <v>1020</v>
      </c>
      <c r="B3512" s="7" t="n">
        <v>2733.56</v>
      </c>
      <c r="C3512" s="7" t="n">
        <f aca="false">AVERAGE(B3463:B3512)</f>
        <v>2738.3134</v>
      </c>
      <c r="D3512" s="7" t="n">
        <f aca="false">AVERAGE(B3313:B3512)</f>
        <v>2730.57905</v>
      </c>
      <c r="E3512" s="7" t="n">
        <f aca="false">B3512/MAX(B3261:B3512)-1</f>
        <v>-0.0602350821825033</v>
      </c>
      <c r="F3512" s="7" t="str">
        <f aca="false">IFERROR(INDEX(02_轉折點45個!B:B,MATCH(A3512,02_轉折點45個!A:A,0)),"")</f>
        <v/>
      </c>
      <c r="G3512" s="7" t="s">
        <v>1994</v>
      </c>
    </row>
    <row r="3513" customFormat="false" ht="15" hidden="false" customHeight="false" outlineLevel="0" collapsed="false">
      <c r="A3513" s="7" t="s">
        <v>1021</v>
      </c>
      <c r="B3513" s="7" t="n">
        <v>2714.53</v>
      </c>
      <c r="C3513" s="7" t="n">
        <f aca="false">AVERAGE(B3464:B3513)</f>
        <v>2735.5964</v>
      </c>
      <c r="D3513" s="7" t="n">
        <f aca="false">AVERAGE(B3314:B3513)</f>
        <v>2730.59935</v>
      </c>
      <c r="E3513" s="7" t="n">
        <f aca="false">B3513/MAX(B3262:B3513)-1</f>
        <v>-0.0667773663782285</v>
      </c>
      <c r="F3513" s="7" t="str">
        <f aca="false">IFERROR(INDEX(02_轉折點45個!B:B,MATCH(A3513,02_轉折點45個!A:A,0)),"")</f>
        <v/>
      </c>
      <c r="G3513" s="7" t="s">
        <v>1994</v>
      </c>
    </row>
    <row r="3514" customFormat="false" ht="15" hidden="false" customHeight="false" outlineLevel="0" collapsed="false">
      <c r="A3514" s="7" t="s">
        <v>1022</v>
      </c>
      <c r="B3514" s="7" t="n">
        <v>2750.4</v>
      </c>
      <c r="C3514" s="7" t="n">
        <f aca="false">AVERAGE(B3465:B3514)</f>
        <v>2733.3192</v>
      </c>
      <c r="D3514" s="7" t="n">
        <f aca="false">AVERAGE(B3315:B3514)</f>
        <v>2730.69815</v>
      </c>
      <c r="E3514" s="7" t="n">
        <f aca="false">B3514/MAX(B3263:B3514)-1</f>
        <v>-0.0544456935405686</v>
      </c>
      <c r="F3514" s="7" t="str">
        <f aca="false">IFERROR(INDEX(02_轉折點45個!B:B,MATCH(A3514,02_轉折點45個!A:A,0)),"")</f>
        <v/>
      </c>
      <c r="G3514" s="7" t="s">
        <v>1994</v>
      </c>
    </row>
    <row r="3515" customFormat="false" ht="15" hidden="false" customHeight="false" outlineLevel="0" collapsed="false">
      <c r="A3515" s="7" t="s">
        <v>4839</v>
      </c>
      <c r="B3515" s="7" t="n">
        <v>2790.53</v>
      </c>
      <c r="C3515" s="7" t="n">
        <f aca="false">AVERAGE(B3466:B3515)</f>
        <v>2731.5846</v>
      </c>
      <c r="D3515" s="7" t="n">
        <f aca="false">AVERAGE(B3316:B3515)</f>
        <v>2731.05595</v>
      </c>
      <c r="E3515" s="7" t="n">
        <f aca="false">B3515/MAX(B3264:B3515)-1</f>
        <v>-0.0406494841462198</v>
      </c>
      <c r="F3515" s="7" t="str">
        <f aca="false">IFERROR(INDEX(02_轉折點45個!B:B,MATCH(A3515,02_轉折點45個!A:A,0)),"")</f>
        <v/>
      </c>
      <c r="G3515" s="7" t="s">
        <v>1994</v>
      </c>
    </row>
    <row r="3516" customFormat="false" ht="15" hidden="false" customHeight="false" outlineLevel="0" collapsed="false">
      <c r="A3516" s="7" t="s">
        <v>4840</v>
      </c>
      <c r="B3516" s="7" t="n">
        <v>2781.24</v>
      </c>
      <c r="C3516" s="7" t="n">
        <f aca="false">AVERAGE(B3467:B3516)</f>
        <v>2729.9066</v>
      </c>
      <c r="D3516" s="7" t="n">
        <f aca="false">AVERAGE(B3317:B3516)</f>
        <v>2731.48475</v>
      </c>
      <c r="E3516" s="7" t="n">
        <f aca="false">B3516/MAX(B3265:B3516)-1</f>
        <v>-0.0438432739611589</v>
      </c>
      <c r="F3516" s="7" t="str">
        <f aca="false">IFERROR(INDEX(02_轉折點45個!B:B,MATCH(A3516,02_轉折點45個!A:A,0)),"")</f>
        <v/>
      </c>
      <c r="G3516" s="7" t="s">
        <v>1994</v>
      </c>
    </row>
    <row r="3517" customFormat="false" ht="15" hidden="false" customHeight="false" outlineLevel="0" collapsed="false">
      <c r="A3517" s="7" t="s">
        <v>4841</v>
      </c>
      <c r="B3517" s="7" t="n">
        <v>2786.75</v>
      </c>
      <c r="C3517" s="7" t="n">
        <f aca="false">AVERAGE(B3468:B3517)</f>
        <v>2728.7744</v>
      </c>
      <c r="D3517" s="7" t="n">
        <f aca="false">AVERAGE(B3318:B3517)</f>
        <v>2732.12455</v>
      </c>
      <c r="E3517" s="7" t="n">
        <f aca="false">B3517/MAX(B3266:B3517)-1</f>
        <v>-0.0419490024993382</v>
      </c>
      <c r="F3517" s="7" t="str">
        <f aca="false">IFERROR(INDEX(02_轉折點45個!B:B,MATCH(A3517,02_轉折點45個!A:A,0)),"")</f>
        <v/>
      </c>
      <c r="G3517" s="7" t="s">
        <v>1994</v>
      </c>
    </row>
    <row r="3518" customFormat="false" ht="15" hidden="false" customHeight="false" outlineLevel="0" collapsed="false">
      <c r="A3518" s="7" t="s">
        <v>4842</v>
      </c>
      <c r="B3518" s="7" t="n">
        <v>2759.91</v>
      </c>
      <c r="C3518" s="7" t="n">
        <f aca="false">AVERAGE(B3469:B3518)</f>
        <v>2727.9702</v>
      </c>
      <c r="D3518" s="7" t="n">
        <f aca="false">AVERAGE(B3319:B3518)</f>
        <v>2732.51425</v>
      </c>
      <c r="E3518" s="7" t="n">
        <f aca="false">B3518/MAX(B3267:B3518)-1</f>
        <v>-0.0511762703823266</v>
      </c>
      <c r="F3518" s="7" t="str">
        <f aca="false">IFERROR(INDEX(02_轉折點45個!B:B,MATCH(A3518,02_轉折點45個!A:A,0)),"")</f>
        <v/>
      </c>
      <c r="G3518" s="7" t="s">
        <v>1994</v>
      </c>
    </row>
    <row r="3519" customFormat="false" ht="15" hidden="false" customHeight="false" outlineLevel="0" collapsed="false">
      <c r="A3519" s="7" t="s">
        <v>4843</v>
      </c>
      <c r="B3519" s="7" t="n">
        <v>2752.23</v>
      </c>
      <c r="C3519" s="7" t="n">
        <f aca="false">AVERAGE(B3470:B3519)</f>
        <v>2727.2544</v>
      </c>
      <c r="D3519" s="7" t="n">
        <f aca="false">AVERAGE(B3320:B3519)</f>
        <v>2732.70695</v>
      </c>
      <c r="E3519" s="7" t="n">
        <f aca="false">B3519/MAX(B3268:B3519)-1</f>
        <v>-0.0538165616394558</v>
      </c>
      <c r="F3519" s="7" t="str">
        <f aca="false">IFERROR(INDEX(02_轉折點45個!B:B,MATCH(A3519,02_轉折點45個!A:A,0)),"")</f>
        <v/>
      </c>
      <c r="G3519" s="7" t="s">
        <v>1994</v>
      </c>
    </row>
    <row r="3520" customFormat="false" ht="15" hidden="false" customHeight="false" outlineLevel="0" collapsed="false">
      <c r="A3520" s="7" t="s">
        <v>1023</v>
      </c>
      <c r="B3520" s="7" t="n">
        <v>2731.73</v>
      </c>
      <c r="C3520" s="7" t="n">
        <f aca="false">AVERAGE(B3471:B3520)</f>
        <v>2726.1718</v>
      </c>
      <c r="D3520" s="7" t="n">
        <f aca="false">AVERAGE(B3321:B3520)</f>
        <v>2732.71525</v>
      </c>
      <c r="E3520" s="7" t="n">
        <f aca="false">B3520/MAX(B3269:B3520)-1</f>
        <v>-0.0608642140836161</v>
      </c>
      <c r="F3520" s="7" t="str">
        <f aca="false">IFERROR(INDEX(02_轉折點45個!B:B,MATCH(A3520,02_轉折點45個!A:A,0)),"")</f>
        <v/>
      </c>
      <c r="G3520" s="7" t="s">
        <v>1994</v>
      </c>
    </row>
    <row r="3521" customFormat="false" ht="15" hidden="false" customHeight="false" outlineLevel="0" collapsed="false">
      <c r="A3521" s="7" t="s">
        <v>4844</v>
      </c>
      <c r="B3521" s="7" t="n">
        <v>2727.85</v>
      </c>
      <c r="C3521" s="7" t="n">
        <f aca="false">AVERAGE(B3472:B3521)</f>
        <v>2725.1084</v>
      </c>
      <c r="D3521" s="7" t="n">
        <f aca="false">AVERAGE(B3322:B3521)</f>
        <v>2732.72555</v>
      </c>
      <c r="E3521" s="7" t="n">
        <f aca="false">B3521/MAX(B3270:B3521)-1</f>
        <v>-0.062198111229145</v>
      </c>
      <c r="F3521" s="7" t="str">
        <f aca="false">IFERROR(INDEX(02_轉折點45個!B:B,MATCH(A3521,02_轉折點45個!A:A,0)),"")</f>
        <v/>
      </c>
      <c r="G3521" s="7" t="s">
        <v>1994</v>
      </c>
    </row>
    <row r="3522" customFormat="false" ht="15" hidden="false" customHeight="false" outlineLevel="0" collapsed="false">
      <c r="A3522" s="7" t="s">
        <v>4845</v>
      </c>
      <c r="B3522" s="7" t="n">
        <v>2704.46</v>
      </c>
      <c r="C3522" s="7" t="n">
        <f aca="false">AVERAGE(B3473:B3522)</f>
        <v>2723.2106</v>
      </c>
      <c r="D3522" s="7" t="n">
        <f aca="false">AVERAGE(B3323:B3522)</f>
        <v>2732.3621</v>
      </c>
      <c r="E3522" s="7" t="n">
        <f aca="false">B3522/MAX(B3271:B3522)-1</f>
        <v>-0.0702393107739697</v>
      </c>
      <c r="F3522" s="7" t="str">
        <f aca="false">IFERROR(INDEX(02_轉折點45個!B:B,MATCH(A3522,02_轉折點45個!A:A,0)),"")</f>
        <v/>
      </c>
      <c r="G3522" s="7" t="s">
        <v>1994</v>
      </c>
    </row>
    <row r="3523" customFormat="false" ht="15" hidden="false" customHeight="false" outlineLevel="0" collapsed="false">
      <c r="A3523" s="7" t="s">
        <v>1024</v>
      </c>
      <c r="B3523" s="7" t="n">
        <v>2758.54</v>
      </c>
      <c r="C3523" s="7" t="n">
        <f aca="false">AVERAGE(B3474:B3523)</f>
        <v>2721.7186</v>
      </c>
      <c r="D3523" s="7" t="n">
        <f aca="false">AVERAGE(B3324:B3523)</f>
        <v>2732.26515</v>
      </c>
      <c r="E3523" s="7" t="n">
        <f aca="false">B3523/MAX(B3272:B3523)-1</f>
        <v>-0.0516472598383509</v>
      </c>
      <c r="F3523" s="7" t="str">
        <f aca="false">IFERROR(INDEX(02_轉折點45個!B:B,MATCH(A3523,02_轉折點45個!A:A,0)),"")</f>
        <v/>
      </c>
      <c r="G3523" s="7" t="s">
        <v>1994</v>
      </c>
    </row>
    <row r="3524" customFormat="false" ht="15" hidden="false" customHeight="false" outlineLevel="0" collapsed="false">
      <c r="A3524" s="7" t="s">
        <v>1025</v>
      </c>
      <c r="B3524" s="7" t="n">
        <v>2843.28</v>
      </c>
      <c r="C3524" s="7" t="n">
        <f aca="false">AVERAGE(B3475:B3524)</f>
        <v>2721.8674</v>
      </c>
      <c r="D3524" s="7" t="n">
        <f aca="false">AVERAGE(B3325:B3524)</f>
        <v>2732.52045</v>
      </c>
      <c r="E3524" s="7" t="n">
        <f aca="false">B3524/MAX(B3273:B3524)-1</f>
        <v>-0.0225146711496611</v>
      </c>
      <c r="F3524" s="7" t="str">
        <f aca="false">IFERROR(INDEX(02_轉折點45個!B:B,MATCH(A3524,02_轉折點45個!A:A,0)),"")</f>
        <v/>
      </c>
      <c r="G3524" s="7" t="s">
        <v>1994</v>
      </c>
    </row>
    <row r="3525" customFormat="false" ht="15" hidden="false" customHeight="false" outlineLevel="0" collapsed="false">
      <c r="A3525" s="7" t="s">
        <v>4846</v>
      </c>
      <c r="B3525" s="7" t="n">
        <v>2832.6</v>
      </c>
      <c r="C3525" s="7" t="n">
        <f aca="false">AVERAGE(B3476:B3525)</f>
        <v>2722.3736</v>
      </c>
      <c r="D3525" s="7" t="n">
        <f aca="false">AVERAGE(B3326:B3525)</f>
        <v>2732.72745</v>
      </c>
      <c r="E3525" s="7" t="n">
        <f aca="false">B3525/MAX(B3274:B3525)-1</f>
        <v>-0.0261863261791067</v>
      </c>
      <c r="F3525" s="7" t="str">
        <f aca="false">IFERROR(INDEX(02_轉折點45個!B:B,MATCH(A3525,02_轉折點45個!A:A,0)),"")</f>
        <v/>
      </c>
      <c r="G3525" s="7" t="s">
        <v>1994</v>
      </c>
    </row>
    <row r="3526" customFormat="false" ht="15" hidden="false" customHeight="false" outlineLevel="0" collapsed="false">
      <c r="A3526" s="7" t="s">
        <v>4847</v>
      </c>
      <c r="B3526" s="7" t="n">
        <v>2833.59</v>
      </c>
      <c r="C3526" s="7" t="n">
        <f aca="false">AVERAGE(B3477:B3526)</f>
        <v>2724.1284</v>
      </c>
      <c r="D3526" s="7" t="n">
        <f aca="false">AVERAGE(B3327:B3526)</f>
        <v>2732.83405</v>
      </c>
      <c r="E3526" s="7" t="n">
        <f aca="false">B3526/MAX(B3275:B3526)-1</f>
        <v>-0.0258459761342422</v>
      </c>
      <c r="F3526" s="7" t="str">
        <f aca="false">IFERROR(INDEX(02_轉折點45個!B:B,MATCH(A3526,02_轉折點45個!A:A,0)),"")</f>
        <v/>
      </c>
      <c r="G3526" s="7" t="s">
        <v>1994</v>
      </c>
    </row>
    <row r="3527" customFormat="false" ht="15" hidden="false" customHeight="false" outlineLevel="0" collapsed="false">
      <c r="A3527" s="7" t="s">
        <v>4848</v>
      </c>
      <c r="B3527" s="7" t="n">
        <v>2830.99</v>
      </c>
      <c r="C3527" s="7" t="n">
        <f aca="false">AVERAGE(B3478:B3527)</f>
        <v>2725.624</v>
      </c>
      <c r="D3527" s="7" t="n">
        <f aca="false">AVERAGE(B3328:B3527)</f>
        <v>2732.9467</v>
      </c>
      <c r="E3527" s="7" t="n">
        <f aca="false">B3527/MAX(B3276:B3527)-1</f>
        <v>-0.0267398247369164</v>
      </c>
      <c r="F3527" s="7" t="str">
        <f aca="false">IFERROR(INDEX(02_轉折點45個!B:B,MATCH(A3527,02_轉折點45個!A:A,0)),"")</f>
        <v/>
      </c>
      <c r="G3527" s="7" t="s">
        <v>1994</v>
      </c>
    </row>
    <row r="3528" customFormat="false" ht="15" hidden="false" customHeight="false" outlineLevel="0" collapsed="false">
      <c r="A3528" s="7" t="s">
        <v>4849</v>
      </c>
      <c r="B3528" s="7" t="n">
        <v>2824.59</v>
      </c>
      <c r="C3528" s="7" t="n">
        <f aca="false">AVERAGE(B3479:B3528)</f>
        <v>2727.4758</v>
      </c>
      <c r="D3528" s="7" t="n">
        <f aca="false">AVERAGE(B3329:B3528)</f>
        <v>2733.022</v>
      </c>
      <c r="E3528" s="7" t="n">
        <f aca="false">B3528/MAX(B3277:B3528)-1</f>
        <v>-0.0289400674511906</v>
      </c>
      <c r="F3528" s="7" t="str">
        <f aca="false">IFERROR(INDEX(02_轉折點45個!B:B,MATCH(A3528,02_轉折點45個!A:A,0)),"")</f>
        <v/>
      </c>
      <c r="G3528" s="7" t="s">
        <v>1994</v>
      </c>
    </row>
    <row r="3529" customFormat="false" ht="15" hidden="false" customHeight="false" outlineLevel="0" collapsed="false">
      <c r="A3529" s="7" t="s">
        <v>4850</v>
      </c>
      <c r="B3529" s="7" t="n">
        <v>2837.38</v>
      </c>
      <c r="C3529" s="7" t="n">
        <f aca="false">AVERAGE(B3480:B3529)</f>
        <v>2729.7434</v>
      </c>
      <c r="D3529" s="7" t="n">
        <f aca="false">AVERAGE(B3330:B3529)</f>
        <v>2733.21605</v>
      </c>
      <c r="E3529" s="7" t="n">
        <f aca="false">B3529/MAX(B3278:B3529)-1</f>
        <v>-0.0245430199018829</v>
      </c>
      <c r="F3529" s="7" t="str">
        <f aca="false">IFERROR(INDEX(02_轉折點45個!B:B,MATCH(A3529,02_轉折點45個!A:A,0)),"")</f>
        <v/>
      </c>
      <c r="G3529" s="7" t="s">
        <v>1994</v>
      </c>
    </row>
    <row r="3530" customFormat="false" ht="15" hidden="false" customHeight="false" outlineLevel="0" collapsed="false">
      <c r="A3530" s="7" t="s">
        <v>4851</v>
      </c>
      <c r="B3530" s="7" t="n">
        <v>2851.95</v>
      </c>
      <c r="C3530" s="7" t="n">
        <f aca="false">AVERAGE(B3481:B3530)</f>
        <v>2732.2216</v>
      </c>
      <c r="D3530" s="7" t="n">
        <f aca="false">AVERAGE(B3331:B3530)</f>
        <v>2733.46195</v>
      </c>
      <c r="E3530" s="7" t="n">
        <f aca="false">B3530/MAX(B3279:B3530)-1</f>
        <v>-0.0195340298476676</v>
      </c>
      <c r="F3530" s="7" t="str">
        <f aca="false">IFERROR(INDEX(02_轉折點45個!B:B,MATCH(A3530,02_轉折點45個!A:A,0)),"")</f>
        <v/>
      </c>
      <c r="G3530" s="7" t="s">
        <v>1994</v>
      </c>
    </row>
    <row r="3531" customFormat="false" ht="15" hidden="false" customHeight="false" outlineLevel="0" collapsed="false">
      <c r="A3531" s="7" t="s">
        <v>1026</v>
      </c>
      <c r="B3531" s="7" t="n">
        <v>2855.49</v>
      </c>
      <c r="C3531" s="7" t="n">
        <f aca="false">AVERAGE(B3482:B3531)</f>
        <v>2734.7372</v>
      </c>
      <c r="D3531" s="7" t="n">
        <f aca="false">AVERAGE(B3332:B3531)</f>
        <v>2733.47595</v>
      </c>
      <c r="E3531" s="7" t="n">
        <f aca="false">B3531/MAX(B3280:B3531)-1</f>
        <v>-0.0183170205963346</v>
      </c>
      <c r="F3531" s="7" t="str">
        <f aca="false">IFERROR(INDEX(02_轉折點45個!B:B,MATCH(A3531,02_轉折點45個!A:A,0)),"")</f>
        <v/>
      </c>
      <c r="G3531" s="7" t="s">
        <v>1994</v>
      </c>
    </row>
    <row r="3532" customFormat="false" ht="15" hidden="false" customHeight="false" outlineLevel="0" collapsed="false">
      <c r="A3532" s="7" t="s">
        <v>4852</v>
      </c>
      <c r="B3532" s="7" t="n">
        <v>2848.06</v>
      </c>
      <c r="C3532" s="7" t="n">
        <f aca="false">AVERAGE(B3483:B3532)</f>
        <v>2737.3</v>
      </c>
      <c r="D3532" s="7" t="n">
        <f aca="false">AVERAGE(B3333:B3532)</f>
        <v>2733.4629</v>
      </c>
      <c r="E3532" s="7" t="n">
        <f aca="false">B3532/MAX(B3281:B3532)-1</f>
        <v>-0.0208713648724375</v>
      </c>
      <c r="F3532" s="7" t="str">
        <f aca="false">IFERROR(INDEX(02_轉折點45個!B:B,MATCH(A3532,02_轉折點45個!A:A,0)),"")</f>
        <v/>
      </c>
      <c r="G3532" s="7" t="s">
        <v>1994</v>
      </c>
    </row>
    <row r="3533" customFormat="false" ht="15" hidden="false" customHeight="false" outlineLevel="0" collapsed="false">
      <c r="A3533" s="7" t="s">
        <v>4853</v>
      </c>
      <c r="B3533" s="7" t="n">
        <v>2841.92</v>
      </c>
      <c r="C3533" s="7" t="n">
        <f aca="false">AVERAGE(B3484:B3533)</f>
        <v>2738.9576</v>
      </c>
      <c r="D3533" s="7" t="n">
        <f aca="false">AVERAGE(B3334:B3533)</f>
        <v>2733.48945</v>
      </c>
      <c r="E3533" s="7" t="n">
        <f aca="false">B3533/MAX(B3282:B3533)-1</f>
        <v>-0.0229822227264445</v>
      </c>
      <c r="F3533" s="7" t="str">
        <f aca="false">IFERROR(INDEX(02_轉折點45個!B:B,MATCH(A3533,02_轉折點45個!A:A,0)),"")</f>
        <v/>
      </c>
      <c r="G3533" s="7" t="s">
        <v>1994</v>
      </c>
    </row>
    <row r="3534" customFormat="false" ht="15" hidden="false" customHeight="false" outlineLevel="0" collapsed="false">
      <c r="A3534" s="7" t="s">
        <v>4854</v>
      </c>
      <c r="B3534" s="7" t="n">
        <v>2848.1</v>
      </c>
      <c r="C3534" s="7" t="n">
        <f aca="false">AVERAGE(B3485:B3534)</f>
        <v>2741.4318</v>
      </c>
      <c r="D3534" s="7" t="n">
        <f aca="false">AVERAGE(B3335:B3534)</f>
        <v>2733.59075</v>
      </c>
      <c r="E3534" s="7" t="n">
        <f aca="false">B3534/MAX(B3283:B3534)-1</f>
        <v>-0.0208576133554733</v>
      </c>
      <c r="F3534" s="7" t="str">
        <f aca="false">IFERROR(INDEX(02_轉折點45個!B:B,MATCH(A3534,02_轉折點45個!A:A,0)),"")</f>
        <v/>
      </c>
      <c r="G3534" s="7" t="s">
        <v>1994</v>
      </c>
    </row>
    <row r="3535" customFormat="false" ht="15" hidden="false" customHeight="false" outlineLevel="0" collapsed="false">
      <c r="A3535" s="7" t="s">
        <v>4855</v>
      </c>
      <c r="B3535" s="7" t="n">
        <v>2864.96</v>
      </c>
      <c r="C3535" s="7" t="n">
        <f aca="false">AVERAGE(B3486:B3535)</f>
        <v>2743.9228</v>
      </c>
      <c r="D3535" s="7" t="n">
        <f aca="false">AVERAGE(B3336:B3535)</f>
        <v>2733.7937</v>
      </c>
      <c r="E3535" s="7" t="n">
        <f aca="false">B3535/MAX(B3284:B3535)-1</f>
        <v>-0.0150613489550566</v>
      </c>
      <c r="F3535" s="7" t="str">
        <f aca="false">IFERROR(INDEX(02_轉折點45個!B:B,MATCH(A3535,02_轉折點45個!A:A,0)),"")</f>
        <v/>
      </c>
      <c r="G3535" s="7" t="s">
        <v>1994</v>
      </c>
    </row>
    <row r="3536" customFormat="false" ht="15" hidden="false" customHeight="false" outlineLevel="0" collapsed="false">
      <c r="A3536" s="7" t="s">
        <v>4856</v>
      </c>
      <c r="B3536" s="7" t="n">
        <v>2863.79</v>
      </c>
      <c r="C3536" s="7" t="n">
        <f aca="false">AVERAGE(B3487:B3536)</f>
        <v>2746.1662</v>
      </c>
      <c r="D3536" s="7" t="n">
        <f aca="false">AVERAGE(B3337:B3536)</f>
        <v>2733.8623</v>
      </c>
      <c r="E3536" s="7" t="n">
        <f aca="false">B3536/MAX(B3285:B3536)-1</f>
        <v>-0.0154635808262599</v>
      </c>
      <c r="F3536" s="7" t="str">
        <f aca="false">IFERROR(INDEX(02_轉折點45個!B:B,MATCH(A3536,02_轉折點45個!A:A,0)),"")</f>
        <v/>
      </c>
      <c r="G3536" s="7" t="s">
        <v>1994</v>
      </c>
    </row>
    <row r="3537" customFormat="false" ht="15" hidden="false" customHeight="false" outlineLevel="0" collapsed="false">
      <c r="A3537" s="7" t="s">
        <v>4857</v>
      </c>
      <c r="B3537" s="7" t="n">
        <v>2871.52</v>
      </c>
      <c r="C3537" s="7" t="n">
        <f aca="false">AVERAGE(B3488:B3537)</f>
        <v>2749.928</v>
      </c>
      <c r="D3537" s="7" t="n">
        <f aca="false">AVERAGE(B3338:B3537)</f>
        <v>2733.99755</v>
      </c>
      <c r="E3537" s="7" t="n">
        <f aca="false">B3537/MAX(B3286:B3537)-1</f>
        <v>-0.0128061001729253</v>
      </c>
      <c r="F3537" s="7" t="str">
        <f aca="false">IFERROR(INDEX(02_轉折點45個!B:B,MATCH(A3537,02_轉折點45個!A:A,0)),"")</f>
        <v/>
      </c>
      <c r="G3537" s="7" t="s">
        <v>1994</v>
      </c>
    </row>
    <row r="3538" customFormat="false" ht="15" hidden="false" customHeight="false" outlineLevel="0" collapsed="false">
      <c r="A3538" s="7" t="s">
        <v>4858</v>
      </c>
      <c r="B3538" s="7" t="n">
        <v>2881.11</v>
      </c>
      <c r="C3538" s="7" t="n">
        <f aca="false">AVERAGE(B3489:B3538)</f>
        <v>2754.6438</v>
      </c>
      <c r="D3538" s="7" t="n">
        <f aca="false">AVERAGE(B3339:B3538)</f>
        <v>2734.3885</v>
      </c>
      <c r="E3538" s="7" t="n">
        <f aca="false">B3538/MAX(B3287:B3538)-1</f>
        <v>-0.00950917398075468</v>
      </c>
      <c r="F3538" s="7" t="str">
        <f aca="false">IFERROR(INDEX(02_轉折點45個!B:B,MATCH(A3538,02_轉折點45個!A:A,0)),"")</f>
        <v/>
      </c>
      <c r="G3538" s="7" t="s">
        <v>1994</v>
      </c>
    </row>
    <row r="3539" customFormat="false" ht="15" hidden="false" customHeight="false" outlineLevel="0" collapsed="false">
      <c r="A3539" s="7" t="s">
        <v>1027</v>
      </c>
      <c r="B3539" s="7" t="n">
        <v>2859.83</v>
      </c>
      <c r="C3539" s="7" t="n">
        <f aca="false">AVERAGE(B3490:B3539)</f>
        <v>2758.7642</v>
      </c>
      <c r="D3539" s="7" t="n">
        <f aca="false">AVERAGE(B3340:B3539)</f>
        <v>2734.61635</v>
      </c>
      <c r="E3539" s="7" t="n">
        <f aca="false">B3539/MAX(B3288:B3539)-1</f>
        <v>-0.0168249810057172</v>
      </c>
      <c r="F3539" s="7" t="str">
        <f aca="false">IFERROR(INDEX(02_轉折點45個!B:B,MATCH(A3539,02_轉折點45個!A:A,0)),"")</f>
        <v/>
      </c>
      <c r="G3539" s="7" t="s">
        <v>1994</v>
      </c>
    </row>
    <row r="3540" customFormat="false" ht="15" hidden="false" customHeight="false" outlineLevel="0" collapsed="false">
      <c r="A3540" s="7" t="s">
        <v>4859</v>
      </c>
      <c r="B3540" s="7" t="n">
        <v>2877.49</v>
      </c>
      <c r="C3540" s="7" t="n">
        <f aca="false">AVERAGE(B3491:B3540)</f>
        <v>2763.2492</v>
      </c>
      <c r="D3540" s="7" t="n">
        <f aca="false">AVERAGE(B3341:B3540)</f>
        <v>2735.08515</v>
      </c>
      <c r="E3540" s="7" t="n">
        <f aca="false">B3540/MAX(B3289:B3540)-1</f>
        <v>-0.0107536862660162</v>
      </c>
      <c r="F3540" s="7" t="str">
        <f aca="false">IFERROR(INDEX(02_轉折點45個!B:B,MATCH(A3540,02_轉折點45個!A:A,0)),"")</f>
        <v/>
      </c>
      <c r="G3540" s="7" t="s">
        <v>1994</v>
      </c>
    </row>
    <row r="3541" customFormat="false" ht="15" hidden="false" customHeight="false" outlineLevel="0" collapsed="false">
      <c r="A3541" s="7" t="s">
        <v>4860</v>
      </c>
      <c r="B3541" s="7" t="n">
        <v>2881.68</v>
      </c>
      <c r="C3541" s="7" t="n">
        <f aca="false">AVERAGE(B3492:B3541)</f>
        <v>2768.19</v>
      </c>
      <c r="D3541" s="7" t="n">
        <f aca="false">AVERAGE(B3342:B3541)</f>
        <v>2735.83005</v>
      </c>
      <c r="E3541" s="7" t="n">
        <f aca="false">B3541/MAX(B3290:B3541)-1</f>
        <v>-0.00931321486401471</v>
      </c>
      <c r="F3541" s="7" t="str">
        <f aca="false">IFERROR(INDEX(02_轉折點45個!B:B,MATCH(A3541,02_轉折點45個!A:A,0)),"")</f>
        <v/>
      </c>
      <c r="G3541" s="7" t="s">
        <v>1994</v>
      </c>
    </row>
    <row r="3542" customFormat="false" ht="15" hidden="false" customHeight="false" outlineLevel="0" collapsed="false">
      <c r="A3542" s="7" t="s">
        <v>4861</v>
      </c>
      <c r="B3542" s="7" t="n">
        <v>2881.1</v>
      </c>
      <c r="C3542" s="7" t="n">
        <f aca="false">AVERAGE(B3493:B3542)</f>
        <v>2773.7966</v>
      </c>
      <c r="D3542" s="7" t="n">
        <f aca="false">AVERAGE(B3343:B3542)</f>
        <v>2736.45675</v>
      </c>
      <c r="E3542" s="7" t="n">
        <f aca="false">B3542/MAX(B3291:B3542)-1</f>
        <v>-0.00951261185999586</v>
      </c>
      <c r="F3542" s="7" t="str">
        <f aca="false">IFERROR(INDEX(02_轉折點45個!B:B,MATCH(A3542,02_轉折點45個!A:A,0)),"")</f>
        <v/>
      </c>
      <c r="G3542" s="7" t="s">
        <v>1994</v>
      </c>
    </row>
    <row r="3543" customFormat="false" ht="15" hidden="false" customHeight="false" outlineLevel="0" collapsed="false">
      <c r="A3543" s="7" t="s">
        <v>4862</v>
      </c>
      <c r="B3543" s="7" t="n">
        <v>2870.73</v>
      </c>
      <c r="C3543" s="7" t="n">
        <f aca="false">AVERAGE(B3494:B3543)</f>
        <v>2779.3762</v>
      </c>
      <c r="D3543" s="7" t="n">
        <f aca="false">AVERAGE(B3344:B3543)</f>
        <v>2736.85305</v>
      </c>
      <c r="E3543" s="7" t="n">
        <f aca="false">B3543/MAX(B3292:B3543)-1</f>
        <v>-0.0130776926329685</v>
      </c>
      <c r="F3543" s="7" t="str">
        <f aca="false">IFERROR(INDEX(02_轉折點45個!B:B,MATCH(A3543,02_轉折點45個!A:A,0)),"")</f>
        <v/>
      </c>
      <c r="G3543" s="7" t="s">
        <v>1994</v>
      </c>
    </row>
    <row r="3544" customFormat="false" ht="15" hidden="false" customHeight="false" outlineLevel="0" collapsed="false">
      <c r="A3544" s="7" t="s">
        <v>4863</v>
      </c>
      <c r="B3544" s="7" t="n">
        <v>2870.56</v>
      </c>
      <c r="C3544" s="7" t="n">
        <f aca="false">AVERAGE(B3495:B3544)</f>
        <v>2784.6566</v>
      </c>
      <c r="D3544" s="7" t="n">
        <f aca="false">AVERAGE(B3345:B3544)</f>
        <v>2737.4505</v>
      </c>
      <c r="E3544" s="7" t="n">
        <f aca="false">B3544/MAX(B3293:B3544)-1</f>
        <v>-0.0131361365800665</v>
      </c>
      <c r="F3544" s="7" t="str">
        <f aca="false">IFERROR(INDEX(02_轉折點45個!B:B,MATCH(A3544,02_轉折點45個!A:A,0)),"")</f>
        <v/>
      </c>
      <c r="G3544" s="7" t="s">
        <v>1994</v>
      </c>
    </row>
    <row r="3545" customFormat="false" ht="15" hidden="false" customHeight="false" outlineLevel="0" collapsed="false">
      <c r="A3545" s="7" t="s">
        <v>1028</v>
      </c>
      <c r="B3545" s="7" t="n">
        <v>2904.34</v>
      </c>
      <c r="C3545" s="7" t="n">
        <f aca="false">AVERAGE(B3496:B3545)</f>
        <v>2789.4626</v>
      </c>
      <c r="D3545" s="7" t="n">
        <f aca="false">AVERAGE(B3346:B3545)</f>
        <v>2738.3216</v>
      </c>
      <c r="E3545" s="7" t="n">
        <f aca="false">B3545/MAX(B3294:B3545)-1</f>
        <v>-0.00152298050378674</v>
      </c>
      <c r="F3545" s="7" t="str">
        <f aca="false">IFERROR(INDEX(02_轉折點45個!B:B,MATCH(A3545,02_轉折點45個!A:A,0)),"")</f>
        <v/>
      </c>
      <c r="G3545" s="7" t="s">
        <v>1994</v>
      </c>
    </row>
    <row r="3546" customFormat="false" ht="15" hidden="false" customHeight="false" outlineLevel="0" collapsed="false">
      <c r="A3546" s="7" t="s">
        <v>1029</v>
      </c>
      <c r="B3546" s="7" t="n">
        <v>2860.55</v>
      </c>
      <c r="C3546" s="7" t="n">
        <f aca="false">AVERAGE(B3497:B3546)</f>
        <v>2793.3816</v>
      </c>
      <c r="D3546" s="7" t="n">
        <f aca="false">AVERAGE(B3347:B3546)</f>
        <v>2738.72515</v>
      </c>
      <c r="E3546" s="7" t="n">
        <f aca="false">B3546/MAX(B3295:B3546)-1</f>
        <v>-0.0165774537003612</v>
      </c>
      <c r="F3546" s="7" t="str">
        <f aca="false">IFERROR(INDEX(02_轉折點45個!B:B,MATCH(A3546,02_轉折點45個!A:A,0)),"")</f>
        <v/>
      </c>
      <c r="G3546" s="7" t="s">
        <v>1994</v>
      </c>
    </row>
    <row r="3547" customFormat="false" ht="15" hidden="false" customHeight="false" outlineLevel="0" collapsed="false">
      <c r="A3547" s="7" t="s">
        <v>4864</v>
      </c>
      <c r="B3547" s="7" t="n">
        <v>2897.47</v>
      </c>
      <c r="C3547" s="7" t="n">
        <f aca="false">AVERAGE(B3498:B3547)</f>
        <v>2797.8586</v>
      </c>
      <c r="D3547" s="7" t="n">
        <f aca="false">AVERAGE(B3348:B3547)</f>
        <v>2739.36525</v>
      </c>
      <c r="E3547" s="7" t="n">
        <f aca="false">B3547/MAX(B3296:B3547)-1</f>
        <v>-0.00388480354239085</v>
      </c>
      <c r="F3547" s="7" t="str">
        <f aca="false">IFERROR(INDEX(02_轉折點45個!B:B,MATCH(A3547,02_轉折點45個!A:A,0)),"")</f>
        <v/>
      </c>
      <c r="G3547" s="7" t="s">
        <v>1994</v>
      </c>
    </row>
    <row r="3548" customFormat="false" ht="15" hidden="false" customHeight="false" outlineLevel="0" collapsed="false">
      <c r="A3548" s="7" t="s">
        <v>4865</v>
      </c>
      <c r="B3548" s="7" t="n">
        <v>2894.64</v>
      </c>
      <c r="C3548" s="7" t="n">
        <f aca="false">AVERAGE(B3499:B3548)</f>
        <v>2801.5428</v>
      </c>
      <c r="D3548" s="7" t="n">
        <f aca="false">AVERAGE(B3349:B3548)</f>
        <v>2740.10035</v>
      </c>
      <c r="E3548" s="7" t="n">
        <f aca="false">B3548/MAX(B3297:B3548)-1</f>
        <v>-0.00485772336760904</v>
      </c>
      <c r="F3548" s="7" t="str">
        <f aca="false">IFERROR(INDEX(02_轉折點45個!B:B,MATCH(A3548,02_轉折點45個!A:A,0)),"")</f>
        <v/>
      </c>
      <c r="G3548" s="7" t="s">
        <v>1994</v>
      </c>
    </row>
    <row r="3549" customFormat="false" ht="15" hidden="false" customHeight="false" outlineLevel="0" collapsed="false">
      <c r="A3549" s="7" t="s">
        <v>4866</v>
      </c>
      <c r="B3549" s="7" t="n">
        <v>2891.58</v>
      </c>
      <c r="C3549" s="7" t="n">
        <f aca="false">AVERAGE(B3500:B3549)</f>
        <v>2804.9844</v>
      </c>
      <c r="D3549" s="7" t="n">
        <f aca="false">AVERAGE(B3350:B3549)</f>
        <v>2740.8526</v>
      </c>
      <c r="E3549" s="7" t="n">
        <f aca="false">B3549/MAX(B3298:B3549)-1</f>
        <v>-0.00590971441537147</v>
      </c>
      <c r="F3549" s="7" t="str">
        <f aca="false">IFERROR(INDEX(02_轉折點45個!B:B,MATCH(A3549,02_轉折點45個!A:A,0)),"")</f>
        <v/>
      </c>
      <c r="G3549" s="7" t="s">
        <v>1994</v>
      </c>
    </row>
    <row r="3550" customFormat="false" ht="15" hidden="false" customHeight="false" outlineLevel="0" collapsed="false">
      <c r="A3550" s="7" t="s">
        <v>1030</v>
      </c>
      <c r="B3550" s="7" t="n">
        <v>2917.83</v>
      </c>
      <c r="C3550" s="7" t="n">
        <f aca="false">AVERAGE(B3501:B3550)</f>
        <v>2809.1152</v>
      </c>
      <c r="D3550" s="7" t="n">
        <f aca="false">AVERAGE(B3351:B3550)</f>
        <v>2741.87315</v>
      </c>
      <c r="E3550" s="7" t="n">
        <f aca="false">B3550/MAX(B3299:B3550)-1</f>
        <v>0</v>
      </c>
      <c r="F3550" s="7" t="str">
        <f aca="false">IFERROR(INDEX(02_轉折點45個!B:B,MATCH(A3550,02_轉折點45個!A:A,0)),"")</f>
        <v/>
      </c>
      <c r="G3550" s="7" t="s">
        <v>1994</v>
      </c>
    </row>
    <row r="3551" customFormat="false" ht="15" hidden="false" customHeight="false" outlineLevel="0" collapsed="false">
      <c r="A3551" s="7" t="s">
        <v>4867</v>
      </c>
      <c r="B3551" s="7" t="n">
        <v>2916.12</v>
      </c>
      <c r="C3551" s="7" t="n">
        <f aca="false">AVERAGE(B3502:B3551)</f>
        <v>2812.7734</v>
      </c>
      <c r="D3551" s="7" t="n">
        <f aca="false">AVERAGE(B3352:B3551)</f>
        <v>2742.92555</v>
      </c>
      <c r="E3551" s="7" t="n">
        <f aca="false">B3551/MAX(B3300:B3551)-1</f>
        <v>-0.000586051963274104</v>
      </c>
      <c r="F3551" s="7" t="str">
        <f aca="false">IFERROR(INDEX(02_轉折點45個!B:B,MATCH(A3551,02_轉折點45個!A:A,0)),"")</f>
        <v/>
      </c>
      <c r="G3551" s="7" t="s">
        <v>1994</v>
      </c>
    </row>
    <row r="3552" customFormat="false" ht="15" hidden="false" customHeight="false" outlineLevel="0" collapsed="false">
      <c r="A3552" s="7" t="s">
        <v>4868</v>
      </c>
      <c r="B3552" s="7" t="n">
        <v>2911.09</v>
      </c>
      <c r="C3552" s="7" t="n">
        <f aca="false">AVERAGE(B3503:B3552)</f>
        <v>2815.961</v>
      </c>
      <c r="D3552" s="7" t="n">
        <f aca="false">AVERAGE(B3353:B3552)</f>
        <v>2743.64205</v>
      </c>
      <c r="E3552" s="7" t="n">
        <f aca="false">B3552/MAX(B3301:B3552)-1</f>
        <v>-0.00230993580846028</v>
      </c>
      <c r="F3552" s="7" t="str">
        <f aca="false">IFERROR(INDEX(02_轉折點45個!B:B,MATCH(A3552,02_轉折點45個!A:A,0)),"")</f>
        <v/>
      </c>
      <c r="G3552" s="7" t="s">
        <v>1994</v>
      </c>
    </row>
    <row r="3553" customFormat="false" ht="15" hidden="false" customHeight="false" outlineLevel="0" collapsed="false">
      <c r="A3553" s="7" t="s">
        <v>4869</v>
      </c>
      <c r="B3553" s="7" t="n">
        <v>2920.58</v>
      </c>
      <c r="C3553" s="7" t="n">
        <f aca="false">AVERAGE(B3504:B3553)</f>
        <v>2819.3712</v>
      </c>
      <c r="D3553" s="7" t="n">
        <f aca="false">AVERAGE(B3354:B3553)</f>
        <v>2744.3102</v>
      </c>
      <c r="E3553" s="7" t="n">
        <f aca="false">B3553/MAX(B3302:B3553)-1</f>
        <v>0</v>
      </c>
      <c r="F3553" s="7" t="str">
        <f aca="false">IFERROR(INDEX(02_轉折點45個!B:B,MATCH(A3553,02_轉折點45個!A:A,0)),"")</f>
        <v/>
      </c>
      <c r="G3553" s="7" t="s">
        <v>1994</v>
      </c>
    </row>
    <row r="3554" customFormat="false" ht="15" hidden="false" customHeight="false" outlineLevel="0" collapsed="false">
      <c r="A3554" s="7" t="s">
        <v>4870</v>
      </c>
      <c r="B3554" s="7" t="n">
        <v>2922.21</v>
      </c>
      <c r="C3554" s="7" t="n">
        <f aca="false">AVERAGE(B3505:B3554)</f>
        <v>2822.9608</v>
      </c>
      <c r="D3554" s="7" t="n">
        <f aca="false">AVERAGE(B3355:B3554)</f>
        <v>2744.90155</v>
      </c>
      <c r="E3554" s="7" t="n">
        <f aca="false">B3554/MAX(B3303:B3554)-1</f>
        <v>0</v>
      </c>
      <c r="F3554" s="7" t="str">
        <f aca="false">IFERROR(INDEX(02_轉折點45個!B:B,MATCH(A3554,02_轉折點45個!A:A,0)),"")</f>
        <v/>
      </c>
      <c r="G3554" s="7" t="s">
        <v>1994</v>
      </c>
    </row>
    <row r="3555" customFormat="false" ht="15" hidden="false" customHeight="false" outlineLevel="0" collapsed="false">
      <c r="A3555" s="7" t="s">
        <v>4871</v>
      </c>
      <c r="B3555" s="7" t="n">
        <v>2916.15</v>
      </c>
      <c r="C3555" s="7" t="n">
        <f aca="false">AVERAGE(B3506:B3555)</f>
        <v>2826.53</v>
      </c>
      <c r="D3555" s="7" t="n">
        <f aca="false">AVERAGE(B3356:B3555)</f>
        <v>2745.56695</v>
      </c>
      <c r="E3555" s="7" t="n">
        <f aca="false">B3555/MAX(B3304:B3555)-1</f>
        <v>-0.00207377293213007</v>
      </c>
      <c r="F3555" s="7" t="str">
        <f aca="false">IFERROR(INDEX(02_轉折點45個!B:B,MATCH(A3555,02_轉折點45個!A:A,0)),"")</f>
        <v/>
      </c>
      <c r="G3555" s="7" t="s">
        <v>1994</v>
      </c>
    </row>
    <row r="3556" customFormat="false" ht="15" hidden="false" customHeight="false" outlineLevel="0" collapsed="false">
      <c r="A3556" s="7" t="s">
        <v>1031</v>
      </c>
      <c r="B3556" s="7" t="n">
        <v>2935.85</v>
      </c>
      <c r="C3556" s="7" t="n">
        <f aca="false">AVERAGE(B3507:B3556)</f>
        <v>2830.9132</v>
      </c>
      <c r="D3556" s="7" t="n">
        <f aca="false">AVERAGE(B3357:B3556)</f>
        <v>2746.3122</v>
      </c>
      <c r="E3556" s="7" t="n">
        <f aca="false">B3556/MAX(B3305:B3556)-1</f>
        <v>0</v>
      </c>
      <c r="F3556" s="7" t="str">
        <f aca="false">IFERROR(INDEX(02_轉折點45個!B:B,MATCH(A3556,02_轉折點45個!A:A,0)),"")</f>
        <v/>
      </c>
      <c r="G3556" s="7" t="s">
        <v>1994</v>
      </c>
    </row>
    <row r="3557" customFormat="false" ht="15" hidden="false" customHeight="false" outlineLevel="0" collapsed="false">
      <c r="A3557" s="7" t="s">
        <v>4872</v>
      </c>
      <c r="B3557" s="7" t="n">
        <v>2890.92</v>
      </c>
      <c r="C3557" s="7" t="n">
        <f aca="false">AVERAGE(B3508:B3557)</f>
        <v>2834.1132</v>
      </c>
      <c r="D3557" s="7" t="n">
        <f aca="false">AVERAGE(B3358:B3557)</f>
        <v>2746.7898</v>
      </c>
      <c r="E3557" s="7" t="n">
        <f aca="false">B3557/MAX(B3306:B3557)-1</f>
        <v>-0.0153039153907726</v>
      </c>
      <c r="F3557" s="7" t="str">
        <f aca="false">IFERROR(INDEX(02_轉折點45個!B:B,MATCH(A3557,02_轉折點45個!A:A,0)),"")</f>
        <v/>
      </c>
      <c r="G3557" s="7" t="s">
        <v>1994</v>
      </c>
    </row>
    <row r="3558" customFormat="false" ht="15" hidden="false" customHeight="false" outlineLevel="0" collapsed="false">
      <c r="A3558" s="7" t="s">
        <v>1032</v>
      </c>
      <c r="B3558" s="7" t="n">
        <v>2860.84</v>
      </c>
      <c r="C3558" s="7" t="n">
        <f aca="false">AVERAGE(B3509:B3558)</f>
        <v>2836.9168</v>
      </c>
      <c r="D3558" s="7" t="n">
        <f aca="false">AVERAGE(B3359:B3558)</f>
        <v>2747.2794</v>
      </c>
      <c r="E3558" s="7" t="n">
        <f aca="false">B3558/MAX(B3307:B3558)-1</f>
        <v>-0.0255496704531907</v>
      </c>
      <c r="F3558" s="7" t="str">
        <f aca="false">IFERROR(INDEX(02_轉折點45個!B:B,MATCH(A3558,02_轉折點45個!A:A,0)),"")</f>
        <v/>
      </c>
      <c r="G3558" s="7" t="s">
        <v>1994</v>
      </c>
    </row>
    <row r="3559" customFormat="false" ht="15" hidden="false" customHeight="false" outlineLevel="0" collapsed="false">
      <c r="A3559" s="7" t="s">
        <v>4873</v>
      </c>
      <c r="B3559" s="7" t="n">
        <v>2888.55</v>
      </c>
      <c r="C3559" s="7" t="n">
        <f aca="false">AVERAGE(B3510:B3559)</f>
        <v>2840.1118</v>
      </c>
      <c r="D3559" s="7" t="n">
        <f aca="false">AVERAGE(B3360:B3559)</f>
        <v>2748.218</v>
      </c>
      <c r="E3559" s="7" t="n">
        <f aca="false">B3559/MAX(B3308:B3559)-1</f>
        <v>-0.0161111773421666</v>
      </c>
      <c r="F3559" s="7" t="str">
        <f aca="false">IFERROR(INDEX(02_轉折點45個!B:B,MATCH(A3559,02_轉折點45個!A:A,0)),"")</f>
        <v/>
      </c>
      <c r="G3559" s="7" t="s">
        <v>1994</v>
      </c>
    </row>
    <row r="3560" customFormat="false" ht="15" hidden="false" customHeight="false" outlineLevel="0" collapsed="false">
      <c r="A3560" s="7" t="s">
        <v>4874</v>
      </c>
      <c r="B3560" s="7" t="n">
        <v>2846.92</v>
      </c>
      <c r="C3560" s="7" t="n">
        <f aca="false">AVERAGE(B3511:B3560)</f>
        <v>2841.8284</v>
      </c>
      <c r="D3560" s="7" t="n">
        <f aca="false">AVERAGE(B3361:B3560)</f>
        <v>2748.94195</v>
      </c>
      <c r="E3560" s="7" t="n">
        <f aca="false">B3560/MAX(B3309:B3560)-1</f>
        <v>-0.030291057104416</v>
      </c>
      <c r="F3560" s="7" t="str">
        <f aca="false">IFERROR(INDEX(02_轉折點45個!B:B,MATCH(A3560,02_轉折點45個!A:A,0)),"")</f>
        <v/>
      </c>
      <c r="G3560" s="7" t="s">
        <v>1994</v>
      </c>
    </row>
    <row r="3561" customFormat="false" ht="15" hidden="false" customHeight="false" outlineLevel="0" collapsed="false">
      <c r="A3561" s="7" t="s">
        <v>4875</v>
      </c>
      <c r="B3561" s="7" t="n">
        <v>2859.16</v>
      </c>
      <c r="C3561" s="7" t="n">
        <f aca="false">AVERAGE(B3512:B3561)</f>
        <v>2843.945</v>
      </c>
      <c r="D3561" s="7" t="n">
        <f aca="false">AVERAGE(B3362:B3561)</f>
        <v>2749.7796</v>
      </c>
      <c r="E3561" s="7" t="n">
        <f aca="false">B3561/MAX(B3310:B3561)-1</f>
        <v>-0.0261219067731662</v>
      </c>
      <c r="F3561" s="7" t="str">
        <f aca="false">IFERROR(INDEX(02_轉折點45個!B:B,MATCH(A3561,02_轉折點45個!A:A,0)),"")</f>
        <v/>
      </c>
      <c r="G3561" s="7" t="s">
        <v>1994</v>
      </c>
    </row>
    <row r="3562" customFormat="false" ht="15" hidden="false" customHeight="false" outlineLevel="0" collapsed="false">
      <c r="A3562" s="7" t="s">
        <v>4876</v>
      </c>
      <c r="B3562" s="7" t="n">
        <v>2888.95</v>
      </c>
      <c r="C3562" s="7" t="n">
        <f aca="false">AVERAGE(B3513:B3562)</f>
        <v>2847.0528</v>
      </c>
      <c r="D3562" s="7" t="n">
        <f aca="false">AVERAGE(B3363:B3562)</f>
        <v>2750.819</v>
      </c>
      <c r="E3562" s="7" t="n">
        <f aca="false">B3562/MAX(B3311:B3562)-1</f>
        <v>-0.0159749305993154</v>
      </c>
      <c r="F3562" s="7" t="str">
        <f aca="false">IFERROR(INDEX(02_轉折點45個!B:B,MATCH(A3562,02_轉折點45個!A:A,0)),"")</f>
        <v/>
      </c>
      <c r="G3562" s="7" t="s">
        <v>1994</v>
      </c>
    </row>
    <row r="3563" customFormat="false" ht="15" hidden="false" customHeight="false" outlineLevel="0" collapsed="false">
      <c r="A3563" s="7" t="s">
        <v>4877</v>
      </c>
      <c r="B3563" s="7" t="n">
        <v>2887.06</v>
      </c>
      <c r="C3563" s="7" t="n">
        <f aca="false">AVERAGE(B3514:B3563)</f>
        <v>2850.5034</v>
      </c>
      <c r="D3563" s="7" t="n">
        <f aca="false">AVERAGE(B3364:B3563)</f>
        <v>2751.85385</v>
      </c>
      <c r="E3563" s="7" t="n">
        <f aca="false">B3563/MAX(B3312:B3563)-1</f>
        <v>-0.0166186964592877</v>
      </c>
      <c r="F3563" s="7" t="str">
        <f aca="false">IFERROR(INDEX(02_轉折點45個!B:B,MATCH(A3563,02_轉折點45個!A:A,0)),"")</f>
        <v/>
      </c>
      <c r="G3563" s="7" t="s">
        <v>1994</v>
      </c>
    </row>
    <row r="3564" customFormat="false" ht="15" hidden="false" customHeight="false" outlineLevel="0" collapsed="false">
      <c r="A3564" s="7" t="s">
        <v>4878</v>
      </c>
      <c r="B3564" s="7" t="n">
        <v>2895.79</v>
      </c>
      <c r="C3564" s="7" t="n">
        <f aca="false">AVERAGE(B3515:B3564)</f>
        <v>2853.4112</v>
      </c>
      <c r="D3564" s="7" t="n">
        <f aca="false">AVERAGE(B3365:B3564)</f>
        <v>2752.9315</v>
      </c>
      <c r="E3564" s="7" t="n">
        <f aca="false">B3564/MAX(B3313:B3564)-1</f>
        <v>-0.0136451112965581</v>
      </c>
      <c r="F3564" s="7" t="str">
        <f aca="false">IFERROR(INDEX(02_轉折點45個!B:B,MATCH(A3564,02_轉折點45個!A:A,0)),"")</f>
        <v/>
      </c>
      <c r="G3564" s="7" t="s">
        <v>1994</v>
      </c>
    </row>
    <row r="3565" customFormat="false" ht="15" hidden="false" customHeight="false" outlineLevel="0" collapsed="false">
      <c r="A3565" s="7" t="s">
        <v>4879</v>
      </c>
      <c r="B3565" s="7" t="n">
        <v>2907.02</v>
      </c>
      <c r="C3565" s="7" t="n">
        <f aca="false">AVERAGE(B3516:B3565)</f>
        <v>2855.741</v>
      </c>
      <c r="D3565" s="7" t="n">
        <f aca="false">AVERAGE(B3366:B3565)</f>
        <v>2754.208</v>
      </c>
      <c r="E3565" s="7" t="n">
        <f aca="false">B3565/MAX(B3314:B3565)-1</f>
        <v>-0.0098199839910077</v>
      </c>
      <c r="F3565" s="7" t="str">
        <f aca="false">IFERROR(INDEX(02_轉折點45個!B:B,MATCH(A3565,02_轉折點45個!A:A,0)),"")</f>
        <v/>
      </c>
      <c r="G3565" s="7" t="s">
        <v>1994</v>
      </c>
    </row>
    <row r="3566" customFormat="false" ht="15" hidden="false" customHeight="false" outlineLevel="0" collapsed="false">
      <c r="A3566" s="7" t="s">
        <v>1033</v>
      </c>
      <c r="B3566" s="7" t="n">
        <v>2945.48</v>
      </c>
      <c r="C3566" s="7" t="n">
        <f aca="false">AVERAGE(B3517:B3566)</f>
        <v>2859.0258</v>
      </c>
      <c r="D3566" s="7" t="n">
        <f aca="false">AVERAGE(B3367:B3566)</f>
        <v>2755.7171</v>
      </c>
      <c r="E3566" s="7" t="n">
        <f aca="false">B3566/MAX(B3315:B3566)-1</f>
        <v>0</v>
      </c>
      <c r="F3566" s="7" t="str">
        <f aca="false">IFERROR(INDEX(02_轉折點45個!B:B,MATCH(A3566,02_轉折點45個!A:A,0)),"")</f>
        <v/>
      </c>
      <c r="G3566" s="7" t="s">
        <v>1994</v>
      </c>
    </row>
    <row r="3567" customFormat="false" ht="15" hidden="false" customHeight="false" outlineLevel="0" collapsed="false">
      <c r="A3567" s="7" t="s">
        <v>4880</v>
      </c>
      <c r="B3567" s="7" t="n">
        <v>2943.87</v>
      </c>
      <c r="C3567" s="7" t="n">
        <f aca="false">AVERAGE(B3518:B3567)</f>
        <v>2862.1682</v>
      </c>
      <c r="D3567" s="7" t="n">
        <f aca="false">AVERAGE(B3368:B3567)</f>
        <v>2757.30825</v>
      </c>
      <c r="E3567" s="7" t="n">
        <f aca="false">B3567/MAX(B3316:B3567)-1</f>
        <v>-0.000546600214566095</v>
      </c>
      <c r="F3567" s="7" t="str">
        <f aca="false">IFERROR(INDEX(02_轉折點45個!B:B,MATCH(A3567,02_轉折點45個!A:A,0)),"")</f>
        <v/>
      </c>
      <c r="G3567" s="7" t="s">
        <v>1994</v>
      </c>
    </row>
    <row r="3568" customFormat="false" ht="15" hidden="false" customHeight="false" outlineLevel="0" collapsed="false">
      <c r="A3568" s="7" t="s">
        <v>1034</v>
      </c>
      <c r="B3568" s="7" t="n">
        <v>2952.75</v>
      </c>
      <c r="C3568" s="7" t="n">
        <f aca="false">AVERAGE(B3519:B3568)</f>
        <v>2866.025</v>
      </c>
      <c r="D3568" s="7" t="n">
        <f aca="false">AVERAGE(B3369:B3568)</f>
        <v>2759.21945</v>
      </c>
      <c r="E3568" s="7" t="n">
        <f aca="false">B3568/MAX(B3317:B3568)-1</f>
        <v>0</v>
      </c>
      <c r="F3568" s="7" t="str">
        <f aca="false">IFERROR(INDEX(02_轉折點45個!B:B,MATCH(A3568,02_轉折點45個!A:A,0)),"")</f>
        <v/>
      </c>
      <c r="G3568" s="7" t="s">
        <v>1994</v>
      </c>
    </row>
    <row r="3569" customFormat="false" ht="15" hidden="false" customHeight="false" outlineLevel="0" collapsed="false">
      <c r="A3569" s="7" t="s">
        <v>4881</v>
      </c>
      <c r="B3569" s="7" t="n">
        <v>2963.97</v>
      </c>
      <c r="C3569" s="7" t="n">
        <f aca="false">AVERAGE(B3520:B3569)</f>
        <v>2870.2598</v>
      </c>
      <c r="D3569" s="7" t="n">
        <f aca="false">AVERAGE(B3370:B3569)</f>
        <v>2761.34615</v>
      </c>
      <c r="E3569" s="7" t="n">
        <f aca="false">B3569/MAX(B3318:B3569)-1</f>
        <v>0</v>
      </c>
      <c r="F3569" s="7" t="str">
        <f aca="false">IFERROR(INDEX(02_轉折點45個!B:B,MATCH(A3569,02_轉折點45個!A:A,0)),"")</f>
        <v/>
      </c>
      <c r="G3569" s="7" t="s">
        <v>1994</v>
      </c>
    </row>
    <row r="3570" customFormat="false" ht="15" hidden="false" customHeight="false" outlineLevel="0" collapsed="false">
      <c r="A3570" s="7" t="s">
        <v>4882</v>
      </c>
      <c r="B3570" s="7" t="n">
        <v>2971.73</v>
      </c>
      <c r="C3570" s="7" t="n">
        <f aca="false">AVERAGE(B3521:B3570)</f>
        <v>2875.0598</v>
      </c>
      <c r="D3570" s="7" t="n">
        <f aca="false">AVERAGE(B3371:B3570)</f>
        <v>2763.19915</v>
      </c>
      <c r="E3570" s="7" t="n">
        <f aca="false">B3570/MAX(B3319:B3570)-1</f>
        <v>0</v>
      </c>
      <c r="F3570" s="7" t="str">
        <f aca="false">IFERROR(INDEX(02_轉折點45個!B:B,MATCH(A3570,02_轉折點45個!A:A,0)),"")</f>
        <v/>
      </c>
      <c r="G3570" s="7" t="s">
        <v>1994</v>
      </c>
    </row>
    <row r="3571" customFormat="false" ht="15" hidden="false" customHeight="false" outlineLevel="0" collapsed="false">
      <c r="A3571" s="7" t="s">
        <v>4883</v>
      </c>
      <c r="B3571" s="7" t="n">
        <v>2962.09</v>
      </c>
      <c r="C3571" s="7" t="n">
        <f aca="false">AVERAGE(B3522:B3571)</f>
        <v>2879.7446</v>
      </c>
      <c r="D3571" s="7" t="n">
        <f aca="false">AVERAGE(B3372:B3571)</f>
        <v>2765.04105</v>
      </c>
      <c r="E3571" s="7" t="n">
        <f aca="false">B3571/MAX(B3320:B3571)-1</f>
        <v>-0.00324390170035627</v>
      </c>
      <c r="F3571" s="7" t="str">
        <f aca="false">IFERROR(INDEX(02_轉折點45個!B:B,MATCH(A3571,02_轉折點45個!A:A,0)),"")</f>
        <v/>
      </c>
      <c r="G3571" s="7" t="s">
        <v>1994</v>
      </c>
    </row>
    <row r="3572" customFormat="false" ht="15" hidden="false" customHeight="false" outlineLevel="0" collapsed="false">
      <c r="A3572" s="7" t="s">
        <v>4884</v>
      </c>
      <c r="B3572" s="7" t="n">
        <v>2964.65</v>
      </c>
      <c r="C3572" s="7" t="n">
        <f aca="false">AVERAGE(B3523:B3572)</f>
        <v>2884.9484</v>
      </c>
      <c r="D3572" s="7" t="n">
        <f aca="false">AVERAGE(B3373:B3572)</f>
        <v>2766.84535</v>
      </c>
      <c r="E3572" s="7" t="n">
        <f aca="false">B3572/MAX(B3321:B3572)-1</f>
        <v>-0.00238245062640274</v>
      </c>
      <c r="F3572" s="7" t="str">
        <f aca="false">IFERROR(INDEX(02_轉折點45個!B:B,MATCH(A3572,02_轉折點45個!A:A,0)),"")</f>
        <v/>
      </c>
      <c r="G3572" s="7" t="s">
        <v>1994</v>
      </c>
    </row>
    <row r="3573" customFormat="false" ht="15" hidden="false" customHeight="false" outlineLevel="0" collapsed="false">
      <c r="A3573" s="7" t="s">
        <v>4885</v>
      </c>
      <c r="B3573" s="7" t="n">
        <v>2977.27</v>
      </c>
      <c r="C3573" s="7" t="n">
        <f aca="false">AVERAGE(B3524:B3573)</f>
        <v>2889.323</v>
      </c>
      <c r="D3573" s="7" t="n">
        <f aca="false">AVERAGE(B3374:B3573)</f>
        <v>2768.7618</v>
      </c>
      <c r="E3573" s="7" t="n">
        <f aca="false">B3573/MAX(B3322:B3573)-1</f>
        <v>0</v>
      </c>
      <c r="F3573" s="7" t="str">
        <f aca="false">IFERROR(INDEX(02_轉折點45個!B:B,MATCH(A3573,02_轉折點45個!A:A,0)),"")</f>
        <v/>
      </c>
      <c r="G3573" s="7" t="s">
        <v>1994</v>
      </c>
    </row>
    <row r="3574" customFormat="false" ht="15" hidden="false" customHeight="false" outlineLevel="0" collapsed="false">
      <c r="A3574" s="7" t="s">
        <v>4886</v>
      </c>
      <c r="B3574" s="7" t="n">
        <v>2968.26</v>
      </c>
      <c r="C3574" s="7" t="n">
        <f aca="false">AVERAGE(B3525:B3574)</f>
        <v>2891.8226</v>
      </c>
      <c r="D3574" s="7" t="n">
        <f aca="false">AVERAGE(B3375:B3574)</f>
        <v>2770.64165</v>
      </c>
      <c r="E3574" s="7" t="n">
        <f aca="false">B3574/MAX(B3323:B3574)-1</f>
        <v>-0.00302626231413339</v>
      </c>
      <c r="F3574" s="7" t="str">
        <f aca="false">IFERROR(INDEX(02_轉折點45個!B:B,MATCH(A3574,02_轉折點45個!A:A,0)),"")</f>
        <v/>
      </c>
      <c r="G3574" s="7" t="s">
        <v>1994</v>
      </c>
    </row>
    <row r="3575" customFormat="false" ht="15" hidden="false" customHeight="false" outlineLevel="0" collapsed="false">
      <c r="A3575" s="7" t="s">
        <v>4887</v>
      </c>
      <c r="B3575" s="7" t="n">
        <v>2957.77</v>
      </c>
      <c r="C3575" s="7" t="n">
        <f aca="false">AVERAGE(B3526:B3575)</f>
        <v>2894.326</v>
      </c>
      <c r="D3575" s="7" t="n">
        <f aca="false">AVERAGE(B3376:B3575)</f>
        <v>2772.3162</v>
      </c>
      <c r="E3575" s="7" t="n">
        <f aca="false">B3575/MAX(B3324:B3575)-1</f>
        <v>-0.00654962432026651</v>
      </c>
      <c r="F3575" s="7" t="str">
        <f aca="false">IFERROR(INDEX(02_轉折點45個!B:B,MATCH(A3575,02_轉折點45個!A:A,0)),"")</f>
        <v/>
      </c>
      <c r="G3575" s="7" t="s">
        <v>1994</v>
      </c>
    </row>
    <row r="3576" customFormat="false" ht="15" hidden="false" customHeight="false" outlineLevel="0" collapsed="false">
      <c r="A3576" s="7" t="s">
        <v>1035</v>
      </c>
      <c r="B3576" s="7" t="n">
        <v>2950.02</v>
      </c>
      <c r="C3576" s="7" t="n">
        <f aca="false">AVERAGE(B3527:B3576)</f>
        <v>2896.6546</v>
      </c>
      <c r="D3576" s="7" t="n">
        <f aca="false">AVERAGE(B3377:B3576)</f>
        <v>2774.10565</v>
      </c>
      <c r="E3576" s="7" t="n">
        <f aca="false">B3576/MAX(B3325:B3576)-1</f>
        <v>-0.0091526801398597</v>
      </c>
      <c r="F3576" s="7" t="str">
        <f aca="false">IFERROR(INDEX(02_轉折點45個!B:B,MATCH(A3576,02_轉折點45個!A:A,0)),"")</f>
        <v/>
      </c>
      <c r="G3576" s="7" t="s">
        <v>1994</v>
      </c>
    </row>
    <row r="3577" customFormat="false" ht="15" hidden="false" customHeight="false" outlineLevel="0" collapsed="false">
      <c r="A3577" s="7" t="s">
        <v>4888</v>
      </c>
      <c r="B3577" s="7" t="n">
        <v>2972.94</v>
      </c>
      <c r="C3577" s="7" t="n">
        <f aca="false">AVERAGE(B3528:B3577)</f>
        <v>2899.4936</v>
      </c>
      <c r="D3577" s="7" t="n">
        <f aca="false">AVERAGE(B3378:B3577)</f>
        <v>2776.05545</v>
      </c>
      <c r="E3577" s="7" t="n">
        <f aca="false">B3577/MAX(B3326:B3577)-1</f>
        <v>-0.00145435247726944</v>
      </c>
      <c r="F3577" s="7" t="str">
        <f aca="false">IFERROR(INDEX(02_轉折點45個!B:B,MATCH(A3577,02_轉折點45個!A:A,0)),"")</f>
        <v/>
      </c>
      <c r="G3577" s="7" t="s">
        <v>1994</v>
      </c>
    </row>
    <row r="3578" customFormat="false" ht="15" hidden="false" customHeight="false" outlineLevel="0" collapsed="false">
      <c r="A3578" s="7" t="s">
        <v>1036</v>
      </c>
      <c r="B3578" s="7" t="n">
        <v>2944.08</v>
      </c>
      <c r="C3578" s="7" t="n">
        <f aca="false">AVERAGE(B3529:B3578)</f>
        <v>2901.8834</v>
      </c>
      <c r="D3578" s="7" t="n">
        <f aca="false">AVERAGE(B3379:B3578)</f>
        <v>2778.22575</v>
      </c>
      <c r="E3578" s="7" t="n">
        <f aca="false">B3578/MAX(B3327:B3578)-1</f>
        <v>-0.011147796471264</v>
      </c>
      <c r="F3578" s="7" t="str">
        <f aca="false">IFERROR(INDEX(02_轉折點45個!B:B,MATCH(A3578,02_轉折點45個!A:A,0)),"")</f>
        <v/>
      </c>
      <c r="G3578" s="7" t="s">
        <v>1994</v>
      </c>
    </row>
    <row r="3579" customFormat="false" ht="15" hidden="false" customHeight="false" outlineLevel="0" collapsed="false">
      <c r="A3579" s="7" t="s">
        <v>4889</v>
      </c>
      <c r="B3579" s="7" t="n">
        <v>2964.54</v>
      </c>
      <c r="C3579" s="7" t="n">
        <f aca="false">AVERAGE(B3530:B3579)</f>
        <v>2904.4266</v>
      </c>
      <c r="D3579" s="7" t="n">
        <f aca="false">AVERAGE(B3380:B3579)</f>
        <v>2780.4411</v>
      </c>
      <c r="E3579" s="7" t="n">
        <f aca="false">B3579/MAX(B3328:B3579)-1</f>
        <v>-0.00427572910753815</v>
      </c>
      <c r="F3579" s="7" t="str">
        <f aca="false">IFERROR(INDEX(02_轉折點45個!B:B,MATCH(A3579,02_轉折點45個!A:A,0)),"")</f>
        <v/>
      </c>
      <c r="G3579" s="7" t="s">
        <v>1994</v>
      </c>
    </row>
    <row r="3580" customFormat="false" ht="15" hidden="false" customHeight="false" outlineLevel="0" collapsed="false">
      <c r="A3580" s="7" t="s">
        <v>4890</v>
      </c>
      <c r="B3580" s="7" t="n">
        <v>2955.68</v>
      </c>
      <c r="C3580" s="7" t="n">
        <f aca="false">AVERAGE(B3531:B3580)</f>
        <v>2906.5012</v>
      </c>
      <c r="D3580" s="7" t="n">
        <f aca="false">AVERAGE(B3381:B3580)</f>
        <v>2782.52945</v>
      </c>
      <c r="E3580" s="7" t="n">
        <f aca="false">B3580/MAX(B3329:B3580)-1</f>
        <v>-0.00725160969613103</v>
      </c>
      <c r="F3580" s="7" t="str">
        <f aca="false">IFERROR(INDEX(02_轉折點45個!B:B,MATCH(A3580,02_轉折點45個!A:A,0)),"")</f>
        <v/>
      </c>
      <c r="G3580" s="7" t="s">
        <v>1994</v>
      </c>
    </row>
    <row r="3581" customFormat="false" ht="15" hidden="false" customHeight="false" outlineLevel="0" collapsed="false">
      <c r="A3581" s="7" t="s">
        <v>4891</v>
      </c>
      <c r="B3581" s="7" t="n">
        <v>2971.38</v>
      </c>
      <c r="C3581" s="7" t="n">
        <f aca="false">AVERAGE(B3532:B3581)</f>
        <v>2908.819</v>
      </c>
      <c r="D3581" s="7" t="n">
        <f aca="false">AVERAGE(B3382:B3581)</f>
        <v>2784.39205</v>
      </c>
      <c r="E3581" s="7" t="n">
        <f aca="false">B3581/MAX(B3330:B3581)-1</f>
        <v>-0.00197832242289075</v>
      </c>
      <c r="F3581" s="7" t="str">
        <f aca="false">IFERROR(INDEX(02_轉折點45個!B:B,MATCH(A3581,02_轉折點45個!A:A,0)),"")</f>
        <v/>
      </c>
      <c r="G3581" s="7" t="s">
        <v>1994</v>
      </c>
    </row>
    <row r="3582" customFormat="false" ht="15" hidden="false" customHeight="false" outlineLevel="0" collapsed="false">
      <c r="A3582" s="7" t="s">
        <v>4892</v>
      </c>
      <c r="B3582" s="7" t="n">
        <v>2975.07</v>
      </c>
      <c r="C3582" s="7" t="n">
        <f aca="false">AVERAGE(B3533:B3582)</f>
        <v>2911.3592</v>
      </c>
      <c r="D3582" s="7" t="n">
        <f aca="false">AVERAGE(B3383:B3582)</f>
        <v>2786.3357</v>
      </c>
      <c r="E3582" s="7" t="n">
        <f aca="false">B3582/MAX(B3331:B3582)-1</f>
        <v>-0.00073893197459407</v>
      </c>
      <c r="F3582" s="7" t="str">
        <f aca="false">IFERROR(INDEX(02_轉折點45個!B:B,MATCH(A3582,02_轉折點45個!A:A,0)),"")</f>
        <v/>
      </c>
      <c r="G3582" s="7" t="s">
        <v>1994</v>
      </c>
    </row>
    <row r="3583" customFormat="false" ht="15" hidden="false" customHeight="false" outlineLevel="0" collapsed="false">
      <c r="A3583" s="7" t="s">
        <v>1037</v>
      </c>
      <c r="B3583" s="7" t="n">
        <v>2985.12</v>
      </c>
      <c r="C3583" s="7" t="n">
        <f aca="false">AVERAGE(B3534:B3583)</f>
        <v>2914.2232</v>
      </c>
      <c r="D3583" s="7" t="n">
        <f aca="false">AVERAGE(B3384:B3583)</f>
        <v>2788.20445</v>
      </c>
      <c r="E3583" s="7" t="n">
        <f aca="false">B3583/MAX(B3332:B3583)-1</f>
        <v>0</v>
      </c>
      <c r="F3583" s="7" t="str">
        <f aca="false">IFERROR(INDEX(02_轉折點45個!B:B,MATCH(A3583,02_轉折點45個!A:A,0)),"")</f>
        <v/>
      </c>
      <c r="G3583" s="7" t="s">
        <v>1994</v>
      </c>
    </row>
    <row r="3584" customFormat="false" ht="15" hidden="false" customHeight="false" outlineLevel="0" collapsed="false">
      <c r="A3584" s="7" t="s">
        <v>4893</v>
      </c>
      <c r="B3584" s="7" t="n">
        <v>2959.22</v>
      </c>
      <c r="C3584" s="7" t="n">
        <f aca="false">AVERAGE(B3535:B3584)</f>
        <v>2916.4456</v>
      </c>
      <c r="D3584" s="7" t="n">
        <f aca="false">AVERAGE(B3385:B3584)</f>
        <v>2790.1661</v>
      </c>
      <c r="E3584" s="7" t="n">
        <f aca="false">B3584/MAX(B3333:B3584)-1</f>
        <v>-0.00867636811920458</v>
      </c>
      <c r="F3584" s="7" t="str">
        <f aca="false">IFERROR(INDEX(02_轉折點45個!B:B,MATCH(A3584,02_轉折點45個!A:A,0)),"")</f>
        <v/>
      </c>
      <c r="G3584" s="7" t="s">
        <v>1994</v>
      </c>
    </row>
    <row r="3585" customFormat="false" ht="15" hidden="false" customHeight="false" outlineLevel="0" collapsed="false">
      <c r="A3585" s="7" t="s">
        <v>4894</v>
      </c>
      <c r="B3585" s="7" t="n">
        <v>2973.55</v>
      </c>
      <c r="C3585" s="7" t="n">
        <f aca="false">AVERAGE(B3536:B3585)</f>
        <v>2918.6174</v>
      </c>
      <c r="D3585" s="7" t="n">
        <f aca="false">AVERAGE(B3386:B3585)</f>
        <v>2792.0471</v>
      </c>
      <c r="E3585" s="7" t="n">
        <f aca="false">B3585/MAX(B3334:B3585)-1</f>
        <v>-0.00387589108645536</v>
      </c>
      <c r="F3585" s="7" t="str">
        <f aca="false">IFERROR(INDEX(02_轉折點45個!B:B,MATCH(A3585,02_轉折點45個!A:A,0)),"")</f>
        <v/>
      </c>
      <c r="G3585" s="7" t="s">
        <v>1994</v>
      </c>
    </row>
    <row r="3586" customFormat="false" ht="15" hidden="false" customHeight="false" outlineLevel="0" collapsed="false">
      <c r="A3586" s="7" t="s">
        <v>4895</v>
      </c>
      <c r="B3586" s="7" t="n">
        <v>2940.42</v>
      </c>
      <c r="C3586" s="7" t="n">
        <f aca="false">AVERAGE(B3537:B3586)</f>
        <v>2920.15</v>
      </c>
      <c r="D3586" s="7" t="n">
        <f aca="false">AVERAGE(B3387:B3586)</f>
        <v>2793.87415</v>
      </c>
      <c r="E3586" s="7" t="n">
        <f aca="false">B3586/MAX(B3335:B3586)-1</f>
        <v>-0.0149742723910596</v>
      </c>
      <c r="F3586" s="7" t="str">
        <f aca="false">IFERROR(INDEX(02_轉折點45個!B:B,MATCH(A3586,02_轉折點45個!A:A,0)),"")</f>
        <v/>
      </c>
      <c r="G3586" s="7" t="s">
        <v>1994</v>
      </c>
    </row>
    <row r="3587" customFormat="false" ht="15" hidden="false" customHeight="false" outlineLevel="0" collapsed="false">
      <c r="A3587" s="7" t="s">
        <v>1038</v>
      </c>
      <c r="B3587" s="7" t="n">
        <v>2946.25</v>
      </c>
      <c r="C3587" s="7" t="n">
        <f aca="false">AVERAGE(B3538:B3587)</f>
        <v>2921.6446</v>
      </c>
      <c r="D3587" s="7" t="n">
        <f aca="false">AVERAGE(B3388:B3587)</f>
        <v>2795.64945</v>
      </c>
      <c r="E3587" s="7" t="n">
        <f aca="false">B3587/MAX(B3336:B3587)-1</f>
        <v>-0.0130212520769684</v>
      </c>
      <c r="F3587" s="7" t="str">
        <f aca="false">IFERROR(INDEX(02_轉折點45個!B:B,MATCH(A3587,02_轉折點45個!A:A,0)),"")</f>
        <v/>
      </c>
      <c r="G3587" s="7" t="s">
        <v>1994</v>
      </c>
    </row>
    <row r="3588" customFormat="false" ht="15" hidden="false" customHeight="false" outlineLevel="0" collapsed="false">
      <c r="A3588" s="7" t="s">
        <v>1039</v>
      </c>
      <c r="B3588" s="7" t="n">
        <v>2926.96</v>
      </c>
      <c r="C3588" s="7" t="n">
        <f aca="false">AVERAGE(B3539:B3588)</f>
        <v>2922.5616</v>
      </c>
      <c r="D3588" s="7" t="n">
        <f aca="false">AVERAGE(B3389:B3588)</f>
        <v>2797.1617</v>
      </c>
      <c r="E3588" s="7" t="n">
        <f aca="false">B3588/MAX(B3337:B3588)-1</f>
        <v>-0.0194833038537814</v>
      </c>
      <c r="F3588" s="7" t="str">
        <f aca="false">IFERROR(INDEX(02_轉折點45個!B:B,MATCH(A3588,02_轉折點45個!A:A,0)),"")</f>
        <v/>
      </c>
      <c r="G3588" s="7" t="s">
        <v>1994</v>
      </c>
    </row>
    <row r="3589" customFormat="false" ht="15" hidden="false" customHeight="false" outlineLevel="0" collapsed="false">
      <c r="A3589" s="7" t="s">
        <v>4896</v>
      </c>
      <c r="B3589" s="7" t="n">
        <v>2943.76</v>
      </c>
      <c r="C3589" s="7" t="n">
        <f aca="false">AVERAGE(B3540:B3589)</f>
        <v>2924.2402</v>
      </c>
      <c r="D3589" s="7" t="n">
        <f aca="false">AVERAGE(B3390:B3589)</f>
        <v>2798.65505</v>
      </c>
      <c r="E3589" s="7" t="n">
        <f aca="false">B3589/MAX(B3338:B3589)-1</f>
        <v>-0.0138553893980811</v>
      </c>
      <c r="F3589" s="7" t="str">
        <f aca="false">IFERROR(INDEX(02_轉折點45個!B:B,MATCH(A3589,02_轉折點45個!A:A,0)),"")</f>
        <v/>
      </c>
      <c r="G3589" s="7" t="s">
        <v>1994</v>
      </c>
    </row>
    <row r="3590" customFormat="false" ht="15" hidden="false" customHeight="false" outlineLevel="0" collapsed="false">
      <c r="A3590" s="7" t="s">
        <v>4897</v>
      </c>
      <c r="B3590" s="7" t="n">
        <v>2958.02</v>
      </c>
      <c r="C3590" s="7" t="n">
        <f aca="false">AVERAGE(B3541:B3590)</f>
        <v>2925.8508</v>
      </c>
      <c r="D3590" s="7" t="n">
        <f aca="false">AVERAGE(B3391:B3590)</f>
        <v>2800.0624</v>
      </c>
      <c r="E3590" s="7" t="n">
        <f aca="false">B3590/MAX(B3339:B3590)-1</f>
        <v>-0.00907836200889745</v>
      </c>
      <c r="F3590" s="7" t="str">
        <f aca="false">IFERROR(INDEX(02_轉折點45個!B:B,MATCH(A3590,02_轉折點45個!A:A,0)),"")</f>
        <v/>
      </c>
      <c r="G3590" s="7" t="s">
        <v>1994</v>
      </c>
    </row>
    <row r="3591" customFormat="false" ht="15" hidden="false" customHeight="false" outlineLevel="0" collapsed="false">
      <c r="A3591" s="7" t="s">
        <v>1040</v>
      </c>
      <c r="B3591" s="7" t="n">
        <v>3012.28</v>
      </c>
      <c r="C3591" s="7" t="n">
        <f aca="false">AVERAGE(B3542:B3591)</f>
        <v>2928.4628</v>
      </c>
      <c r="D3591" s="7" t="n">
        <f aca="false">AVERAGE(B3392:B3591)</f>
        <v>2801.7379</v>
      </c>
      <c r="E3591" s="7" t="n">
        <f aca="false">B3591/MAX(B3340:B3591)-1</f>
        <v>0</v>
      </c>
      <c r="F3591" s="7" t="str">
        <f aca="false">IFERROR(INDEX(02_轉折點45個!B:B,MATCH(A3591,02_轉折點45個!A:A,0)),"")</f>
        <v/>
      </c>
      <c r="G3591" s="7" t="s">
        <v>1994</v>
      </c>
    </row>
    <row r="3592" customFormat="false" ht="15" hidden="false" customHeight="false" outlineLevel="0" collapsed="false">
      <c r="A3592" s="7" t="s">
        <v>1041</v>
      </c>
      <c r="B3592" s="7" t="n">
        <v>3014.94</v>
      </c>
      <c r="C3592" s="7" t="n">
        <f aca="false">AVERAGE(B3543:B3592)</f>
        <v>2931.1396</v>
      </c>
      <c r="D3592" s="7" t="n">
        <f aca="false">AVERAGE(B3393:B3592)</f>
        <v>2803.75265</v>
      </c>
      <c r="E3592" s="7" t="n">
        <f aca="false">B3592/MAX(B3341:B3592)-1</f>
        <v>0</v>
      </c>
      <c r="F3592" s="7" t="str">
        <f aca="false">IFERROR(INDEX(02_轉折點45個!B:B,MATCH(A3592,02_轉折點45個!A:A,0)),"")</f>
        <v/>
      </c>
      <c r="G3592" s="7" t="s">
        <v>1994</v>
      </c>
    </row>
    <row r="3593" customFormat="false" ht="15" hidden="false" customHeight="false" outlineLevel="0" collapsed="false">
      <c r="A3593" s="7" t="s">
        <v>4898</v>
      </c>
      <c r="B3593" s="7" t="n">
        <v>3010.18</v>
      </c>
      <c r="C3593" s="7" t="n">
        <f aca="false">AVERAGE(B3544:B3593)</f>
        <v>2933.9286</v>
      </c>
      <c r="D3593" s="7" t="n">
        <f aca="false">AVERAGE(B3394:B3593)</f>
        <v>2805.59135</v>
      </c>
      <c r="E3593" s="7" t="n">
        <f aca="false">B3593/MAX(B3342:B3593)-1</f>
        <v>-0.00157880422164292</v>
      </c>
      <c r="F3593" s="7" t="str">
        <f aca="false">IFERROR(INDEX(02_轉折點45個!B:B,MATCH(A3593,02_轉折點45個!A:A,0)),"")</f>
        <v/>
      </c>
      <c r="G3593" s="7" t="s">
        <v>1994</v>
      </c>
    </row>
    <row r="3594" customFormat="false" ht="15" hidden="false" customHeight="false" outlineLevel="0" collapsed="false">
      <c r="A3594" s="7" t="s">
        <v>4899</v>
      </c>
      <c r="B3594" s="7" t="n">
        <v>2938.5</v>
      </c>
      <c r="C3594" s="7" t="n">
        <f aca="false">AVERAGE(B3545:B3594)</f>
        <v>2935.2874</v>
      </c>
      <c r="D3594" s="7" t="n">
        <f aca="false">AVERAGE(B3395:B3594)</f>
        <v>2807.32865</v>
      </c>
      <c r="E3594" s="7" t="n">
        <f aca="false">B3594/MAX(B3343:B3594)-1</f>
        <v>-0.0253537383828534</v>
      </c>
      <c r="F3594" s="7" t="str">
        <f aca="false">IFERROR(INDEX(02_轉折點45個!B:B,MATCH(A3594,02_轉折點45個!A:A,0)),"")</f>
        <v/>
      </c>
      <c r="G3594" s="7" t="s">
        <v>1994</v>
      </c>
    </row>
    <row r="3595" customFormat="false" ht="15" hidden="false" customHeight="false" outlineLevel="0" collapsed="false">
      <c r="A3595" s="7" t="s">
        <v>4900</v>
      </c>
      <c r="B3595" s="7" t="n">
        <v>2982.48</v>
      </c>
      <c r="C3595" s="7" t="n">
        <f aca="false">AVERAGE(B3546:B3595)</f>
        <v>2936.8502</v>
      </c>
      <c r="D3595" s="7" t="n">
        <f aca="false">AVERAGE(B3396:B3595)</f>
        <v>2809.2041</v>
      </c>
      <c r="E3595" s="7" t="n">
        <f aca="false">B3595/MAX(B3344:B3595)-1</f>
        <v>-0.0107663834106152</v>
      </c>
      <c r="F3595" s="7" t="str">
        <f aca="false">IFERROR(INDEX(02_轉折點45個!B:B,MATCH(A3595,02_轉折點45個!A:A,0)),"")</f>
        <v/>
      </c>
      <c r="G3595" s="7" t="s">
        <v>1994</v>
      </c>
    </row>
    <row r="3596" customFormat="false" ht="15" hidden="false" customHeight="false" outlineLevel="0" collapsed="false">
      <c r="A3596" s="7" t="s">
        <v>4901</v>
      </c>
      <c r="B3596" s="7" t="n">
        <v>2927.7</v>
      </c>
      <c r="C3596" s="7" t="n">
        <f aca="false">AVERAGE(B3547:B3596)</f>
        <v>2938.1932</v>
      </c>
      <c r="D3596" s="7" t="n">
        <f aca="false">AVERAGE(B3397:B3596)</f>
        <v>2810.70855</v>
      </c>
      <c r="E3596" s="7" t="n">
        <f aca="false">B3596/MAX(B3345:B3596)-1</f>
        <v>-0.0289358992218751</v>
      </c>
      <c r="F3596" s="7" t="str">
        <f aca="false">IFERROR(INDEX(02_轉折點45個!B:B,MATCH(A3596,02_轉折點45個!A:A,0)),"")</f>
        <v/>
      </c>
      <c r="G3596" s="7" t="s">
        <v>1994</v>
      </c>
    </row>
    <row r="3597" customFormat="false" ht="15" hidden="false" customHeight="false" outlineLevel="0" collapsed="false">
      <c r="A3597" s="7" t="s">
        <v>1042</v>
      </c>
      <c r="B3597" s="7" t="n">
        <v>2892.7</v>
      </c>
      <c r="C3597" s="7" t="n">
        <f aca="false">AVERAGE(B3548:B3597)</f>
        <v>2938.0978</v>
      </c>
      <c r="D3597" s="7" t="n">
        <f aca="false">AVERAGE(B3398:B3597)</f>
        <v>2812.15595</v>
      </c>
      <c r="E3597" s="7" t="n">
        <f aca="false">B3597/MAX(B3346:B3597)-1</f>
        <v>-0.0405447537927787</v>
      </c>
      <c r="F3597" s="7" t="str">
        <f aca="false">IFERROR(INDEX(02_轉折點45個!B:B,MATCH(A3597,02_轉折點45個!A:A,0)),"")</f>
        <v/>
      </c>
      <c r="G3597" s="7" t="s">
        <v>1994</v>
      </c>
    </row>
    <row r="3598" customFormat="false" ht="15" hidden="false" customHeight="false" outlineLevel="0" collapsed="false">
      <c r="A3598" s="7" t="s">
        <v>4902</v>
      </c>
      <c r="B3598" s="7" t="n">
        <v>2928.97</v>
      </c>
      <c r="C3598" s="7" t="n">
        <f aca="false">AVERAGE(B3549:B3598)</f>
        <v>2938.7844</v>
      </c>
      <c r="D3598" s="7" t="n">
        <f aca="false">AVERAGE(B3399:B3598)</f>
        <v>2813.3939</v>
      </c>
      <c r="E3598" s="7" t="n">
        <f aca="false">B3598/MAX(B3347:B3598)-1</f>
        <v>-0.0285146636417309</v>
      </c>
      <c r="F3598" s="7" t="str">
        <f aca="false">IFERROR(INDEX(02_轉折點45個!B:B,MATCH(A3598,02_轉折點45個!A:A,0)),"")</f>
        <v/>
      </c>
      <c r="G3598" s="7" t="s">
        <v>1994</v>
      </c>
    </row>
    <row r="3599" customFormat="false" ht="15" hidden="false" customHeight="false" outlineLevel="0" collapsed="false">
      <c r="A3599" s="7" t="s">
        <v>4903</v>
      </c>
      <c r="B3599" s="7" t="n">
        <v>2954.08</v>
      </c>
      <c r="C3599" s="7" t="n">
        <f aca="false">AVERAGE(B3550:B3599)</f>
        <v>2940.0344</v>
      </c>
      <c r="D3599" s="7" t="n">
        <f aca="false">AVERAGE(B3400:B3599)</f>
        <v>2814.6835</v>
      </c>
      <c r="E3599" s="7" t="n">
        <f aca="false">B3599/MAX(B3348:B3599)-1</f>
        <v>-0.0201861396910055</v>
      </c>
      <c r="F3599" s="7" t="str">
        <f aca="false">IFERROR(INDEX(02_轉折點45個!B:B,MATCH(A3599,02_轉折點45個!A:A,0)),"")</f>
        <v/>
      </c>
      <c r="G3599" s="7" t="s">
        <v>1994</v>
      </c>
    </row>
    <row r="3600" customFormat="false" ht="15" hidden="false" customHeight="false" outlineLevel="0" collapsed="false">
      <c r="A3600" s="7" t="s">
        <v>4904</v>
      </c>
      <c r="B3600" s="7" t="n">
        <v>2986.77</v>
      </c>
      <c r="C3600" s="7" t="n">
        <f aca="false">AVERAGE(B3551:B3600)</f>
        <v>2941.4132</v>
      </c>
      <c r="D3600" s="7" t="n">
        <f aca="false">AVERAGE(B3401:B3600)</f>
        <v>2816.023</v>
      </c>
      <c r="E3600" s="7" t="n">
        <f aca="false">B3600/MAX(B3349:B3600)-1</f>
        <v>-0.00934346952178156</v>
      </c>
      <c r="F3600" s="7" t="str">
        <f aca="false">IFERROR(INDEX(02_轉折點45個!B:B,MATCH(A3600,02_轉折點45個!A:A,0)),"")</f>
        <v/>
      </c>
      <c r="G3600" s="7" t="s">
        <v>1994</v>
      </c>
    </row>
    <row r="3601" customFormat="false" ht="15" hidden="false" customHeight="false" outlineLevel="0" collapsed="false">
      <c r="A3601" s="7" t="s">
        <v>4905</v>
      </c>
      <c r="B3601" s="7" t="n">
        <v>2987.06</v>
      </c>
      <c r="C3601" s="7" t="n">
        <f aca="false">AVERAGE(B3552:B3601)</f>
        <v>2942.832</v>
      </c>
      <c r="D3601" s="7" t="n">
        <f aca="false">AVERAGE(B3402:B3601)</f>
        <v>2817.3638</v>
      </c>
      <c r="E3601" s="7" t="n">
        <f aca="false">B3601/MAX(B3350:B3601)-1</f>
        <v>-0.00924728186962265</v>
      </c>
      <c r="F3601" s="7" t="str">
        <f aca="false">IFERROR(INDEX(02_轉折點45個!B:B,MATCH(A3601,02_轉折點45個!A:A,0)),"")</f>
        <v/>
      </c>
      <c r="G3601" s="7" t="s">
        <v>1994</v>
      </c>
    </row>
    <row r="3602" customFormat="false" ht="15" hidden="false" customHeight="false" outlineLevel="0" collapsed="false">
      <c r="A3602" s="7" t="s">
        <v>4906</v>
      </c>
      <c r="B3602" s="7" t="n">
        <v>3005.64</v>
      </c>
      <c r="C3602" s="7" t="n">
        <f aca="false">AVERAGE(B3553:B3602)</f>
        <v>2944.723</v>
      </c>
      <c r="D3602" s="7" t="n">
        <f aca="false">AVERAGE(B3403:B3602)</f>
        <v>2818.9747</v>
      </c>
      <c r="E3602" s="7" t="n">
        <f aca="false">B3602/MAX(B3351:B3602)-1</f>
        <v>-0.00308463850026874</v>
      </c>
      <c r="F3602" s="7" t="str">
        <f aca="false">IFERROR(INDEX(02_轉折點45個!B:B,MATCH(A3602,02_轉折點45個!A:A,0)),"")</f>
        <v/>
      </c>
      <c r="G3602" s="7" t="s">
        <v>1994</v>
      </c>
    </row>
    <row r="3603" customFormat="false" ht="15" hidden="false" customHeight="false" outlineLevel="0" collapsed="false">
      <c r="A3603" s="7" t="s">
        <v>4907</v>
      </c>
      <c r="B3603" s="7" t="n">
        <v>2995.84</v>
      </c>
      <c r="C3603" s="7" t="n">
        <f aca="false">AVERAGE(B3554:B3603)</f>
        <v>2946.2282</v>
      </c>
      <c r="D3603" s="7" t="n">
        <f aca="false">AVERAGE(B3404:B3603)</f>
        <v>2820.562</v>
      </c>
      <c r="E3603" s="7" t="n">
        <f aca="false">B3603/MAX(B3352:B3603)-1</f>
        <v>-0.00633511778012164</v>
      </c>
      <c r="F3603" s="7" t="str">
        <f aca="false">IFERROR(INDEX(02_轉折點45個!B:B,MATCH(A3603,02_轉折點45個!A:A,0)),"")</f>
        <v/>
      </c>
      <c r="G3603" s="7" t="s">
        <v>1994</v>
      </c>
    </row>
    <row r="3604" customFormat="false" ht="15" hidden="false" customHeight="false" outlineLevel="0" collapsed="false">
      <c r="A3604" s="7" t="s">
        <v>1043</v>
      </c>
      <c r="B3604" s="7" t="n">
        <v>3021.2</v>
      </c>
      <c r="C3604" s="7" t="n">
        <f aca="false">AVERAGE(B3555:B3604)</f>
        <v>2948.208</v>
      </c>
      <c r="D3604" s="7" t="n">
        <f aca="false">AVERAGE(B3405:B3604)</f>
        <v>2822.41055</v>
      </c>
      <c r="E3604" s="7" t="n">
        <f aca="false">B3604/MAX(B3353:B3604)-1</f>
        <v>0</v>
      </c>
      <c r="F3604" s="7" t="str">
        <f aca="false">IFERROR(INDEX(02_轉折點45個!B:B,MATCH(A3604,02_轉折點45個!A:A,0)),"")</f>
        <v/>
      </c>
      <c r="G3604" s="7" t="s">
        <v>1994</v>
      </c>
    </row>
    <row r="3605" customFormat="false" ht="15" hidden="false" customHeight="false" outlineLevel="0" collapsed="false">
      <c r="A3605" s="7" t="s">
        <v>4908</v>
      </c>
      <c r="B3605" s="7" t="n">
        <v>3041.09</v>
      </c>
      <c r="C3605" s="7" t="n">
        <f aca="false">AVERAGE(B3556:B3605)</f>
        <v>2950.7068</v>
      </c>
      <c r="D3605" s="7" t="n">
        <f aca="false">AVERAGE(B3406:B3605)</f>
        <v>2824.4241</v>
      </c>
      <c r="E3605" s="7" t="n">
        <f aca="false">B3605/MAX(B3354:B3605)-1</f>
        <v>0</v>
      </c>
      <c r="F3605" s="7" t="str">
        <f aca="false">IFERROR(INDEX(02_轉折點45個!B:B,MATCH(A3605,02_轉折點45個!A:A,0)),"")</f>
        <v/>
      </c>
      <c r="G3605" s="7" t="s">
        <v>1994</v>
      </c>
    </row>
    <row r="3606" customFormat="false" ht="15" hidden="false" customHeight="false" outlineLevel="0" collapsed="false">
      <c r="A3606" s="7" t="s">
        <v>4909</v>
      </c>
      <c r="B3606" s="7" t="n">
        <v>3013.99</v>
      </c>
      <c r="C3606" s="7" t="n">
        <f aca="false">AVERAGE(B3557:B3606)</f>
        <v>2952.2696</v>
      </c>
      <c r="D3606" s="7" t="n">
        <f aca="false">AVERAGE(B3407:B3606)</f>
        <v>2826.4017</v>
      </c>
      <c r="E3606" s="7" t="n">
        <f aca="false">B3606/MAX(B3355:B3606)-1</f>
        <v>-0.00891127852184592</v>
      </c>
      <c r="F3606" s="7" t="str">
        <f aca="false">IFERROR(INDEX(02_轉折點45個!B:B,MATCH(A3606,02_轉折點45個!A:A,0)),"")</f>
        <v/>
      </c>
      <c r="G3606" s="7" t="s">
        <v>1994</v>
      </c>
    </row>
    <row r="3607" customFormat="false" ht="15" hidden="false" customHeight="false" outlineLevel="0" collapsed="false">
      <c r="A3607" s="7" t="s">
        <v>1044</v>
      </c>
      <c r="B3607" s="7" t="n">
        <v>3051.9</v>
      </c>
      <c r="C3607" s="7" t="n">
        <f aca="false">AVERAGE(B3558:B3607)</f>
        <v>2955.4892</v>
      </c>
      <c r="D3607" s="7" t="n">
        <f aca="false">AVERAGE(B3408:B3607)</f>
        <v>2828.3757</v>
      </c>
      <c r="E3607" s="7" t="n">
        <f aca="false">B3607/MAX(B3356:B3607)-1</f>
        <v>0</v>
      </c>
      <c r="F3607" s="7" t="str">
        <f aca="false">IFERROR(INDEX(02_轉折點45個!B:B,MATCH(A3607,02_轉折點45個!A:A,0)),"")</f>
        <v/>
      </c>
      <c r="G3607" s="7" t="s">
        <v>1994</v>
      </c>
    </row>
    <row r="3608" customFormat="false" ht="15" hidden="false" customHeight="false" outlineLevel="0" collapsed="false">
      <c r="A3608" s="7" t="s">
        <v>4910</v>
      </c>
      <c r="B3608" s="7" t="n">
        <v>3086.62</v>
      </c>
      <c r="C3608" s="7" t="n">
        <f aca="false">AVERAGE(B3559:B3608)</f>
        <v>2960.0048</v>
      </c>
      <c r="D3608" s="7" t="n">
        <f aca="false">AVERAGE(B3409:B3608)</f>
        <v>2830.57595</v>
      </c>
      <c r="E3608" s="7" t="n">
        <f aca="false">B3608/MAX(B3357:B3608)-1</f>
        <v>0</v>
      </c>
      <c r="F3608" s="7" t="str">
        <f aca="false">IFERROR(INDEX(02_轉折點45個!B:B,MATCH(A3608,02_轉折點45個!A:A,0)),"")</f>
        <v/>
      </c>
      <c r="G3608" s="7" t="s">
        <v>1994</v>
      </c>
    </row>
    <row r="3609" customFormat="false" ht="15" hidden="false" customHeight="false" outlineLevel="0" collapsed="false">
      <c r="A3609" s="7" t="s">
        <v>4911</v>
      </c>
      <c r="B3609" s="7" t="n">
        <v>3099.72</v>
      </c>
      <c r="C3609" s="7" t="n">
        <f aca="false">AVERAGE(B3560:B3609)</f>
        <v>2964.2282</v>
      </c>
      <c r="D3609" s="7" t="n">
        <f aca="false">AVERAGE(B3410:B3609)</f>
        <v>2832.7819</v>
      </c>
      <c r="E3609" s="7" t="n">
        <f aca="false">B3609/MAX(B3358:B3609)-1</f>
        <v>0</v>
      </c>
      <c r="F3609" s="7" t="str">
        <f aca="false">IFERROR(INDEX(02_轉折點45個!B:B,MATCH(A3609,02_轉折點45個!A:A,0)),"")</f>
        <v/>
      </c>
      <c r="G3609" s="7" t="s">
        <v>1994</v>
      </c>
    </row>
    <row r="3610" customFormat="false" ht="15" hidden="false" customHeight="false" outlineLevel="0" collapsed="false">
      <c r="A3610" s="7" t="s">
        <v>4912</v>
      </c>
      <c r="B3610" s="7" t="n">
        <v>3103.07</v>
      </c>
      <c r="C3610" s="7" t="n">
        <f aca="false">AVERAGE(B3561:B3610)</f>
        <v>2969.3512</v>
      </c>
      <c r="D3610" s="7" t="n">
        <f aca="false">AVERAGE(B3411:B3610)</f>
        <v>2834.85585</v>
      </c>
      <c r="E3610" s="7" t="n">
        <f aca="false">B3610/MAX(B3359:B3610)-1</f>
        <v>0</v>
      </c>
      <c r="F3610" s="7" t="str">
        <f aca="false">IFERROR(INDEX(02_轉折點45個!B:B,MATCH(A3610,02_轉折點45個!A:A,0)),"")</f>
        <v/>
      </c>
      <c r="G3610" s="7" t="s">
        <v>1994</v>
      </c>
    </row>
    <row r="3611" customFormat="false" ht="15" hidden="false" customHeight="false" outlineLevel="0" collapsed="false">
      <c r="A3611" s="7" t="s">
        <v>4913</v>
      </c>
      <c r="B3611" s="7" t="n">
        <v>3118.27</v>
      </c>
      <c r="C3611" s="7" t="n">
        <f aca="false">AVERAGE(B3562:B3611)</f>
        <v>2974.5334</v>
      </c>
      <c r="D3611" s="7" t="n">
        <f aca="false">AVERAGE(B3412:B3611)</f>
        <v>2836.8994</v>
      </c>
      <c r="E3611" s="7" t="n">
        <f aca="false">B3611/MAX(B3360:B3611)-1</f>
        <v>0</v>
      </c>
      <c r="F3611" s="7" t="str">
        <f aca="false">IFERROR(INDEX(02_轉折點45個!B:B,MATCH(A3611,02_轉折點45個!A:A,0)),"")</f>
        <v/>
      </c>
      <c r="G3611" s="7" t="s">
        <v>1994</v>
      </c>
    </row>
    <row r="3612" customFormat="false" ht="15" hidden="false" customHeight="false" outlineLevel="0" collapsed="false">
      <c r="A3612" s="7" t="s">
        <v>4914</v>
      </c>
      <c r="B3612" s="7" t="n">
        <v>3114.52</v>
      </c>
      <c r="C3612" s="7" t="n">
        <f aca="false">AVERAGE(B3563:B3612)</f>
        <v>2979.0448</v>
      </c>
      <c r="D3612" s="7" t="n">
        <f aca="false">AVERAGE(B3413:B3612)</f>
        <v>2839.10965</v>
      </c>
      <c r="E3612" s="7" t="n">
        <f aca="false">B3612/MAX(B3361:B3612)-1</f>
        <v>-0.00120258989760347</v>
      </c>
      <c r="F3612" s="7" t="str">
        <f aca="false">IFERROR(INDEX(02_轉折點45個!B:B,MATCH(A3612,02_轉折點45個!A:A,0)),"")</f>
        <v/>
      </c>
      <c r="G3612" s="7" t="s">
        <v>1994</v>
      </c>
    </row>
    <row r="3613" customFormat="false" ht="15" hidden="false" customHeight="false" outlineLevel="0" collapsed="false">
      <c r="A3613" s="7" t="s">
        <v>4915</v>
      </c>
      <c r="B3613" s="7" t="n">
        <v>3139.57</v>
      </c>
      <c r="C3613" s="7" t="n">
        <f aca="false">AVERAGE(B3564:B3613)</f>
        <v>2984.095</v>
      </c>
      <c r="D3613" s="7" t="n">
        <f aca="false">AVERAGE(B3414:B3613)</f>
        <v>2841.6057</v>
      </c>
      <c r="E3613" s="7" t="n">
        <f aca="false">B3613/MAX(B3362:B3613)-1</f>
        <v>0</v>
      </c>
      <c r="F3613" s="7" t="str">
        <f aca="false">IFERROR(INDEX(02_轉折點45個!B:B,MATCH(A3613,02_轉折點45個!A:A,0)),"")</f>
        <v/>
      </c>
      <c r="G3613" s="7" t="s">
        <v>1994</v>
      </c>
    </row>
    <row r="3614" customFormat="false" ht="15" hidden="false" customHeight="false" outlineLevel="0" collapsed="false">
      <c r="A3614" s="7" t="s">
        <v>4916</v>
      </c>
      <c r="B3614" s="7" t="n">
        <v>3141.58</v>
      </c>
      <c r="C3614" s="7" t="n">
        <f aca="false">AVERAGE(B3565:B3614)</f>
        <v>2989.0108</v>
      </c>
      <c r="D3614" s="7" t="n">
        <f aca="false">AVERAGE(B3415:B3614)</f>
        <v>2844.23585</v>
      </c>
      <c r="E3614" s="7" t="n">
        <f aca="false">B3614/MAX(B3363:B3614)-1</f>
        <v>0</v>
      </c>
      <c r="F3614" s="7" t="str">
        <f aca="false">IFERROR(INDEX(02_轉折點45個!B:B,MATCH(A3614,02_轉折點45個!A:A,0)),"")</f>
        <v/>
      </c>
      <c r="G3614" s="7" t="s">
        <v>1994</v>
      </c>
    </row>
    <row r="3615" customFormat="false" ht="15" hidden="false" customHeight="false" outlineLevel="0" collapsed="false">
      <c r="A3615" s="7" t="s">
        <v>4917</v>
      </c>
      <c r="B3615" s="7" t="n">
        <v>3163.35</v>
      </c>
      <c r="C3615" s="7" t="n">
        <f aca="false">AVERAGE(B3566:B3615)</f>
        <v>2994.1374</v>
      </c>
      <c r="D3615" s="7" t="n">
        <f aca="false">AVERAGE(B3416:B3615)</f>
        <v>2847.0148</v>
      </c>
      <c r="E3615" s="7" t="n">
        <f aca="false">B3615/MAX(B3364:B3615)-1</f>
        <v>0</v>
      </c>
      <c r="F3615" s="7" t="str">
        <f aca="false">IFERROR(INDEX(02_轉折點45個!B:B,MATCH(A3615,02_轉折點45個!A:A,0)),"")</f>
        <v/>
      </c>
      <c r="G3615" s="7" t="s">
        <v>1994</v>
      </c>
    </row>
    <row r="3616" customFormat="false" ht="15" hidden="false" customHeight="false" outlineLevel="0" collapsed="false">
      <c r="A3616" s="7" t="s">
        <v>4918</v>
      </c>
      <c r="B3616" s="7" t="n">
        <v>3171.58</v>
      </c>
      <c r="C3616" s="7" t="n">
        <f aca="false">AVERAGE(B3567:B3616)</f>
        <v>2998.6594</v>
      </c>
      <c r="D3616" s="7" t="n">
        <f aca="false">AVERAGE(B3417:B3616)</f>
        <v>2849.65675</v>
      </c>
      <c r="E3616" s="7" t="n">
        <f aca="false">B3616/MAX(B3365:B3616)-1</f>
        <v>0</v>
      </c>
      <c r="F3616" s="7" t="str">
        <f aca="false">IFERROR(INDEX(02_轉折點45個!B:B,MATCH(A3616,02_轉折點45個!A:A,0)),"")</f>
        <v/>
      </c>
      <c r="G3616" s="7" t="s">
        <v>1994</v>
      </c>
    </row>
    <row r="3617" customFormat="false" ht="15" hidden="false" customHeight="false" outlineLevel="0" collapsed="false">
      <c r="A3617" s="7" t="s">
        <v>4919</v>
      </c>
      <c r="B3617" s="7" t="n">
        <v>3165.75</v>
      </c>
      <c r="C3617" s="7" t="n">
        <f aca="false">AVERAGE(B3568:B3617)</f>
        <v>3003.097</v>
      </c>
      <c r="D3617" s="7" t="n">
        <f aca="false">AVERAGE(B3418:B3617)</f>
        <v>2851.97335</v>
      </c>
      <c r="E3617" s="7" t="n">
        <f aca="false">B3617/MAX(B3366:B3617)-1</f>
        <v>-0.00183820051835359</v>
      </c>
      <c r="F3617" s="7" t="str">
        <f aca="false">IFERROR(INDEX(02_轉折點45個!B:B,MATCH(A3617,02_轉折點45個!A:A,0)),"")</f>
        <v/>
      </c>
      <c r="G3617" s="7" t="s">
        <v>1994</v>
      </c>
    </row>
    <row r="3618" customFormat="false" ht="15" hidden="false" customHeight="false" outlineLevel="0" collapsed="false">
      <c r="A3618" s="7" t="s">
        <v>4920</v>
      </c>
      <c r="B3618" s="7" t="n">
        <v>3196.56</v>
      </c>
      <c r="C3618" s="7" t="n">
        <f aca="false">AVERAGE(B3569:B3618)</f>
        <v>3007.9732</v>
      </c>
      <c r="D3618" s="7" t="n">
        <f aca="false">AVERAGE(B3419:B3618)</f>
        <v>2854.49995</v>
      </c>
      <c r="E3618" s="7" t="n">
        <f aca="false">B3618/MAX(B3367:B3618)-1</f>
        <v>0</v>
      </c>
      <c r="F3618" s="7" t="str">
        <f aca="false">IFERROR(INDEX(02_轉折點45個!B:B,MATCH(A3618,02_轉折點45個!A:A,0)),"")</f>
        <v/>
      </c>
      <c r="G3618" s="7" t="s">
        <v>1994</v>
      </c>
    </row>
    <row r="3619" customFormat="false" ht="15" hidden="false" customHeight="false" outlineLevel="0" collapsed="false">
      <c r="A3619" s="7" t="s">
        <v>4921</v>
      </c>
      <c r="B3619" s="7" t="n">
        <v>3194.24</v>
      </c>
      <c r="C3619" s="7" t="n">
        <f aca="false">AVERAGE(B3570:B3619)</f>
        <v>3012.5786</v>
      </c>
      <c r="D3619" s="7" t="n">
        <f aca="false">AVERAGE(B3420:B3619)</f>
        <v>2857.0438</v>
      </c>
      <c r="E3619" s="7" t="n">
        <f aca="false">B3619/MAX(B3368:B3619)-1</f>
        <v>-0.000725780213729821</v>
      </c>
      <c r="F3619" s="7" t="str">
        <f aca="false">IFERROR(INDEX(02_轉折點45個!B:B,MATCH(A3619,02_轉折點45個!A:A,0)),"")</f>
        <v/>
      </c>
      <c r="G3619" s="7" t="s">
        <v>1994</v>
      </c>
    </row>
    <row r="3620" customFormat="false" ht="15" hidden="false" customHeight="false" outlineLevel="0" collapsed="false">
      <c r="A3620" s="7" t="s">
        <v>4922</v>
      </c>
      <c r="B3620" s="7" t="n">
        <v>3199.44</v>
      </c>
      <c r="C3620" s="7" t="n">
        <f aca="false">AVERAGE(B3571:B3620)</f>
        <v>3017.1328</v>
      </c>
      <c r="D3620" s="7" t="n">
        <f aca="false">AVERAGE(B3421:B3620)</f>
        <v>2859.7019</v>
      </c>
      <c r="E3620" s="7" t="n">
        <f aca="false">B3620/MAX(B3369:B3620)-1</f>
        <v>0</v>
      </c>
      <c r="F3620" s="7" t="str">
        <f aca="false">IFERROR(INDEX(02_轉折點45個!B:B,MATCH(A3620,02_轉折點45個!A:A,0)),"")</f>
        <v/>
      </c>
      <c r="G3620" s="7" t="s">
        <v>1994</v>
      </c>
    </row>
    <row r="3621" customFormat="false" ht="15" hidden="false" customHeight="false" outlineLevel="0" collapsed="false">
      <c r="A3621" s="7" t="s">
        <v>4923</v>
      </c>
      <c r="B3621" s="7" t="n">
        <v>3163.98</v>
      </c>
      <c r="C3621" s="7" t="n">
        <f aca="false">AVERAGE(B3572:B3621)</f>
        <v>3021.1706</v>
      </c>
      <c r="D3621" s="7" t="n">
        <f aca="false">AVERAGE(B3422:B3621)</f>
        <v>2862.23035</v>
      </c>
      <c r="E3621" s="7" t="n">
        <f aca="false">B3621/MAX(B3370:B3621)-1</f>
        <v>-0.0110831895581727</v>
      </c>
      <c r="F3621" s="7" t="str">
        <f aca="false">IFERROR(INDEX(02_轉折點45個!B:B,MATCH(A3621,02_轉折點45個!A:A,0)),"")</f>
        <v/>
      </c>
      <c r="G3621" s="7" t="s">
        <v>1994</v>
      </c>
    </row>
    <row r="3622" customFormat="false" ht="15" hidden="false" customHeight="false" outlineLevel="0" collapsed="false">
      <c r="A3622" s="7" t="s">
        <v>4924</v>
      </c>
      <c r="B3622" s="7" t="n">
        <v>3160.43</v>
      </c>
      <c r="C3622" s="7" t="n">
        <f aca="false">AVERAGE(B3573:B3622)</f>
        <v>3025.0862</v>
      </c>
      <c r="D3622" s="7" t="n">
        <f aca="false">AVERAGE(B3423:B3622)</f>
        <v>2864.47555</v>
      </c>
      <c r="E3622" s="7" t="n">
        <f aca="false">B3622/MAX(B3371:B3622)-1</f>
        <v>-0.0121927587327783</v>
      </c>
      <c r="F3622" s="7" t="str">
        <f aca="false">IFERROR(INDEX(02_轉折點45個!B:B,MATCH(A3622,02_轉折點45個!A:A,0)),"")</f>
        <v/>
      </c>
      <c r="G3622" s="7" t="s">
        <v>1994</v>
      </c>
    </row>
    <row r="3623" customFormat="false" ht="15" hidden="false" customHeight="false" outlineLevel="0" collapsed="false">
      <c r="A3623" s="7" t="s">
        <v>4925</v>
      </c>
      <c r="B3623" s="7" t="n">
        <v>3160.18</v>
      </c>
      <c r="C3623" s="7" t="n">
        <f aca="false">AVERAGE(B3574:B3623)</f>
        <v>3028.7444</v>
      </c>
      <c r="D3623" s="7" t="n">
        <f aca="false">AVERAGE(B3424:B3623)</f>
        <v>2866.61895</v>
      </c>
      <c r="E3623" s="7" t="n">
        <f aca="false">B3623/MAX(B3372:B3623)-1</f>
        <v>-0.0122708974070463</v>
      </c>
      <c r="F3623" s="7" t="str">
        <f aca="false">IFERROR(INDEX(02_轉折點45個!B:B,MATCH(A3623,02_轉折點45個!A:A,0)),"")</f>
        <v/>
      </c>
      <c r="G3623" s="7" t="s">
        <v>1994</v>
      </c>
    </row>
    <row r="3624" customFormat="false" ht="15" hidden="false" customHeight="false" outlineLevel="0" collapsed="false">
      <c r="A3624" s="7" t="s">
        <v>1045</v>
      </c>
      <c r="B3624" s="7" t="n">
        <v>3187.35</v>
      </c>
      <c r="C3624" s="7" t="n">
        <f aca="false">AVERAGE(B3575:B3624)</f>
        <v>3033.1262</v>
      </c>
      <c r="D3624" s="7" t="n">
        <f aca="false">AVERAGE(B3425:B3624)</f>
        <v>2868.77965</v>
      </c>
      <c r="E3624" s="7" t="n">
        <f aca="false">B3624/MAX(B3373:B3624)-1</f>
        <v>-0.00377878628760042</v>
      </c>
      <c r="F3624" s="7" t="str">
        <f aca="false">IFERROR(INDEX(02_轉折點45個!B:B,MATCH(A3624,02_轉折點45個!A:A,0)),"")</f>
        <v/>
      </c>
      <c r="G3624" s="7" t="s">
        <v>1994</v>
      </c>
    </row>
    <row r="3625" customFormat="false" ht="15" hidden="false" customHeight="false" outlineLevel="0" collapsed="false">
      <c r="A3625" s="7" t="s">
        <v>1046</v>
      </c>
      <c r="B3625" s="7" t="n">
        <v>3167.83</v>
      </c>
      <c r="C3625" s="7" t="n">
        <f aca="false">AVERAGE(B3576:B3625)</f>
        <v>3037.3274</v>
      </c>
      <c r="D3625" s="7" t="n">
        <f aca="false">AVERAGE(B3426:B3625)</f>
        <v>2870.8638</v>
      </c>
      <c r="E3625" s="7" t="n">
        <f aca="false">B3625/MAX(B3374:B3625)-1</f>
        <v>-0.00987985397444557</v>
      </c>
      <c r="F3625" s="7" t="str">
        <f aca="false">IFERROR(INDEX(02_轉折點45個!B:B,MATCH(A3625,02_轉折點45個!A:A,0)),"")</f>
        <v/>
      </c>
      <c r="G3625" s="7" t="s">
        <v>1994</v>
      </c>
    </row>
    <row r="3626" customFormat="false" ht="15" hidden="false" customHeight="false" outlineLevel="0" collapsed="false">
      <c r="A3626" s="7" t="s">
        <v>4926</v>
      </c>
      <c r="B3626" s="7" t="n">
        <v>3189.56</v>
      </c>
      <c r="C3626" s="7" t="n">
        <f aca="false">AVERAGE(B3577:B3626)</f>
        <v>3042.1182</v>
      </c>
      <c r="D3626" s="7" t="n">
        <f aca="false">AVERAGE(B3427:B3626)</f>
        <v>2873.02285</v>
      </c>
      <c r="E3626" s="7" t="n">
        <f aca="false">B3626/MAX(B3375:B3626)-1</f>
        <v>-0.00308804040707122</v>
      </c>
      <c r="F3626" s="7" t="str">
        <f aca="false">IFERROR(INDEX(02_轉折點45個!B:B,MATCH(A3626,02_轉折點45個!A:A,0)),"")</f>
        <v/>
      </c>
      <c r="G3626" s="7" t="s">
        <v>1994</v>
      </c>
    </row>
    <row r="3627" customFormat="false" ht="15" hidden="false" customHeight="false" outlineLevel="0" collapsed="false">
      <c r="A3627" s="7" t="s">
        <v>4927</v>
      </c>
      <c r="B3627" s="7" t="n">
        <v>3157.22</v>
      </c>
      <c r="C3627" s="7" t="n">
        <f aca="false">AVERAGE(B3578:B3627)</f>
        <v>3045.8038</v>
      </c>
      <c r="D3627" s="7" t="n">
        <f aca="false">AVERAGE(B3428:B3627)</f>
        <v>2875.01005</v>
      </c>
      <c r="E3627" s="7" t="n">
        <f aca="false">B3627/MAX(B3376:B3627)-1</f>
        <v>-0.0131960593103794</v>
      </c>
      <c r="F3627" s="7" t="str">
        <f aca="false">IFERROR(INDEX(02_轉折點45個!B:B,MATCH(A3627,02_轉折點45個!A:A,0)),"")</f>
        <v/>
      </c>
      <c r="G3627" s="7" t="s">
        <v>1994</v>
      </c>
    </row>
    <row r="3628" customFormat="false" ht="15" hidden="false" customHeight="false" outlineLevel="0" collapsed="false">
      <c r="A3628" s="7" t="s">
        <v>4928</v>
      </c>
      <c r="B3628" s="7" t="n">
        <v>3165.87</v>
      </c>
      <c r="C3628" s="7" t="n">
        <f aca="false">AVERAGE(B3579:B3628)</f>
        <v>3050.2396</v>
      </c>
      <c r="D3628" s="7" t="n">
        <f aca="false">AVERAGE(B3429:B3628)</f>
        <v>2877.03295</v>
      </c>
      <c r="E3628" s="7" t="n">
        <f aca="false">B3628/MAX(B3377:B3628)-1</f>
        <v>-0.0104924611807067</v>
      </c>
      <c r="F3628" s="7" t="str">
        <f aca="false">IFERROR(INDEX(02_轉折點45個!B:B,MATCH(A3628,02_轉折點45個!A:A,0)),"")</f>
        <v/>
      </c>
      <c r="G3628" s="7" t="s">
        <v>1994</v>
      </c>
    </row>
    <row r="3629" customFormat="false" ht="15" hidden="false" customHeight="false" outlineLevel="0" collapsed="false">
      <c r="A3629" s="7" t="s">
        <v>4929</v>
      </c>
      <c r="B3629" s="7" t="n">
        <v>3147.5</v>
      </c>
      <c r="C3629" s="7" t="n">
        <f aca="false">AVERAGE(B3580:B3629)</f>
        <v>3053.8988</v>
      </c>
      <c r="D3629" s="7" t="n">
        <f aca="false">AVERAGE(B3430:B3629)</f>
        <v>2878.9893</v>
      </c>
      <c r="E3629" s="7" t="n">
        <f aca="false">B3629/MAX(B3378:B3629)-1</f>
        <v>-0.0162340909659191</v>
      </c>
      <c r="F3629" s="7" t="str">
        <f aca="false">IFERROR(INDEX(02_轉折點45個!B:B,MATCH(A3629,02_轉折點45個!A:A,0)),"")</f>
        <v/>
      </c>
      <c r="G3629" s="7" t="s">
        <v>1994</v>
      </c>
    </row>
    <row r="3630" customFormat="false" ht="15" hidden="false" customHeight="false" outlineLevel="0" collapsed="false">
      <c r="A3630" s="7" t="s">
        <v>1047</v>
      </c>
      <c r="B3630" s="7" t="n">
        <v>3107.5</v>
      </c>
      <c r="C3630" s="7" t="n">
        <f aca="false">AVERAGE(B3581:B3630)</f>
        <v>3056.9352</v>
      </c>
      <c r="D3630" s="7" t="n">
        <f aca="false">AVERAGE(B3431:B3630)</f>
        <v>2880.68195</v>
      </c>
      <c r="E3630" s="7" t="n">
        <f aca="false">B3630/MAX(B3379:B3630)-1</f>
        <v>-0.0287362788487986</v>
      </c>
      <c r="F3630" s="7" t="str">
        <f aca="false">IFERROR(INDEX(02_轉折點45個!B:B,MATCH(A3630,02_轉折點45個!A:A,0)),"")</f>
        <v/>
      </c>
      <c r="G3630" s="7" t="s">
        <v>1994</v>
      </c>
    </row>
    <row r="3631" customFormat="false" ht="15" hidden="false" customHeight="false" outlineLevel="0" collapsed="false">
      <c r="A3631" s="7" t="s">
        <v>4930</v>
      </c>
      <c r="B3631" s="7" t="n">
        <v>3128.12</v>
      </c>
      <c r="C3631" s="7" t="n">
        <f aca="false">AVERAGE(B3582:B3631)</f>
        <v>3060.07</v>
      </c>
      <c r="D3631" s="7" t="n">
        <f aca="false">AVERAGE(B3432:B3631)</f>
        <v>2882.33395</v>
      </c>
      <c r="E3631" s="7" t="n">
        <f aca="false">B3631/MAX(B3380:B3631)-1</f>
        <v>-0.0222914009951742</v>
      </c>
      <c r="F3631" s="7" t="str">
        <f aca="false">IFERROR(INDEX(02_轉折點45個!B:B,MATCH(A3631,02_轉折點45個!A:A,0)),"")</f>
        <v/>
      </c>
      <c r="G3631" s="7" t="s">
        <v>1994</v>
      </c>
    </row>
    <row r="3632" customFormat="false" ht="15" hidden="false" customHeight="false" outlineLevel="0" collapsed="false">
      <c r="A3632" s="7" t="s">
        <v>4931</v>
      </c>
      <c r="B3632" s="7" t="n">
        <v>3169.38</v>
      </c>
      <c r="C3632" s="7" t="n">
        <f aca="false">AVERAGE(B3583:B3632)</f>
        <v>3063.9562</v>
      </c>
      <c r="D3632" s="7" t="n">
        <f aca="false">AVERAGE(B3433:B3632)</f>
        <v>2884.1274</v>
      </c>
      <c r="E3632" s="7" t="n">
        <f aca="false">B3632/MAX(B3381:B3632)-1</f>
        <v>-0.00939539419398394</v>
      </c>
      <c r="F3632" s="7" t="str">
        <f aca="false">IFERROR(INDEX(02_轉折點45個!B:B,MATCH(A3632,02_轉折點45個!A:A,0)),"")</f>
        <v/>
      </c>
      <c r="G3632" s="7" t="s">
        <v>1994</v>
      </c>
    </row>
    <row r="3633" customFormat="false" ht="15" hidden="false" customHeight="false" outlineLevel="0" collapsed="false">
      <c r="A3633" s="7" t="s">
        <v>4932</v>
      </c>
      <c r="B3633" s="7" t="n">
        <v>3173.54</v>
      </c>
      <c r="C3633" s="7" t="n">
        <f aca="false">AVERAGE(B3584:B3633)</f>
        <v>3067.7246</v>
      </c>
      <c r="D3633" s="7" t="n">
        <f aca="false">AVERAGE(B3434:B3633)</f>
        <v>2885.9434</v>
      </c>
      <c r="E3633" s="7" t="n">
        <f aca="false">B3633/MAX(B3382:B3633)-1</f>
        <v>-0.00809516665416454</v>
      </c>
      <c r="F3633" s="7" t="str">
        <f aca="false">IFERROR(INDEX(02_轉折點45個!B:B,MATCH(A3633,02_轉折點45個!A:A,0)),"")</f>
        <v/>
      </c>
      <c r="G3633" s="7" t="s">
        <v>1994</v>
      </c>
    </row>
    <row r="3634" customFormat="false" ht="15" hidden="false" customHeight="false" outlineLevel="0" collapsed="false">
      <c r="A3634" s="7" t="s">
        <v>4933</v>
      </c>
      <c r="B3634" s="7" t="n">
        <v>3139.9</v>
      </c>
      <c r="C3634" s="7" t="n">
        <f aca="false">AVERAGE(B3585:B3634)</f>
        <v>3071.3382</v>
      </c>
      <c r="D3634" s="7" t="n">
        <f aca="false">AVERAGE(B3435:B3634)</f>
        <v>2887.6321</v>
      </c>
      <c r="E3634" s="7" t="n">
        <f aca="false">B3634/MAX(B3383:B3634)-1</f>
        <v>-0.0186095066636661</v>
      </c>
      <c r="F3634" s="7" t="str">
        <f aca="false">IFERROR(INDEX(02_轉折點45個!B:B,MATCH(A3634,02_轉折點45個!A:A,0)),"")</f>
        <v/>
      </c>
      <c r="G3634" s="7" t="s">
        <v>1994</v>
      </c>
    </row>
    <row r="3635" customFormat="false" ht="15" hidden="false" customHeight="false" outlineLevel="0" collapsed="false">
      <c r="A3635" s="7" t="s">
        <v>4934</v>
      </c>
      <c r="B3635" s="7" t="n">
        <v>3106.54</v>
      </c>
      <c r="C3635" s="7" t="n">
        <f aca="false">AVERAGE(B3586:B3635)</f>
        <v>3073.998</v>
      </c>
      <c r="D3635" s="7" t="n">
        <f aca="false">AVERAGE(B3436:B3635)</f>
        <v>2889.1247</v>
      </c>
      <c r="E3635" s="7" t="n">
        <f aca="false">B3635/MAX(B3384:B3635)-1</f>
        <v>-0.0290363313579877</v>
      </c>
      <c r="F3635" s="7" t="str">
        <f aca="false">IFERROR(INDEX(02_轉折點45個!B:B,MATCH(A3635,02_轉折點45個!A:A,0)),"")</f>
        <v/>
      </c>
      <c r="G3635" s="7" t="s">
        <v>1994</v>
      </c>
    </row>
    <row r="3636" customFormat="false" ht="15" hidden="false" customHeight="false" outlineLevel="0" collapsed="false">
      <c r="A3636" s="7" t="s">
        <v>4935</v>
      </c>
      <c r="B3636" s="7" t="n">
        <v>3147.59</v>
      </c>
      <c r="C3636" s="7" t="n">
        <f aca="false">AVERAGE(B3587:B3636)</f>
        <v>3078.1414</v>
      </c>
      <c r="D3636" s="7" t="n">
        <f aca="false">AVERAGE(B3437:B3636)</f>
        <v>2890.91515</v>
      </c>
      <c r="E3636" s="7" t="n">
        <f aca="false">B3636/MAX(B3385:B3636)-1</f>
        <v>-0.0162059610431825</v>
      </c>
      <c r="F3636" s="7" t="str">
        <f aca="false">IFERROR(INDEX(02_轉折點45個!B:B,MATCH(A3636,02_轉折點45個!A:A,0)),"")</f>
        <v/>
      </c>
      <c r="G3636" s="7" t="s">
        <v>1994</v>
      </c>
    </row>
    <row r="3637" customFormat="false" ht="15" hidden="false" customHeight="false" outlineLevel="0" collapsed="false">
      <c r="A3637" s="7" t="s">
        <v>1048</v>
      </c>
      <c r="B3637" s="7" t="n">
        <v>3127.67</v>
      </c>
      <c r="C3637" s="7" t="n">
        <f aca="false">AVERAGE(B3588:B3637)</f>
        <v>3081.7698</v>
      </c>
      <c r="D3637" s="7" t="n">
        <f aca="false">AVERAGE(B3438:B3637)</f>
        <v>2892.5311</v>
      </c>
      <c r="E3637" s="7" t="n">
        <f aca="false">B3637/MAX(B3386:B3637)-1</f>
        <v>-0.0224320506088566</v>
      </c>
      <c r="F3637" s="7" t="str">
        <f aca="false">IFERROR(INDEX(02_轉折點45個!B:B,MATCH(A3637,02_轉折點45個!A:A,0)),"")</f>
        <v/>
      </c>
      <c r="G3637" s="7" t="s">
        <v>1994</v>
      </c>
    </row>
    <row r="3638" customFormat="false" ht="15" hidden="false" customHeight="false" outlineLevel="0" collapsed="false">
      <c r="A3638" s="7" t="s">
        <v>4936</v>
      </c>
      <c r="B3638" s="7" t="n">
        <v>3153.77</v>
      </c>
      <c r="C3638" s="7" t="n">
        <f aca="false">AVERAGE(B3589:B3638)</f>
        <v>3086.306</v>
      </c>
      <c r="D3638" s="7" t="n">
        <f aca="false">AVERAGE(B3439:B3638)</f>
        <v>2894.26205</v>
      </c>
      <c r="E3638" s="7" t="n">
        <f aca="false">B3638/MAX(B3387:B3638)-1</f>
        <v>-0.0142743730152777</v>
      </c>
      <c r="F3638" s="7" t="str">
        <f aca="false">IFERROR(INDEX(02_轉折點45個!B:B,MATCH(A3638,02_轉折點45個!A:A,0)),"")</f>
        <v/>
      </c>
      <c r="G3638" s="7" t="s">
        <v>1994</v>
      </c>
    </row>
    <row r="3639" customFormat="false" ht="15" hidden="false" customHeight="false" outlineLevel="0" collapsed="false">
      <c r="A3639" s="7" t="s">
        <v>4937</v>
      </c>
      <c r="B3639" s="7" t="n">
        <v>3181.22</v>
      </c>
      <c r="C3639" s="7" t="n">
        <f aca="false">AVERAGE(B3590:B3639)</f>
        <v>3091.0552</v>
      </c>
      <c r="D3639" s="7" t="n">
        <f aca="false">AVERAGE(B3440:B3639)</f>
        <v>2896.1122</v>
      </c>
      <c r="E3639" s="7" t="n">
        <f aca="false">B3639/MAX(B3388:B3639)-1</f>
        <v>-0.00569474658065172</v>
      </c>
      <c r="F3639" s="7" t="str">
        <f aca="false">IFERROR(INDEX(02_轉折點45個!B:B,MATCH(A3639,02_轉折點45個!A:A,0)),"")</f>
        <v/>
      </c>
      <c r="G3639" s="7" t="s">
        <v>1994</v>
      </c>
    </row>
    <row r="3640" customFormat="false" ht="15" hidden="false" customHeight="false" outlineLevel="0" collapsed="false">
      <c r="A3640" s="7" t="s">
        <v>4938</v>
      </c>
      <c r="B3640" s="7" t="n">
        <v>3145.61</v>
      </c>
      <c r="C3640" s="7" t="n">
        <f aca="false">AVERAGE(B3591:B3640)</f>
        <v>3094.807</v>
      </c>
      <c r="D3640" s="7" t="n">
        <f aca="false">AVERAGE(B3441:B3640)</f>
        <v>2897.7658</v>
      </c>
      <c r="E3640" s="7" t="n">
        <f aca="false">B3640/MAX(B3389:B3640)-1</f>
        <v>-0.0168248193433851</v>
      </c>
      <c r="F3640" s="7" t="str">
        <f aca="false">IFERROR(INDEX(02_轉折點45個!B:B,MATCH(A3640,02_轉折點45個!A:A,0)),"")</f>
        <v/>
      </c>
      <c r="G3640" s="7" t="s">
        <v>1994</v>
      </c>
    </row>
    <row r="3641" customFormat="false" ht="15" hidden="false" customHeight="false" outlineLevel="0" collapsed="false">
      <c r="A3641" s="7" t="s">
        <v>1049</v>
      </c>
      <c r="B3641" s="7" t="n">
        <v>3073.84</v>
      </c>
      <c r="C3641" s="7" t="n">
        <f aca="false">AVERAGE(B3592:B3641)</f>
        <v>3096.0382</v>
      </c>
      <c r="D3641" s="7" t="n">
        <f aca="false">AVERAGE(B3442:B3641)</f>
        <v>2899.2089</v>
      </c>
      <c r="E3641" s="7" t="n">
        <f aca="false">B3641/MAX(B3390:B3641)-1</f>
        <v>-0.0392568699522416</v>
      </c>
      <c r="F3641" s="7" t="str">
        <f aca="false">IFERROR(INDEX(02_轉折點45個!B:B,MATCH(A3641,02_轉折點45個!A:A,0)),"")</f>
        <v/>
      </c>
      <c r="G3641" s="7" t="s">
        <v>1994</v>
      </c>
    </row>
    <row r="3642" customFormat="false" ht="15" hidden="false" customHeight="false" outlineLevel="0" collapsed="false">
      <c r="A3642" s="7" t="s">
        <v>4939</v>
      </c>
      <c r="B3642" s="7" t="n">
        <v>3067.09</v>
      </c>
      <c r="C3642" s="7" t="n">
        <f aca="false">AVERAGE(B3593:B3642)</f>
        <v>3097.0812</v>
      </c>
      <c r="D3642" s="7" t="n">
        <f aca="false">AVERAGE(B3443:B3642)</f>
        <v>2900.5349</v>
      </c>
      <c r="E3642" s="7" t="n">
        <f aca="false">B3642/MAX(B3391:B3642)-1</f>
        <v>-0.0413666141574776</v>
      </c>
      <c r="F3642" s="7" t="str">
        <f aca="false">IFERROR(INDEX(02_轉折點45個!B:B,MATCH(A3642,02_轉折點45個!A:A,0)),"")</f>
        <v/>
      </c>
      <c r="G3642" s="7" t="s">
        <v>1994</v>
      </c>
    </row>
    <row r="3643" customFormat="false" ht="15" hidden="false" customHeight="false" outlineLevel="0" collapsed="false">
      <c r="A3643" s="7" t="s">
        <v>4940</v>
      </c>
      <c r="B3643" s="7" t="n">
        <v>3033.76</v>
      </c>
      <c r="C3643" s="7" t="n">
        <f aca="false">AVERAGE(B3594:B3643)</f>
        <v>3097.5528</v>
      </c>
      <c r="D3643" s="7" t="n">
        <f aca="false">AVERAGE(B3444:B3643)</f>
        <v>2901.65725</v>
      </c>
      <c r="E3643" s="7" t="n">
        <f aca="false">B3643/MAX(B3392:B3643)-1</f>
        <v>-0.0517840622108868</v>
      </c>
      <c r="F3643" s="7" t="str">
        <f aca="false">IFERROR(INDEX(02_轉折點45個!B:B,MATCH(A3643,02_轉折點45個!A:A,0)),"")</f>
        <v/>
      </c>
      <c r="G3643" s="7" t="s">
        <v>1994</v>
      </c>
    </row>
    <row r="3644" customFormat="false" ht="15" hidden="false" customHeight="false" outlineLevel="0" collapsed="false">
      <c r="A3644" s="7" t="s">
        <v>1050</v>
      </c>
      <c r="B3644" s="7" t="n">
        <v>3058.54</v>
      </c>
      <c r="C3644" s="7" t="n">
        <f aca="false">AVERAGE(B3595:B3644)</f>
        <v>3099.9536</v>
      </c>
      <c r="D3644" s="7" t="n">
        <f aca="false">AVERAGE(B3445:B3644)</f>
        <v>2902.92995</v>
      </c>
      <c r="E3644" s="7" t="n">
        <f aca="false">B3644/MAX(B3393:B3644)-1</f>
        <v>-0.0440389568174431</v>
      </c>
      <c r="F3644" s="7" t="str">
        <f aca="false">IFERROR(INDEX(02_轉折點45個!B:B,MATCH(A3644,02_轉折點45個!A:A,0)),"")</f>
        <v/>
      </c>
      <c r="G3644" s="7" t="s">
        <v>1994</v>
      </c>
    </row>
    <row r="3645" customFormat="false" ht="15" hidden="false" customHeight="false" outlineLevel="0" collapsed="false">
      <c r="A3645" s="7" t="s">
        <v>4941</v>
      </c>
      <c r="B3645" s="7" t="n">
        <v>3084.42</v>
      </c>
      <c r="C3645" s="7" t="n">
        <f aca="false">AVERAGE(B3596:B3645)</f>
        <v>3101.9924</v>
      </c>
      <c r="D3645" s="7" t="n">
        <f aca="false">AVERAGE(B3446:B3645)</f>
        <v>2904.0281</v>
      </c>
      <c r="E3645" s="7" t="n">
        <f aca="false">B3645/MAX(B3394:B3645)-1</f>
        <v>-0.03595004125722</v>
      </c>
      <c r="F3645" s="7" t="str">
        <f aca="false">IFERROR(INDEX(02_轉折點45個!B:B,MATCH(A3645,02_轉折點45個!A:A,0)),"")</f>
        <v/>
      </c>
      <c r="G3645" s="7" t="s">
        <v>1994</v>
      </c>
    </row>
    <row r="3646" customFormat="false" ht="15" hidden="false" customHeight="false" outlineLevel="0" collapsed="false">
      <c r="A3646" s="7" t="s">
        <v>4942</v>
      </c>
      <c r="B3646" s="7" t="n">
        <v>3107.85</v>
      </c>
      <c r="C3646" s="7" t="n">
        <f aca="false">AVERAGE(B3597:B3646)</f>
        <v>3105.5954</v>
      </c>
      <c r="D3646" s="7" t="n">
        <f aca="false">AVERAGE(B3447:B3646)</f>
        <v>2905.2406</v>
      </c>
      <c r="E3646" s="7" t="n">
        <f aca="false">B3646/MAX(B3395:B3646)-1</f>
        <v>-0.0286268847048234</v>
      </c>
      <c r="F3646" s="7" t="str">
        <f aca="false">IFERROR(INDEX(02_轉折點45個!B:B,MATCH(A3646,02_轉折點45個!A:A,0)),"")</f>
        <v/>
      </c>
      <c r="G3646" s="7" t="s">
        <v>1994</v>
      </c>
    </row>
    <row r="3647" customFormat="false" ht="15" hidden="false" customHeight="false" outlineLevel="0" collapsed="false">
      <c r="A3647" s="7" t="s">
        <v>1051</v>
      </c>
      <c r="B3647" s="7" t="n">
        <v>3109.12</v>
      </c>
      <c r="C3647" s="7" t="n">
        <f aca="false">AVERAGE(B3598:B3647)</f>
        <v>3109.9238</v>
      </c>
      <c r="D3647" s="7" t="n">
        <f aca="false">AVERAGE(B3448:B3647)</f>
        <v>2906.60745</v>
      </c>
      <c r="E3647" s="7" t="n">
        <f aca="false">B3647/MAX(B3396:B3647)-1</f>
        <v>-0.028229940239542</v>
      </c>
      <c r="F3647" s="7" t="str">
        <f aca="false">IFERROR(INDEX(02_轉折點45個!B:B,MATCH(A3647,02_轉折點45個!A:A,0)),"")</f>
        <v/>
      </c>
      <c r="G3647" s="7" t="s">
        <v>1994</v>
      </c>
    </row>
    <row r="3648" customFormat="false" ht="15" hidden="false" customHeight="false" outlineLevel="0" collapsed="false">
      <c r="A3648" s="7" t="s">
        <v>4943</v>
      </c>
      <c r="B3648" s="7" t="n">
        <v>3137.66</v>
      </c>
      <c r="C3648" s="7" t="n">
        <f aca="false">AVERAGE(B3599:B3648)</f>
        <v>3114.0976</v>
      </c>
      <c r="D3648" s="7" t="n">
        <f aca="false">AVERAGE(B3449:B3648)</f>
        <v>2908.1147</v>
      </c>
      <c r="E3648" s="7" t="n">
        <f aca="false">B3648/MAX(B3397:B3648)-1</f>
        <v>-0.0193096291851075</v>
      </c>
      <c r="F3648" s="7" t="str">
        <f aca="false">IFERROR(INDEX(02_轉折點45個!B:B,MATCH(A3648,02_轉折點45個!A:A,0)),"")</f>
        <v/>
      </c>
      <c r="G3648" s="7" t="s">
        <v>1994</v>
      </c>
    </row>
    <row r="3649" customFormat="false" ht="15" hidden="false" customHeight="false" outlineLevel="0" collapsed="false">
      <c r="A3649" s="7" t="s">
        <v>4944</v>
      </c>
      <c r="B3649" s="7" t="n">
        <v>3136.66</v>
      </c>
      <c r="C3649" s="7" t="n">
        <f aca="false">AVERAGE(B3600:B3649)</f>
        <v>3117.7492</v>
      </c>
      <c r="D3649" s="7" t="n">
        <f aca="false">AVERAGE(B3450:B3649)</f>
        <v>2909.57225</v>
      </c>
      <c r="E3649" s="7" t="n">
        <f aca="false">B3649/MAX(B3398:B3649)-1</f>
        <v>-0.0196221838821794</v>
      </c>
      <c r="F3649" s="7" t="str">
        <f aca="false">IFERROR(INDEX(02_轉折點45個!B:B,MATCH(A3649,02_轉折點45個!A:A,0)),"")</f>
        <v/>
      </c>
      <c r="G3649" s="7" t="s">
        <v>1994</v>
      </c>
    </row>
    <row r="3650" customFormat="false" ht="15" hidden="false" customHeight="false" outlineLevel="0" collapsed="false">
      <c r="A3650" s="7" t="s">
        <v>4945</v>
      </c>
      <c r="B3650" s="7" t="n">
        <v>3146.04</v>
      </c>
      <c r="C3650" s="7" t="n">
        <f aca="false">AVERAGE(B3601:B3650)</f>
        <v>3120.9346</v>
      </c>
      <c r="D3650" s="7" t="n">
        <f aca="false">AVERAGE(B3451:B3650)</f>
        <v>2910.88705</v>
      </c>
      <c r="E3650" s="7" t="n">
        <f aca="false">B3650/MAX(B3399:B3650)-1</f>
        <v>-0.0166904208236441</v>
      </c>
      <c r="F3650" s="7" t="str">
        <f aca="false">IFERROR(INDEX(02_轉折點45個!B:B,MATCH(A3650,02_轉折點45個!A:A,0)),"")</f>
        <v/>
      </c>
      <c r="G3650" s="7" t="s">
        <v>1994</v>
      </c>
    </row>
    <row r="3651" customFormat="false" ht="15" hidden="false" customHeight="false" outlineLevel="0" collapsed="false">
      <c r="A3651" s="7" t="s">
        <v>4946</v>
      </c>
      <c r="B3651" s="7" t="n">
        <v>3178.67</v>
      </c>
      <c r="C3651" s="7" t="n">
        <f aca="false">AVERAGE(B3602:B3651)</f>
        <v>3124.7668</v>
      </c>
      <c r="D3651" s="7" t="n">
        <f aca="false">AVERAGE(B3452:B3651)</f>
        <v>2912.23655</v>
      </c>
      <c r="E3651" s="7" t="n">
        <f aca="false">B3651/MAX(B3400:B3651)-1</f>
        <v>-0.00649176105818516</v>
      </c>
      <c r="F3651" s="7" t="str">
        <f aca="false">IFERROR(INDEX(02_轉折點45個!B:B,MATCH(A3651,02_轉折點45個!A:A,0)),"")</f>
        <v/>
      </c>
      <c r="G3651" s="7" t="s">
        <v>1994</v>
      </c>
    </row>
    <row r="3652" customFormat="false" ht="15" hidden="false" customHeight="false" outlineLevel="0" collapsed="false">
      <c r="A3652" s="7" t="s">
        <v>4947</v>
      </c>
      <c r="B3652" s="7" t="n">
        <v>3183.65</v>
      </c>
      <c r="C3652" s="7" t="n">
        <f aca="false">AVERAGE(B3603:B3652)</f>
        <v>3128.327</v>
      </c>
      <c r="D3652" s="7" t="n">
        <f aca="false">AVERAGE(B3453:B3652)</f>
        <v>2913.63505</v>
      </c>
      <c r="E3652" s="7" t="n">
        <f aca="false">B3652/MAX(B3401:B3652)-1</f>
        <v>-0.00493523866676671</v>
      </c>
      <c r="F3652" s="7" t="str">
        <f aca="false">IFERROR(INDEX(02_轉折點45個!B:B,MATCH(A3652,02_轉折點45個!A:A,0)),"")</f>
        <v/>
      </c>
      <c r="G3652" s="7" t="s">
        <v>1994</v>
      </c>
    </row>
    <row r="3653" customFormat="false" ht="15" hidden="false" customHeight="false" outlineLevel="0" collapsed="false">
      <c r="A3653" s="7" t="s">
        <v>1052</v>
      </c>
      <c r="B3653" s="7" t="n">
        <v>3201.4</v>
      </c>
      <c r="C3653" s="7" t="n">
        <f aca="false">AVERAGE(B3604:B3653)</f>
        <v>3132.4382</v>
      </c>
      <c r="D3653" s="7" t="n">
        <f aca="false">AVERAGE(B3454:B3653)</f>
        <v>2915.1263</v>
      </c>
      <c r="E3653" s="7" t="n">
        <f aca="false">B3653/MAX(B3402:B3653)-1</f>
        <v>0</v>
      </c>
      <c r="F3653" s="7" t="str">
        <f aca="false">IFERROR(INDEX(02_轉折點45個!B:B,MATCH(A3653,02_轉折點45個!A:A,0)),"")</f>
        <v/>
      </c>
      <c r="G3653" s="7" t="s">
        <v>1994</v>
      </c>
    </row>
    <row r="3654" customFormat="false" ht="15" hidden="false" customHeight="false" outlineLevel="0" collapsed="false">
      <c r="A3654" s="7" t="s">
        <v>1053</v>
      </c>
      <c r="B3654" s="7" t="n">
        <v>3216.47</v>
      </c>
      <c r="C3654" s="7" t="n">
        <f aca="false">AVERAGE(B3605:B3654)</f>
        <v>3136.3436</v>
      </c>
      <c r="D3654" s="7" t="n">
        <f aca="false">AVERAGE(B3455:B3654)</f>
        <v>2916.6709</v>
      </c>
      <c r="E3654" s="7" t="n">
        <f aca="false">B3654/MAX(B3403:B3654)-1</f>
        <v>0</v>
      </c>
      <c r="F3654" s="7" t="str">
        <f aca="false">IFERROR(INDEX(02_轉折點45個!B:B,MATCH(A3654,02_轉折點45個!A:A,0)),"")</f>
        <v/>
      </c>
      <c r="G3654" s="7" t="s">
        <v>1994</v>
      </c>
    </row>
    <row r="3655" customFormat="false" ht="15" hidden="false" customHeight="false" outlineLevel="0" collapsed="false">
      <c r="A3655" s="7" t="s">
        <v>1054</v>
      </c>
      <c r="B3655" s="7" t="n">
        <v>3269.04</v>
      </c>
      <c r="C3655" s="7" t="n">
        <f aca="false">AVERAGE(B3606:B3655)</f>
        <v>3140.9026</v>
      </c>
      <c r="D3655" s="7" t="n">
        <f aca="false">AVERAGE(B3456:B3655)</f>
        <v>2918.50875</v>
      </c>
      <c r="E3655" s="7" t="n">
        <f aca="false">B3655/MAX(B3404:B3655)-1</f>
        <v>0</v>
      </c>
      <c r="F3655" s="7" t="str">
        <f aca="false">IFERROR(INDEX(02_轉折點45個!B:B,MATCH(A3655,02_轉折點45個!A:A,0)),"")</f>
        <v/>
      </c>
      <c r="G3655" s="7" t="s">
        <v>1994</v>
      </c>
    </row>
    <row r="3656" customFormat="false" ht="15" hidden="false" customHeight="false" outlineLevel="0" collapsed="false">
      <c r="A3656" s="7" t="s">
        <v>1055</v>
      </c>
      <c r="B3656" s="7" t="n">
        <v>3288.93</v>
      </c>
      <c r="C3656" s="7" t="n">
        <f aca="false">AVERAGE(B3607:B3656)</f>
        <v>3146.4014</v>
      </c>
      <c r="D3656" s="7" t="n">
        <f aca="false">AVERAGE(B3457:B3656)</f>
        <v>2920.4278</v>
      </c>
      <c r="E3656" s="7" t="n">
        <f aca="false">B3656/MAX(B3405:B3656)-1</f>
        <v>0</v>
      </c>
      <c r="F3656" s="7" t="str">
        <f aca="false">IFERROR(INDEX(02_轉折點45個!B:B,MATCH(A3656,02_轉折點45個!A:A,0)),"")</f>
        <v/>
      </c>
      <c r="G3656" s="7" t="s">
        <v>1994</v>
      </c>
    </row>
    <row r="3657" customFormat="false" ht="15" hidden="false" customHeight="false" outlineLevel="0" collapsed="false">
      <c r="A3657" s="7" t="s">
        <v>1056</v>
      </c>
      <c r="B3657" s="7" t="n">
        <v>3295.7</v>
      </c>
      <c r="C3657" s="7" t="n">
        <f aca="false">AVERAGE(B3608:B3657)</f>
        <v>3151.2774</v>
      </c>
      <c r="D3657" s="7" t="n">
        <f aca="false">AVERAGE(B3458:B3657)</f>
        <v>2922.4683</v>
      </c>
      <c r="E3657" s="7" t="n">
        <f aca="false">B3657/MAX(B3406:B3657)-1</f>
        <v>0</v>
      </c>
      <c r="F3657" s="7" t="str">
        <f aca="false">IFERROR(INDEX(02_轉折點45個!B:B,MATCH(A3657,02_轉折點45個!A:A,0)),"")</f>
        <v/>
      </c>
      <c r="G3657" s="7" t="s">
        <v>1994</v>
      </c>
    </row>
    <row r="3658" customFormat="false" ht="15" hidden="false" customHeight="false" outlineLevel="0" collapsed="false">
      <c r="A3658" s="7" t="s">
        <v>4948</v>
      </c>
      <c r="B3658" s="7" t="n">
        <v>3287.49</v>
      </c>
      <c r="C3658" s="7" t="n">
        <f aca="false">AVERAGE(B3609:B3658)</f>
        <v>3155.2948</v>
      </c>
      <c r="D3658" s="7" t="n">
        <f aca="false">AVERAGE(B3459:B3658)</f>
        <v>2924.6644</v>
      </c>
      <c r="E3658" s="7" t="n">
        <f aca="false">B3658/MAX(B3407:B3658)-1</f>
        <v>-0.0024911247989805</v>
      </c>
      <c r="F3658" s="7" t="str">
        <f aca="false">IFERROR(INDEX(02_轉折點45個!B:B,MATCH(A3658,02_轉折點45個!A:A,0)),"")</f>
        <v/>
      </c>
      <c r="G3658" s="7" t="s">
        <v>1994</v>
      </c>
    </row>
    <row r="3659" customFormat="false" ht="15" hidden="false" customHeight="false" outlineLevel="0" collapsed="false">
      <c r="A3659" s="7" t="s">
        <v>1057</v>
      </c>
      <c r="B3659" s="7" t="n">
        <v>3298</v>
      </c>
      <c r="C3659" s="7" t="n">
        <f aca="false">AVERAGE(B3610:B3659)</f>
        <v>3159.2604</v>
      </c>
      <c r="D3659" s="7" t="n">
        <f aca="false">AVERAGE(B3460:B3659)</f>
        <v>2927.0228</v>
      </c>
      <c r="E3659" s="7" t="n">
        <f aca="false">B3659/MAX(B3408:B3659)-1</f>
        <v>0</v>
      </c>
      <c r="F3659" s="7" t="str">
        <f aca="false">IFERROR(INDEX(02_轉折點45個!B:B,MATCH(A3659,02_轉折點45個!A:A,0)),"")</f>
        <v/>
      </c>
      <c r="G3659" s="7" t="s">
        <v>1994</v>
      </c>
    </row>
    <row r="3660" customFormat="false" ht="15" hidden="false" customHeight="false" outlineLevel="0" collapsed="false">
      <c r="A3660" s="7" t="s">
        <v>1058</v>
      </c>
      <c r="B3660" s="7" t="n">
        <v>3299.17</v>
      </c>
      <c r="C3660" s="7" t="n">
        <f aca="false">AVERAGE(B3611:B3660)</f>
        <v>3163.1824</v>
      </c>
      <c r="D3660" s="7" t="n">
        <f aca="false">AVERAGE(B3461:B3660)</f>
        <v>2929.1911</v>
      </c>
      <c r="E3660" s="7" t="n">
        <f aca="false">B3660/MAX(B3409:B3660)-1</f>
        <v>0</v>
      </c>
      <c r="F3660" s="7" t="str">
        <f aca="false">IFERROR(INDEX(02_轉折點45個!B:B,MATCH(A3660,02_轉折點45個!A:A,0)),"")</f>
        <v/>
      </c>
      <c r="G3660" s="7" t="s">
        <v>1994</v>
      </c>
    </row>
    <row r="3661" customFormat="false" ht="15" hidden="false" customHeight="false" outlineLevel="0" collapsed="false">
      <c r="A3661" s="7" t="s">
        <v>4949</v>
      </c>
      <c r="B3661" s="7" t="n">
        <v>3277.54</v>
      </c>
      <c r="C3661" s="7" t="n">
        <f aca="false">AVERAGE(B3612:B3661)</f>
        <v>3166.3678</v>
      </c>
      <c r="D3661" s="7" t="n">
        <f aca="false">AVERAGE(B3462:B3661)</f>
        <v>2931.3443</v>
      </c>
      <c r="E3661" s="7" t="n">
        <f aca="false">B3661/MAX(B3410:B3661)-1</f>
        <v>-0.00655619443678257</v>
      </c>
      <c r="F3661" s="7" t="str">
        <f aca="false">IFERROR(INDEX(02_轉折點45個!B:B,MATCH(A3661,02_轉折點45個!A:A,0)),"")</f>
        <v/>
      </c>
      <c r="G3661" s="7" t="s">
        <v>1994</v>
      </c>
    </row>
    <row r="3662" customFormat="false" ht="15" hidden="false" customHeight="false" outlineLevel="0" collapsed="false">
      <c r="A3662" s="7" t="s">
        <v>4950</v>
      </c>
      <c r="B3662" s="7" t="n">
        <v>3289.22</v>
      </c>
      <c r="C3662" s="7" t="n">
        <f aca="false">AVERAGE(B3613:B3662)</f>
        <v>3169.8618</v>
      </c>
      <c r="D3662" s="7" t="n">
        <f aca="false">AVERAGE(B3463:B3662)</f>
        <v>2933.5682</v>
      </c>
      <c r="E3662" s="7" t="n">
        <f aca="false">B3662/MAX(B3411:B3662)-1</f>
        <v>-0.0030159100622279</v>
      </c>
      <c r="F3662" s="7" t="str">
        <f aca="false">IFERROR(INDEX(02_轉折點45個!B:B,MATCH(A3662,02_轉折點45個!A:A,0)),"")</f>
        <v/>
      </c>
      <c r="G3662" s="7" t="s">
        <v>1994</v>
      </c>
    </row>
    <row r="3663" customFormat="false" ht="15" hidden="false" customHeight="false" outlineLevel="0" collapsed="false">
      <c r="A3663" s="7" t="s">
        <v>4951</v>
      </c>
      <c r="B3663" s="7" t="n">
        <v>3269.92</v>
      </c>
      <c r="C3663" s="7" t="n">
        <f aca="false">AVERAGE(B3614:B3663)</f>
        <v>3172.4688</v>
      </c>
      <c r="D3663" s="7" t="n">
        <f aca="false">AVERAGE(B3464:B3663)</f>
        <v>2935.6659</v>
      </c>
      <c r="E3663" s="7" t="n">
        <f aca="false">B3663/MAX(B3412:B3663)-1</f>
        <v>-0.00886586626333286</v>
      </c>
      <c r="F3663" s="7" t="str">
        <f aca="false">IFERROR(INDEX(02_轉折點45個!B:B,MATCH(A3663,02_轉折點45個!A:A,0)),"")</f>
        <v/>
      </c>
      <c r="G3663" s="7" t="s">
        <v>1994</v>
      </c>
    </row>
    <row r="3664" customFormat="false" ht="15" hidden="false" customHeight="false" outlineLevel="0" collapsed="false">
      <c r="A3664" s="7" t="s">
        <v>1059</v>
      </c>
      <c r="B3664" s="7" t="n">
        <v>3270.22</v>
      </c>
      <c r="C3664" s="7" t="n">
        <f aca="false">AVERAGE(B3615:B3664)</f>
        <v>3175.0416</v>
      </c>
      <c r="D3664" s="7" t="n">
        <f aca="false">AVERAGE(B3465:B3664)</f>
        <v>2937.6957</v>
      </c>
      <c r="E3664" s="7" t="n">
        <f aca="false">B3664/MAX(B3413:B3664)-1</f>
        <v>-0.00877493430165777</v>
      </c>
      <c r="F3664" s="7" t="str">
        <f aca="false">IFERROR(INDEX(02_轉折點45個!B:B,MATCH(A3664,02_轉折點45個!A:A,0)),"")</f>
        <v/>
      </c>
      <c r="G3664" s="7" t="s">
        <v>1994</v>
      </c>
    </row>
    <row r="3665" customFormat="false" ht="15" hidden="false" customHeight="false" outlineLevel="0" collapsed="false">
      <c r="A3665" s="7" t="s">
        <v>4952</v>
      </c>
      <c r="B3665" s="7" t="n">
        <v>3293.6</v>
      </c>
      <c r="C3665" s="7" t="n">
        <f aca="false">AVERAGE(B3616:B3665)</f>
        <v>3177.6466</v>
      </c>
      <c r="D3665" s="7" t="n">
        <f aca="false">AVERAGE(B3466:B3665)</f>
        <v>2939.7774</v>
      </c>
      <c r="E3665" s="7" t="n">
        <f aca="false">B3665/MAX(B3414:B3665)-1</f>
        <v>-0.00168830342176973</v>
      </c>
      <c r="F3665" s="7" t="str">
        <f aca="false">IFERROR(INDEX(02_轉折點45個!B:B,MATCH(A3665,02_轉折點45個!A:A,0)),"")</f>
        <v/>
      </c>
      <c r="G3665" s="7" t="s">
        <v>1994</v>
      </c>
    </row>
    <row r="3666" customFormat="false" ht="15" hidden="false" customHeight="false" outlineLevel="0" collapsed="false">
      <c r="A3666" s="7" t="s">
        <v>1060</v>
      </c>
      <c r="B3666" s="7" t="n">
        <v>3300.88</v>
      </c>
      <c r="C3666" s="7" t="n">
        <f aca="false">AVERAGE(B3617:B3666)</f>
        <v>3180.2326</v>
      </c>
      <c r="D3666" s="7" t="n">
        <f aca="false">AVERAGE(B3467:B3666)</f>
        <v>2941.9561</v>
      </c>
      <c r="E3666" s="7" t="n">
        <f aca="false">B3666/MAX(B3415:B3666)-1</f>
        <v>0</v>
      </c>
      <c r="F3666" s="7" t="str">
        <f aca="false">IFERROR(INDEX(02_轉折點45個!B:B,MATCH(A3666,02_轉折點45個!A:A,0)),"")</f>
        <v/>
      </c>
      <c r="G3666" s="7" t="s">
        <v>1994</v>
      </c>
    </row>
    <row r="3667" customFormat="false" ht="15" hidden="false" customHeight="false" outlineLevel="0" collapsed="false">
      <c r="A3667" s="7" t="s">
        <v>4953</v>
      </c>
      <c r="B3667" s="7" t="n">
        <v>3288.08</v>
      </c>
      <c r="C3667" s="7" t="n">
        <f aca="false">AVERAGE(B3618:B3667)</f>
        <v>3182.6792</v>
      </c>
      <c r="D3667" s="7" t="n">
        <f aca="false">AVERAGE(B3468:B3667)</f>
        <v>2944.1797</v>
      </c>
      <c r="E3667" s="7" t="n">
        <f aca="false">B3667/MAX(B3416:B3667)-1</f>
        <v>-0.003877753811105</v>
      </c>
      <c r="F3667" s="7" t="str">
        <f aca="false">IFERROR(INDEX(02_轉折點45個!B:B,MATCH(A3667,02_轉折點45個!A:A,0)),"")</f>
        <v/>
      </c>
      <c r="G3667" s="7" t="s">
        <v>1994</v>
      </c>
    </row>
    <row r="3668" customFormat="false" ht="15" hidden="false" customHeight="false" outlineLevel="0" collapsed="false">
      <c r="A3668" s="7" t="s">
        <v>1061</v>
      </c>
      <c r="B3668" s="7" t="n">
        <v>3303.91</v>
      </c>
      <c r="C3668" s="7" t="n">
        <f aca="false">AVERAGE(B3619:B3668)</f>
        <v>3184.8262</v>
      </c>
      <c r="D3668" s="7" t="n">
        <f aca="false">AVERAGE(B3469:B3668)</f>
        <v>2946.69865</v>
      </c>
      <c r="E3668" s="7" t="n">
        <f aca="false">B3668/MAX(B3417:B3668)-1</f>
        <v>0</v>
      </c>
      <c r="F3668" s="7" t="str">
        <f aca="false">IFERROR(INDEX(02_轉折點45個!B:B,MATCH(A3668,02_轉折點45個!A:A,0)),"")</f>
        <v/>
      </c>
      <c r="G3668" s="7" t="s">
        <v>1994</v>
      </c>
    </row>
    <row r="3669" customFormat="false" ht="15" hidden="false" customHeight="false" outlineLevel="0" collapsed="false">
      <c r="A3669" s="7" t="s">
        <v>1062</v>
      </c>
      <c r="B3669" s="7" t="n">
        <v>3312.95</v>
      </c>
      <c r="C3669" s="7" t="n">
        <f aca="false">AVERAGE(B3620:B3669)</f>
        <v>3187.2004</v>
      </c>
      <c r="D3669" s="7" t="n">
        <f aca="false">AVERAGE(B3470:B3669)</f>
        <v>2949.3233</v>
      </c>
      <c r="E3669" s="7" t="n">
        <f aca="false">B3669/MAX(B3418:B3669)-1</f>
        <v>0</v>
      </c>
      <c r="F3669" s="7" t="str">
        <f aca="false">IFERROR(INDEX(02_轉折點45個!B:B,MATCH(A3669,02_轉折點45個!A:A,0)),"")</f>
        <v/>
      </c>
      <c r="G3669" s="7" t="s">
        <v>1994</v>
      </c>
    </row>
    <row r="3670" customFormat="false" ht="15" hidden="false" customHeight="false" outlineLevel="0" collapsed="false">
      <c r="A3670" s="7" t="s">
        <v>4954</v>
      </c>
      <c r="B3670" s="7" t="n">
        <v>3358.06</v>
      </c>
      <c r="C3670" s="7" t="n">
        <f aca="false">AVERAGE(B3621:B3670)</f>
        <v>3190.3728</v>
      </c>
      <c r="D3670" s="7" t="n">
        <f aca="false">AVERAGE(B3471:B3670)</f>
        <v>2952.1843</v>
      </c>
      <c r="E3670" s="7" t="n">
        <f aca="false">B3670/MAX(B3419:B3670)-1</f>
        <v>0</v>
      </c>
      <c r="F3670" s="7" t="str">
        <f aca="false">IFERROR(INDEX(02_轉折點45個!B:B,MATCH(A3670,02_轉折點45個!A:A,0)),"")</f>
        <v/>
      </c>
      <c r="G3670" s="7" t="s">
        <v>1994</v>
      </c>
    </row>
    <row r="3671" customFormat="false" ht="15" hidden="false" customHeight="false" outlineLevel="0" collapsed="false">
      <c r="A3671" s="7" t="s">
        <v>4955</v>
      </c>
      <c r="B3671" s="7" t="n">
        <v>3370.71</v>
      </c>
      <c r="C3671" s="7" t="n">
        <f aca="false">AVERAGE(B3622:B3671)</f>
        <v>3194.5074</v>
      </c>
      <c r="D3671" s="7" t="n">
        <f aca="false">AVERAGE(B3472:B3671)</f>
        <v>2955.13275</v>
      </c>
      <c r="E3671" s="7" t="n">
        <f aca="false">B3671/MAX(B3420:B3671)-1</f>
        <v>0</v>
      </c>
      <c r="F3671" s="7" t="str">
        <f aca="false">IFERROR(INDEX(02_轉折點45個!B:B,MATCH(A3671,02_轉折點45個!A:A,0)),"")</f>
        <v/>
      </c>
      <c r="G3671" s="7" t="s">
        <v>1994</v>
      </c>
    </row>
    <row r="3672" customFormat="false" ht="15" hidden="false" customHeight="false" outlineLevel="0" collapsed="false">
      <c r="A3672" s="7" t="s">
        <v>1063</v>
      </c>
      <c r="B3672" s="7" t="n">
        <v>3373.78</v>
      </c>
      <c r="C3672" s="7" t="n">
        <f aca="false">AVERAGE(B3623:B3672)</f>
        <v>3198.7744</v>
      </c>
      <c r="D3672" s="7" t="n">
        <f aca="false">AVERAGE(B3473:B3672)</f>
        <v>2958.0049</v>
      </c>
      <c r="E3672" s="7" t="n">
        <f aca="false">B3672/MAX(B3421:B3672)-1</f>
        <v>0</v>
      </c>
      <c r="F3672" s="7" t="str">
        <f aca="false">IFERROR(INDEX(02_轉折點45個!B:B,MATCH(A3672,02_轉折點45個!A:A,0)),"")</f>
        <v/>
      </c>
      <c r="G3672" s="7" t="s">
        <v>1994</v>
      </c>
    </row>
    <row r="3673" customFormat="false" ht="15" hidden="false" customHeight="false" outlineLevel="0" collapsed="false">
      <c r="A3673" s="7" t="s">
        <v>4956</v>
      </c>
      <c r="B3673" s="7" t="n">
        <v>3348.95</v>
      </c>
      <c r="C3673" s="7" t="n">
        <f aca="false">AVERAGE(B3624:B3673)</f>
        <v>3202.5498</v>
      </c>
      <c r="D3673" s="7" t="n">
        <f aca="false">AVERAGE(B3474:B3673)</f>
        <v>2960.58395</v>
      </c>
      <c r="E3673" s="7" t="n">
        <f aca="false">B3673/MAX(B3422:B3673)-1</f>
        <v>-0.00735969743136788</v>
      </c>
      <c r="F3673" s="7" t="str">
        <f aca="false">IFERROR(INDEX(02_轉折點45個!B:B,MATCH(A3673,02_轉折點45個!A:A,0)),"")</f>
        <v/>
      </c>
      <c r="G3673" s="7" t="s">
        <v>1994</v>
      </c>
    </row>
    <row r="3674" customFormat="false" ht="15" hidden="false" customHeight="false" outlineLevel="0" collapsed="false">
      <c r="A3674" s="7" t="s">
        <v>4957</v>
      </c>
      <c r="B3674" s="7" t="n">
        <v>3338.2</v>
      </c>
      <c r="C3674" s="7" t="n">
        <f aca="false">AVERAGE(B3625:B3674)</f>
        <v>3205.5668</v>
      </c>
      <c r="D3674" s="7" t="n">
        <f aca="false">AVERAGE(B3475:B3674)</f>
        <v>2963.09575</v>
      </c>
      <c r="E3674" s="7" t="n">
        <f aca="false">B3674/MAX(B3423:B3674)-1</f>
        <v>-0.0105460344183677</v>
      </c>
      <c r="F3674" s="7" t="str">
        <f aca="false">IFERROR(INDEX(02_轉折點45個!B:B,MATCH(A3674,02_轉折點45個!A:A,0)),"")</f>
        <v/>
      </c>
      <c r="G3674" s="7" t="s">
        <v>1994</v>
      </c>
    </row>
    <row r="3675" customFormat="false" ht="15" hidden="false" customHeight="false" outlineLevel="0" collapsed="false">
      <c r="A3675" s="7" t="s">
        <v>4958</v>
      </c>
      <c r="B3675" s="7" t="n">
        <v>3352.01</v>
      </c>
      <c r="C3675" s="7" t="n">
        <f aca="false">AVERAGE(B3626:B3675)</f>
        <v>3209.2504</v>
      </c>
      <c r="D3675" s="7" t="n">
        <f aca="false">AVERAGE(B3476:B3675)</f>
        <v>2965.81935</v>
      </c>
      <c r="E3675" s="7" t="n">
        <f aca="false">B3675/MAX(B3424:B3675)-1</f>
        <v>-0.00645270290297528</v>
      </c>
      <c r="F3675" s="7" t="str">
        <f aca="false">IFERROR(INDEX(02_轉折點45個!B:B,MATCH(A3675,02_轉折點45個!A:A,0)),"")</f>
        <v/>
      </c>
      <c r="G3675" s="7" t="s">
        <v>1994</v>
      </c>
    </row>
    <row r="3676" customFormat="false" ht="15" hidden="false" customHeight="false" outlineLevel="0" collapsed="false">
      <c r="A3676" s="7" t="s">
        <v>4959</v>
      </c>
      <c r="B3676" s="7" t="n">
        <v>3343.78</v>
      </c>
      <c r="C3676" s="7" t="n">
        <f aca="false">AVERAGE(B3627:B3676)</f>
        <v>3212.3348</v>
      </c>
      <c r="D3676" s="7" t="n">
        <f aca="false">AVERAGE(B3477:B3676)</f>
        <v>2968.809</v>
      </c>
      <c r="E3676" s="7" t="n">
        <f aca="false">B3676/MAX(B3425:B3676)-1</f>
        <v>-0.00889210321953415</v>
      </c>
      <c r="F3676" s="7" t="str">
        <f aca="false">IFERROR(INDEX(02_轉折點45個!B:B,MATCH(A3676,02_轉折點45個!A:A,0)),"")</f>
        <v/>
      </c>
      <c r="G3676" s="7" t="s">
        <v>1994</v>
      </c>
    </row>
    <row r="3677" customFormat="false" ht="15" hidden="false" customHeight="false" outlineLevel="0" collapsed="false">
      <c r="A3677" s="7" t="s">
        <v>4960</v>
      </c>
      <c r="B3677" s="7" t="n">
        <v>3352.77</v>
      </c>
      <c r="C3677" s="7" t="n">
        <f aca="false">AVERAGE(B3628:B3677)</f>
        <v>3216.2458</v>
      </c>
      <c r="D3677" s="7" t="n">
        <f aca="false">AVERAGE(B3478:B3677)</f>
        <v>2971.7918</v>
      </c>
      <c r="E3677" s="7" t="n">
        <f aca="false">B3677/MAX(B3426:B3677)-1</f>
        <v>-0.00622743628808053</v>
      </c>
      <c r="F3677" s="7" t="str">
        <f aca="false">IFERROR(INDEX(02_轉折點45個!B:B,MATCH(A3677,02_轉折點45個!A:A,0)),"")</f>
        <v/>
      </c>
      <c r="G3677" s="7" t="s">
        <v>1994</v>
      </c>
    </row>
    <row r="3678" customFormat="false" ht="15" hidden="false" customHeight="false" outlineLevel="0" collapsed="false">
      <c r="A3678" s="7" t="s">
        <v>1064</v>
      </c>
      <c r="B3678" s="7" t="n">
        <v>3366</v>
      </c>
      <c r="C3678" s="7" t="n">
        <f aca="false">AVERAGE(B3629:B3678)</f>
        <v>3220.2484</v>
      </c>
      <c r="D3678" s="7" t="n">
        <f aca="false">AVERAGE(B3479:B3678)</f>
        <v>2974.9618</v>
      </c>
      <c r="E3678" s="7" t="n">
        <f aca="false">B3678/MAX(B3427:B3678)-1</f>
        <v>-0.00230601876826597</v>
      </c>
      <c r="F3678" s="7" t="str">
        <f aca="false">IFERROR(INDEX(02_轉折點45個!B:B,MATCH(A3678,02_轉折點45個!A:A,0)),"")</f>
        <v/>
      </c>
      <c r="G3678" s="7" t="s">
        <v>1994</v>
      </c>
    </row>
    <row r="3679" customFormat="false" ht="15" hidden="false" customHeight="false" outlineLevel="0" collapsed="false">
      <c r="A3679" s="7" t="s">
        <v>4961</v>
      </c>
      <c r="B3679" s="7" t="n">
        <v>3352.14</v>
      </c>
      <c r="C3679" s="7" t="n">
        <f aca="false">AVERAGE(B3630:B3679)</f>
        <v>3224.3412</v>
      </c>
      <c r="D3679" s="7" t="n">
        <f aca="false">AVERAGE(B3480:B3679)</f>
        <v>2978.1025</v>
      </c>
      <c r="E3679" s="7" t="n">
        <f aca="false">B3679/MAX(B3428:B3679)-1</f>
        <v>-0.0064141704556907</v>
      </c>
      <c r="F3679" s="7" t="str">
        <f aca="false">IFERROR(INDEX(02_轉折點45個!B:B,MATCH(A3679,02_轉折點45個!A:A,0)),"")</f>
        <v/>
      </c>
      <c r="G3679" s="7" t="s">
        <v>1994</v>
      </c>
    </row>
    <row r="3680" customFormat="false" ht="15" hidden="false" customHeight="false" outlineLevel="0" collapsed="false">
      <c r="A3680" s="7" t="s">
        <v>1065</v>
      </c>
      <c r="B3680" s="7" t="n">
        <v>3294.45</v>
      </c>
      <c r="C3680" s="7" t="n">
        <f aca="false">AVERAGE(B3631:B3680)</f>
        <v>3228.0802</v>
      </c>
      <c r="D3680" s="7" t="n">
        <f aca="false">AVERAGE(B3481:B3680)</f>
        <v>2980.93455</v>
      </c>
      <c r="E3680" s="7" t="n">
        <f aca="false">B3680/MAX(B3429:B3680)-1</f>
        <v>-0.023513684946855</v>
      </c>
      <c r="F3680" s="7" t="str">
        <f aca="false">IFERROR(INDEX(02_轉折點45個!B:B,MATCH(A3680,02_轉折點45個!A:A,0)),"")</f>
        <v/>
      </c>
      <c r="G3680" s="7" t="s">
        <v>1994</v>
      </c>
    </row>
    <row r="3681" customFormat="false" ht="15" hidden="false" customHeight="false" outlineLevel="0" collapsed="false">
      <c r="A3681" s="7" t="s">
        <v>4962</v>
      </c>
      <c r="B3681" s="7" t="n">
        <v>3291.4</v>
      </c>
      <c r="C3681" s="7" t="n">
        <f aca="false">AVERAGE(B3632:B3681)</f>
        <v>3231.3458</v>
      </c>
      <c r="D3681" s="7" t="n">
        <f aca="false">AVERAGE(B3482:B3681)</f>
        <v>2983.743</v>
      </c>
      <c r="E3681" s="7" t="n">
        <f aca="false">B3681/MAX(B3430:B3681)-1</f>
        <v>-0.0244177154408408</v>
      </c>
      <c r="F3681" s="7" t="str">
        <f aca="false">IFERROR(INDEX(02_轉折點45個!B:B,MATCH(A3681,02_轉折點45個!A:A,0)),"")</f>
        <v/>
      </c>
      <c r="G3681" s="7" t="s">
        <v>1994</v>
      </c>
    </row>
    <row r="3682" customFormat="false" ht="15" hidden="false" customHeight="false" outlineLevel="0" collapsed="false">
      <c r="A3682" s="7" t="s">
        <v>4963</v>
      </c>
      <c r="B3682" s="7" t="n">
        <v>3278.89</v>
      </c>
      <c r="C3682" s="7" t="n">
        <f aca="false">AVERAGE(B3633:B3682)</f>
        <v>3233.536</v>
      </c>
      <c r="D3682" s="7" t="n">
        <f aca="false">AVERAGE(B3483:B3682)</f>
        <v>2986.53785</v>
      </c>
      <c r="E3682" s="7" t="n">
        <f aca="false">B3682/MAX(B3431:B3682)-1</f>
        <v>-0.0281257224833866</v>
      </c>
      <c r="F3682" s="7" t="str">
        <f aca="false">IFERROR(INDEX(02_轉折點45個!B:B,MATCH(A3682,02_轉折點45個!A:A,0)),"")</f>
        <v/>
      </c>
      <c r="G3682" s="7" t="s">
        <v>1994</v>
      </c>
    </row>
    <row r="3683" customFormat="false" ht="15" hidden="false" customHeight="false" outlineLevel="0" collapsed="false">
      <c r="A3683" s="7" t="s">
        <v>4964</v>
      </c>
      <c r="B3683" s="7" t="n">
        <v>3301.28</v>
      </c>
      <c r="C3683" s="7" t="n">
        <f aca="false">AVERAGE(B3634:B3683)</f>
        <v>3236.0908</v>
      </c>
      <c r="D3683" s="7" t="n">
        <f aca="false">AVERAGE(B3484:B3683)</f>
        <v>2989.24905</v>
      </c>
      <c r="E3683" s="7" t="n">
        <f aca="false">B3683/MAX(B3432:B3683)-1</f>
        <v>-0.0214892494472075</v>
      </c>
      <c r="F3683" s="7" t="str">
        <f aca="false">IFERROR(INDEX(02_轉折點45個!B:B,MATCH(A3683,02_轉折點45個!A:A,0)),"")</f>
        <v/>
      </c>
      <c r="G3683" s="7" t="s">
        <v>1994</v>
      </c>
    </row>
    <row r="3684" customFormat="false" ht="15" hidden="false" customHeight="false" outlineLevel="0" collapsed="false">
      <c r="A3684" s="7" t="s">
        <v>4965</v>
      </c>
      <c r="B3684" s="7" t="n">
        <v>3288.67</v>
      </c>
      <c r="C3684" s="7" t="n">
        <f aca="false">AVERAGE(B3635:B3684)</f>
        <v>3239.0662</v>
      </c>
      <c r="D3684" s="7" t="n">
        <f aca="false">AVERAGE(B3485:B3684)</f>
        <v>2992.07045</v>
      </c>
      <c r="E3684" s="7" t="n">
        <f aca="false">B3684/MAX(B3433:B3684)-1</f>
        <v>-0.0252268968338185</v>
      </c>
      <c r="F3684" s="7" t="str">
        <f aca="false">IFERROR(INDEX(02_轉折點45個!B:B,MATCH(A3684,02_轉折點45個!A:A,0)),"")</f>
        <v/>
      </c>
      <c r="G3684" s="7" t="s">
        <v>1994</v>
      </c>
    </row>
    <row r="3685" customFormat="false" ht="15" hidden="false" customHeight="false" outlineLevel="0" collapsed="false">
      <c r="A3685" s="7" t="s">
        <v>4966</v>
      </c>
      <c r="B3685" s="7" t="n">
        <v>3324.23</v>
      </c>
      <c r="C3685" s="7" t="n">
        <f aca="false">AVERAGE(B3636:B3685)</f>
        <v>3243.42</v>
      </c>
      <c r="D3685" s="7" t="n">
        <f aca="false">AVERAGE(B3486:B3685)</f>
        <v>2994.98955</v>
      </c>
      <c r="E3685" s="7" t="n">
        <f aca="false">B3685/MAX(B3434:B3685)-1</f>
        <v>-0.014686790484264</v>
      </c>
      <c r="F3685" s="7" t="str">
        <f aca="false">IFERROR(INDEX(02_轉折點45個!B:B,MATCH(A3685,02_轉折點45個!A:A,0)),"")</f>
        <v/>
      </c>
      <c r="G3685" s="7" t="s">
        <v>1994</v>
      </c>
    </row>
    <row r="3686" customFormat="false" ht="15" hidden="false" customHeight="false" outlineLevel="0" collapsed="false">
      <c r="A3686" s="7" t="s">
        <v>4967</v>
      </c>
      <c r="B3686" s="7" t="n">
        <v>3341.66</v>
      </c>
      <c r="C3686" s="7" t="n">
        <f aca="false">AVERAGE(B3637:B3686)</f>
        <v>3247.3014</v>
      </c>
      <c r="D3686" s="7" t="n">
        <f aca="false">AVERAGE(B3487:B3686)</f>
        <v>2997.93975</v>
      </c>
      <c r="E3686" s="7" t="n">
        <f aca="false">B3686/MAX(B3435:B3686)-1</f>
        <v>-0.00952047851371474</v>
      </c>
      <c r="F3686" s="7" t="str">
        <f aca="false">IFERROR(INDEX(02_轉折點45個!B:B,MATCH(A3686,02_轉折點45個!A:A,0)),"")</f>
        <v/>
      </c>
      <c r="G3686" s="7" t="s">
        <v>1994</v>
      </c>
    </row>
    <row r="3687" customFormat="false" ht="15" hidden="false" customHeight="false" outlineLevel="0" collapsed="false">
      <c r="A3687" s="7" t="s">
        <v>4968</v>
      </c>
      <c r="B3687" s="7" t="n">
        <v>3341.46</v>
      </c>
      <c r="C3687" s="7" t="n">
        <f aca="false">AVERAGE(B3638:B3687)</f>
        <v>3251.5772</v>
      </c>
      <c r="D3687" s="7" t="n">
        <f aca="false">AVERAGE(B3488:B3687)</f>
        <v>3001.2299</v>
      </c>
      <c r="E3687" s="7" t="n">
        <f aca="false">B3687/MAX(B3436:B3687)-1</f>
        <v>-0.00957975920184484</v>
      </c>
      <c r="F3687" s="7" t="str">
        <f aca="false">IFERROR(INDEX(02_轉折點45個!B:B,MATCH(A3687,02_轉折點45個!A:A,0)),"")</f>
        <v/>
      </c>
      <c r="G3687" s="7" t="s">
        <v>1994</v>
      </c>
    </row>
    <row r="3688" customFormat="false" ht="15" hidden="false" customHeight="false" outlineLevel="0" collapsed="false">
      <c r="A3688" s="7" t="s">
        <v>4969</v>
      </c>
      <c r="B3688" s="7" t="n">
        <v>3269.24</v>
      </c>
      <c r="C3688" s="7" t="n">
        <f aca="false">AVERAGE(B3639:B3688)</f>
        <v>3253.8866</v>
      </c>
      <c r="D3688" s="7" t="n">
        <f aca="false">AVERAGE(B3489:B3688)</f>
        <v>3004.3495</v>
      </c>
      <c r="E3688" s="7" t="n">
        <f aca="false">B3688/MAX(B3437:B3688)-1</f>
        <v>-0.0309860156856702</v>
      </c>
      <c r="F3688" s="7" t="str">
        <f aca="false">IFERROR(INDEX(02_轉折點45個!B:B,MATCH(A3688,02_轉折點45個!A:A,0)),"")</f>
        <v/>
      </c>
      <c r="G3688" s="7" t="s">
        <v>1994</v>
      </c>
    </row>
    <row r="3689" customFormat="false" ht="15" hidden="false" customHeight="false" outlineLevel="0" collapsed="false">
      <c r="A3689" s="7" t="s">
        <v>4970</v>
      </c>
      <c r="B3689" s="7" t="n">
        <v>3282.79</v>
      </c>
      <c r="C3689" s="7" t="n">
        <f aca="false">AVERAGE(B3640:B3689)</f>
        <v>3255.918</v>
      </c>
      <c r="D3689" s="7" t="n">
        <f aca="false">AVERAGE(B3490:B3689)</f>
        <v>3007.4944</v>
      </c>
      <c r="E3689" s="7" t="n">
        <f aca="false">B3689/MAX(B3438:B3689)-1</f>
        <v>-0.0269697490648472</v>
      </c>
      <c r="F3689" s="7" t="str">
        <f aca="false">IFERROR(INDEX(02_轉折點45個!B:B,MATCH(A3689,02_轉折點45個!A:A,0)),"")</f>
        <v/>
      </c>
      <c r="G3689" s="7" t="s">
        <v>1994</v>
      </c>
    </row>
    <row r="3690" customFormat="false" ht="15" hidden="false" customHeight="false" outlineLevel="0" collapsed="false">
      <c r="A3690" s="7" t="s">
        <v>4971</v>
      </c>
      <c r="B3690" s="7" t="n">
        <v>3307.41</v>
      </c>
      <c r="C3690" s="7" t="n">
        <f aca="false">AVERAGE(B3641:B3690)</f>
        <v>3259.154</v>
      </c>
      <c r="D3690" s="7" t="n">
        <f aca="false">AVERAGE(B3491:B3690)</f>
        <v>3010.76525</v>
      </c>
      <c r="E3690" s="7" t="n">
        <f aca="false">B3690/MAX(B3439:B3690)-1</f>
        <v>-0.0196722963560162</v>
      </c>
      <c r="F3690" s="7" t="str">
        <f aca="false">IFERROR(INDEX(02_轉折點45個!B:B,MATCH(A3690,02_轉折點45個!A:A,0)),"")</f>
        <v/>
      </c>
      <c r="G3690" s="7" t="s">
        <v>1994</v>
      </c>
    </row>
    <row r="3691" customFormat="false" ht="15" hidden="false" customHeight="false" outlineLevel="0" collapsed="false">
      <c r="A3691" s="7" t="s">
        <v>1066</v>
      </c>
      <c r="B3691" s="7" t="n">
        <v>3279.61</v>
      </c>
      <c r="C3691" s="7" t="n">
        <f aca="false">AVERAGE(B3642:B3691)</f>
        <v>3263.2694</v>
      </c>
      <c r="D3691" s="7" t="n">
        <f aca="false">AVERAGE(B3492:B3691)</f>
        <v>3013.9901</v>
      </c>
      <c r="E3691" s="7" t="n">
        <f aca="false">B3691/MAX(B3440:B3691)-1</f>
        <v>-0.0279123120061178</v>
      </c>
      <c r="F3691" s="7" t="str">
        <f aca="false">IFERROR(INDEX(02_轉折點45個!B:B,MATCH(A3691,02_轉折點45個!A:A,0)),"")</f>
        <v/>
      </c>
      <c r="G3691" s="7" t="s">
        <v>1994</v>
      </c>
    </row>
    <row r="3692" customFormat="false" ht="15" hidden="false" customHeight="false" outlineLevel="0" collapsed="false">
      <c r="A3692" s="7" t="s">
        <v>4972</v>
      </c>
      <c r="B3692" s="7" t="n">
        <v>3300.38</v>
      </c>
      <c r="C3692" s="7" t="n">
        <f aca="false">AVERAGE(B3643:B3692)</f>
        <v>3267.9352</v>
      </c>
      <c r="D3692" s="7" t="n">
        <f aca="false">AVERAGE(B3493:B3692)</f>
        <v>3017.48815</v>
      </c>
      <c r="E3692" s="7" t="n">
        <f aca="false">B3692/MAX(B3441:B3692)-1</f>
        <v>-0.0217560125437937</v>
      </c>
      <c r="F3692" s="7" t="str">
        <f aca="false">IFERROR(INDEX(02_轉折點45個!B:B,MATCH(A3692,02_轉折點45個!A:A,0)),"")</f>
        <v/>
      </c>
      <c r="G3692" s="7" t="s">
        <v>1994</v>
      </c>
    </row>
    <row r="3693" customFormat="false" ht="15" hidden="false" customHeight="false" outlineLevel="0" collapsed="false">
      <c r="A3693" s="7" t="s">
        <v>4973</v>
      </c>
      <c r="B3693" s="7" t="n">
        <v>3333.66</v>
      </c>
      <c r="C3693" s="7" t="n">
        <f aca="false">AVERAGE(B3644:B3693)</f>
        <v>3273.9332</v>
      </c>
      <c r="D3693" s="7" t="n">
        <f aca="false">AVERAGE(B3494:B3693)</f>
        <v>3021.1977</v>
      </c>
      <c r="E3693" s="7" t="n">
        <f aca="false">B3693/MAX(B3442:B3693)-1</f>
        <v>-0.0118917060389238</v>
      </c>
      <c r="F3693" s="7" t="str">
        <f aca="false">IFERROR(INDEX(02_轉折點45個!B:B,MATCH(A3693,02_轉折點45個!A:A,0)),"")</f>
        <v/>
      </c>
      <c r="G3693" s="7" t="s">
        <v>1994</v>
      </c>
    </row>
    <row r="3694" customFormat="false" ht="15" hidden="false" customHeight="false" outlineLevel="0" collapsed="false">
      <c r="A3694" s="7" t="s">
        <v>4974</v>
      </c>
      <c r="B3694" s="7" t="n">
        <v>3342.56</v>
      </c>
      <c r="C3694" s="7" t="n">
        <f aca="false">AVERAGE(B3645:B3694)</f>
        <v>3279.6136</v>
      </c>
      <c r="D3694" s="7" t="n">
        <f aca="false">AVERAGE(B3495:B3694)</f>
        <v>3024.8778</v>
      </c>
      <c r="E3694" s="7" t="n">
        <f aca="false">B3694/MAX(B3443:B3694)-1</f>
        <v>-0.00925371541712861</v>
      </c>
      <c r="F3694" s="7" t="str">
        <f aca="false">IFERROR(INDEX(02_轉折點45個!B:B,MATCH(A3694,02_轉折點45個!A:A,0)),"")</f>
        <v/>
      </c>
      <c r="G3694" s="7" t="s">
        <v>1994</v>
      </c>
    </row>
    <row r="3695" customFormat="false" ht="15" hidden="false" customHeight="false" outlineLevel="0" collapsed="false">
      <c r="A3695" s="7" t="s">
        <v>4975</v>
      </c>
      <c r="B3695" s="7" t="n">
        <v>3343.68</v>
      </c>
      <c r="C3695" s="7" t="n">
        <f aca="false">AVERAGE(B3646:B3695)</f>
        <v>3284.7988</v>
      </c>
      <c r="D3695" s="7" t="n">
        <f aca="false">AVERAGE(B3496:B3695)</f>
        <v>3028.276</v>
      </c>
      <c r="E3695" s="7" t="n">
        <f aca="false">B3695/MAX(B3444:B3695)-1</f>
        <v>-0.00892174356359943</v>
      </c>
      <c r="F3695" s="7" t="str">
        <f aca="false">IFERROR(INDEX(02_轉折點45個!B:B,MATCH(A3695,02_轉折點45個!A:A,0)),"")</f>
        <v/>
      </c>
      <c r="G3695" s="7" t="s">
        <v>1994</v>
      </c>
    </row>
    <row r="3696" customFormat="false" ht="15" hidden="false" customHeight="false" outlineLevel="0" collapsed="false">
      <c r="A3696" s="7" t="s">
        <v>1067</v>
      </c>
      <c r="B3696" s="7" t="n">
        <v>3385.86</v>
      </c>
      <c r="C3696" s="7" t="n">
        <f aca="false">AVERAGE(B3647:B3696)</f>
        <v>3290.359</v>
      </c>
      <c r="D3696" s="7" t="n">
        <f aca="false">AVERAGE(B3497:B3696)</f>
        <v>3031.8823</v>
      </c>
      <c r="E3696" s="7" t="n">
        <f aca="false">B3696/MAX(B3445:B3696)-1</f>
        <v>0</v>
      </c>
      <c r="F3696" s="7" t="str">
        <f aca="false">IFERROR(INDEX(02_轉折點45個!B:B,MATCH(A3696,02_轉折點45個!A:A,0)),"")</f>
        <v/>
      </c>
      <c r="G3696" s="7" t="s">
        <v>1994</v>
      </c>
    </row>
    <row r="3697" customFormat="false" ht="15" hidden="false" customHeight="false" outlineLevel="0" collapsed="false">
      <c r="A3697" s="7" t="s">
        <v>1068</v>
      </c>
      <c r="B3697" s="7" t="n">
        <v>3406.73</v>
      </c>
      <c r="C3697" s="7" t="n">
        <f aca="false">AVERAGE(B3648:B3697)</f>
        <v>3296.3112</v>
      </c>
      <c r="D3697" s="7" t="n">
        <f aca="false">AVERAGE(B3498:B3697)</f>
        <v>3035.54785</v>
      </c>
      <c r="E3697" s="7" t="n">
        <f aca="false">B3697/MAX(B3446:B3697)-1</f>
        <v>0</v>
      </c>
      <c r="F3697" s="7" t="str">
        <f aca="false">IFERROR(INDEX(02_轉折點45個!B:B,MATCH(A3697,02_轉折點45個!A:A,0)),"")</f>
        <v/>
      </c>
      <c r="G3697" s="7" t="s">
        <v>1994</v>
      </c>
    </row>
    <row r="3698" customFormat="false" ht="15" hidden="false" customHeight="false" outlineLevel="0" collapsed="false">
      <c r="A3698" s="7" t="s">
        <v>4976</v>
      </c>
      <c r="B3698" s="7" t="n">
        <v>3403.07</v>
      </c>
      <c r="C3698" s="7" t="n">
        <f aca="false">AVERAGE(B3649:B3698)</f>
        <v>3301.6194</v>
      </c>
      <c r="D3698" s="7" t="n">
        <f aca="false">AVERAGE(B3499:B3698)</f>
        <v>3039.01105</v>
      </c>
      <c r="E3698" s="7" t="n">
        <f aca="false">B3698/MAX(B3447:B3698)-1</f>
        <v>-0.0010743440190446</v>
      </c>
      <c r="F3698" s="7" t="str">
        <f aca="false">IFERROR(INDEX(02_轉折點45個!B:B,MATCH(A3698,02_轉折點45個!A:A,0)),"")</f>
        <v/>
      </c>
      <c r="G3698" s="7" t="s">
        <v>1994</v>
      </c>
    </row>
    <row r="3699" customFormat="false" ht="15" hidden="false" customHeight="false" outlineLevel="0" collapsed="false">
      <c r="A3699" s="7" t="s">
        <v>4977</v>
      </c>
      <c r="B3699" s="7" t="n">
        <v>3394.81</v>
      </c>
      <c r="C3699" s="7" t="n">
        <f aca="false">AVERAGE(B3650:B3699)</f>
        <v>3306.7824</v>
      </c>
      <c r="D3699" s="7" t="n">
        <f aca="false">AVERAGE(B3500:B3699)</f>
        <v>3042.3876</v>
      </c>
      <c r="E3699" s="7" t="n">
        <f aca="false">B3699/MAX(B3448:B3699)-1</f>
        <v>-0.00349895647732579</v>
      </c>
      <c r="F3699" s="7" t="str">
        <f aca="false">IFERROR(INDEX(02_轉折點45個!B:B,MATCH(A3699,02_轉折點45個!A:A,0)),"")</f>
        <v/>
      </c>
      <c r="G3699" s="7" t="s">
        <v>1994</v>
      </c>
    </row>
    <row r="3700" customFormat="false" ht="15" hidden="false" customHeight="false" outlineLevel="0" collapsed="false">
      <c r="A3700" s="7" t="s">
        <v>4978</v>
      </c>
      <c r="B3700" s="7" t="n">
        <v>3400.48</v>
      </c>
      <c r="C3700" s="7" t="n">
        <f aca="false">AVERAGE(B3651:B3700)</f>
        <v>3311.8712</v>
      </c>
      <c r="D3700" s="7" t="n">
        <f aca="false">AVERAGE(B3501:B3700)</f>
        <v>3045.83355</v>
      </c>
      <c r="E3700" s="7" t="n">
        <f aca="false">B3700/MAX(B3449:B3700)-1</f>
        <v>-0.00183460385765821</v>
      </c>
      <c r="F3700" s="7" t="str">
        <f aca="false">IFERROR(INDEX(02_轉折點45個!B:B,MATCH(A3700,02_轉折點45個!A:A,0)),"")</f>
        <v/>
      </c>
      <c r="G3700" s="7" t="s">
        <v>1994</v>
      </c>
    </row>
    <row r="3701" customFormat="false" ht="15" hidden="false" customHeight="false" outlineLevel="0" collapsed="false">
      <c r="A3701" s="7" t="s">
        <v>4979</v>
      </c>
      <c r="B3701" s="7" t="n">
        <v>3396.53</v>
      </c>
      <c r="C3701" s="7" t="n">
        <f aca="false">AVERAGE(B3652:B3701)</f>
        <v>3316.2284</v>
      </c>
      <c r="D3701" s="7" t="n">
        <f aca="false">AVERAGE(B3502:B3701)</f>
        <v>3049.15015</v>
      </c>
      <c r="E3701" s="7" t="n">
        <f aca="false">B3701/MAX(B3450:B3701)-1</f>
        <v>-0.00299407349569814</v>
      </c>
      <c r="F3701" s="7" t="str">
        <f aca="false">IFERROR(INDEX(02_轉折點45個!B:B,MATCH(A3701,02_轉折點45個!A:A,0)),"")</f>
        <v/>
      </c>
      <c r="G3701" s="7" t="s">
        <v>1994</v>
      </c>
    </row>
    <row r="3702" customFormat="false" ht="15" hidden="false" customHeight="false" outlineLevel="0" collapsed="false">
      <c r="A3702" s="7" t="s">
        <v>1069</v>
      </c>
      <c r="B3702" s="7" t="n">
        <v>3421.97</v>
      </c>
      <c r="C3702" s="7" t="n">
        <f aca="false">AVERAGE(B3653:B3702)</f>
        <v>3320.9948</v>
      </c>
      <c r="D3702" s="7" t="n">
        <f aca="false">AVERAGE(B3503:B3702)</f>
        <v>3052.50145</v>
      </c>
      <c r="E3702" s="7" t="n">
        <f aca="false">B3702/MAX(B3451:B3702)-1</f>
        <v>0</v>
      </c>
      <c r="F3702" s="7" t="str">
        <f aca="false">IFERROR(INDEX(02_轉折點45個!B:B,MATCH(A3702,02_轉折點45個!A:A,0)),"")</f>
        <v/>
      </c>
      <c r="G3702" s="7" t="s">
        <v>1994</v>
      </c>
    </row>
    <row r="3703" customFormat="false" ht="15" hidden="false" customHeight="false" outlineLevel="0" collapsed="false">
      <c r="A3703" s="7" t="s">
        <v>1070</v>
      </c>
      <c r="B3703" s="7" t="n">
        <v>3456.63</v>
      </c>
      <c r="C3703" s="7" t="n">
        <f aca="false">AVERAGE(B3654:B3703)</f>
        <v>3326.0994</v>
      </c>
      <c r="D3703" s="7" t="n">
        <f aca="false">AVERAGE(B3504:B3703)</f>
        <v>3056.03425</v>
      </c>
      <c r="E3703" s="7" t="n">
        <f aca="false">B3703/MAX(B3452:B3703)-1</f>
        <v>0</v>
      </c>
      <c r="F3703" s="7" t="str">
        <f aca="false">IFERROR(INDEX(02_轉折點45個!B:B,MATCH(A3703,02_轉折點45個!A:A,0)),"")</f>
        <v/>
      </c>
      <c r="G3703" s="7" t="s">
        <v>1994</v>
      </c>
    </row>
    <row r="3704" customFormat="false" ht="15" hidden="false" customHeight="false" outlineLevel="0" collapsed="false">
      <c r="A3704" s="7" t="s">
        <v>1071</v>
      </c>
      <c r="B3704" s="7" t="n">
        <v>3461.87</v>
      </c>
      <c r="C3704" s="7" t="n">
        <f aca="false">AVERAGE(B3655:B3704)</f>
        <v>3331.0074</v>
      </c>
      <c r="D3704" s="7" t="n">
        <f aca="false">AVERAGE(B3505:B3704)</f>
        <v>3059.62995</v>
      </c>
      <c r="E3704" s="7" t="n">
        <f aca="false">B3704/MAX(B3453:B3704)-1</f>
        <v>0</v>
      </c>
      <c r="F3704" s="7" t="str">
        <f aca="false">IFERROR(INDEX(02_轉折點45個!B:B,MATCH(A3704,02_轉折點45個!A:A,0)),"")</f>
        <v/>
      </c>
      <c r="G3704" s="7" t="s">
        <v>1994</v>
      </c>
    </row>
    <row r="3705" customFormat="false" ht="15" hidden="false" customHeight="false" outlineLevel="0" collapsed="false">
      <c r="A3705" s="7" t="s">
        <v>4980</v>
      </c>
      <c r="B3705" s="7" t="n">
        <v>3448.49</v>
      </c>
      <c r="C3705" s="7" t="n">
        <f aca="false">AVERAGE(B3656:B3705)</f>
        <v>3334.5964</v>
      </c>
      <c r="D3705" s="7" t="n">
        <f aca="false">AVERAGE(B3506:B3705)</f>
        <v>3063.18395</v>
      </c>
      <c r="E3705" s="7" t="n">
        <f aca="false">B3705/MAX(B3454:B3705)-1</f>
        <v>-0.00386496315575113</v>
      </c>
      <c r="F3705" s="7" t="str">
        <f aca="false">IFERROR(INDEX(02_轉折點45個!B:B,MATCH(A3705,02_轉折點45個!A:A,0)),"")</f>
        <v/>
      </c>
      <c r="G3705" s="7" t="s">
        <v>1994</v>
      </c>
    </row>
    <row r="3706" customFormat="false" ht="15" hidden="false" customHeight="false" outlineLevel="0" collapsed="false">
      <c r="A3706" s="7" t="s">
        <v>4981</v>
      </c>
      <c r="B3706" s="7" t="n">
        <v>3439.87</v>
      </c>
      <c r="C3706" s="7" t="n">
        <f aca="false">AVERAGE(B3657:B3706)</f>
        <v>3337.6152</v>
      </c>
      <c r="D3706" s="7" t="n">
        <f aca="false">AVERAGE(B3507:B3706)</f>
        <v>3066.79985</v>
      </c>
      <c r="E3706" s="7" t="n">
        <f aca="false">B3706/MAX(B3455:B3706)-1</f>
        <v>-0.00635494689286431</v>
      </c>
      <c r="F3706" s="7" t="str">
        <f aca="false">IFERROR(INDEX(02_轉折點45個!B:B,MATCH(A3706,02_轉折點45個!A:A,0)),"")</f>
        <v/>
      </c>
      <c r="G3706" s="7" t="s">
        <v>1994</v>
      </c>
    </row>
    <row r="3707" customFormat="false" ht="15" hidden="false" customHeight="false" outlineLevel="0" collapsed="false">
      <c r="A3707" s="7" t="s">
        <v>4982</v>
      </c>
      <c r="B3707" s="7" t="n">
        <v>3442.57</v>
      </c>
      <c r="C3707" s="7" t="n">
        <f aca="false">AVERAGE(B3658:B3707)</f>
        <v>3340.5526</v>
      </c>
      <c r="D3707" s="7" t="n">
        <f aca="false">AVERAGE(B3508:B3707)</f>
        <v>3070.3581</v>
      </c>
      <c r="E3707" s="7" t="n">
        <f aca="false">B3707/MAX(B3456:B3707)-1</f>
        <v>-0.00557502159237633</v>
      </c>
      <c r="F3707" s="7" t="str">
        <f aca="false">IFERROR(INDEX(02_轉折點45個!B:B,MATCH(A3707,02_轉折點45個!A:A,0)),"")</f>
        <v/>
      </c>
      <c r="G3707" s="7" t="s">
        <v>1994</v>
      </c>
    </row>
    <row r="3708" customFormat="false" ht="15" hidden="false" customHeight="false" outlineLevel="0" collapsed="false">
      <c r="A3708" s="7" t="s">
        <v>4983</v>
      </c>
      <c r="B3708" s="7" t="n">
        <v>3436.04</v>
      </c>
      <c r="C3708" s="7" t="n">
        <f aca="false">AVERAGE(B3659:B3708)</f>
        <v>3343.5236</v>
      </c>
      <c r="D3708" s="7" t="n">
        <f aca="false">AVERAGE(B3509:B3708)</f>
        <v>3073.935</v>
      </c>
      <c r="E3708" s="7" t="n">
        <f aca="false">B3708/MAX(B3457:B3708)-1</f>
        <v>-0.00746128537466739</v>
      </c>
      <c r="F3708" s="7" t="str">
        <f aca="false">IFERROR(INDEX(02_轉折點45個!B:B,MATCH(A3708,02_轉折點45個!A:A,0)),"")</f>
        <v/>
      </c>
      <c r="G3708" s="7" t="s">
        <v>1994</v>
      </c>
    </row>
    <row r="3709" customFormat="false" ht="15" hidden="false" customHeight="false" outlineLevel="0" collapsed="false">
      <c r="A3709" s="7" t="s">
        <v>4984</v>
      </c>
      <c r="B3709" s="7" t="n">
        <v>3460.09</v>
      </c>
      <c r="C3709" s="7" t="n">
        <f aca="false">AVERAGE(B3660:B3709)</f>
        <v>3346.7654</v>
      </c>
      <c r="D3709" s="7" t="n">
        <f aca="false">AVERAGE(B3510:B3709)</f>
        <v>3077.59145</v>
      </c>
      <c r="E3709" s="7" t="n">
        <f aca="false">B3709/MAX(B3458:B3709)-1</f>
        <v>-0.000514172975877081</v>
      </c>
      <c r="F3709" s="7" t="str">
        <f aca="false">IFERROR(INDEX(02_轉折點45個!B:B,MATCH(A3709,02_轉折點45個!A:A,0)),"")</f>
        <v/>
      </c>
      <c r="G3709" s="7" t="s">
        <v>1994</v>
      </c>
    </row>
    <row r="3710" customFormat="false" ht="15" hidden="false" customHeight="false" outlineLevel="0" collapsed="false">
      <c r="A3710" s="7" t="s">
        <v>4985</v>
      </c>
      <c r="B3710" s="7" t="n">
        <v>3454.76</v>
      </c>
      <c r="C3710" s="7" t="n">
        <f aca="false">AVERAGE(B3661:B3710)</f>
        <v>3349.8772</v>
      </c>
      <c r="D3710" s="7" t="n">
        <f aca="false">AVERAGE(B3511:B3710)</f>
        <v>3081.0598</v>
      </c>
      <c r="E3710" s="7" t="n">
        <f aca="false">B3710/MAX(B3459:B3710)-1</f>
        <v>-0.00205380329128468</v>
      </c>
      <c r="F3710" s="7" t="str">
        <f aca="false">IFERROR(INDEX(02_轉折點45個!B:B,MATCH(A3710,02_轉折點45個!A:A,0)),"")</f>
        <v/>
      </c>
      <c r="G3710" s="7" t="s">
        <v>1994</v>
      </c>
    </row>
    <row r="3711" customFormat="false" ht="15" hidden="false" customHeight="false" outlineLevel="0" collapsed="false">
      <c r="A3711" s="7" t="s">
        <v>4986</v>
      </c>
      <c r="B3711" s="7" t="n">
        <v>3445.52</v>
      </c>
      <c r="C3711" s="7" t="n">
        <f aca="false">AVERAGE(B3662:B3711)</f>
        <v>3353.2368</v>
      </c>
      <c r="D3711" s="7" t="n">
        <f aca="false">AVERAGE(B3512:B3711)</f>
        <v>3084.52075</v>
      </c>
      <c r="E3711" s="7" t="n">
        <f aca="false">B3711/MAX(B3460:B3711)-1</f>
        <v>-0.0047228809862877</v>
      </c>
      <c r="F3711" s="7" t="str">
        <f aca="false">IFERROR(INDEX(02_轉折點45個!B:B,MATCH(A3711,02_轉折點45個!A:A,0)),"")</f>
        <v/>
      </c>
      <c r="G3711" s="7" t="s">
        <v>1994</v>
      </c>
    </row>
    <row r="3712" customFormat="false" ht="15" hidden="false" customHeight="false" outlineLevel="0" collapsed="false">
      <c r="A3712" s="7" t="s">
        <v>1072</v>
      </c>
      <c r="B3712" s="7" t="n">
        <v>3488</v>
      </c>
      <c r="C3712" s="7" t="n">
        <f aca="false">AVERAGE(B3663:B3712)</f>
        <v>3357.2124</v>
      </c>
      <c r="D3712" s="7" t="n">
        <f aca="false">AVERAGE(B3513:B3712)</f>
        <v>3088.29295</v>
      </c>
      <c r="E3712" s="7" t="n">
        <f aca="false">B3712/MAX(B3461:B3712)-1</f>
        <v>0</v>
      </c>
      <c r="F3712" s="7" t="str">
        <f aca="false">IFERROR(INDEX(02_轉折點45個!B:B,MATCH(A3712,02_轉折點45個!A:A,0)),"")</f>
        <v/>
      </c>
      <c r="G3712" s="7" t="s">
        <v>1994</v>
      </c>
    </row>
    <row r="3713" customFormat="false" ht="15" hidden="false" customHeight="false" outlineLevel="0" collapsed="false">
      <c r="A3713" s="7" t="s">
        <v>4987</v>
      </c>
      <c r="B3713" s="7" t="n">
        <v>3485.3</v>
      </c>
      <c r="C3713" s="7" t="n">
        <f aca="false">AVERAGE(B3664:B3713)</f>
        <v>3361.52</v>
      </c>
      <c r="D3713" s="7" t="n">
        <f aca="false">AVERAGE(B3514:B3713)</f>
        <v>3092.1468</v>
      </c>
      <c r="E3713" s="7" t="n">
        <f aca="false">B3713/MAX(B3462:B3713)-1</f>
        <v>-0.000774082568807288</v>
      </c>
      <c r="F3713" s="7" t="str">
        <f aca="false">IFERROR(INDEX(02_轉折點45個!B:B,MATCH(A3713,02_轉折點45個!A:A,0)),"")</f>
        <v/>
      </c>
      <c r="G3713" s="7" t="s">
        <v>1994</v>
      </c>
    </row>
    <row r="3714" customFormat="false" ht="15" hidden="false" customHeight="false" outlineLevel="0" collapsed="false">
      <c r="A3714" s="7" t="s">
        <v>4988</v>
      </c>
      <c r="B3714" s="7" t="n">
        <v>3448.13</v>
      </c>
      <c r="C3714" s="7" t="n">
        <f aca="false">AVERAGE(B3665:B3714)</f>
        <v>3365.0782</v>
      </c>
      <c r="D3714" s="7" t="n">
        <f aca="false">AVERAGE(B3515:B3714)</f>
        <v>3095.63545</v>
      </c>
      <c r="E3714" s="7" t="n">
        <f aca="false">B3714/MAX(B3463:B3714)-1</f>
        <v>-0.011430619266055</v>
      </c>
      <c r="F3714" s="7" t="str">
        <f aca="false">IFERROR(INDEX(02_轉折點45個!B:B,MATCH(A3714,02_轉折點45個!A:A,0)),"")</f>
        <v/>
      </c>
      <c r="G3714" s="7" t="s">
        <v>1994</v>
      </c>
    </row>
    <row r="3715" customFormat="false" ht="15" hidden="false" customHeight="false" outlineLevel="0" collapsed="false">
      <c r="A3715" s="7" t="s">
        <v>4989</v>
      </c>
      <c r="B3715" s="7" t="n">
        <v>3478.66</v>
      </c>
      <c r="C3715" s="7" t="n">
        <f aca="false">AVERAGE(B3666:B3715)</f>
        <v>3368.7794</v>
      </c>
      <c r="D3715" s="7" t="n">
        <f aca="false">AVERAGE(B3516:B3715)</f>
        <v>3099.0761</v>
      </c>
      <c r="E3715" s="7" t="n">
        <f aca="false">B3715/MAX(B3464:B3715)-1</f>
        <v>-0.00267775229357803</v>
      </c>
      <c r="F3715" s="7" t="str">
        <f aca="false">IFERROR(INDEX(02_轉折點45個!B:B,MATCH(A3715,02_轉折點45個!A:A,0)),"")</f>
        <v/>
      </c>
      <c r="G3715" s="7" t="s">
        <v>1994</v>
      </c>
    </row>
    <row r="3716" customFormat="false" ht="15" hidden="false" customHeight="false" outlineLevel="0" collapsed="false">
      <c r="A3716" s="7" t="s">
        <v>4990</v>
      </c>
      <c r="B3716" s="7" t="n">
        <v>3444.52</v>
      </c>
      <c r="C3716" s="7" t="n">
        <f aca="false">AVERAGE(B3667:B3716)</f>
        <v>3371.6522</v>
      </c>
      <c r="D3716" s="7" t="n">
        <f aca="false">AVERAGE(B3517:B3716)</f>
        <v>3102.3925</v>
      </c>
      <c r="E3716" s="7" t="n">
        <f aca="false">B3716/MAX(B3465:B3716)-1</f>
        <v>-0.0124655963302752</v>
      </c>
      <c r="F3716" s="7" t="str">
        <f aca="false">IFERROR(INDEX(02_轉折點45個!B:B,MATCH(A3716,02_轉折點45個!A:A,0)),"")</f>
        <v/>
      </c>
      <c r="G3716" s="7" t="s">
        <v>1994</v>
      </c>
    </row>
    <row r="3717" customFormat="false" ht="15" hidden="false" customHeight="false" outlineLevel="0" collapsed="false">
      <c r="A3717" s="7" t="s">
        <v>1073</v>
      </c>
      <c r="B3717" s="7" t="n">
        <v>3375.5</v>
      </c>
      <c r="C3717" s="7" t="n">
        <f aca="false">AVERAGE(B3668:B3717)</f>
        <v>3373.4006</v>
      </c>
      <c r="D3717" s="7" t="n">
        <f aca="false">AVERAGE(B3518:B3717)</f>
        <v>3105.33625</v>
      </c>
      <c r="E3717" s="7" t="n">
        <f aca="false">B3717/MAX(B3466:B3717)-1</f>
        <v>-0.0322534403669725</v>
      </c>
      <c r="F3717" s="7" t="str">
        <f aca="false">IFERROR(INDEX(02_轉折點45個!B:B,MATCH(A3717,02_轉折點45個!A:A,0)),"")</f>
        <v/>
      </c>
      <c r="G3717" s="7" t="s">
        <v>1994</v>
      </c>
    </row>
    <row r="3718" customFormat="false" ht="15" hidden="false" customHeight="false" outlineLevel="0" collapsed="false">
      <c r="A3718" s="7" t="s">
        <v>4991</v>
      </c>
      <c r="B3718" s="7" t="n">
        <v>3359.92</v>
      </c>
      <c r="C3718" s="7" t="n">
        <f aca="false">AVERAGE(B3669:B3718)</f>
        <v>3374.5208</v>
      </c>
      <c r="D3718" s="7" t="n">
        <f aca="false">AVERAGE(B3519:B3718)</f>
        <v>3108.3363</v>
      </c>
      <c r="E3718" s="7" t="n">
        <f aca="false">B3718/MAX(B3467:B3718)-1</f>
        <v>-0.0367201834862385</v>
      </c>
      <c r="F3718" s="7" t="str">
        <f aca="false">IFERROR(INDEX(02_轉折點45個!B:B,MATCH(A3718,02_轉折點45個!A:A,0)),"")</f>
        <v/>
      </c>
      <c r="G3718" s="7" t="s">
        <v>1994</v>
      </c>
    </row>
    <row r="3719" customFormat="false" ht="15" hidden="false" customHeight="false" outlineLevel="0" collapsed="false">
      <c r="A3719" s="7" t="s">
        <v>4992</v>
      </c>
      <c r="B3719" s="7" t="n">
        <v>3435.72</v>
      </c>
      <c r="C3719" s="7" t="n">
        <f aca="false">AVERAGE(B3670:B3719)</f>
        <v>3376.9762</v>
      </c>
      <c r="D3719" s="7" t="n">
        <f aca="false">AVERAGE(B3520:B3719)</f>
        <v>3111.75375</v>
      </c>
      <c r="E3719" s="7" t="n">
        <f aca="false">B3719/MAX(B3468:B3719)-1</f>
        <v>-0.0149885321100918</v>
      </c>
      <c r="F3719" s="7" t="str">
        <f aca="false">IFERROR(INDEX(02_轉折點45個!B:B,MATCH(A3719,02_轉折點45個!A:A,0)),"")</f>
        <v/>
      </c>
      <c r="G3719" s="7" t="s">
        <v>1994</v>
      </c>
    </row>
    <row r="3720" customFormat="false" ht="15" hidden="false" customHeight="false" outlineLevel="0" collapsed="false">
      <c r="A3720" s="7" t="s">
        <v>4993</v>
      </c>
      <c r="B3720" s="7" t="n">
        <v>3464.15</v>
      </c>
      <c r="C3720" s="7" t="n">
        <f aca="false">AVERAGE(B3671:B3720)</f>
        <v>3379.098</v>
      </c>
      <c r="D3720" s="7" t="n">
        <f aca="false">AVERAGE(B3521:B3720)</f>
        <v>3115.41585</v>
      </c>
      <c r="E3720" s="7" t="n">
        <f aca="false">B3720/MAX(B3469:B3720)-1</f>
        <v>-0.00683772935779814</v>
      </c>
      <c r="F3720" s="7" t="str">
        <f aca="false">IFERROR(INDEX(02_轉折點45個!B:B,MATCH(A3720,02_轉折點45個!A:A,0)),"")</f>
        <v/>
      </c>
      <c r="G3720" s="7" t="s">
        <v>1994</v>
      </c>
    </row>
    <row r="3721" customFormat="false" ht="15" hidden="false" customHeight="false" outlineLevel="0" collapsed="false">
      <c r="A3721" s="7" t="s">
        <v>4994</v>
      </c>
      <c r="B3721" s="7" t="n">
        <v>3485.54</v>
      </c>
      <c r="C3721" s="7" t="n">
        <f aca="false">AVERAGE(B3672:B3721)</f>
        <v>3381.3946</v>
      </c>
      <c r="D3721" s="7" t="n">
        <f aca="false">AVERAGE(B3522:B3721)</f>
        <v>3119.2043</v>
      </c>
      <c r="E3721" s="7" t="n">
        <f aca="false">B3721/MAX(B3470:B3721)-1</f>
        <v>-0.000705275229357816</v>
      </c>
      <c r="F3721" s="7" t="str">
        <f aca="false">IFERROR(INDEX(02_轉折點45個!B:B,MATCH(A3721,02_轉折點45個!A:A,0)),"")</f>
        <v/>
      </c>
      <c r="G3721" s="7" t="s">
        <v>1994</v>
      </c>
    </row>
    <row r="3722" customFormat="false" ht="15" hidden="false" customHeight="false" outlineLevel="0" collapsed="false">
      <c r="A3722" s="7" t="s">
        <v>1074</v>
      </c>
      <c r="B3722" s="7" t="n">
        <v>3466.1</v>
      </c>
      <c r="C3722" s="7" t="n">
        <f aca="false">AVERAGE(B3673:B3722)</f>
        <v>3383.241</v>
      </c>
      <c r="D3722" s="7" t="n">
        <f aca="false">AVERAGE(B3523:B3722)</f>
        <v>3123.0125</v>
      </c>
      <c r="E3722" s="7" t="n">
        <f aca="false">B3722/MAX(B3471:B3722)-1</f>
        <v>-0.00627866972477065</v>
      </c>
      <c r="F3722" s="7" t="str">
        <f aca="false">IFERROR(INDEX(02_轉折點45個!B:B,MATCH(A3722,02_轉折點45個!A:A,0)),"")</f>
        <v/>
      </c>
      <c r="G3722" s="7" t="s">
        <v>1994</v>
      </c>
    </row>
    <row r="3723" customFormat="false" ht="15" hidden="false" customHeight="false" outlineLevel="0" collapsed="false">
      <c r="A3723" s="7" t="s">
        <v>1075</v>
      </c>
      <c r="B3723" s="7" t="n">
        <v>3507.6</v>
      </c>
      <c r="C3723" s="7" t="n">
        <f aca="false">AVERAGE(B3674:B3723)</f>
        <v>3386.414</v>
      </c>
      <c r="D3723" s="7" t="n">
        <f aca="false">AVERAGE(B3524:B3723)</f>
        <v>3126.7578</v>
      </c>
      <c r="E3723" s="7" t="n">
        <f aca="false">B3723/MAX(B3472:B3723)-1</f>
        <v>0</v>
      </c>
      <c r="F3723" s="7" t="str">
        <f aca="false">IFERROR(INDEX(02_轉折點45個!B:B,MATCH(A3723,02_轉折點45個!A:A,0)),"")</f>
        <v/>
      </c>
      <c r="G3723" s="7" t="s">
        <v>1994</v>
      </c>
    </row>
    <row r="3724" customFormat="false" ht="15" hidden="false" customHeight="false" outlineLevel="0" collapsed="false">
      <c r="A3724" s="7" t="s">
        <v>1076</v>
      </c>
      <c r="B3724" s="7" t="n">
        <v>3529.27</v>
      </c>
      <c r="C3724" s="7" t="n">
        <f aca="false">AVERAGE(B3675:B3724)</f>
        <v>3390.2354</v>
      </c>
      <c r="D3724" s="7" t="n">
        <f aca="false">AVERAGE(B3525:B3724)</f>
        <v>3130.18775</v>
      </c>
      <c r="E3724" s="7" t="n">
        <f aca="false">B3724/MAX(B3473:B3724)-1</f>
        <v>0</v>
      </c>
      <c r="F3724" s="7" t="str">
        <f aca="false">IFERROR(INDEX(02_轉折點45個!B:B,MATCH(A3724,02_轉折點45個!A:A,0)),"")</f>
        <v/>
      </c>
      <c r="G3724" s="7" t="s">
        <v>1994</v>
      </c>
    </row>
    <row r="3725" customFormat="false" ht="15" hidden="false" customHeight="false" outlineLevel="0" collapsed="false">
      <c r="A3725" s="7" t="s">
        <v>4995</v>
      </c>
      <c r="B3725" s="7" t="n">
        <v>3575.98</v>
      </c>
      <c r="C3725" s="7" t="n">
        <f aca="false">AVERAGE(B3676:B3725)</f>
        <v>3394.7148</v>
      </c>
      <c r="D3725" s="7" t="n">
        <f aca="false">AVERAGE(B3526:B3725)</f>
        <v>3133.90465</v>
      </c>
      <c r="E3725" s="7" t="n">
        <f aca="false">B3725/MAX(B3474:B3725)-1</f>
        <v>0</v>
      </c>
      <c r="F3725" s="7" t="str">
        <f aca="false">IFERROR(INDEX(02_轉折點45個!B:B,MATCH(A3725,02_轉折點45個!A:A,0)),"")</f>
        <v/>
      </c>
      <c r="G3725" s="7" t="s">
        <v>1994</v>
      </c>
    </row>
    <row r="3726" customFormat="false" ht="15" hidden="false" customHeight="false" outlineLevel="0" collapsed="false">
      <c r="A3726" s="7" t="s">
        <v>4996</v>
      </c>
      <c r="B3726" s="7" t="n">
        <v>3581.25</v>
      </c>
      <c r="C3726" s="7" t="n">
        <f aca="false">AVERAGE(B3677:B3726)</f>
        <v>3399.4642</v>
      </c>
      <c r="D3726" s="7" t="n">
        <f aca="false">AVERAGE(B3527:B3726)</f>
        <v>3137.64295</v>
      </c>
      <c r="E3726" s="7" t="n">
        <f aca="false">B3726/MAX(B3475:B3726)-1</f>
        <v>0</v>
      </c>
      <c r="F3726" s="7" t="str">
        <f aca="false">IFERROR(INDEX(02_轉折點45個!B:B,MATCH(A3726,02_轉折點45個!A:A,0)),"")</f>
        <v/>
      </c>
      <c r="G3726" s="7" t="s">
        <v>1994</v>
      </c>
    </row>
    <row r="3727" customFormat="false" ht="15" hidden="false" customHeight="false" outlineLevel="0" collapsed="false">
      <c r="A3727" s="7" t="s">
        <v>4997</v>
      </c>
      <c r="B3727" s="7" t="n">
        <v>3589.95</v>
      </c>
      <c r="C3727" s="7" t="n">
        <f aca="false">AVERAGE(B3678:B3727)</f>
        <v>3404.2078</v>
      </c>
      <c r="D3727" s="7" t="n">
        <f aca="false">AVERAGE(B3528:B3727)</f>
        <v>3141.43775</v>
      </c>
      <c r="E3727" s="7" t="n">
        <f aca="false">B3727/MAX(B3476:B3727)-1</f>
        <v>0</v>
      </c>
      <c r="F3727" s="7" t="str">
        <f aca="false">IFERROR(INDEX(02_轉折點45個!B:B,MATCH(A3727,02_轉折點45個!A:A,0)),"")</f>
        <v/>
      </c>
      <c r="G3727" s="7" t="s">
        <v>1994</v>
      </c>
    </row>
    <row r="3728" customFormat="false" ht="15" hidden="false" customHeight="false" outlineLevel="0" collapsed="false">
      <c r="A3728" s="7" t="s">
        <v>4998</v>
      </c>
      <c r="B3728" s="7" t="n">
        <v>3569.39</v>
      </c>
      <c r="C3728" s="7" t="n">
        <f aca="false">AVERAGE(B3679:B3728)</f>
        <v>3408.2756</v>
      </c>
      <c r="D3728" s="7" t="n">
        <f aca="false">AVERAGE(B3529:B3728)</f>
        <v>3145.16175</v>
      </c>
      <c r="E3728" s="7" t="n">
        <f aca="false">B3728/MAX(B3477:B3728)-1</f>
        <v>-0.0057270992632209</v>
      </c>
      <c r="F3728" s="7" t="str">
        <f aca="false">IFERROR(INDEX(02_轉折點45個!B:B,MATCH(A3728,02_轉折點45個!A:A,0)),"")</f>
        <v/>
      </c>
      <c r="G3728" s="7" t="s">
        <v>1994</v>
      </c>
    </row>
    <row r="3729" customFormat="false" ht="15" hidden="false" customHeight="false" outlineLevel="0" collapsed="false">
      <c r="A3729" s="7" t="s">
        <v>4999</v>
      </c>
      <c r="B3729" s="7" t="n">
        <v>3589.39</v>
      </c>
      <c r="C3729" s="7" t="n">
        <f aca="false">AVERAGE(B3680:B3729)</f>
        <v>3413.0206</v>
      </c>
      <c r="D3729" s="7" t="n">
        <f aca="false">AVERAGE(B3530:B3729)</f>
        <v>3148.9218</v>
      </c>
      <c r="E3729" s="7" t="n">
        <f aca="false">B3729/MAX(B3478:B3729)-1</f>
        <v>-0.000155991030515779</v>
      </c>
      <c r="F3729" s="7" t="str">
        <f aca="false">IFERROR(INDEX(02_轉折點45個!B:B,MATCH(A3729,02_轉折點45個!A:A,0)),"")</f>
        <v/>
      </c>
      <c r="G3729" s="7" t="s">
        <v>1994</v>
      </c>
    </row>
    <row r="3730" customFormat="false" ht="15" hidden="false" customHeight="false" outlineLevel="0" collapsed="false">
      <c r="A3730" s="7" t="s">
        <v>5000</v>
      </c>
      <c r="B3730" s="7" t="n">
        <v>3602.55</v>
      </c>
      <c r="C3730" s="7" t="n">
        <f aca="false">AVERAGE(B3681:B3730)</f>
        <v>3419.1826</v>
      </c>
      <c r="D3730" s="7" t="n">
        <f aca="false">AVERAGE(B3531:B3730)</f>
        <v>3152.6748</v>
      </c>
      <c r="E3730" s="7" t="n">
        <f aca="false">B3730/MAX(B3479:B3730)-1</f>
        <v>0</v>
      </c>
      <c r="F3730" s="7" t="str">
        <f aca="false">IFERROR(INDEX(02_轉折點45個!B:B,MATCH(A3730,02_轉折點45個!A:A,0)),"")</f>
        <v/>
      </c>
      <c r="G3730" s="7" t="s">
        <v>1994</v>
      </c>
    </row>
    <row r="3731" customFormat="false" ht="15" hidden="false" customHeight="false" outlineLevel="0" collapsed="false">
      <c r="A3731" s="7" t="s">
        <v>5001</v>
      </c>
      <c r="B3731" s="7" t="n">
        <v>3599.59</v>
      </c>
      <c r="C3731" s="7" t="n">
        <f aca="false">AVERAGE(B3682:B3731)</f>
        <v>3425.3464</v>
      </c>
      <c r="D3731" s="7" t="n">
        <f aca="false">AVERAGE(B3532:B3731)</f>
        <v>3156.3953</v>
      </c>
      <c r="E3731" s="7" t="n">
        <f aca="false">B3731/MAX(B3480:B3731)-1</f>
        <v>-0.000821640227061438</v>
      </c>
      <c r="F3731" s="7" t="str">
        <f aca="false">IFERROR(INDEX(02_轉折點45個!B:B,MATCH(A3731,02_轉折點45個!A:A,0)),"")</f>
        <v/>
      </c>
      <c r="G3731" s="7" t="s">
        <v>1994</v>
      </c>
    </row>
    <row r="3732" customFormat="false" ht="15" hidden="false" customHeight="false" outlineLevel="0" collapsed="false">
      <c r="A3732" s="7" t="s">
        <v>5002</v>
      </c>
      <c r="B3732" s="7" t="n">
        <v>3610.75</v>
      </c>
      <c r="C3732" s="7" t="n">
        <f aca="false">AVERAGE(B3683:B3732)</f>
        <v>3431.9836</v>
      </c>
      <c r="D3732" s="7" t="n">
        <f aca="false">AVERAGE(B3533:B3732)</f>
        <v>3160.20875</v>
      </c>
      <c r="E3732" s="7" t="n">
        <f aca="false">B3732/MAX(B3481:B3732)-1</f>
        <v>0</v>
      </c>
      <c r="F3732" s="7" t="str">
        <f aca="false">IFERROR(INDEX(02_轉折點45個!B:B,MATCH(A3732,02_轉折點45個!A:A,0)),"")</f>
        <v/>
      </c>
      <c r="G3732" s="7" t="s">
        <v>1994</v>
      </c>
    </row>
    <row r="3733" customFormat="false" ht="15" hidden="false" customHeight="false" outlineLevel="0" collapsed="false">
      <c r="A3733" s="7" t="s">
        <v>5003</v>
      </c>
      <c r="B3733" s="7" t="n">
        <v>3590.91</v>
      </c>
      <c r="C3733" s="7" t="n">
        <f aca="false">AVERAGE(B3684:B3733)</f>
        <v>3437.7762</v>
      </c>
      <c r="D3733" s="7" t="n">
        <f aca="false">AVERAGE(B3534:B3733)</f>
        <v>3163.9537</v>
      </c>
      <c r="E3733" s="7" t="n">
        <f aca="false">B3733/MAX(B3482:B3733)-1</f>
        <v>-0.00549470331648549</v>
      </c>
      <c r="F3733" s="7" t="str">
        <f aca="false">IFERROR(INDEX(02_轉折點45個!B:B,MATCH(A3733,02_轉折點45個!A:A,0)),"")</f>
        <v/>
      </c>
      <c r="G3733" s="7" t="s">
        <v>1994</v>
      </c>
    </row>
    <row r="3734" customFormat="false" ht="15" hidden="false" customHeight="false" outlineLevel="0" collapsed="false">
      <c r="A3734" s="7" t="s">
        <v>5004</v>
      </c>
      <c r="B3734" s="7" t="n">
        <v>3580.94</v>
      </c>
      <c r="C3734" s="7" t="n">
        <f aca="false">AVERAGE(B3685:B3734)</f>
        <v>3443.6216</v>
      </c>
      <c r="D3734" s="7" t="n">
        <f aca="false">AVERAGE(B3535:B3734)</f>
        <v>3167.6179</v>
      </c>
      <c r="E3734" s="7" t="n">
        <f aca="false">B3734/MAX(B3483:B3734)-1</f>
        <v>-0.0082559025133282</v>
      </c>
      <c r="F3734" s="7" t="str">
        <f aca="false">IFERROR(INDEX(02_轉折點45個!B:B,MATCH(A3734,02_轉折點45個!A:A,0)),"")</f>
        <v/>
      </c>
      <c r="G3734" s="7" t="s">
        <v>1994</v>
      </c>
    </row>
    <row r="3735" customFormat="false" ht="15" hidden="false" customHeight="false" outlineLevel="0" collapsed="false">
      <c r="A3735" s="7" t="s">
        <v>5005</v>
      </c>
      <c r="B3735" s="7" t="n">
        <v>3583.07</v>
      </c>
      <c r="C3735" s="7" t="n">
        <f aca="false">AVERAGE(B3686:B3735)</f>
        <v>3448.7984</v>
      </c>
      <c r="D3735" s="7" t="n">
        <f aca="false">AVERAGE(B3536:B3735)</f>
        <v>3171.20845</v>
      </c>
      <c r="E3735" s="7" t="n">
        <f aca="false">B3735/MAX(B3484:B3735)-1</f>
        <v>-0.00766599736896767</v>
      </c>
      <c r="F3735" s="7" t="str">
        <f aca="false">IFERROR(INDEX(02_轉折點45個!B:B,MATCH(A3735,02_轉折點45個!A:A,0)),"")</f>
        <v/>
      </c>
      <c r="G3735" s="7" t="s">
        <v>1994</v>
      </c>
    </row>
    <row r="3736" customFormat="false" ht="15" hidden="false" customHeight="false" outlineLevel="0" collapsed="false">
      <c r="A3736" s="7" t="s">
        <v>5006</v>
      </c>
      <c r="B3736" s="7" t="n">
        <v>3596.36</v>
      </c>
      <c r="C3736" s="7" t="n">
        <f aca="false">AVERAGE(B3687:B3736)</f>
        <v>3453.8924</v>
      </c>
      <c r="D3736" s="7" t="n">
        <f aca="false">AVERAGE(B3537:B3736)</f>
        <v>3174.8713</v>
      </c>
      <c r="E3736" s="7" t="n">
        <f aca="false">B3736/MAX(B3485:B3736)-1</f>
        <v>-0.00398532160908394</v>
      </c>
      <c r="F3736" s="7" t="str">
        <f aca="false">IFERROR(INDEX(02_轉折點45個!B:B,MATCH(A3736,02_轉折點45個!A:A,0)),"")</f>
        <v/>
      </c>
      <c r="G3736" s="7" t="s">
        <v>1994</v>
      </c>
    </row>
    <row r="3737" customFormat="false" ht="15" hidden="false" customHeight="false" outlineLevel="0" collapsed="false">
      <c r="A3737" s="7" t="s">
        <v>1077</v>
      </c>
      <c r="B3737" s="7" t="n">
        <v>3599.35</v>
      </c>
      <c r="C3737" s="7" t="n">
        <f aca="false">AVERAGE(B3688:B3737)</f>
        <v>3459.0502</v>
      </c>
      <c r="D3737" s="7" t="n">
        <f aca="false">AVERAGE(B3538:B3737)</f>
        <v>3178.51045</v>
      </c>
      <c r="E3737" s="7" t="n">
        <f aca="false">B3737/MAX(B3486:B3737)-1</f>
        <v>-0.00315723880080321</v>
      </c>
      <c r="F3737" s="7" t="str">
        <f aca="false">IFERROR(INDEX(02_轉折點45個!B:B,MATCH(A3737,02_轉折點45個!A:A,0)),"")</f>
        <v/>
      </c>
      <c r="G3737" s="7" t="s">
        <v>1994</v>
      </c>
    </row>
    <row r="3738" customFormat="false" ht="15" hidden="false" customHeight="false" outlineLevel="0" collapsed="false">
      <c r="A3738" s="7" t="s">
        <v>5007</v>
      </c>
      <c r="B3738" s="7" t="n">
        <v>3592.12</v>
      </c>
      <c r="C3738" s="7" t="n">
        <f aca="false">AVERAGE(B3689:B3738)</f>
        <v>3465.5078</v>
      </c>
      <c r="D3738" s="7" t="n">
        <f aca="false">AVERAGE(B3539:B3738)</f>
        <v>3182.0655</v>
      </c>
      <c r="E3738" s="7" t="n">
        <f aca="false">B3738/MAX(B3487:B3738)-1</f>
        <v>-0.00515959288236523</v>
      </c>
      <c r="F3738" s="7" t="str">
        <f aca="false">IFERROR(INDEX(02_轉折點45個!B:B,MATCH(A3738,02_轉折點45個!A:A,0)),"")</f>
        <v/>
      </c>
      <c r="G3738" s="7" t="s">
        <v>1994</v>
      </c>
    </row>
    <row r="3739" customFormat="false" ht="15" hidden="false" customHeight="false" outlineLevel="0" collapsed="false">
      <c r="A3739" s="7" t="s">
        <v>5008</v>
      </c>
      <c r="B3739" s="7" t="n">
        <v>3523.95</v>
      </c>
      <c r="C3739" s="7" t="n">
        <f aca="false">AVERAGE(B3690:B3739)</f>
        <v>3470.331</v>
      </c>
      <c r="D3739" s="7" t="n">
        <f aca="false">AVERAGE(B3540:B3739)</f>
        <v>3185.3861</v>
      </c>
      <c r="E3739" s="7" t="n">
        <f aca="false">B3739/MAX(B3488:B3739)-1</f>
        <v>-0.0240393270096241</v>
      </c>
      <c r="F3739" s="7" t="str">
        <f aca="false">IFERROR(INDEX(02_轉折點45個!B:B,MATCH(A3739,02_轉折點45個!A:A,0)),"")</f>
        <v/>
      </c>
      <c r="G3739" s="7" t="s">
        <v>1994</v>
      </c>
    </row>
    <row r="3740" customFormat="false" ht="15" hidden="false" customHeight="false" outlineLevel="0" collapsed="false">
      <c r="A3740" s="7" t="s">
        <v>5009</v>
      </c>
      <c r="B3740" s="7" t="n">
        <v>3580.5</v>
      </c>
      <c r="C3740" s="7" t="n">
        <f aca="false">AVERAGE(B3691:B3740)</f>
        <v>3475.7928</v>
      </c>
      <c r="D3740" s="7" t="n">
        <f aca="false">AVERAGE(B3541:B3740)</f>
        <v>3188.90115</v>
      </c>
      <c r="E3740" s="7" t="n">
        <f aca="false">B3740/MAX(B3489:B3740)-1</f>
        <v>-0.00837776085300834</v>
      </c>
      <c r="F3740" s="7" t="str">
        <f aca="false">IFERROR(INDEX(02_轉折點45個!B:B,MATCH(A3740,02_轉折點45個!A:A,0)),"")</f>
        <v/>
      </c>
      <c r="G3740" s="7" t="s">
        <v>1994</v>
      </c>
    </row>
    <row r="3741" customFormat="false" ht="15" hidden="false" customHeight="false" outlineLevel="0" collapsed="false">
      <c r="A3741" s="7" t="s">
        <v>5010</v>
      </c>
      <c r="B3741" s="7" t="n">
        <v>3581.01</v>
      </c>
      <c r="C3741" s="7" t="n">
        <f aca="false">AVERAGE(B3692:B3741)</f>
        <v>3481.8208</v>
      </c>
      <c r="D3741" s="7" t="n">
        <f aca="false">AVERAGE(B3542:B3741)</f>
        <v>3192.3978</v>
      </c>
      <c r="E3741" s="7" t="n">
        <f aca="false">B3741/MAX(B3490:B3741)-1</f>
        <v>-0.0082365159592882</v>
      </c>
      <c r="F3741" s="7" t="str">
        <f aca="false">IFERROR(INDEX(02_轉折點45個!B:B,MATCH(A3741,02_轉折點45個!A:A,0)),"")</f>
        <v/>
      </c>
      <c r="G3741" s="7" t="s">
        <v>1994</v>
      </c>
    </row>
    <row r="3742" customFormat="false" ht="15" hidden="false" customHeight="false" outlineLevel="0" collapsed="false">
      <c r="A3742" s="7" t="s">
        <v>5011</v>
      </c>
      <c r="B3742" s="7" t="n">
        <v>3581.13</v>
      </c>
      <c r="C3742" s="7" t="n">
        <f aca="false">AVERAGE(B3693:B3742)</f>
        <v>3487.4358</v>
      </c>
      <c r="D3742" s="7" t="n">
        <f aca="false">AVERAGE(B3543:B3742)</f>
        <v>3195.89795</v>
      </c>
      <c r="E3742" s="7" t="n">
        <f aca="false">B3742/MAX(B3491:B3742)-1</f>
        <v>-0.0082032818666482</v>
      </c>
      <c r="F3742" s="7" t="str">
        <f aca="false">IFERROR(INDEX(02_轉折點45個!B:B,MATCH(A3742,02_轉折點45個!A:A,0)),"")</f>
        <v/>
      </c>
      <c r="G3742" s="7" t="s">
        <v>1994</v>
      </c>
    </row>
    <row r="3743" customFormat="false" ht="15" hidden="false" customHeight="false" outlineLevel="0" collapsed="false">
      <c r="A3743" s="7" t="s">
        <v>1078</v>
      </c>
      <c r="B3743" s="7" t="n">
        <v>3622.85</v>
      </c>
      <c r="C3743" s="7" t="n">
        <f aca="false">AVERAGE(B3694:B3743)</f>
        <v>3493.2196</v>
      </c>
      <c r="D3743" s="7" t="n">
        <f aca="false">AVERAGE(B3544:B3743)</f>
        <v>3199.65855</v>
      </c>
      <c r="E3743" s="7" t="n">
        <f aca="false">B3743/MAX(B3492:B3743)-1</f>
        <v>0</v>
      </c>
      <c r="F3743" s="7" t="str">
        <f aca="false">IFERROR(INDEX(02_轉折點45個!B:B,MATCH(A3743,02_轉折點45個!A:A,0)),"")</f>
        <v/>
      </c>
      <c r="G3743" s="7" t="s">
        <v>1994</v>
      </c>
    </row>
    <row r="3744" customFormat="false" ht="15" hidden="false" customHeight="false" outlineLevel="0" collapsed="false">
      <c r="A3744" s="7" t="s">
        <v>1079</v>
      </c>
      <c r="B3744" s="7" t="n">
        <v>3629.39</v>
      </c>
      <c r="C3744" s="7" t="n">
        <f aca="false">AVERAGE(B3695:B3744)</f>
        <v>3498.9562</v>
      </c>
      <c r="D3744" s="7" t="n">
        <f aca="false">AVERAGE(B3545:B3744)</f>
        <v>3203.4527</v>
      </c>
      <c r="E3744" s="7" t="n">
        <f aca="false">B3744/MAX(B3493:B3744)-1</f>
        <v>0</v>
      </c>
      <c r="F3744" s="7" t="str">
        <f aca="false">IFERROR(INDEX(02_轉折點45個!B:B,MATCH(A3744,02_轉折點45個!A:A,0)),"")</f>
        <v/>
      </c>
      <c r="G3744" s="7" t="s">
        <v>1994</v>
      </c>
    </row>
    <row r="3745" customFormat="false" ht="15" hidden="false" customHeight="false" outlineLevel="0" collapsed="false">
      <c r="A3745" s="7" t="s">
        <v>1080</v>
      </c>
      <c r="B3745" s="7" t="n">
        <v>3641.47</v>
      </c>
      <c r="C3745" s="7" t="n">
        <f aca="false">AVERAGE(B3696:B3745)</f>
        <v>3504.912</v>
      </c>
      <c r="D3745" s="7" t="n">
        <f aca="false">AVERAGE(B3546:B3745)</f>
        <v>3207.13835</v>
      </c>
      <c r="E3745" s="7" t="n">
        <f aca="false">B3745/MAX(B3494:B3745)-1</f>
        <v>0</v>
      </c>
      <c r="F3745" s="7" t="str">
        <f aca="false">IFERROR(INDEX(02_轉折點45個!B:B,MATCH(A3745,02_轉折點45個!A:A,0)),"")</f>
        <v/>
      </c>
      <c r="G3745" s="7" t="s">
        <v>1994</v>
      </c>
    </row>
    <row r="3746" customFormat="false" ht="15" hidden="false" customHeight="false" outlineLevel="0" collapsed="false">
      <c r="A3746" s="7" t="s">
        <v>5012</v>
      </c>
      <c r="B3746" s="7" t="n">
        <v>3607.76</v>
      </c>
      <c r="C3746" s="7" t="n">
        <f aca="false">AVERAGE(B3697:B3746)</f>
        <v>3509.35</v>
      </c>
      <c r="D3746" s="7" t="n">
        <f aca="false">AVERAGE(B3547:B3746)</f>
        <v>3210.8744</v>
      </c>
      <c r="E3746" s="7" t="n">
        <f aca="false">B3746/MAX(B3495:B3746)-1</f>
        <v>-0.00925725050597692</v>
      </c>
      <c r="F3746" s="7" t="str">
        <f aca="false">IFERROR(INDEX(02_轉折點45個!B:B,MATCH(A3746,02_轉折點45個!A:A,0)),"")</f>
        <v/>
      </c>
      <c r="G3746" s="7" t="s">
        <v>1994</v>
      </c>
    </row>
    <row r="3747" customFormat="false" ht="15" hidden="false" customHeight="false" outlineLevel="0" collapsed="false">
      <c r="A3747" s="7" t="s">
        <v>5013</v>
      </c>
      <c r="B3747" s="7" t="n">
        <v>3591.76</v>
      </c>
      <c r="C3747" s="7" t="n">
        <f aca="false">AVERAGE(B3698:B3747)</f>
        <v>3513.0506</v>
      </c>
      <c r="D3747" s="7" t="n">
        <f aca="false">AVERAGE(B3548:B3747)</f>
        <v>3214.34585</v>
      </c>
      <c r="E3747" s="7" t="n">
        <f aca="false">B3747/MAX(B3496:B3747)-1</f>
        <v>-0.0136510804702495</v>
      </c>
      <c r="F3747" s="7" t="str">
        <f aca="false">IFERROR(INDEX(02_轉折點45個!B:B,MATCH(A3747,02_轉折點45個!A:A,0)),"")</f>
        <v/>
      </c>
      <c r="G3747" s="7" t="s">
        <v>1994</v>
      </c>
    </row>
    <row r="3748" customFormat="false" ht="15" hidden="false" customHeight="false" outlineLevel="0" collapsed="false">
      <c r="A3748" s="7" t="s">
        <v>5014</v>
      </c>
      <c r="B3748" s="7" t="n">
        <v>3582.36</v>
      </c>
      <c r="C3748" s="7" t="n">
        <f aca="false">AVERAGE(B3699:B3748)</f>
        <v>3516.6364</v>
      </c>
      <c r="D3748" s="7" t="n">
        <f aca="false">AVERAGE(B3549:B3748)</f>
        <v>3217.78445</v>
      </c>
      <c r="E3748" s="7" t="n">
        <f aca="false">B3748/MAX(B3497:B3748)-1</f>
        <v>-0.0162324555742598</v>
      </c>
      <c r="F3748" s="7" t="str">
        <f aca="false">IFERROR(INDEX(02_轉折點45個!B:B,MATCH(A3748,02_轉折點45個!A:A,0)),"")</f>
        <v/>
      </c>
      <c r="G3748" s="7" t="s">
        <v>1994</v>
      </c>
    </row>
    <row r="3749" customFormat="false" ht="15" hidden="false" customHeight="false" outlineLevel="0" collapsed="false">
      <c r="A3749" s="7" t="s">
        <v>5015</v>
      </c>
      <c r="B3749" s="7" t="n">
        <v>3626.12</v>
      </c>
      <c r="C3749" s="7" t="n">
        <f aca="false">AVERAGE(B3700:B3749)</f>
        <v>3521.2626</v>
      </c>
      <c r="D3749" s="7" t="n">
        <f aca="false">AVERAGE(B3550:B3749)</f>
        <v>3221.45715</v>
      </c>
      <c r="E3749" s="7" t="n">
        <f aca="false">B3749/MAX(B3498:B3749)-1</f>
        <v>-0.0042153306219741</v>
      </c>
      <c r="F3749" s="7" t="str">
        <f aca="false">IFERROR(INDEX(02_轉折點45個!B:B,MATCH(A3749,02_轉折點45個!A:A,0)),"")</f>
        <v/>
      </c>
      <c r="G3749" s="7" t="s">
        <v>1994</v>
      </c>
    </row>
    <row r="3750" customFormat="false" ht="15" hidden="false" customHeight="false" outlineLevel="0" collapsed="false">
      <c r="A3750" s="7" t="s">
        <v>1081</v>
      </c>
      <c r="B3750" s="7" t="n">
        <v>3646.66</v>
      </c>
      <c r="C3750" s="7" t="n">
        <f aca="false">AVERAGE(B3701:B3750)</f>
        <v>3526.1862</v>
      </c>
      <c r="D3750" s="7" t="n">
        <f aca="false">AVERAGE(B3551:B3750)</f>
        <v>3225.1013</v>
      </c>
      <c r="E3750" s="7" t="n">
        <f aca="false">B3750/MAX(B3499:B3750)-1</f>
        <v>0</v>
      </c>
      <c r="F3750" s="7" t="str">
        <f aca="false">IFERROR(INDEX(02_轉折點45個!B:B,MATCH(A3750,02_轉折點45個!A:A,0)),"")</f>
        <v/>
      </c>
      <c r="G3750" s="7" t="s">
        <v>1994</v>
      </c>
    </row>
    <row r="3751" customFormat="false" ht="15" hidden="false" customHeight="false" outlineLevel="0" collapsed="false">
      <c r="A3751" s="7" t="s">
        <v>1082</v>
      </c>
      <c r="B3751" s="7" t="n">
        <v>3649.33</v>
      </c>
      <c r="C3751" s="7" t="n">
        <f aca="false">AVERAGE(B3702:B3751)</f>
        <v>3531.2422</v>
      </c>
      <c r="D3751" s="7" t="n">
        <f aca="false">AVERAGE(B3552:B3751)</f>
        <v>3228.76735</v>
      </c>
      <c r="E3751" s="7" t="n">
        <f aca="false">B3751/MAX(B3500:B3751)-1</f>
        <v>0</v>
      </c>
      <c r="F3751" s="7" t="str">
        <f aca="false">IFERROR(INDEX(02_轉折點45個!B:B,MATCH(A3751,02_轉折點45個!A:A,0)),"")</f>
        <v/>
      </c>
      <c r="G3751" s="7" t="s">
        <v>1994</v>
      </c>
    </row>
    <row r="3752" customFormat="false" ht="15" hidden="false" customHeight="false" outlineLevel="0" collapsed="false">
      <c r="A3752" s="7" t="s">
        <v>1083</v>
      </c>
      <c r="B3752" s="7" t="n">
        <v>3670.51</v>
      </c>
      <c r="C3752" s="7" t="n">
        <f aca="false">AVERAGE(B3703:B3752)</f>
        <v>3536.213</v>
      </c>
      <c r="D3752" s="7" t="n">
        <f aca="false">AVERAGE(B3553:B3752)</f>
        <v>3232.56445</v>
      </c>
      <c r="E3752" s="7" t="n">
        <f aca="false">B3752/MAX(B3501:B3752)-1</f>
        <v>0</v>
      </c>
      <c r="F3752" s="7" t="str">
        <f aca="false">IFERROR(INDEX(02_轉折點45個!B:B,MATCH(A3752,02_轉折點45個!A:A,0)),"")</f>
        <v/>
      </c>
      <c r="G3752" s="7" t="s">
        <v>1994</v>
      </c>
    </row>
    <row r="3753" customFormat="false" ht="15" hidden="false" customHeight="false" outlineLevel="0" collapsed="false">
      <c r="A3753" s="7" t="s">
        <v>1084</v>
      </c>
      <c r="B3753" s="7" t="n">
        <v>3695.17</v>
      </c>
      <c r="C3753" s="7" t="n">
        <f aca="false">AVERAGE(B3704:B3753)</f>
        <v>3540.9838</v>
      </c>
      <c r="D3753" s="7" t="n">
        <f aca="false">AVERAGE(B3554:B3753)</f>
        <v>3236.4374</v>
      </c>
      <c r="E3753" s="7" t="n">
        <f aca="false">B3753/MAX(B3502:B3753)-1</f>
        <v>0</v>
      </c>
      <c r="F3753" s="7" t="str">
        <f aca="false">IFERROR(INDEX(02_轉折點45個!B:B,MATCH(A3753,02_轉折點45個!A:A,0)),"")</f>
        <v/>
      </c>
      <c r="G3753" s="7" t="s">
        <v>1994</v>
      </c>
    </row>
    <row r="3754" customFormat="false" ht="15" hidden="false" customHeight="false" outlineLevel="0" collapsed="false">
      <c r="A3754" s="7" t="s">
        <v>5016</v>
      </c>
      <c r="B3754" s="7" t="n">
        <v>3709</v>
      </c>
      <c r="C3754" s="7" t="n">
        <f aca="false">AVERAGE(B3705:B3754)</f>
        <v>3545.9264</v>
      </c>
      <c r="D3754" s="7" t="n">
        <f aca="false">AVERAGE(B3555:B3754)</f>
        <v>3240.37135</v>
      </c>
      <c r="E3754" s="7" t="n">
        <f aca="false">B3754/MAX(B3503:B3754)-1</f>
        <v>0</v>
      </c>
      <c r="F3754" s="7" t="str">
        <f aca="false">IFERROR(INDEX(02_轉折點45個!B:B,MATCH(A3754,02_轉折點45個!A:A,0)),"")</f>
        <v/>
      </c>
      <c r="G3754" s="7" t="s">
        <v>1994</v>
      </c>
    </row>
    <row r="3755" customFormat="false" ht="15" hidden="false" customHeight="false" outlineLevel="0" collapsed="false">
      <c r="A3755" s="7" t="s">
        <v>5017</v>
      </c>
      <c r="B3755" s="7" t="n">
        <v>3695.64</v>
      </c>
      <c r="C3755" s="7" t="n">
        <f aca="false">AVERAGE(B3706:B3755)</f>
        <v>3550.8694</v>
      </c>
      <c r="D3755" s="7" t="n">
        <f aca="false">AVERAGE(B3556:B3755)</f>
        <v>3244.2688</v>
      </c>
      <c r="E3755" s="7" t="n">
        <f aca="false">B3755/MAX(B3504:B3755)-1</f>
        <v>-0.00360204906983019</v>
      </c>
      <c r="F3755" s="7" t="str">
        <f aca="false">IFERROR(INDEX(02_轉折點45個!B:B,MATCH(A3755,02_轉折點45個!A:A,0)),"")</f>
        <v/>
      </c>
      <c r="G3755" s="7" t="s">
        <v>1994</v>
      </c>
    </row>
    <row r="3756" customFormat="false" ht="15" hidden="false" customHeight="false" outlineLevel="0" collapsed="false">
      <c r="A3756" s="7" t="s">
        <v>5018</v>
      </c>
      <c r="B3756" s="7" t="n">
        <v>3688.28</v>
      </c>
      <c r="C3756" s="7" t="n">
        <f aca="false">AVERAGE(B3707:B3756)</f>
        <v>3555.8376</v>
      </c>
      <c r="D3756" s="7" t="n">
        <f aca="false">AVERAGE(B3557:B3756)</f>
        <v>3248.03095</v>
      </c>
      <c r="E3756" s="7" t="n">
        <f aca="false">B3756/MAX(B3505:B3756)-1</f>
        <v>-0.00558641143165273</v>
      </c>
      <c r="F3756" s="7" t="str">
        <f aca="false">IFERROR(INDEX(02_轉折點45個!B:B,MATCH(A3756,02_轉折點45個!A:A,0)),"")</f>
        <v/>
      </c>
      <c r="G3756" s="7" t="s">
        <v>1994</v>
      </c>
    </row>
    <row r="3757" customFormat="false" ht="15" hidden="false" customHeight="false" outlineLevel="0" collapsed="false">
      <c r="A3757" s="7" t="s">
        <v>5019</v>
      </c>
      <c r="B3757" s="7" t="n">
        <v>3689.01</v>
      </c>
      <c r="C3757" s="7" t="n">
        <f aca="false">AVERAGE(B3708:B3757)</f>
        <v>3560.7664</v>
      </c>
      <c r="D3757" s="7" t="n">
        <f aca="false">AVERAGE(B3558:B3757)</f>
        <v>3252.0214</v>
      </c>
      <c r="E3757" s="7" t="n">
        <f aca="false">B3757/MAX(B3506:B3757)-1</f>
        <v>-0.00538959288217844</v>
      </c>
      <c r="F3757" s="7" t="str">
        <f aca="false">IFERROR(INDEX(02_轉折點45個!B:B,MATCH(A3757,02_轉折點45個!A:A,0)),"")</f>
        <v/>
      </c>
      <c r="G3757" s="7" t="s">
        <v>1994</v>
      </c>
    </row>
    <row r="3758" customFormat="false" ht="15" hidden="false" customHeight="false" outlineLevel="0" collapsed="false">
      <c r="A3758" s="7" t="s">
        <v>5020</v>
      </c>
      <c r="B3758" s="7" t="n">
        <v>3684.59</v>
      </c>
      <c r="C3758" s="7" t="n">
        <f aca="false">AVERAGE(B3709:B3758)</f>
        <v>3565.7374</v>
      </c>
      <c r="D3758" s="7" t="n">
        <f aca="false">AVERAGE(B3559:B3758)</f>
        <v>3256.14015</v>
      </c>
      <c r="E3758" s="7" t="n">
        <f aca="false">B3758/MAX(B3507:B3758)-1</f>
        <v>-0.00658128875707731</v>
      </c>
      <c r="F3758" s="7" t="str">
        <f aca="false">IFERROR(INDEX(02_轉折點45個!B:B,MATCH(A3758,02_轉折點45個!A:A,0)),"")</f>
        <v/>
      </c>
      <c r="G3758" s="7" t="s">
        <v>1994</v>
      </c>
    </row>
    <row r="3759" customFormat="false" ht="15" hidden="false" customHeight="false" outlineLevel="0" collapsed="false">
      <c r="A3759" s="7" t="s">
        <v>5021</v>
      </c>
      <c r="B3759" s="7" t="n">
        <v>3711.41</v>
      </c>
      <c r="C3759" s="7" t="n">
        <f aca="false">AVERAGE(B3710:B3759)</f>
        <v>3570.7638</v>
      </c>
      <c r="D3759" s="7" t="n">
        <f aca="false">AVERAGE(B3560:B3759)</f>
        <v>3260.25445</v>
      </c>
      <c r="E3759" s="7" t="n">
        <f aca="false">B3759/MAX(B3508:B3759)-1</f>
        <v>0</v>
      </c>
      <c r="F3759" s="7" t="str">
        <f aca="false">IFERROR(INDEX(02_轉折點45個!B:B,MATCH(A3759,02_轉折點45個!A:A,0)),"")</f>
        <v/>
      </c>
      <c r="G3759" s="7" t="s">
        <v>1994</v>
      </c>
    </row>
    <row r="3760" customFormat="false" ht="15" hidden="false" customHeight="false" outlineLevel="0" collapsed="false">
      <c r="A3760" s="7" t="s">
        <v>5022</v>
      </c>
      <c r="B3760" s="7" t="n">
        <v>3717.1</v>
      </c>
      <c r="C3760" s="7" t="n">
        <f aca="false">AVERAGE(B3711:B3760)</f>
        <v>3576.0106</v>
      </c>
      <c r="D3760" s="7" t="n">
        <f aca="false">AVERAGE(B3561:B3760)</f>
        <v>3264.60535</v>
      </c>
      <c r="E3760" s="7" t="n">
        <f aca="false">B3760/MAX(B3509:B3760)-1</f>
        <v>0</v>
      </c>
      <c r="F3760" s="7" t="str">
        <f aca="false">IFERROR(INDEX(02_轉折點45個!B:B,MATCH(A3760,02_轉折點45個!A:A,0)),"")</f>
        <v/>
      </c>
      <c r="G3760" s="7" t="s">
        <v>1994</v>
      </c>
    </row>
    <row r="3761" customFormat="false" ht="15" hidden="false" customHeight="false" outlineLevel="0" collapsed="false">
      <c r="A3761" s="7" t="s">
        <v>5023</v>
      </c>
      <c r="B3761" s="7" t="n">
        <v>3709.55</v>
      </c>
      <c r="C3761" s="7" t="n">
        <f aca="false">AVERAGE(B3712:B3761)</f>
        <v>3581.2912</v>
      </c>
      <c r="D3761" s="7" t="n">
        <f aca="false">AVERAGE(B3562:B3761)</f>
        <v>3268.8573</v>
      </c>
      <c r="E3761" s="7" t="n">
        <f aca="false">B3761/MAX(B3510:B3761)-1</f>
        <v>-0.00203115331844705</v>
      </c>
      <c r="F3761" s="7" t="str">
        <f aca="false">IFERROR(INDEX(02_轉折點45個!B:B,MATCH(A3761,02_轉折點45個!A:A,0)),"")</f>
        <v/>
      </c>
      <c r="G3761" s="7" t="s">
        <v>1994</v>
      </c>
    </row>
    <row r="3762" customFormat="false" ht="15" hidden="false" customHeight="false" outlineLevel="0" collapsed="false">
      <c r="A3762" s="7" t="s">
        <v>1085</v>
      </c>
      <c r="B3762" s="7" t="n">
        <v>3657.77</v>
      </c>
      <c r="C3762" s="7" t="n">
        <f aca="false">AVERAGE(B3713:B3762)</f>
        <v>3584.6866</v>
      </c>
      <c r="D3762" s="7" t="n">
        <f aca="false">AVERAGE(B3563:B3762)</f>
        <v>3272.7014</v>
      </c>
      <c r="E3762" s="7" t="n">
        <f aca="false">B3762/MAX(B3511:B3762)-1</f>
        <v>-0.01596136773291</v>
      </c>
      <c r="F3762" s="7" t="str">
        <f aca="false">IFERROR(INDEX(02_轉折點45個!B:B,MATCH(A3762,02_轉折點45個!A:A,0)),"")</f>
        <v/>
      </c>
      <c r="G3762" s="7" t="s">
        <v>1994</v>
      </c>
    </row>
    <row r="3763" customFormat="false" ht="15" hidden="false" customHeight="false" outlineLevel="0" collapsed="false">
      <c r="A3763" s="7" t="s">
        <v>1086</v>
      </c>
      <c r="B3763" s="7" t="n">
        <v>3652.83</v>
      </c>
      <c r="C3763" s="7" t="n">
        <f aca="false">AVERAGE(B3714:B3763)</f>
        <v>3588.0372</v>
      </c>
      <c r="D3763" s="7" t="n">
        <f aca="false">AVERAGE(B3564:B3763)</f>
        <v>3276.53025</v>
      </c>
      <c r="E3763" s="7" t="n">
        <f aca="false">B3763/MAX(B3512:B3763)-1</f>
        <v>-0.0172903607651126</v>
      </c>
      <c r="F3763" s="7" t="str">
        <f aca="false">IFERROR(INDEX(02_轉折點45個!B:B,MATCH(A3763,02_轉折點45個!A:A,0)),"")</f>
        <v/>
      </c>
      <c r="G3763" s="7" t="s">
        <v>1994</v>
      </c>
    </row>
    <row r="3764" customFormat="false" ht="15" hidden="false" customHeight="false" outlineLevel="0" collapsed="false">
      <c r="A3764" s="7" t="s">
        <v>5024</v>
      </c>
      <c r="B3764" s="7" t="n">
        <v>3655.19</v>
      </c>
      <c r="C3764" s="7" t="n">
        <f aca="false">AVERAGE(B3715:B3764)</f>
        <v>3592.1784</v>
      </c>
      <c r="D3764" s="7" t="n">
        <f aca="false">AVERAGE(B3565:B3764)</f>
        <v>3280.32725</v>
      </c>
      <c r="E3764" s="7" t="n">
        <f aca="false">B3764/MAX(B3513:B3764)-1</f>
        <v>-0.0166554572112668</v>
      </c>
      <c r="F3764" s="7" t="str">
        <f aca="false">IFERROR(INDEX(02_轉折點45個!B:B,MATCH(A3764,02_轉折點45個!A:A,0)),"")</f>
        <v/>
      </c>
      <c r="G3764" s="7" t="s">
        <v>1994</v>
      </c>
    </row>
    <row r="3765" customFormat="false" ht="15" hidden="false" customHeight="false" outlineLevel="0" collapsed="false">
      <c r="A3765" s="7" t="s">
        <v>5025</v>
      </c>
      <c r="B3765" s="7" t="n">
        <v>3681.26</v>
      </c>
      <c r="C3765" s="7" t="n">
        <f aca="false">AVERAGE(B3716:B3765)</f>
        <v>3596.2304</v>
      </c>
      <c r="D3765" s="7" t="n">
        <f aca="false">AVERAGE(B3566:B3765)</f>
        <v>3284.19845</v>
      </c>
      <c r="E3765" s="7" t="n">
        <f aca="false">B3765/MAX(B3514:B3765)-1</f>
        <v>-0.00964192515670814</v>
      </c>
      <c r="F3765" s="7" t="str">
        <f aca="false">IFERROR(INDEX(02_轉折點45個!B:B,MATCH(A3765,02_轉折點45個!A:A,0)),"")</f>
        <v/>
      </c>
      <c r="G3765" s="7" t="s">
        <v>1994</v>
      </c>
    </row>
    <row r="3766" customFormat="false" ht="15" hidden="false" customHeight="false" outlineLevel="0" collapsed="false">
      <c r="A3766" s="7" t="s">
        <v>5026</v>
      </c>
      <c r="B3766" s="7" t="n">
        <v>3675.92</v>
      </c>
      <c r="C3766" s="7" t="n">
        <f aca="false">AVERAGE(B3717:B3766)</f>
        <v>3600.8584</v>
      </c>
      <c r="D3766" s="7" t="n">
        <f aca="false">AVERAGE(B3567:B3766)</f>
        <v>3287.85065</v>
      </c>
      <c r="E3766" s="7" t="n">
        <f aca="false">B3766/MAX(B3515:B3766)-1</f>
        <v>-0.0110785289607489</v>
      </c>
      <c r="F3766" s="7" t="str">
        <f aca="false">IFERROR(INDEX(02_轉折點45個!B:B,MATCH(A3766,02_轉折點45個!A:A,0)),"")</f>
        <v/>
      </c>
      <c r="G3766" s="7" t="s">
        <v>1994</v>
      </c>
    </row>
    <row r="3767" customFormat="false" ht="15" hidden="false" customHeight="false" outlineLevel="0" collapsed="false">
      <c r="A3767" s="7" t="s">
        <v>1087</v>
      </c>
      <c r="B3767" s="7" t="n">
        <v>3718.3</v>
      </c>
      <c r="C3767" s="7" t="n">
        <f aca="false">AVERAGE(B3718:B3767)</f>
        <v>3607.7144</v>
      </c>
      <c r="D3767" s="7" t="n">
        <f aca="false">AVERAGE(B3568:B3767)</f>
        <v>3291.7228</v>
      </c>
      <c r="E3767" s="7" t="n">
        <f aca="false">B3767/MAX(B3516:B3767)-1</f>
        <v>0</v>
      </c>
      <c r="F3767" s="7" t="str">
        <f aca="false">IFERROR(INDEX(02_轉折點45個!B:B,MATCH(A3767,02_轉折點45個!A:A,0)),"")</f>
        <v/>
      </c>
      <c r="G3767" s="7" t="s">
        <v>1994</v>
      </c>
    </row>
    <row r="3768" customFormat="false" ht="15" hidden="false" customHeight="false" outlineLevel="0" collapsed="false">
      <c r="A3768" s="7" t="s">
        <v>5027</v>
      </c>
      <c r="B3768" s="7" t="n">
        <v>3707.41</v>
      </c>
      <c r="C3768" s="7" t="n">
        <f aca="false">AVERAGE(B3719:B3768)</f>
        <v>3614.6642</v>
      </c>
      <c r="D3768" s="7" t="n">
        <f aca="false">AVERAGE(B3569:B3768)</f>
        <v>3295.4961</v>
      </c>
      <c r="E3768" s="7" t="n">
        <f aca="false">B3768/MAX(B3517:B3768)-1</f>
        <v>-0.00292875776564572</v>
      </c>
      <c r="F3768" s="7" t="str">
        <f aca="false">IFERROR(INDEX(02_轉折點45個!B:B,MATCH(A3768,02_轉折點45個!A:A,0)),"")</f>
        <v/>
      </c>
      <c r="G3768" s="7" t="s">
        <v>1994</v>
      </c>
    </row>
    <row r="3769" customFormat="false" ht="15" hidden="false" customHeight="false" outlineLevel="0" collapsed="false">
      <c r="A3769" s="7" t="s">
        <v>5028</v>
      </c>
      <c r="B3769" s="7" t="n">
        <v>3749.98</v>
      </c>
      <c r="C3769" s="7" t="n">
        <f aca="false">AVERAGE(B3720:B3769)</f>
        <v>3620.9494</v>
      </c>
      <c r="D3769" s="7" t="n">
        <f aca="false">AVERAGE(B3570:B3769)</f>
        <v>3299.42615</v>
      </c>
      <c r="E3769" s="7" t="n">
        <f aca="false">B3769/MAX(B3518:B3769)-1</f>
        <v>0</v>
      </c>
      <c r="F3769" s="7" t="str">
        <f aca="false">IFERROR(INDEX(02_轉折點45個!B:B,MATCH(A3769,02_轉折點45個!A:A,0)),"")</f>
        <v/>
      </c>
      <c r="G3769" s="7" t="s">
        <v>1994</v>
      </c>
    </row>
    <row r="3770" customFormat="false" ht="15" hidden="false" customHeight="false" outlineLevel="0" collapsed="false">
      <c r="A3770" s="7" t="s">
        <v>5029</v>
      </c>
      <c r="B3770" s="7" t="n">
        <v>3790.32</v>
      </c>
      <c r="C3770" s="7" t="n">
        <f aca="false">AVERAGE(B3721:B3770)</f>
        <v>3627.4728</v>
      </c>
      <c r="D3770" s="7" t="n">
        <f aca="false">AVERAGE(B3571:B3770)</f>
        <v>3303.5191</v>
      </c>
      <c r="E3770" s="7" t="n">
        <f aca="false">B3770/MAX(B3519:B3770)-1</f>
        <v>0</v>
      </c>
      <c r="F3770" s="7" t="str">
        <f aca="false">IFERROR(INDEX(02_轉折點45個!B:B,MATCH(A3770,02_轉折點45個!A:A,0)),"")</f>
        <v/>
      </c>
      <c r="G3770" s="7" t="s">
        <v>1994</v>
      </c>
    </row>
    <row r="3771" customFormat="false" ht="15" hidden="false" customHeight="false" outlineLevel="0" collapsed="false">
      <c r="A3771" s="7" t="s">
        <v>1088</v>
      </c>
      <c r="B3771" s="7" t="n">
        <v>3796.28</v>
      </c>
      <c r="C3771" s="7" t="n">
        <f aca="false">AVERAGE(B3722:B3771)</f>
        <v>3633.6876</v>
      </c>
      <c r="D3771" s="7" t="n">
        <f aca="false">AVERAGE(B3572:B3771)</f>
        <v>3307.69005</v>
      </c>
      <c r="E3771" s="7" t="n">
        <f aca="false">B3771/MAX(B3520:B3771)-1</f>
        <v>0</v>
      </c>
      <c r="F3771" s="7" t="str">
        <f aca="false">IFERROR(INDEX(02_轉折點45個!B:B,MATCH(A3771,02_轉折點45個!A:A,0)),"")</f>
        <v/>
      </c>
      <c r="G3771" s="7" t="s">
        <v>1994</v>
      </c>
    </row>
    <row r="3772" customFormat="false" ht="15" hidden="false" customHeight="false" outlineLevel="0" collapsed="false">
      <c r="A3772" s="7" t="s">
        <v>5030</v>
      </c>
      <c r="B3772" s="7" t="n">
        <v>3807.02</v>
      </c>
      <c r="C3772" s="7" t="n">
        <f aca="false">AVERAGE(B3723:B3772)</f>
        <v>3640.506</v>
      </c>
      <c r="D3772" s="7" t="n">
        <f aca="false">AVERAGE(B3573:B3772)</f>
        <v>3311.9019</v>
      </c>
      <c r="E3772" s="7" t="n">
        <f aca="false">B3772/MAX(B3521:B3772)-1</f>
        <v>0</v>
      </c>
      <c r="F3772" s="7" t="str">
        <f aca="false">IFERROR(INDEX(02_轉折點45個!B:B,MATCH(A3772,02_轉折點45個!A:A,0)),"")</f>
        <v/>
      </c>
      <c r="G3772" s="7" t="s">
        <v>1994</v>
      </c>
    </row>
    <row r="3773" customFormat="false" ht="15" hidden="false" customHeight="false" outlineLevel="0" collapsed="false">
      <c r="A3773" s="7" t="s">
        <v>5031</v>
      </c>
      <c r="B3773" s="7" t="n">
        <v>3797.35</v>
      </c>
      <c r="C3773" s="7" t="n">
        <f aca="false">AVERAGE(B3724:B3773)</f>
        <v>3646.301</v>
      </c>
      <c r="D3773" s="7" t="n">
        <f aca="false">AVERAGE(B3574:B3773)</f>
        <v>3316.0023</v>
      </c>
      <c r="E3773" s="7" t="n">
        <f aca="false">B3773/MAX(B3522:B3773)-1</f>
        <v>-0.00254004444421097</v>
      </c>
      <c r="F3773" s="7" t="str">
        <f aca="false">IFERROR(INDEX(02_轉折點45個!B:B,MATCH(A3773,02_轉折點45個!A:A,0)),"")</f>
        <v/>
      </c>
      <c r="G3773" s="7" t="s">
        <v>1994</v>
      </c>
    </row>
    <row r="3774" customFormat="false" ht="15" hidden="false" customHeight="false" outlineLevel="0" collapsed="false">
      <c r="A3774" s="7" t="s">
        <v>5032</v>
      </c>
      <c r="B3774" s="7" t="n">
        <v>3795.16</v>
      </c>
      <c r="C3774" s="7" t="n">
        <f aca="false">AVERAGE(B3725:B3774)</f>
        <v>3651.6188</v>
      </c>
      <c r="D3774" s="7" t="n">
        <f aca="false">AVERAGE(B3575:B3774)</f>
        <v>3320.1368</v>
      </c>
      <c r="E3774" s="7" t="n">
        <f aca="false">B3774/MAX(B3523:B3774)-1</f>
        <v>-0.00311529752930118</v>
      </c>
      <c r="F3774" s="7" t="str">
        <f aca="false">IFERROR(INDEX(02_轉折點45個!B:B,MATCH(A3774,02_轉折點45個!A:A,0)),"")</f>
        <v/>
      </c>
      <c r="G3774" s="7" t="s">
        <v>1994</v>
      </c>
    </row>
    <row r="3775" customFormat="false" ht="15" hidden="false" customHeight="false" outlineLevel="0" collapsed="false">
      <c r="A3775" s="7" t="s">
        <v>5033</v>
      </c>
      <c r="B3775" s="7" t="n">
        <v>3815.62</v>
      </c>
      <c r="C3775" s="7" t="n">
        <f aca="false">AVERAGE(B3726:B3775)</f>
        <v>3656.4116</v>
      </c>
      <c r="D3775" s="7" t="n">
        <f aca="false">AVERAGE(B3576:B3775)</f>
        <v>3324.42605</v>
      </c>
      <c r="E3775" s="7" t="n">
        <f aca="false">B3775/MAX(B3524:B3775)-1</f>
        <v>0</v>
      </c>
      <c r="F3775" s="7" t="str">
        <f aca="false">IFERROR(INDEX(02_轉折點45個!B:B,MATCH(A3775,02_轉折點45個!A:A,0)),"")</f>
        <v/>
      </c>
      <c r="G3775" s="7" t="s">
        <v>1994</v>
      </c>
    </row>
    <row r="3776" customFormat="false" ht="15" hidden="false" customHeight="false" outlineLevel="0" collapsed="false">
      <c r="A3776" s="7" t="s">
        <v>5034</v>
      </c>
      <c r="B3776" s="7" t="n">
        <v>3785</v>
      </c>
      <c r="C3776" s="7" t="n">
        <f aca="false">AVERAGE(B3727:B3776)</f>
        <v>3660.4866</v>
      </c>
      <c r="D3776" s="7" t="n">
        <f aca="false">AVERAGE(B3577:B3776)</f>
        <v>3328.60095</v>
      </c>
      <c r="E3776" s="7" t="n">
        <f aca="false">B3776/MAX(B3525:B3776)-1</f>
        <v>-0.00802490814074774</v>
      </c>
      <c r="F3776" s="7" t="str">
        <f aca="false">IFERROR(INDEX(02_轉折點45個!B:B,MATCH(A3776,02_轉折點45個!A:A,0)),"")</f>
        <v/>
      </c>
      <c r="G3776" s="7" t="s">
        <v>1994</v>
      </c>
    </row>
    <row r="3777" customFormat="false" ht="15" hidden="false" customHeight="false" outlineLevel="0" collapsed="false">
      <c r="A3777" s="7" t="s">
        <v>5035</v>
      </c>
      <c r="B3777" s="7" t="n">
        <v>3774.8</v>
      </c>
      <c r="C3777" s="7" t="n">
        <f aca="false">AVERAGE(B3728:B3777)</f>
        <v>3664.1836</v>
      </c>
      <c r="D3777" s="7" t="n">
        <f aca="false">AVERAGE(B3578:B3777)</f>
        <v>3332.61025</v>
      </c>
      <c r="E3777" s="7" t="n">
        <f aca="false">B3777/MAX(B3526:B3777)-1</f>
        <v>-0.0106981303169602</v>
      </c>
      <c r="F3777" s="7" t="str">
        <f aca="false">IFERROR(INDEX(02_轉折點45個!B:B,MATCH(A3777,02_轉折點45個!A:A,0)),"")</f>
        <v/>
      </c>
      <c r="G3777" s="7" t="s">
        <v>1994</v>
      </c>
    </row>
    <row r="3778" customFormat="false" ht="15" hidden="false" customHeight="false" outlineLevel="0" collapsed="false">
      <c r="A3778" s="7" t="s">
        <v>1089</v>
      </c>
      <c r="B3778" s="7" t="n">
        <v>3758.15</v>
      </c>
      <c r="C3778" s="7" t="n">
        <f aca="false">AVERAGE(B3729:B3778)</f>
        <v>3667.9588</v>
      </c>
      <c r="D3778" s="7" t="n">
        <f aca="false">AVERAGE(B3579:B3778)</f>
        <v>3336.6806</v>
      </c>
      <c r="E3778" s="7" t="n">
        <f aca="false">B3778/MAX(B3527:B3778)-1</f>
        <v>-0.0150617723987189</v>
      </c>
      <c r="F3778" s="7" t="str">
        <f aca="false">IFERROR(INDEX(02_轉折點45個!B:B,MATCH(A3778,02_轉折點45個!A:A,0)),"")</f>
        <v/>
      </c>
      <c r="G3778" s="7" t="s">
        <v>1994</v>
      </c>
    </row>
    <row r="3779" customFormat="false" ht="15" hidden="false" customHeight="false" outlineLevel="0" collapsed="false">
      <c r="A3779" s="7" t="s">
        <v>1090</v>
      </c>
      <c r="B3779" s="7" t="n">
        <v>3794.23</v>
      </c>
      <c r="C3779" s="7" t="n">
        <f aca="false">AVERAGE(B3730:B3779)</f>
        <v>3672.0556</v>
      </c>
      <c r="D3779" s="7" t="n">
        <f aca="false">AVERAGE(B3580:B3779)</f>
        <v>3340.82905</v>
      </c>
      <c r="E3779" s="7" t="n">
        <f aca="false">B3779/MAX(B3528:B3779)-1</f>
        <v>-0.00560590415188089</v>
      </c>
      <c r="F3779" s="7" t="str">
        <f aca="false">IFERROR(INDEX(02_轉折點45個!B:B,MATCH(A3779,02_轉折點45個!A:A,0)),"")</f>
        <v/>
      </c>
      <c r="G3779" s="7" t="s">
        <v>1994</v>
      </c>
    </row>
    <row r="3780" customFormat="false" ht="15" hidden="false" customHeight="false" outlineLevel="0" collapsed="false">
      <c r="A3780" s="7" t="s">
        <v>5036</v>
      </c>
      <c r="B3780" s="7" t="n">
        <v>3805.59</v>
      </c>
      <c r="C3780" s="7" t="n">
        <f aca="false">AVERAGE(B3731:B3780)</f>
        <v>3676.1164</v>
      </c>
      <c r="D3780" s="7" t="n">
        <f aca="false">AVERAGE(B3581:B3780)</f>
        <v>3345.0786</v>
      </c>
      <c r="E3780" s="7" t="n">
        <f aca="false">B3780/MAX(B3529:B3780)-1</f>
        <v>-0.00262866847327559</v>
      </c>
      <c r="F3780" s="7" t="str">
        <f aca="false">IFERROR(INDEX(02_轉折點45個!B:B,MATCH(A3780,02_轉折點45個!A:A,0)),"")</f>
        <v/>
      </c>
      <c r="G3780" s="7" t="s">
        <v>1994</v>
      </c>
    </row>
    <row r="3781" customFormat="false" ht="15" hidden="false" customHeight="false" outlineLevel="0" collapsed="false">
      <c r="A3781" s="7" t="s">
        <v>5037</v>
      </c>
      <c r="B3781" s="7" t="n">
        <v>3796.98</v>
      </c>
      <c r="C3781" s="7" t="n">
        <f aca="false">AVERAGE(B3732:B3781)</f>
        <v>3680.0642</v>
      </c>
      <c r="D3781" s="7" t="n">
        <f aca="false">AVERAGE(B3582:B3781)</f>
        <v>3349.2066</v>
      </c>
      <c r="E3781" s="7" t="n">
        <f aca="false">B3781/MAX(B3530:B3781)-1</f>
        <v>-0.00488518248672554</v>
      </c>
      <c r="F3781" s="7" t="str">
        <f aca="false">IFERROR(INDEX(02_轉折點45個!B:B,MATCH(A3781,02_轉折點45個!A:A,0)),"")</f>
        <v/>
      </c>
      <c r="G3781" s="7" t="s">
        <v>1994</v>
      </c>
    </row>
    <row r="3782" customFormat="false" ht="15" hidden="false" customHeight="false" outlineLevel="0" collapsed="false">
      <c r="A3782" s="7" t="s">
        <v>5038</v>
      </c>
      <c r="B3782" s="7" t="n">
        <v>3813.86</v>
      </c>
      <c r="C3782" s="7" t="n">
        <f aca="false">AVERAGE(B3733:B3782)</f>
        <v>3684.1264</v>
      </c>
      <c r="D3782" s="7" t="n">
        <f aca="false">AVERAGE(B3583:B3782)</f>
        <v>3353.40055</v>
      </c>
      <c r="E3782" s="7" t="n">
        <f aca="false">B3782/MAX(B3531:B3782)-1</f>
        <v>-0.000461261865699392</v>
      </c>
      <c r="F3782" s="7" t="str">
        <f aca="false">IFERROR(INDEX(02_轉折點45個!B:B,MATCH(A3782,02_轉折點45個!A:A,0)),"")</f>
        <v/>
      </c>
      <c r="G3782" s="7" t="s">
        <v>1994</v>
      </c>
    </row>
    <row r="3783" customFormat="false" ht="15" hidden="false" customHeight="false" outlineLevel="0" collapsed="false">
      <c r="A3783" s="7" t="s">
        <v>1091</v>
      </c>
      <c r="B3783" s="7" t="n">
        <v>3757.8</v>
      </c>
      <c r="C3783" s="7" t="n">
        <f aca="false">AVERAGE(B3734:B3783)</f>
        <v>3687.4642</v>
      </c>
      <c r="D3783" s="7" t="n">
        <f aca="false">AVERAGE(B3584:B3783)</f>
        <v>3357.26395</v>
      </c>
      <c r="E3783" s="7" t="n">
        <f aca="false">B3783/MAX(B3532:B3783)-1</f>
        <v>-0.0151535006106477</v>
      </c>
      <c r="F3783" s="7" t="str">
        <f aca="false">IFERROR(INDEX(02_轉折點45個!B:B,MATCH(A3783,02_轉折點45個!A:A,0)),"")</f>
        <v/>
      </c>
      <c r="G3783" s="7" t="s">
        <v>1994</v>
      </c>
    </row>
    <row r="3784" customFormat="false" ht="15" hidden="false" customHeight="false" outlineLevel="0" collapsed="false">
      <c r="A3784" s="7" t="s">
        <v>1092</v>
      </c>
      <c r="B3784" s="7" t="n">
        <v>3821.49</v>
      </c>
      <c r="C3784" s="7" t="n">
        <f aca="false">AVERAGE(B3735:B3784)</f>
        <v>3692.2752</v>
      </c>
      <c r="D3784" s="7" t="n">
        <f aca="false">AVERAGE(B3585:B3784)</f>
        <v>3361.5753</v>
      </c>
      <c r="E3784" s="7" t="n">
        <f aca="false">B3784/MAX(B3533:B3784)-1</f>
        <v>0</v>
      </c>
      <c r="F3784" s="7" t="str">
        <f aca="false">IFERROR(INDEX(02_轉折點45個!B:B,MATCH(A3784,02_轉折點45個!A:A,0)),"")</f>
        <v/>
      </c>
      <c r="G3784" s="7" t="s">
        <v>1994</v>
      </c>
    </row>
    <row r="3785" customFormat="false" ht="15" hidden="false" customHeight="false" outlineLevel="0" collapsed="false">
      <c r="A3785" s="7" t="s">
        <v>1093</v>
      </c>
      <c r="B3785" s="7" t="n">
        <v>3850.6</v>
      </c>
      <c r="C3785" s="7" t="n">
        <f aca="false">AVERAGE(B3736:B3785)</f>
        <v>3697.6258</v>
      </c>
      <c r="D3785" s="7" t="n">
        <f aca="false">AVERAGE(B3586:B3785)</f>
        <v>3365.96055</v>
      </c>
      <c r="E3785" s="7" t="n">
        <f aca="false">B3785/MAX(B3534:B3785)-1</f>
        <v>0</v>
      </c>
      <c r="F3785" s="7" t="str">
        <f aca="false">IFERROR(INDEX(02_轉折點45個!B:B,MATCH(A3785,02_轉折點45個!A:A,0)),"")</f>
        <v/>
      </c>
      <c r="G3785" s="7" t="s">
        <v>1994</v>
      </c>
    </row>
    <row r="3786" customFormat="false" ht="15" hidden="false" customHeight="false" outlineLevel="0" collapsed="false">
      <c r="A3786" s="7" t="s">
        <v>1094</v>
      </c>
      <c r="B3786" s="7" t="n">
        <v>3854.08</v>
      </c>
      <c r="C3786" s="7" t="n">
        <f aca="false">AVERAGE(B3737:B3786)</f>
        <v>3702.7802</v>
      </c>
      <c r="D3786" s="7" t="n">
        <f aca="false">AVERAGE(B3587:B3786)</f>
        <v>3370.52885</v>
      </c>
      <c r="E3786" s="7" t="n">
        <f aca="false">B3786/MAX(B3535:B3786)-1</f>
        <v>0</v>
      </c>
      <c r="F3786" s="7" t="str">
        <f aca="false">IFERROR(INDEX(02_轉折點45個!B:B,MATCH(A3786,02_轉折點45個!A:A,0)),"")</f>
        <v/>
      </c>
      <c r="G3786" s="7" t="s">
        <v>1994</v>
      </c>
    </row>
    <row r="3787" customFormat="false" ht="15" hidden="false" customHeight="false" outlineLevel="0" collapsed="false">
      <c r="A3787" s="7" t="s">
        <v>5039</v>
      </c>
      <c r="B3787" s="7" t="n">
        <v>3834.79</v>
      </c>
      <c r="C3787" s="7" t="n">
        <f aca="false">AVERAGE(B3738:B3787)</f>
        <v>3707.489</v>
      </c>
      <c r="D3787" s="7" t="n">
        <f aca="false">AVERAGE(B3588:B3787)</f>
        <v>3374.97155</v>
      </c>
      <c r="E3787" s="7" t="n">
        <f aca="false">B3787/MAX(B3536:B3787)-1</f>
        <v>-0.00500508551976087</v>
      </c>
      <c r="F3787" s="7" t="str">
        <f aca="false">IFERROR(INDEX(02_轉折點45個!B:B,MATCH(A3787,02_轉折點45個!A:A,0)),"")</f>
        <v/>
      </c>
      <c r="G3787" s="7" t="s">
        <v>1994</v>
      </c>
    </row>
    <row r="3788" customFormat="false" ht="15" hidden="false" customHeight="false" outlineLevel="0" collapsed="false">
      <c r="A3788" s="7" t="s">
        <v>1095</v>
      </c>
      <c r="B3788" s="7" t="n">
        <v>3860.54</v>
      </c>
      <c r="C3788" s="7" t="n">
        <f aca="false">AVERAGE(B3739:B3788)</f>
        <v>3712.8574</v>
      </c>
      <c r="D3788" s="7" t="n">
        <f aca="false">AVERAGE(B3589:B3788)</f>
        <v>3379.63945</v>
      </c>
      <c r="E3788" s="7" t="n">
        <f aca="false">B3788/MAX(B3537:B3788)-1</f>
        <v>0</v>
      </c>
      <c r="F3788" s="7" t="str">
        <f aca="false">IFERROR(INDEX(02_轉折點45個!B:B,MATCH(A3788,02_轉折點45個!A:A,0)),"")</f>
        <v/>
      </c>
      <c r="G3788" s="7" t="s">
        <v>1994</v>
      </c>
    </row>
    <row r="3789" customFormat="false" ht="15" hidden="false" customHeight="false" outlineLevel="0" collapsed="false">
      <c r="A3789" s="7" t="s">
        <v>1096</v>
      </c>
      <c r="B3789" s="7" t="n">
        <v>3876.29</v>
      </c>
      <c r="C3789" s="7" t="n">
        <f aca="false">AVERAGE(B3740:B3789)</f>
        <v>3719.9042</v>
      </c>
      <c r="D3789" s="7" t="n">
        <f aca="false">AVERAGE(B3590:B3789)</f>
        <v>3384.3021</v>
      </c>
      <c r="E3789" s="7" t="n">
        <f aca="false">B3789/MAX(B3538:B3789)-1</f>
        <v>0</v>
      </c>
      <c r="F3789" s="7" t="str">
        <f aca="false">IFERROR(INDEX(02_轉折點45個!B:B,MATCH(A3789,02_轉折點45個!A:A,0)),"")</f>
        <v/>
      </c>
      <c r="G3789" s="7" t="s">
        <v>1994</v>
      </c>
    </row>
    <row r="3790" customFormat="false" ht="15" hidden="false" customHeight="false" outlineLevel="0" collapsed="false">
      <c r="A3790" s="7" t="s">
        <v>1097</v>
      </c>
      <c r="B3790" s="7" t="n">
        <v>3854.25</v>
      </c>
      <c r="C3790" s="7" t="n">
        <f aca="false">AVERAGE(B3741:B3790)</f>
        <v>3725.3792</v>
      </c>
      <c r="D3790" s="7" t="n">
        <f aca="false">AVERAGE(B3591:B3790)</f>
        <v>3388.78325</v>
      </c>
      <c r="E3790" s="7" t="n">
        <f aca="false">B3790/MAX(B3539:B3790)-1</f>
        <v>-0.00568584909797765</v>
      </c>
      <c r="F3790" s="7" t="str">
        <f aca="false">IFERROR(INDEX(02_轉折點45個!B:B,MATCH(A3790,02_轉折點45個!A:A,0)),"")</f>
        <v/>
      </c>
      <c r="G3790" s="7" t="s">
        <v>1994</v>
      </c>
    </row>
    <row r="3791" customFormat="false" ht="15" hidden="false" customHeight="false" outlineLevel="0" collapsed="false">
      <c r="A3791" s="7" t="s">
        <v>1098</v>
      </c>
      <c r="B3791" s="7" t="n">
        <v>3771.38</v>
      </c>
      <c r="C3791" s="7" t="n">
        <f aca="false">AVERAGE(B3742:B3791)</f>
        <v>3729.1866</v>
      </c>
      <c r="D3791" s="7" t="n">
        <f aca="false">AVERAGE(B3592:B3791)</f>
        <v>3392.57875</v>
      </c>
      <c r="E3791" s="7" t="n">
        <f aca="false">B3791/MAX(B3540:B3791)-1</f>
        <v>-0.0270645385149202</v>
      </c>
      <c r="F3791" s="7" t="str">
        <f aca="false">IFERROR(INDEX(02_轉折點45個!B:B,MATCH(A3791,02_轉折點45個!A:A,0)),"")</f>
        <v/>
      </c>
      <c r="G3791" s="7" t="s">
        <v>1994</v>
      </c>
    </row>
    <row r="3792" customFormat="false" ht="15" hidden="false" customHeight="false" outlineLevel="0" collapsed="false">
      <c r="A3792" s="7" t="s">
        <v>1099</v>
      </c>
      <c r="B3792" s="7" t="n">
        <v>3730.67</v>
      </c>
      <c r="C3792" s="7" t="n">
        <f aca="false">AVERAGE(B3743:B3792)</f>
        <v>3732.1774</v>
      </c>
      <c r="D3792" s="7" t="n">
        <f aca="false">AVERAGE(B3593:B3792)</f>
        <v>3396.1574</v>
      </c>
      <c r="E3792" s="7" t="n">
        <f aca="false">B3792/MAX(B3541:B3792)-1</f>
        <v>-0.0375668487135895</v>
      </c>
      <c r="F3792" s="7" t="str">
        <f aca="false">IFERROR(INDEX(02_轉折點45個!B:B,MATCH(A3792,02_轉折點45個!A:A,0)),"")</f>
        <v/>
      </c>
      <c r="G3792" s="7" t="s">
        <v>1994</v>
      </c>
    </row>
    <row r="3793" customFormat="false" ht="15" hidden="false" customHeight="false" outlineLevel="0" collapsed="false">
      <c r="A3793" s="7" t="s">
        <v>5040</v>
      </c>
      <c r="B3793" s="7" t="n">
        <v>3743.78</v>
      </c>
      <c r="C3793" s="7" t="n">
        <f aca="false">AVERAGE(B3744:B3793)</f>
        <v>3734.596</v>
      </c>
      <c r="D3793" s="7" t="n">
        <f aca="false">AVERAGE(B3594:B3793)</f>
        <v>3399.8254</v>
      </c>
      <c r="E3793" s="7" t="n">
        <f aca="false">B3793/MAX(B3542:B3793)-1</f>
        <v>-0.0341847488191027</v>
      </c>
      <c r="F3793" s="7" t="str">
        <f aca="false">IFERROR(INDEX(02_轉折點45個!B:B,MATCH(A3793,02_轉折點45個!A:A,0)),"")</f>
        <v/>
      </c>
      <c r="G3793" s="7" t="s">
        <v>1994</v>
      </c>
    </row>
    <row r="3794" customFormat="false" ht="15" hidden="false" customHeight="false" outlineLevel="0" collapsed="false">
      <c r="A3794" s="7" t="s">
        <v>5041</v>
      </c>
      <c r="B3794" s="7" t="n">
        <v>3701.28</v>
      </c>
      <c r="C3794" s="7" t="n">
        <f aca="false">AVERAGE(B3745:B3794)</f>
        <v>3736.0338</v>
      </c>
      <c r="D3794" s="7" t="n">
        <f aca="false">AVERAGE(B3595:B3794)</f>
        <v>3403.6393</v>
      </c>
      <c r="E3794" s="7" t="n">
        <f aca="false">B3794/MAX(B3543:B3794)-1</f>
        <v>-0.0451488407730071</v>
      </c>
      <c r="F3794" s="7" t="str">
        <f aca="false">IFERROR(INDEX(02_轉折點45個!B:B,MATCH(A3794,02_轉折點45個!A:A,0)),"")</f>
        <v/>
      </c>
      <c r="G3794" s="7" t="s">
        <v>1994</v>
      </c>
    </row>
    <row r="3795" customFormat="false" ht="15" hidden="false" customHeight="false" outlineLevel="0" collapsed="false">
      <c r="A3795" s="7" t="s">
        <v>5042</v>
      </c>
      <c r="B3795" s="7" t="n">
        <v>3766.78</v>
      </c>
      <c r="C3795" s="7" t="n">
        <f aca="false">AVERAGE(B3746:B3795)</f>
        <v>3738.54</v>
      </c>
      <c r="D3795" s="7" t="n">
        <f aca="false">AVERAGE(B3596:B3795)</f>
        <v>3407.5608</v>
      </c>
      <c r="E3795" s="7" t="n">
        <f aca="false">B3795/MAX(B3544:B3795)-1</f>
        <v>-0.0282512402322839</v>
      </c>
      <c r="F3795" s="7" t="str">
        <f aca="false">IFERROR(INDEX(02_轉折點45個!B:B,MATCH(A3795,02_轉折點45個!A:A,0)),"")</f>
        <v/>
      </c>
      <c r="G3795" s="7" t="s">
        <v>1994</v>
      </c>
    </row>
    <row r="3796" customFormat="false" ht="15" hidden="false" customHeight="false" outlineLevel="0" collapsed="false">
      <c r="A3796" s="7" t="s">
        <v>5043</v>
      </c>
      <c r="B3796" s="7" t="n">
        <v>3749.19</v>
      </c>
      <c r="C3796" s="7" t="n">
        <f aca="false">AVERAGE(B3747:B3796)</f>
        <v>3741.3686</v>
      </c>
      <c r="D3796" s="7" t="n">
        <f aca="false">AVERAGE(B3597:B3796)</f>
        <v>3411.66825</v>
      </c>
      <c r="E3796" s="7" t="n">
        <f aca="false">B3796/MAX(B3545:B3796)-1</f>
        <v>-0.0327890844080293</v>
      </c>
      <c r="F3796" s="7" t="str">
        <f aca="false">IFERROR(INDEX(02_轉折點45個!B:B,MATCH(A3796,02_轉折點45個!A:A,0)),"")</f>
        <v/>
      </c>
      <c r="G3796" s="7" t="s">
        <v>1994</v>
      </c>
    </row>
    <row r="3797" customFormat="false" ht="15" hidden="false" customHeight="false" outlineLevel="0" collapsed="false">
      <c r="A3797" s="7" t="s">
        <v>5044</v>
      </c>
      <c r="B3797" s="7" t="n">
        <v>3651.51</v>
      </c>
      <c r="C3797" s="7" t="n">
        <f aca="false">AVERAGE(B3748:B3797)</f>
        <v>3742.5636</v>
      </c>
      <c r="D3797" s="7" t="n">
        <f aca="false">AVERAGE(B3598:B3797)</f>
        <v>3415.4623</v>
      </c>
      <c r="E3797" s="7" t="n">
        <f aca="false">B3797/MAX(B3546:B3797)-1</f>
        <v>-0.0579884373976146</v>
      </c>
      <c r="F3797" s="7" t="str">
        <f aca="false">IFERROR(INDEX(02_轉折點45個!B:B,MATCH(A3797,02_轉折點45個!A:A,0)),"")</f>
        <v/>
      </c>
      <c r="G3797" s="7" t="s">
        <v>1994</v>
      </c>
    </row>
    <row r="3798" customFormat="false" ht="15" hidden="false" customHeight="false" outlineLevel="0" collapsed="false">
      <c r="A3798" s="7" t="s">
        <v>1100</v>
      </c>
      <c r="B3798" s="7" t="n">
        <v>3683.09</v>
      </c>
      <c r="C3798" s="7" t="n">
        <f aca="false">AVERAGE(B3749:B3798)</f>
        <v>3744.5782</v>
      </c>
      <c r="D3798" s="7" t="n">
        <f aca="false">AVERAGE(B3599:B3798)</f>
        <v>3419.2329</v>
      </c>
      <c r="E3798" s="7" t="n">
        <f aca="false">B3798/MAX(B3547:B3798)-1</f>
        <v>-0.0498414721292783</v>
      </c>
      <c r="F3798" s="7" t="str">
        <f aca="false">IFERROR(INDEX(02_轉折點45個!B:B,MATCH(A3798,02_轉折點45個!A:A,0)),"")</f>
        <v/>
      </c>
      <c r="G3798" s="7" t="s">
        <v>1994</v>
      </c>
    </row>
    <row r="3799" customFormat="false" ht="15" hidden="false" customHeight="false" outlineLevel="0" collapsed="false">
      <c r="A3799" s="7" t="s">
        <v>5045</v>
      </c>
      <c r="B3799" s="7" t="n">
        <v>3664.84</v>
      </c>
      <c r="C3799" s="7" t="n">
        <f aca="false">AVERAGE(B3750:B3799)</f>
        <v>3745.3526</v>
      </c>
      <c r="D3799" s="7" t="n">
        <f aca="false">AVERAGE(B3600:B3799)</f>
        <v>3422.7867</v>
      </c>
      <c r="E3799" s="7" t="n">
        <f aca="false">B3799/MAX(B3548:B3799)-1</f>
        <v>-0.0545495822036018</v>
      </c>
      <c r="F3799" s="7" t="str">
        <f aca="false">IFERROR(INDEX(02_轉折點45個!B:B,MATCH(A3799,02_轉折點45個!A:A,0)),"")</f>
        <v/>
      </c>
      <c r="G3799" s="7" t="s">
        <v>1994</v>
      </c>
    </row>
    <row r="3800" customFormat="false" ht="15" hidden="false" customHeight="false" outlineLevel="0" collapsed="false">
      <c r="A3800" s="7" t="s">
        <v>1101</v>
      </c>
      <c r="B3800" s="7" t="n">
        <v>3706.47</v>
      </c>
      <c r="C3800" s="7" t="n">
        <f aca="false">AVERAGE(B3751:B3800)</f>
        <v>3746.5488</v>
      </c>
      <c r="D3800" s="7" t="n">
        <f aca="false">AVERAGE(B3601:B3800)</f>
        <v>3426.3852</v>
      </c>
      <c r="E3800" s="7" t="n">
        <f aca="false">B3800/MAX(B3549:B3800)-1</f>
        <v>-0.0438099316614599</v>
      </c>
      <c r="F3800" s="7" t="str">
        <f aca="false">IFERROR(INDEX(02_轉折點45個!B:B,MATCH(A3800,02_轉折點45個!A:A,0)),"")</f>
        <v/>
      </c>
      <c r="G3800" s="7" t="s">
        <v>1994</v>
      </c>
    </row>
    <row r="3801" customFormat="false" ht="15" hidden="false" customHeight="false" outlineLevel="0" collapsed="false">
      <c r="A3801" s="7" t="s">
        <v>5046</v>
      </c>
      <c r="B3801" s="7" t="n">
        <v>3769.27</v>
      </c>
      <c r="C3801" s="7" t="n">
        <f aca="false">AVERAGE(B3752:B3801)</f>
        <v>3748.9476</v>
      </c>
      <c r="D3801" s="7" t="n">
        <f aca="false">AVERAGE(B3602:B3801)</f>
        <v>3430.29625</v>
      </c>
      <c r="E3801" s="7" t="n">
        <f aca="false">B3801/MAX(B3550:B3801)-1</f>
        <v>-0.0276088734331023</v>
      </c>
      <c r="F3801" s="7" t="str">
        <f aca="false">IFERROR(INDEX(02_轉折點45個!B:B,MATCH(A3801,02_轉折點45個!A:A,0)),"")</f>
        <v/>
      </c>
      <c r="G3801" s="7" t="s">
        <v>1994</v>
      </c>
    </row>
    <row r="3802" customFormat="false" ht="15" hidden="false" customHeight="false" outlineLevel="0" collapsed="false">
      <c r="A3802" s="7" t="s">
        <v>5047</v>
      </c>
      <c r="B3802" s="7" t="n">
        <v>3789.65</v>
      </c>
      <c r="C3802" s="7" t="n">
        <f aca="false">AVERAGE(B3753:B3802)</f>
        <v>3751.3304</v>
      </c>
      <c r="D3802" s="7" t="n">
        <f aca="false">AVERAGE(B3603:B3802)</f>
        <v>3434.2163</v>
      </c>
      <c r="E3802" s="7" t="n">
        <f aca="false">B3802/MAX(B3551:B3802)-1</f>
        <v>-0.0223512688679123</v>
      </c>
      <c r="F3802" s="7" t="str">
        <f aca="false">IFERROR(INDEX(02_轉折點45個!B:B,MATCH(A3802,02_轉折點45個!A:A,0)),"")</f>
        <v/>
      </c>
      <c r="G3802" s="7" t="s">
        <v>1994</v>
      </c>
    </row>
    <row r="3803" customFormat="false" ht="15" hidden="false" customHeight="false" outlineLevel="0" collapsed="false">
      <c r="A3803" s="7" t="s">
        <v>5048</v>
      </c>
      <c r="B3803" s="7" t="n">
        <v>3828.83</v>
      </c>
      <c r="C3803" s="7" t="n">
        <f aca="false">AVERAGE(B3754:B3803)</f>
        <v>3754.0036</v>
      </c>
      <c r="D3803" s="7" t="n">
        <f aca="false">AVERAGE(B3604:B3803)</f>
        <v>3438.38125</v>
      </c>
      <c r="E3803" s="7" t="n">
        <f aca="false">B3803/MAX(B3552:B3803)-1</f>
        <v>-0.0122436659795836</v>
      </c>
      <c r="F3803" s="7" t="str">
        <f aca="false">IFERROR(INDEX(02_轉折點45個!B:B,MATCH(A3803,02_轉折點45個!A:A,0)),"")</f>
        <v/>
      </c>
      <c r="G3803" s="7" t="s">
        <v>1994</v>
      </c>
    </row>
    <row r="3804" customFormat="false" ht="15" hidden="false" customHeight="false" outlineLevel="0" collapsed="false">
      <c r="A3804" s="7" t="s">
        <v>5049</v>
      </c>
      <c r="B3804" s="7" t="n">
        <v>3838.18</v>
      </c>
      <c r="C3804" s="7" t="n">
        <f aca="false">AVERAGE(B3755:B3804)</f>
        <v>3756.5872</v>
      </c>
      <c r="D3804" s="7" t="n">
        <f aca="false">AVERAGE(B3605:B3804)</f>
        <v>3442.46615</v>
      </c>
      <c r="E3804" s="7" t="n">
        <f aca="false">B3804/MAX(B3553:B3804)-1</f>
        <v>-0.00983156574972466</v>
      </c>
      <c r="F3804" s="7" t="str">
        <f aca="false">IFERROR(INDEX(02_轉折點45個!B:B,MATCH(A3804,02_轉折點45個!A:A,0)),"")</f>
        <v/>
      </c>
      <c r="G3804" s="7" t="s">
        <v>1994</v>
      </c>
    </row>
    <row r="3805" customFormat="false" ht="15" hidden="false" customHeight="false" outlineLevel="0" collapsed="false">
      <c r="A3805" s="7" t="s">
        <v>5050</v>
      </c>
      <c r="B3805" s="7" t="n">
        <v>3874.16</v>
      </c>
      <c r="C3805" s="7" t="n">
        <f aca="false">AVERAGE(B3756:B3805)</f>
        <v>3760.1576</v>
      </c>
      <c r="D3805" s="7" t="n">
        <f aca="false">AVERAGE(B3606:B3805)</f>
        <v>3446.6315</v>
      </c>
      <c r="E3805" s="7" t="n">
        <f aca="false">B3805/MAX(B3554:B3805)-1</f>
        <v>-0.000549494490866276</v>
      </c>
      <c r="F3805" s="7" t="str">
        <f aca="false">IFERROR(INDEX(02_轉折點45個!B:B,MATCH(A3805,02_轉折點45個!A:A,0)),"")</f>
        <v/>
      </c>
      <c r="G3805" s="7" t="s">
        <v>1994</v>
      </c>
    </row>
    <row r="3806" customFormat="false" ht="15" hidden="false" customHeight="false" outlineLevel="0" collapsed="false">
      <c r="A3806" s="7" t="s">
        <v>1102</v>
      </c>
      <c r="B3806" s="7" t="n">
        <v>3877.22</v>
      </c>
      <c r="C3806" s="7" t="n">
        <f aca="false">AVERAGE(B3757:B3806)</f>
        <v>3763.9364</v>
      </c>
      <c r="D3806" s="7" t="n">
        <f aca="false">AVERAGE(B3607:B3806)</f>
        <v>3450.94765</v>
      </c>
      <c r="E3806" s="7" t="n">
        <f aca="false">B3806/MAX(B3555:B3806)-1</f>
        <v>0</v>
      </c>
      <c r="F3806" s="7" t="str">
        <f aca="false">IFERROR(INDEX(02_轉折點45個!B:B,MATCH(A3806,02_轉折點45個!A:A,0)),"")</f>
        <v/>
      </c>
      <c r="G3806" s="7" t="s">
        <v>1994</v>
      </c>
    </row>
    <row r="3807" customFormat="false" ht="15" hidden="false" customHeight="false" outlineLevel="0" collapsed="false">
      <c r="A3807" s="7" t="s">
        <v>5051</v>
      </c>
      <c r="B3807" s="7" t="n">
        <v>3903.49</v>
      </c>
      <c r="C3807" s="7" t="n">
        <f aca="false">AVERAGE(B3758:B3807)</f>
        <v>3768.226</v>
      </c>
      <c r="D3807" s="7" t="n">
        <f aca="false">AVERAGE(B3608:B3807)</f>
        <v>3455.2056</v>
      </c>
      <c r="E3807" s="7" t="n">
        <f aca="false">B3807/MAX(B3556:B3807)-1</f>
        <v>0</v>
      </c>
      <c r="F3807" s="7" t="str">
        <f aca="false">IFERROR(INDEX(02_轉折點45個!B:B,MATCH(A3807,02_轉折點45個!A:A,0)),"")</f>
        <v/>
      </c>
      <c r="G3807" s="7" t="s">
        <v>1994</v>
      </c>
    </row>
    <row r="3808" customFormat="false" ht="15" hidden="false" customHeight="false" outlineLevel="0" collapsed="false">
      <c r="A3808" s="7" t="s">
        <v>5052</v>
      </c>
      <c r="B3808" s="7" t="n">
        <v>3871.68</v>
      </c>
      <c r="C3808" s="7" t="n">
        <f aca="false">AVERAGE(B3759:B3808)</f>
        <v>3771.9678</v>
      </c>
      <c r="D3808" s="7" t="n">
        <f aca="false">AVERAGE(B3609:B3808)</f>
        <v>3459.1309</v>
      </c>
      <c r="E3808" s="7" t="n">
        <f aca="false">B3808/MAX(B3557:B3808)-1</f>
        <v>-0.00814911784070149</v>
      </c>
      <c r="F3808" s="7" t="str">
        <f aca="false">IFERROR(INDEX(02_轉折點45個!B:B,MATCH(A3808,02_轉折點45個!A:A,0)),"")</f>
        <v/>
      </c>
      <c r="G3808" s="7" t="s">
        <v>1994</v>
      </c>
    </row>
    <row r="3809" customFormat="false" ht="15" hidden="false" customHeight="false" outlineLevel="0" collapsed="false">
      <c r="A3809" s="7" t="s">
        <v>5053</v>
      </c>
      <c r="B3809" s="7" t="n">
        <v>3898.72</v>
      </c>
      <c r="C3809" s="7" t="n">
        <f aca="false">AVERAGE(B3760:B3809)</f>
        <v>3775.714</v>
      </c>
      <c r="D3809" s="7" t="n">
        <f aca="false">AVERAGE(B3610:B3809)</f>
        <v>3463.1259</v>
      </c>
      <c r="E3809" s="7" t="n">
        <f aca="false">B3809/MAX(B3558:B3809)-1</f>
        <v>-0.00122198340459434</v>
      </c>
      <c r="F3809" s="7" t="str">
        <f aca="false">IFERROR(INDEX(02_轉折點45個!B:B,MATCH(A3809,02_轉折點45個!A:A,0)),"")</f>
        <v/>
      </c>
      <c r="G3809" s="7" t="s">
        <v>1994</v>
      </c>
    </row>
    <row r="3810" customFormat="false" ht="15" hidden="false" customHeight="false" outlineLevel="0" collapsed="false">
      <c r="A3810" s="7" t="s">
        <v>5054</v>
      </c>
      <c r="B3810" s="7" t="n">
        <v>3894.93</v>
      </c>
      <c r="C3810" s="7" t="n">
        <f aca="false">AVERAGE(B3761:B3810)</f>
        <v>3779.2706</v>
      </c>
      <c r="D3810" s="7" t="n">
        <f aca="false">AVERAGE(B3611:B3810)</f>
        <v>3467.0852</v>
      </c>
      <c r="E3810" s="7" t="n">
        <f aca="false">B3810/MAX(B3559:B3810)-1</f>
        <v>-0.00219290942208128</v>
      </c>
      <c r="F3810" s="7" t="str">
        <f aca="false">IFERROR(INDEX(02_轉折點45個!B:B,MATCH(A3810,02_轉折點45個!A:A,0)),"")</f>
        <v/>
      </c>
      <c r="G3810" s="7" t="s">
        <v>1994</v>
      </c>
    </row>
    <row r="3811" customFormat="false" ht="15" hidden="false" customHeight="false" outlineLevel="0" collapsed="false">
      <c r="A3811" s="7" t="s">
        <v>5055</v>
      </c>
      <c r="B3811" s="7" t="n">
        <v>3921.94</v>
      </c>
      <c r="C3811" s="7" t="n">
        <f aca="false">AVERAGE(B3762:B3811)</f>
        <v>3783.5184</v>
      </c>
      <c r="D3811" s="7" t="n">
        <f aca="false">AVERAGE(B3612:B3811)</f>
        <v>3471.10355</v>
      </c>
      <c r="E3811" s="7" t="n">
        <f aca="false">B3811/MAX(B3560:B3811)-1</f>
        <v>0</v>
      </c>
      <c r="F3811" s="7" t="str">
        <f aca="false">IFERROR(INDEX(02_轉折點45個!B:B,MATCH(A3811,02_轉折點45個!A:A,0)),"")</f>
        <v/>
      </c>
      <c r="G3811" s="7" t="s">
        <v>1994</v>
      </c>
    </row>
    <row r="3812" customFormat="false" ht="15" hidden="false" customHeight="false" outlineLevel="0" collapsed="false">
      <c r="A3812" s="7" t="s">
        <v>5056</v>
      </c>
      <c r="B3812" s="7" t="n">
        <v>3917.02</v>
      </c>
      <c r="C3812" s="7" t="n">
        <f aca="false">AVERAGE(B3763:B3812)</f>
        <v>3788.7034</v>
      </c>
      <c r="D3812" s="7" t="n">
        <f aca="false">AVERAGE(B3613:B3812)</f>
        <v>3475.11605</v>
      </c>
      <c r="E3812" s="7" t="n">
        <f aca="false">B3812/MAX(B3561:B3812)-1</f>
        <v>-0.00125448120063032</v>
      </c>
      <c r="F3812" s="7" t="str">
        <f aca="false">IFERROR(INDEX(02_轉折點45個!B:B,MATCH(A3812,02_轉折點45個!A:A,0)),"")</f>
        <v/>
      </c>
      <c r="G3812" s="7" t="s">
        <v>1994</v>
      </c>
    </row>
    <row r="3813" customFormat="false" ht="15" hidden="false" customHeight="false" outlineLevel="0" collapsed="false">
      <c r="A3813" s="7" t="s">
        <v>5057</v>
      </c>
      <c r="B3813" s="7" t="n">
        <v>3921.11</v>
      </c>
      <c r="C3813" s="7" t="n">
        <f aca="false">AVERAGE(B3764:B3813)</f>
        <v>3794.069</v>
      </c>
      <c r="D3813" s="7" t="n">
        <f aca="false">AVERAGE(B3614:B3813)</f>
        <v>3479.02375</v>
      </c>
      <c r="E3813" s="7" t="n">
        <f aca="false">B3813/MAX(B3562:B3813)-1</f>
        <v>-0.000211629958642878</v>
      </c>
      <c r="F3813" s="7" t="str">
        <f aca="false">IFERROR(INDEX(02_轉折點45個!B:B,MATCH(A3813,02_轉折點45個!A:A,0)),"")</f>
        <v/>
      </c>
      <c r="G3813" s="7" t="s">
        <v>1994</v>
      </c>
    </row>
    <row r="3814" customFormat="false" ht="15" hidden="false" customHeight="false" outlineLevel="0" collapsed="false">
      <c r="A3814" s="7" t="s">
        <v>5058</v>
      </c>
      <c r="B3814" s="7" t="n">
        <v>3945.66</v>
      </c>
      <c r="C3814" s="7" t="n">
        <f aca="false">AVERAGE(B3765:B3814)</f>
        <v>3799.8784</v>
      </c>
      <c r="D3814" s="7" t="n">
        <f aca="false">AVERAGE(B3615:B3814)</f>
        <v>3483.04415</v>
      </c>
      <c r="E3814" s="7" t="n">
        <f aca="false">B3814/MAX(B3563:B3814)-1</f>
        <v>0</v>
      </c>
      <c r="F3814" s="7" t="str">
        <f aca="false">IFERROR(INDEX(02_轉折點45個!B:B,MATCH(A3814,02_轉折點45個!A:A,0)),"")</f>
        <v/>
      </c>
      <c r="G3814" s="7" t="s">
        <v>1994</v>
      </c>
    </row>
    <row r="3815" customFormat="false" ht="15" hidden="false" customHeight="false" outlineLevel="0" collapsed="false">
      <c r="A3815" s="7" t="s">
        <v>5059</v>
      </c>
      <c r="B3815" s="7" t="n">
        <v>3935.78</v>
      </c>
      <c r="C3815" s="7" t="n">
        <f aca="false">AVERAGE(B3766:B3815)</f>
        <v>3804.9688</v>
      </c>
      <c r="D3815" s="7" t="n">
        <f aca="false">AVERAGE(B3616:B3815)</f>
        <v>3486.9063</v>
      </c>
      <c r="E3815" s="7" t="n">
        <f aca="false">B3815/MAX(B3564:B3815)-1</f>
        <v>-0.00250401707192194</v>
      </c>
      <c r="F3815" s="7" t="str">
        <f aca="false">IFERROR(INDEX(02_轉折點45個!B:B,MATCH(A3815,02_轉折點45個!A:A,0)),"")</f>
        <v/>
      </c>
      <c r="G3815" s="7" t="s">
        <v>1994</v>
      </c>
    </row>
    <row r="3816" customFormat="false" ht="15" hidden="false" customHeight="false" outlineLevel="0" collapsed="false">
      <c r="A3816" s="7" t="s">
        <v>5060</v>
      </c>
      <c r="B3816" s="7" t="n">
        <v>3907.62</v>
      </c>
      <c r="C3816" s="7" t="n">
        <f aca="false">AVERAGE(B3767:B3816)</f>
        <v>3809.6028</v>
      </c>
      <c r="D3816" s="7" t="n">
        <f aca="false">AVERAGE(B3617:B3816)</f>
        <v>3490.5865</v>
      </c>
      <c r="E3816" s="7" t="n">
        <f aca="false">B3816/MAX(B3565:B3816)-1</f>
        <v>-0.00964097261294683</v>
      </c>
      <c r="F3816" s="7" t="str">
        <f aca="false">IFERROR(INDEX(02_轉折點45個!B:B,MATCH(A3816,02_轉折點45個!A:A,0)),"")</f>
        <v/>
      </c>
      <c r="G3816" s="7" t="s">
        <v>1994</v>
      </c>
    </row>
    <row r="3817" customFormat="false" ht="15" hidden="false" customHeight="false" outlineLevel="0" collapsed="false">
      <c r="A3817" s="7" t="s">
        <v>1103</v>
      </c>
      <c r="B3817" s="7" t="n">
        <v>3975.84</v>
      </c>
      <c r="C3817" s="7" t="n">
        <f aca="false">AVERAGE(B3768:B3817)</f>
        <v>3814.7536</v>
      </c>
      <c r="D3817" s="7" t="n">
        <f aca="false">AVERAGE(B3618:B3817)</f>
        <v>3494.63695</v>
      </c>
      <c r="E3817" s="7" t="n">
        <f aca="false">B3817/MAX(B3566:B3817)-1</f>
        <v>0</v>
      </c>
      <c r="F3817" s="7" t="str">
        <f aca="false">IFERROR(INDEX(02_轉折點45個!B:B,MATCH(A3817,02_轉折點45個!A:A,0)),"")</f>
        <v/>
      </c>
      <c r="G3817" s="7" t="s">
        <v>1994</v>
      </c>
    </row>
    <row r="3818" customFormat="false" ht="15" hidden="false" customHeight="false" outlineLevel="0" collapsed="false">
      <c r="A3818" s="7" t="s">
        <v>5061</v>
      </c>
      <c r="B3818" s="7" t="n">
        <v>3981.32</v>
      </c>
      <c r="C3818" s="7" t="n">
        <f aca="false">AVERAGE(B3769:B3818)</f>
        <v>3820.2318</v>
      </c>
      <c r="D3818" s="7" t="n">
        <f aca="false">AVERAGE(B3619:B3818)</f>
        <v>3498.56075</v>
      </c>
      <c r="E3818" s="7" t="n">
        <f aca="false">B3818/MAX(B3567:B3818)-1</f>
        <v>0</v>
      </c>
      <c r="F3818" s="7" t="str">
        <f aca="false">IFERROR(INDEX(02_轉折點45個!B:B,MATCH(A3818,02_轉折點45個!A:A,0)),"")</f>
        <v/>
      </c>
      <c r="G3818" s="7" t="s">
        <v>1994</v>
      </c>
    </row>
    <row r="3819" customFormat="false" ht="15" hidden="false" customHeight="false" outlineLevel="0" collapsed="false">
      <c r="A3819" s="7" t="s">
        <v>5062</v>
      </c>
      <c r="B3819" s="7" t="n">
        <v>3975.99</v>
      </c>
      <c r="C3819" s="7" t="n">
        <f aca="false">AVERAGE(B3770:B3819)</f>
        <v>3824.752</v>
      </c>
      <c r="D3819" s="7" t="n">
        <f aca="false">AVERAGE(B3620:B3819)</f>
        <v>3502.4695</v>
      </c>
      <c r="E3819" s="7" t="n">
        <f aca="false">B3819/MAX(B3568:B3819)-1</f>
        <v>-0.00133875197170796</v>
      </c>
      <c r="F3819" s="7" t="str">
        <f aca="false">IFERROR(INDEX(02_轉折點45個!B:B,MATCH(A3819,02_轉折點45個!A:A,0)),"")</f>
        <v/>
      </c>
      <c r="G3819" s="7" t="s">
        <v>1994</v>
      </c>
    </row>
    <row r="3820" customFormat="false" ht="15" hidden="false" customHeight="false" outlineLevel="0" collapsed="false">
      <c r="A3820" s="7" t="s">
        <v>5063</v>
      </c>
      <c r="B3820" s="7" t="n">
        <v>3961.45</v>
      </c>
      <c r="C3820" s="7" t="n">
        <f aca="false">AVERAGE(B3771:B3820)</f>
        <v>3828.1746</v>
      </c>
      <c r="D3820" s="7" t="n">
        <f aca="false">AVERAGE(B3621:B3820)</f>
        <v>3506.27955</v>
      </c>
      <c r="E3820" s="7" t="n">
        <f aca="false">B3820/MAX(B3569:B3820)-1</f>
        <v>-0.00499080706901234</v>
      </c>
      <c r="F3820" s="7" t="str">
        <f aca="false">IFERROR(INDEX(02_轉折點45個!B:B,MATCH(A3820,02_轉折點45個!A:A,0)),"")</f>
        <v/>
      </c>
      <c r="G3820" s="7" t="s">
        <v>1994</v>
      </c>
    </row>
    <row r="3821" customFormat="false" ht="15" hidden="false" customHeight="false" outlineLevel="0" collapsed="false">
      <c r="A3821" s="7" t="s">
        <v>5064</v>
      </c>
      <c r="B3821" s="7" t="n">
        <v>3959.84</v>
      </c>
      <c r="C3821" s="7" t="n">
        <f aca="false">AVERAGE(B3772:B3821)</f>
        <v>3831.4458</v>
      </c>
      <c r="D3821" s="7" t="n">
        <f aca="false">AVERAGE(B3622:B3821)</f>
        <v>3510.25885</v>
      </c>
      <c r="E3821" s="7" t="n">
        <f aca="false">B3821/MAX(B3570:B3821)-1</f>
        <v>-0.0053951955632805</v>
      </c>
      <c r="F3821" s="7" t="str">
        <f aca="false">IFERROR(INDEX(02_轉折點45個!B:B,MATCH(A3821,02_轉折點45個!A:A,0)),"")</f>
        <v/>
      </c>
      <c r="G3821" s="7" t="s">
        <v>1994</v>
      </c>
    </row>
    <row r="3822" customFormat="false" ht="15" hidden="false" customHeight="false" outlineLevel="0" collapsed="false">
      <c r="A3822" s="7" t="s">
        <v>5065</v>
      </c>
      <c r="B3822" s="7" t="n">
        <v>3934.93</v>
      </c>
      <c r="C3822" s="7" t="n">
        <f aca="false">AVERAGE(B3773:B3822)</f>
        <v>3834.004</v>
      </c>
      <c r="D3822" s="7" t="n">
        <f aca="false">AVERAGE(B3623:B3822)</f>
        <v>3514.13135</v>
      </c>
      <c r="E3822" s="7" t="n">
        <f aca="false">B3822/MAX(B3571:B3822)-1</f>
        <v>-0.0116519144404369</v>
      </c>
      <c r="F3822" s="7" t="str">
        <f aca="false">IFERROR(INDEX(02_轉折點45個!B:B,MATCH(A3822,02_轉折點45個!A:A,0)),"")</f>
        <v/>
      </c>
      <c r="G3822" s="7" t="s">
        <v>1994</v>
      </c>
    </row>
    <row r="3823" customFormat="false" ht="15" hidden="false" customHeight="false" outlineLevel="0" collapsed="false">
      <c r="A3823" s="7" t="s">
        <v>5066</v>
      </c>
      <c r="B3823" s="7" t="n">
        <v>3949.68</v>
      </c>
      <c r="C3823" s="7" t="n">
        <f aca="false">AVERAGE(B3774:B3823)</f>
        <v>3837.0506</v>
      </c>
      <c r="D3823" s="7" t="n">
        <f aca="false">AVERAGE(B3624:B3823)</f>
        <v>3518.07885</v>
      </c>
      <c r="E3823" s="7" t="n">
        <f aca="false">B3823/MAX(B3572:B3823)-1</f>
        <v>-0.00794711301779316</v>
      </c>
      <c r="F3823" s="7" t="str">
        <f aca="false">IFERROR(INDEX(02_轉折點45個!B:B,MATCH(A3823,02_轉折點45個!A:A,0)),"")</f>
        <v/>
      </c>
      <c r="G3823" s="7" t="s">
        <v>1994</v>
      </c>
    </row>
    <row r="3824" customFormat="false" ht="15" hidden="false" customHeight="false" outlineLevel="0" collapsed="false">
      <c r="A3824" s="7" t="s">
        <v>1104</v>
      </c>
      <c r="B3824" s="7" t="n">
        <v>3892.2</v>
      </c>
      <c r="C3824" s="7" t="n">
        <f aca="false">AVERAGE(B3775:B3824)</f>
        <v>3838.9914</v>
      </c>
      <c r="D3824" s="7" t="n">
        <f aca="false">AVERAGE(B3625:B3824)</f>
        <v>3521.6031</v>
      </c>
      <c r="E3824" s="7" t="n">
        <f aca="false">B3824/MAX(B3573:B3824)-1</f>
        <v>-0.0223845357821025</v>
      </c>
      <c r="F3824" s="7" t="str">
        <f aca="false">IFERROR(INDEX(02_轉折點45個!B:B,MATCH(A3824,02_轉折點45個!A:A,0)),"")</f>
        <v/>
      </c>
      <c r="G3824" s="7" t="s">
        <v>1994</v>
      </c>
    </row>
    <row r="3825" customFormat="false" ht="15" hidden="false" customHeight="false" outlineLevel="0" collapsed="false">
      <c r="A3825" s="7" t="s">
        <v>1105</v>
      </c>
      <c r="B3825" s="7" t="n">
        <v>3878.48</v>
      </c>
      <c r="C3825" s="7" t="n">
        <f aca="false">AVERAGE(B3776:B3825)</f>
        <v>3840.2486</v>
      </c>
      <c r="D3825" s="7" t="n">
        <f aca="false">AVERAGE(B3626:B3825)</f>
        <v>3525.15635</v>
      </c>
      <c r="E3825" s="7" t="n">
        <f aca="false">B3825/MAX(B3574:B3825)-1</f>
        <v>-0.0258306290376057</v>
      </c>
      <c r="F3825" s="7" t="str">
        <f aca="false">IFERROR(INDEX(02_轉折點45個!B:B,MATCH(A3825,02_轉折點45個!A:A,0)),"")</f>
        <v/>
      </c>
      <c r="G3825" s="7" t="s">
        <v>1994</v>
      </c>
    </row>
    <row r="3826" customFormat="false" ht="15" hidden="false" customHeight="false" outlineLevel="0" collapsed="false">
      <c r="A3826" s="7" t="s">
        <v>1106</v>
      </c>
      <c r="B3826" s="7" t="n">
        <v>3910.05</v>
      </c>
      <c r="C3826" s="7" t="n">
        <f aca="false">AVERAGE(B3777:B3826)</f>
        <v>3842.7496</v>
      </c>
      <c r="D3826" s="7" t="n">
        <f aca="false">AVERAGE(B3627:B3826)</f>
        <v>3528.7588</v>
      </c>
      <c r="E3826" s="7" t="n">
        <f aca="false">B3826/MAX(B3575:B3826)-1</f>
        <v>-0.017901098128259</v>
      </c>
      <c r="F3826" s="7" t="str">
        <f aca="false">IFERROR(INDEX(02_轉折點45個!B:B,MATCH(A3826,02_轉折點45個!A:A,0)),"")</f>
        <v/>
      </c>
      <c r="G3826" s="7" t="s">
        <v>1994</v>
      </c>
    </row>
    <row r="3827" customFormat="false" ht="15" hidden="false" customHeight="false" outlineLevel="0" collapsed="false">
      <c r="A3827" s="7" t="s">
        <v>5067</v>
      </c>
      <c r="B3827" s="7" t="n">
        <v>3958.79</v>
      </c>
      <c r="C3827" s="7" t="n">
        <f aca="false">AVERAGE(B3778:B3827)</f>
        <v>3846.4294</v>
      </c>
      <c r="D3827" s="7" t="n">
        <f aca="false">AVERAGE(B3628:B3827)</f>
        <v>3532.76665</v>
      </c>
      <c r="E3827" s="7" t="n">
        <f aca="false">B3827/MAX(B3576:B3827)-1</f>
        <v>-0.00565892718997729</v>
      </c>
      <c r="F3827" s="7" t="str">
        <f aca="false">IFERROR(INDEX(02_轉折點45個!B:B,MATCH(A3827,02_轉折點45個!A:A,0)),"")</f>
        <v/>
      </c>
      <c r="G3827" s="7" t="s">
        <v>1994</v>
      </c>
    </row>
    <row r="3828" customFormat="false" ht="15" hidden="false" customHeight="false" outlineLevel="0" collapsed="false">
      <c r="A3828" s="7" t="s">
        <v>1107</v>
      </c>
      <c r="B3828" s="7" t="n">
        <v>3935.31</v>
      </c>
      <c r="C3828" s="7" t="n">
        <f aca="false">AVERAGE(B3779:B3828)</f>
        <v>3849.9726</v>
      </c>
      <c r="D3828" s="7" t="n">
        <f aca="false">AVERAGE(B3629:B3828)</f>
        <v>3536.61385</v>
      </c>
      <c r="E3828" s="7" t="n">
        <f aca="false">B3828/MAX(B3577:B3828)-1</f>
        <v>-0.0115564687088705</v>
      </c>
      <c r="F3828" s="7" t="str">
        <f aca="false">IFERROR(INDEX(02_轉折點45個!B:B,MATCH(A3828,02_轉折點45個!A:A,0)),"")</f>
        <v/>
      </c>
      <c r="G3828" s="7" t="s">
        <v>1994</v>
      </c>
    </row>
    <row r="3829" customFormat="false" ht="15" hidden="false" customHeight="false" outlineLevel="0" collapsed="false">
      <c r="A3829" s="7" t="s">
        <v>5068</v>
      </c>
      <c r="B3829" s="7" t="n">
        <v>3945.99</v>
      </c>
      <c r="C3829" s="7" t="n">
        <f aca="false">AVERAGE(B3780:B3829)</f>
        <v>3853.0078</v>
      </c>
      <c r="D3829" s="7" t="n">
        <f aca="false">AVERAGE(B3630:B3829)</f>
        <v>3540.6063</v>
      </c>
      <c r="E3829" s="7" t="n">
        <f aca="false">B3829/MAX(B3578:B3829)-1</f>
        <v>-0.00887394130589869</v>
      </c>
      <c r="F3829" s="7" t="str">
        <f aca="false">IFERROR(INDEX(02_轉折點45個!B:B,MATCH(A3829,02_轉折點45個!A:A,0)),"")</f>
        <v/>
      </c>
      <c r="G3829" s="7" t="s">
        <v>1994</v>
      </c>
    </row>
    <row r="3830" customFormat="false" ht="15" hidden="false" customHeight="false" outlineLevel="0" collapsed="false">
      <c r="A3830" s="7" t="s">
        <v>5069</v>
      </c>
      <c r="B3830" s="7" t="n">
        <v>3907.16</v>
      </c>
      <c r="C3830" s="7" t="n">
        <f aca="false">AVERAGE(B3781:B3830)</f>
        <v>3855.0392</v>
      </c>
      <c r="D3830" s="7" t="n">
        <f aca="false">AVERAGE(B3631:B3830)</f>
        <v>3544.6046</v>
      </c>
      <c r="E3830" s="7" t="n">
        <f aca="false">B3830/MAX(B3579:B3830)-1</f>
        <v>-0.0186269880341194</v>
      </c>
      <c r="F3830" s="7" t="str">
        <f aca="false">IFERROR(INDEX(02_轉折點45個!B:B,MATCH(A3830,02_轉折點45個!A:A,0)),"")</f>
        <v/>
      </c>
      <c r="G3830" s="7" t="s">
        <v>1994</v>
      </c>
    </row>
    <row r="3831" customFormat="false" ht="15" hidden="false" customHeight="false" outlineLevel="0" collapsed="false">
      <c r="A3831" s="7" t="s">
        <v>5070</v>
      </c>
      <c r="B3831" s="7" t="n">
        <v>3861.11</v>
      </c>
      <c r="C3831" s="7" t="n">
        <f aca="false">AVERAGE(B3782:B3831)</f>
        <v>3856.3218</v>
      </c>
      <c r="D3831" s="7" t="n">
        <f aca="false">AVERAGE(B3632:B3831)</f>
        <v>3548.26955</v>
      </c>
      <c r="E3831" s="7" t="n">
        <f aca="false">B3831/MAX(B3580:B3831)-1</f>
        <v>-0.0301935036621021</v>
      </c>
      <c r="F3831" s="7" t="str">
        <f aca="false">IFERROR(INDEX(02_轉折點45個!B:B,MATCH(A3831,02_轉折點45個!A:A,0)),"")</f>
        <v/>
      </c>
      <c r="G3831" s="7" t="s">
        <v>1994</v>
      </c>
    </row>
    <row r="3832" customFormat="false" ht="15" hidden="false" customHeight="false" outlineLevel="0" collapsed="false">
      <c r="A3832" s="7" t="s">
        <v>1108</v>
      </c>
      <c r="B3832" s="7" t="n">
        <v>3868.31</v>
      </c>
      <c r="C3832" s="7" t="n">
        <f aca="false">AVERAGE(B3783:B3832)</f>
        <v>3857.4108</v>
      </c>
      <c r="D3832" s="7" t="n">
        <f aca="false">AVERAGE(B3633:B3832)</f>
        <v>3551.7642</v>
      </c>
      <c r="E3832" s="7" t="n">
        <f aca="false">B3832/MAX(B3581:B3832)-1</f>
        <v>-0.0283850582218963</v>
      </c>
      <c r="F3832" s="7" t="str">
        <f aca="false">IFERROR(INDEX(02_轉折點45個!B:B,MATCH(A3832,02_轉折點45個!A:A,0)),"")</f>
        <v/>
      </c>
      <c r="G3832" s="7" t="s">
        <v>1994</v>
      </c>
    </row>
    <row r="3833" customFormat="false" ht="15" hidden="false" customHeight="false" outlineLevel="0" collapsed="false">
      <c r="A3833" s="7" t="s">
        <v>5071</v>
      </c>
      <c r="B3833" s="7" t="n">
        <v>3812.87</v>
      </c>
      <c r="C3833" s="7" t="n">
        <f aca="false">AVERAGE(B3784:B3833)</f>
        <v>3858.5122</v>
      </c>
      <c r="D3833" s="7" t="n">
        <f aca="false">AVERAGE(B3634:B3833)</f>
        <v>3554.96085</v>
      </c>
      <c r="E3833" s="7" t="n">
        <f aca="false">B3833/MAX(B3582:B3833)-1</f>
        <v>-0.0423100881114806</v>
      </c>
      <c r="F3833" s="7" t="str">
        <f aca="false">IFERROR(INDEX(02_轉折點45個!B:B,MATCH(A3833,02_轉折點45個!A:A,0)),"")</f>
        <v/>
      </c>
      <c r="G3833" s="7" t="s">
        <v>1994</v>
      </c>
    </row>
    <row r="3834" customFormat="false" ht="15" hidden="false" customHeight="false" outlineLevel="0" collapsed="false">
      <c r="A3834" s="7" t="s">
        <v>5072</v>
      </c>
      <c r="B3834" s="7" t="n">
        <v>3792.45</v>
      </c>
      <c r="C3834" s="7" t="n">
        <f aca="false">AVERAGE(B3785:B3834)</f>
        <v>3857.9314</v>
      </c>
      <c r="D3834" s="7" t="n">
        <f aca="false">AVERAGE(B3635:B3834)</f>
        <v>3558.2236</v>
      </c>
      <c r="E3834" s="7" t="n">
        <f aca="false">B3834/MAX(B3583:B3834)-1</f>
        <v>-0.0474390403182865</v>
      </c>
      <c r="F3834" s="7" t="str">
        <f aca="false">IFERROR(INDEX(02_轉折點45個!B:B,MATCH(A3834,02_轉折點45個!A:A,0)),"")</f>
        <v/>
      </c>
      <c r="G3834" s="7" t="s">
        <v>1994</v>
      </c>
    </row>
    <row r="3835" customFormat="false" ht="15" hidden="false" customHeight="false" outlineLevel="0" collapsed="false">
      <c r="A3835" s="7" t="s">
        <v>5073</v>
      </c>
      <c r="B3835" s="7" t="n">
        <v>3796.59</v>
      </c>
      <c r="C3835" s="7" t="n">
        <f aca="false">AVERAGE(B3786:B3835)</f>
        <v>3856.8512</v>
      </c>
      <c r="D3835" s="7" t="n">
        <f aca="false">AVERAGE(B3636:B3835)</f>
        <v>3561.67385</v>
      </c>
      <c r="E3835" s="7" t="n">
        <f aca="false">B3835/MAX(B3584:B3835)-1</f>
        <v>-0.0463991841901681</v>
      </c>
      <c r="F3835" s="7" t="str">
        <f aca="false">IFERROR(INDEX(02_轉折點45個!B:B,MATCH(A3835,02_轉折點45個!A:A,0)),"")</f>
        <v/>
      </c>
      <c r="G3835" s="7" t="s">
        <v>1994</v>
      </c>
    </row>
    <row r="3836" customFormat="false" ht="15" hidden="false" customHeight="false" outlineLevel="0" collapsed="false">
      <c r="A3836" s="7" t="s">
        <v>5074</v>
      </c>
      <c r="B3836" s="7" t="n">
        <v>3836.08</v>
      </c>
      <c r="C3836" s="7" t="n">
        <f aca="false">AVERAGE(B3787:B3836)</f>
        <v>3856.4912</v>
      </c>
      <c r="D3836" s="7" t="n">
        <f aca="false">AVERAGE(B3637:B3836)</f>
        <v>3565.1163</v>
      </c>
      <c r="E3836" s="7" t="n">
        <f aca="false">B3836/MAX(B3585:B3836)-1</f>
        <v>-0.0364803632965952</v>
      </c>
      <c r="F3836" s="7" t="str">
        <f aca="false">IFERROR(INDEX(02_轉折點45個!B:B,MATCH(A3836,02_轉折點45個!A:A,0)),"")</f>
        <v/>
      </c>
      <c r="G3836" s="7" t="s">
        <v>1994</v>
      </c>
    </row>
    <row r="3837" customFormat="false" ht="15" hidden="false" customHeight="false" outlineLevel="0" collapsed="false">
      <c r="A3837" s="7" t="s">
        <v>5075</v>
      </c>
      <c r="B3837" s="7" t="n">
        <v>3899.16</v>
      </c>
      <c r="C3837" s="7" t="n">
        <f aca="false">AVERAGE(B3788:B3837)</f>
        <v>3857.7786</v>
      </c>
      <c r="D3837" s="7" t="n">
        <f aca="false">AVERAGE(B3638:B3837)</f>
        <v>3568.97375</v>
      </c>
      <c r="E3837" s="7" t="n">
        <f aca="false">B3837/MAX(B3586:B3837)-1</f>
        <v>-0.0206363718565703</v>
      </c>
      <c r="F3837" s="7" t="str">
        <f aca="false">IFERROR(INDEX(02_轉折點45個!B:B,MATCH(A3837,02_轉折點45個!A:A,0)),"")</f>
        <v/>
      </c>
      <c r="G3837" s="7" t="s">
        <v>1994</v>
      </c>
    </row>
    <row r="3838" customFormat="false" ht="15" hidden="false" customHeight="false" outlineLevel="0" collapsed="false">
      <c r="A3838" s="7" t="s">
        <v>5076</v>
      </c>
      <c r="B3838" s="7" t="n">
        <v>3906.86</v>
      </c>
      <c r="C3838" s="7" t="n">
        <f aca="false">AVERAGE(B3789:B3838)</f>
        <v>3858.705</v>
      </c>
      <c r="D3838" s="7" t="n">
        <f aca="false">AVERAGE(B3639:B3838)</f>
        <v>3572.7392</v>
      </c>
      <c r="E3838" s="7" t="n">
        <f aca="false">B3838/MAX(B3587:B3838)-1</f>
        <v>-0.0187023399274613</v>
      </c>
      <c r="F3838" s="7" t="str">
        <f aca="false">IFERROR(INDEX(02_轉折點45個!B:B,MATCH(A3838,02_轉折點45個!A:A,0)),"")</f>
        <v/>
      </c>
      <c r="G3838" s="7" t="s">
        <v>1994</v>
      </c>
    </row>
    <row r="3839" customFormat="false" ht="15" hidden="false" customHeight="false" outlineLevel="0" collapsed="false">
      <c r="A3839" s="7" t="s">
        <v>5077</v>
      </c>
      <c r="B3839" s="7" t="n">
        <v>3871.48</v>
      </c>
      <c r="C3839" s="7" t="n">
        <f aca="false">AVERAGE(B3790:B3839)</f>
        <v>3858.6088</v>
      </c>
      <c r="D3839" s="7" t="n">
        <f aca="false">AVERAGE(B3640:B3839)</f>
        <v>3576.1905</v>
      </c>
      <c r="E3839" s="7" t="n">
        <f aca="false">B3839/MAX(B3588:B3839)-1</f>
        <v>-0.0275888398822501</v>
      </c>
      <c r="F3839" s="7" t="str">
        <f aca="false">IFERROR(INDEX(02_轉折點45個!B:B,MATCH(A3839,02_轉折點45個!A:A,0)),"")</f>
        <v/>
      </c>
      <c r="G3839" s="7" t="s">
        <v>1994</v>
      </c>
    </row>
    <row r="3840" customFormat="false" ht="15" hidden="false" customHeight="false" outlineLevel="0" collapsed="false">
      <c r="A3840" s="7" t="s">
        <v>5078</v>
      </c>
      <c r="B3840" s="7" t="n">
        <v>3770.98</v>
      </c>
      <c r="C3840" s="7" t="n">
        <f aca="false">AVERAGE(B3791:B3840)</f>
        <v>3856.9434</v>
      </c>
      <c r="D3840" s="7" t="n">
        <f aca="false">AVERAGE(B3641:B3840)</f>
        <v>3579.31735</v>
      </c>
      <c r="E3840" s="7" t="n">
        <f aca="false">B3840/MAX(B3589:B3840)-1</f>
        <v>-0.0528317241517889</v>
      </c>
      <c r="F3840" s="7" t="str">
        <f aca="false">IFERROR(INDEX(02_轉折點45個!B:B,MATCH(A3840,02_轉折點45個!A:A,0)),"")</f>
        <v/>
      </c>
      <c r="G3840" s="7" t="s">
        <v>1994</v>
      </c>
    </row>
    <row r="3841" customFormat="false" ht="15" hidden="false" customHeight="false" outlineLevel="0" collapsed="false">
      <c r="A3841" s="7" t="s">
        <v>1109</v>
      </c>
      <c r="B3841" s="7" t="n">
        <v>3727.15</v>
      </c>
      <c r="C3841" s="7" t="n">
        <f aca="false">AVERAGE(B3792:B3841)</f>
        <v>3856.0588</v>
      </c>
      <c r="D3841" s="7" t="n">
        <f aca="false">AVERAGE(B3642:B3841)</f>
        <v>3582.5839</v>
      </c>
      <c r="E3841" s="7" t="n">
        <f aca="false">B3841/MAX(B3590:B3841)-1</f>
        <v>-0.0638406357690414</v>
      </c>
      <c r="F3841" s="7" t="str">
        <f aca="false">IFERROR(INDEX(02_轉折點45個!B:B,MATCH(A3841,02_轉折點45個!A:A,0)),"")</f>
        <v/>
      </c>
      <c r="G3841" s="7" t="s">
        <v>1994</v>
      </c>
    </row>
    <row r="3842" customFormat="false" ht="15" hidden="false" customHeight="false" outlineLevel="0" collapsed="false">
      <c r="A3842" s="7" t="s">
        <v>5079</v>
      </c>
      <c r="B3842" s="7" t="n">
        <v>3757.52</v>
      </c>
      <c r="C3842" s="7" t="n">
        <f aca="false">AVERAGE(B3793:B3842)</f>
        <v>3856.5958</v>
      </c>
      <c r="D3842" s="7" t="n">
        <f aca="false">AVERAGE(B3643:B3842)</f>
        <v>3586.03605</v>
      </c>
      <c r="E3842" s="7" t="n">
        <f aca="false">B3842/MAX(B3591:B3842)-1</f>
        <v>-0.0562125124330625</v>
      </c>
      <c r="F3842" s="7" t="str">
        <f aca="false">IFERROR(INDEX(02_轉折點45個!B:B,MATCH(A3842,02_轉折點45個!A:A,0)),"")</f>
        <v/>
      </c>
      <c r="G3842" s="7" t="s">
        <v>1994</v>
      </c>
    </row>
    <row r="3843" customFormat="false" ht="15" hidden="false" customHeight="false" outlineLevel="0" collapsed="false">
      <c r="A3843" s="7" t="s">
        <v>1110</v>
      </c>
      <c r="B3843" s="7" t="n">
        <v>3822.3</v>
      </c>
      <c r="C3843" s="7" t="n">
        <f aca="false">AVERAGE(B3794:B3843)</f>
        <v>3858.1662</v>
      </c>
      <c r="D3843" s="7" t="n">
        <f aca="false">AVERAGE(B3644:B3843)</f>
        <v>3589.97875</v>
      </c>
      <c r="E3843" s="7" t="n">
        <f aca="false">B3843/MAX(B3592:B3843)-1</f>
        <v>-0.0399415269307667</v>
      </c>
      <c r="F3843" s="7" t="str">
        <f aca="false">IFERROR(INDEX(02_轉折點45個!B:B,MATCH(A3843,02_轉折點45個!A:A,0)),"")</f>
        <v/>
      </c>
      <c r="G3843" s="7" t="s">
        <v>1994</v>
      </c>
    </row>
    <row r="3844" customFormat="false" ht="15" hidden="false" customHeight="false" outlineLevel="0" collapsed="false">
      <c r="A3844" s="7" t="s">
        <v>1111</v>
      </c>
      <c r="B3844" s="7" t="n">
        <v>3703.72</v>
      </c>
      <c r="C3844" s="7" t="n">
        <f aca="false">AVERAGE(B3795:B3844)</f>
        <v>3858.215</v>
      </c>
      <c r="D3844" s="7" t="n">
        <f aca="false">AVERAGE(B3645:B3844)</f>
        <v>3593.20465</v>
      </c>
      <c r="E3844" s="7" t="n">
        <f aca="false">B3844/MAX(B3593:B3844)-1</f>
        <v>-0.0697256186390445</v>
      </c>
      <c r="F3844" s="7" t="str">
        <f aca="false">IFERROR(INDEX(02_轉折點45個!B:B,MATCH(A3844,02_轉折點45個!A:A,0)),"")</f>
        <v/>
      </c>
      <c r="G3844" s="7" t="s">
        <v>1994</v>
      </c>
    </row>
    <row r="3845" customFormat="false" ht="15" hidden="false" customHeight="false" outlineLevel="0" collapsed="false">
      <c r="A3845" s="7" t="s">
        <v>5080</v>
      </c>
      <c r="B3845" s="7" t="n">
        <v>3654.04</v>
      </c>
      <c r="C3845" s="7" t="n">
        <f aca="false">AVERAGE(B3796:B3845)</f>
        <v>3855.9602</v>
      </c>
      <c r="D3845" s="7" t="n">
        <f aca="false">AVERAGE(B3646:B3845)</f>
        <v>3596.05275</v>
      </c>
      <c r="E3845" s="7" t="n">
        <f aca="false">B3845/MAX(B3594:B3845)-1</f>
        <v>-0.0822038921764642</v>
      </c>
      <c r="F3845" s="7" t="str">
        <f aca="false">IFERROR(INDEX(02_轉折點45個!B:B,MATCH(A3845,02_轉折點45個!A:A,0)),"")</f>
        <v/>
      </c>
      <c r="G3845" s="7" t="s">
        <v>1994</v>
      </c>
    </row>
    <row r="3846" customFormat="false" ht="15" hidden="false" customHeight="false" outlineLevel="0" collapsed="false">
      <c r="A3846" s="7" t="s">
        <v>1112</v>
      </c>
      <c r="B3846" s="7" t="n">
        <v>3675.02</v>
      </c>
      <c r="C3846" s="7" t="n">
        <f aca="false">AVERAGE(B3797:B3846)</f>
        <v>3854.4768</v>
      </c>
      <c r="D3846" s="7" t="n">
        <f aca="false">AVERAGE(B3647:B3846)</f>
        <v>3598.8886</v>
      </c>
      <c r="E3846" s="7" t="n">
        <f aca="false">B3846/MAX(B3595:B3846)-1</f>
        <v>-0.0769342831020868</v>
      </c>
      <c r="F3846" s="7" t="str">
        <f aca="false">IFERROR(INDEX(02_轉折點45個!B:B,MATCH(A3846,02_轉折點45個!A:A,0)),"")</f>
        <v/>
      </c>
      <c r="G3846" s="7" t="s">
        <v>1994</v>
      </c>
    </row>
    <row r="3847" customFormat="false" ht="15" hidden="false" customHeight="false" outlineLevel="0" collapsed="false">
      <c r="A3847" s="7" t="s">
        <v>5081</v>
      </c>
      <c r="B3847" s="7" t="n">
        <v>3685.5</v>
      </c>
      <c r="C3847" s="7" t="n">
        <f aca="false">AVERAGE(B3798:B3847)</f>
        <v>3855.1566</v>
      </c>
      <c r="D3847" s="7" t="n">
        <f aca="false">AVERAGE(B3648:B3847)</f>
        <v>3601.7705</v>
      </c>
      <c r="E3847" s="7" t="n">
        <f aca="false">B3847/MAX(B3596:B3847)-1</f>
        <v>-0.0743019902946762</v>
      </c>
      <c r="F3847" s="7" t="str">
        <f aca="false">IFERROR(INDEX(02_轉折點45個!B:B,MATCH(A3847,02_轉折點45個!A:A,0)),"")</f>
        <v/>
      </c>
      <c r="G3847" s="7" t="s">
        <v>1994</v>
      </c>
    </row>
    <row r="3848" customFormat="false" ht="15" hidden="false" customHeight="false" outlineLevel="0" collapsed="false">
      <c r="A3848" s="7" t="s">
        <v>5082</v>
      </c>
      <c r="B3848" s="7" t="n">
        <v>3733.07</v>
      </c>
      <c r="C3848" s="7" t="n">
        <f aca="false">AVERAGE(B3799:B3848)</f>
        <v>3856.1562</v>
      </c>
      <c r="D3848" s="7" t="n">
        <f aca="false">AVERAGE(B3649:B3848)</f>
        <v>3604.74755</v>
      </c>
      <c r="E3848" s="7" t="n">
        <f aca="false">B3848/MAX(B3597:B3848)-1</f>
        <v>-0.0623536917404278</v>
      </c>
      <c r="F3848" s="7" t="str">
        <f aca="false">IFERROR(INDEX(02_轉折點45個!B:B,MATCH(A3848,02_轉折點45個!A:A,0)),"")</f>
        <v/>
      </c>
      <c r="G3848" s="7" t="s">
        <v>1994</v>
      </c>
    </row>
    <row r="3849" customFormat="false" ht="15" hidden="false" customHeight="false" outlineLevel="0" collapsed="false">
      <c r="A3849" s="7" t="s">
        <v>5083</v>
      </c>
      <c r="B3849" s="7" t="n">
        <v>3741.55</v>
      </c>
      <c r="C3849" s="7" t="n">
        <f aca="false">AVERAGE(B3800:B3849)</f>
        <v>3857.6904</v>
      </c>
      <c r="D3849" s="7" t="n">
        <f aca="false">AVERAGE(B3650:B3849)</f>
        <v>3607.772</v>
      </c>
      <c r="E3849" s="7" t="n">
        <f aca="false">B3849/MAX(B3598:B3849)-1</f>
        <v>-0.0602237448886299</v>
      </c>
      <c r="F3849" s="7" t="str">
        <f aca="false">IFERROR(INDEX(02_轉折點45個!B:B,MATCH(A3849,02_轉折點45個!A:A,0)),"")</f>
        <v/>
      </c>
      <c r="G3849" s="7" t="s">
        <v>1994</v>
      </c>
    </row>
    <row r="3850" customFormat="false" ht="15" hidden="false" customHeight="false" outlineLevel="0" collapsed="false">
      <c r="A3850" s="7" t="s">
        <v>5084</v>
      </c>
      <c r="B3850" s="7" t="n">
        <v>3765.34</v>
      </c>
      <c r="C3850" s="7" t="n">
        <f aca="false">AVERAGE(B3801:B3850)</f>
        <v>3858.8678</v>
      </c>
      <c r="D3850" s="7" t="n">
        <f aca="false">AVERAGE(B3651:B3850)</f>
        <v>3610.8685</v>
      </c>
      <c r="E3850" s="7" t="n">
        <f aca="false">B3850/MAX(B3599:B3850)-1</f>
        <v>-0.0542483397466167</v>
      </c>
      <c r="F3850" s="7" t="str">
        <f aca="false">IFERROR(INDEX(02_轉折點45個!B:B,MATCH(A3850,02_轉折點45個!A:A,0)),"")</f>
        <v/>
      </c>
      <c r="G3850" s="7" t="s">
        <v>1994</v>
      </c>
    </row>
    <row r="3851" customFormat="false" ht="15" hidden="false" customHeight="false" outlineLevel="0" collapsed="false">
      <c r="A3851" s="7" t="s">
        <v>1113</v>
      </c>
      <c r="B3851" s="7" t="n">
        <v>3801.8</v>
      </c>
      <c r="C3851" s="7" t="n">
        <f aca="false">AVERAGE(B3802:B3851)</f>
        <v>3859.5184</v>
      </c>
      <c r="D3851" s="7" t="n">
        <f aca="false">AVERAGE(B3652:B3851)</f>
        <v>3613.98415</v>
      </c>
      <c r="E3851" s="7" t="n">
        <f aca="false">B3851/MAX(B3600:B3851)-1</f>
        <v>-0.045090572975797</v>
      </c>
      <c r="F3851" s="7" t="str">
        <f aca="false">IFERROR(INDEX(02_轉折點45個!B:B,MATCH(A3851,02_轉折點45個!A:A,0)),"")</f>
        <v/>
      </c>
      <c r="G3851" s="7" t="s">
        <v>1994</v>
      </c>
    </row>
    <row r="3852" customFormat="false" ht="15" hidden="false" customHeight="false" outlineLevel="0" collapsed="false">
      <c r="A3852" s="7" t="s">
        <v>5085</v>
      </c>
      <c r="B3852" s="7" t="n">
        <v>3770.29</v>
      </c>
      <c r="C3852" s="7" t="n">
        <f aca="false">AVERAGE(B3803:B3852)</f>
        <v>3859.1312</v>
      </c>
      <c r="D3852" s="7" t="n">
        <f aca="false">AVERAGE(B3653:B3852)</f>
        <v>3616.91735</v>
      </c>
      <c r="E3852" s="7" t="n">
        <f aca="false">B3852/MAX(B3601:B3852)-1</f>
        <v>-0.0530050335064753</v>
      </c>
      <c r="F3852" s="7" t="str">
        <f aca="false">IFERROR(INDEX(02_轉折點45個!B:B,MATCH(A3852,02_轉折點45個!A:A,0)),"")</f>
        <v/>
      </c>
      <c r="G3852" s="7" t="s">
        <v>1994</v>
      </c>
    </row>
    <row r="3853" customFormat="false" ht="15" hidden="false" customHeight="false" outlineLevel="0" collapsed="false">
      <c r="A3853" s="7" t="s">
        <v>1114</v>
      </c>
      <c r="B3853" s="7" t="n">
        <v>3789.81</v>
      </c>
      <c r="C3853" s="7" t="n">
        <f aca="false">AVERAGE(B3804:B3853)</f>
        <v>3858.3508</v>
      </c>
      <c r="D3853" s="7" t="n">
        <f aca="false">AVERAGE(B3654:B3853)</f>
        <v>3619.8594</v>
      </c>
      <c r="E3853" s="7" t="n">
        <f aca="false">B3853/MAX(B3602:B3853)-1</f>
        <v>-0.0481021369796952</v>
      </c>
      <c r="F3853" s="7" t="str">
        <f aca="false">IFERROR(INDEX(02_轉折點45個!B:B,MATCH(A3853,02_轉折點45個!A:A,0)),"")</f>
        <v/>
      </c>
      <c r="G3853" s="7" t="s">
        <v>1994</v>
      </c>
    </row>
    <row r="3854" customFormat="false" ht="15" hidden="false" customHeight="false" outlineLevel="0" collapsed="false">
      <c r="A3854" s="7" t="s">
        <v>1115</v>
      </c>
      <c r="B3854" s="7" t="n">
        <v>3723.32</v>
      </c>
      <c r="C3854" s="7" t="n">
        <f aca="false">AVERAGE(B3805:B3854)</f>
        <v>3856.0536</v>
      </c>
      <c r="D3854" s="7" t="n">
        <f aca="false">AVERAGE(B3655:B3854)</f>
        <v>3622.39365</v>
      </c>
      <c r="E3854" s="7" t="n">
        <f aca="false">B3854/MAX(B3603:B3854)-1</f>
        <v>-0.0648026282740397</v>
      </c>
      <c r="F3854" s="7" t="str">
        <f aca="false">IFERROR(INDEX(02_轉折點45個!B:B,MATCH(A3854,02_轉折點45個!A:A,0)),"")</f>
        <v/>
      </c>
      <c r="G3854" s="7" t="s">
        <v>1994</v>
      </c>
    </row>
    <row r="3855" customFormat="false" ht="15" hidden="false" customHeight="false" outlineLevel="0" collapsed="false">
      <c r="A3855" s="7" t="s">
        <v>5086</v>
      </c>
      <c r="B3855" s="7" t="n">
        <v>3722.26</v>
      </c>
      <c r="C3855" s="7" t="n">
        <f aca="false">AVERAGE(B3806:B3855)</f>
        <v>3853.0156</v>
      </c>
      <c r="D3855" s="7" t="n">
        <f aca="false">AVERAGE(B3656:B3855)</f>
        <v>3624.65975</v>
      </c>
      <c r="E3855" s="7" t="n">
        <f aca="false">B3855/MAX(B3604:B3855)-1</f>
        <v>-0.0650688716305145</v>
      </c>
      <c r="F3855" s="7" t="str">
        <f aca="false">IFERROR(INDEX(02_轉折點45個!B:B,MATCH(A3855,02_轉折點45個!A:A,0)),"")</f>
        <v/>
      </c>
      <c r="G3855" s="7" t="s">
        <v>1994</v>
      </c>
    </row>
    <row r="3856" customFormat="false" ht="15" hidden="false" customHeight="false" outlineLevel="0" collapsed="false">
      <c r="A3856" s="7" t="s">
        <v>5087</v>
      </c>
      <c r="B3856" s="7" t="n">
        <v>3748.88</v>
      </c>
      <c r="C3856" s="7" t="n">
        <f aca="false">AVERAGE(B3807:B3856)</f>
        <v>3850.4488</v>
      </c>
      <c r="D3856" s="7" t="n">
        <f aca="false">AVERAGE(B3657:B3856)</f>
        <v>3626.9595</v>
      </c>
      <c r="E3856" s="7" t="n">
        <f aca="false">B3856/MAX(B3605:B3856)-1</f>
        <v>-0.0583826469613094</v>
      </c>
      <c r="F3856" s="7" t="str">
        <f aca="false">IFERROR(INDEX(02_轉折點45個!B:B,MATCH(A3856,02_轉折點45個!A:A,0)),"")</f>
        <v/>
      </c>
      <c r="G3856" s="7" t="s">
        <v>1994</v>
      </c>
    </row>
    <row r="3857" customFormat="false" ht="15" hidden="false" customHeight="false" outlineLevel="0" collapsed="false">
      <c r="A3857" s="7" t="s">
        <v>5088</v>
      </c>
      <c r="B3857" s="7" t="n">
        <v>3758.95</v>
      </c>
      <c r="C3857" s="7" t="n">
        <f aca="false">AVERAGE(B3808:B3857)</f>
        <v>3847.558</v>
      </c>
      <c r="D3857" s="7" t="n">
        <f aca="false">AVERAGE(B3658:B3857)</f>
        <v>3629.27575</v>
      </c>
      <c r="E3857" s="7" t="n">
        <f aca="false">B3857/MAX(B3606:B3857)-1</f>
        <v>-0.0558533350747994</v>
      </c>
      <c r="F3857" s="7" t="str">
        <f aca="false">IFERROR(INDEX(02_轉折點45個!B:B,MATCH(A3857,02_轉折點45個!A:A,0)),"")</f>
        <v/>
      </c>
      <c r="G3857" s="7" t="s">
        <v>1994</v>
      </c>
    </row>
    <row r="3858" customFormat="false" ht="15" hidden="false" customHeight="false" outlineLevel="0" collapsed="false">
      <c r="A3858" s="7" t="s">
        <v>5089</v>
      </c>
      <c r="B3858" s="7" t="n">
        <v>3770.73</v>
      </c>
      <c r="C3858" s="7" t="n">
        <f aca="false">AVERAGE(B3809:B3858)</f>
        <v>3845.539</v>
      </c>
      <c r="D3858" s="7" t="n">
        <f aca="false">AVERAGE(B3659:B3858)</f>
        <v>3631.69195</v>
      </c>
      <c r="E3858" s="7" t="n">
        <f aca="false">B3858/MAX(B3607:B3858)-1</f>
        <v>-0.0528945173962405</v>
      </c>
      <c r="F3858" s="7" t="str">
        <f aca="false">IFERROR(INDEX(02_轉折點45個!B:B,MATCH(A3858,02_轉折點45個!A:A,0)),"")</f>
        <v/>
      </c>
      <c r="G3858" s="7" t="s">
        <v>1994</v>
      </c>
    </row>
    <row r="3859" customFormat="false" ht="15" hidden="false" customHeight="false" outlineLevel="0" collapsed="false">
      <c r="A3859" s="7" t="s">
        <v>5090</v>
      </c>
      <c r="B3859" s="7" t="n">
        <v>3767.48</v>
      </c>
      <c r="C3859" s="7" t="n">
        <f aca="false">AVERAGE(B3810:B3859)</f>
        <v>3842.9142</v>
      </c>
      <c r="D3859" s="7" t="n">
        <f aca="false">AVERAGE(B3660:B3859)</f>
        <v>3634.03935</v>
      </c>
      <c r="E3859" s="7" t="n">
        <f aca="false">B3859/MAX(B3608:B3859)-1</f>
        <v>-0.0537108295741111</v>
      </c>
      <c r="F3859" s="7" t="str">
        <f aca="false">IFERROR(INDEX(02_轉折點45個!B:B,MATCH(A3859,02_轉折點45個!A:A,0)),"")</f>
        <v/>
      </c>
      <c r="G3859" s="7" t="s">
        <v>1994</v>
      </c>
    </row>
    <row r="3860" customFormat="false" ht="15" hidden="false" customHeight="false" outlineLevel="0" collapsed="false">
      <c r="A3860" s="7" t="s">
        <v>5091</v>
      </c>
      <c r="B3860" s="7" t="n">
        <v>3780.42</v>
      </c>
      <c r="C3860" s="7" t="n">
        <f aca="false">AVERAGE(B3811:B3860)</f>
        <v>3840.624</v>
      </c>
      <c r="D3860" s="7" t="n">
        <f aca="false">AVERAGE(B3661:B3860)</f>
        <v>3636.4456</v>
      </c>
      <c r="E3860" s="7" t="n">
        <f aca="false">B3860/MAX(B3609:B3860)-1</f>
        <v>-0.0504606512412968</v>
      </c>
      <c r="F3860" s="7" t="str">
        <f aca="false">IFERROR(INDEX(02_轉折點45個!B:B,MATCH(A3860,02_轉折點45個!A:A,0)),"")</f>
        <v/>
      </c>
      <c r="G3860" s="7" t="s">
        <v>1994</v>
      </c>
    </row>
    <row r="3861" customFormat="false" ht="15" hidden="false" customHeight="false" outlineLevel="0" collapsed="false">
      <c r="A3861" s="7" t="s">
        <v>1116</v>
      </c>
      <c r="B3861" s="7" t="n">
        <v>3728.07</v>
      </c>
      <c r="C3861" s="7" t="n">
        <f aca="false">AVERAGE(B3812:B3861)</f>
        <v>3836.7466</v>
      </c>
      <c r="D3861" s="7" t="n">
        <f aca="false">AVERAGE(B3662:B3861)</f>
        <v>3638.69825</v>
      </c>
      <c r="E3861" s="7" t="n">
        <f aca="false">B3861/MAX(B3610:B3861)-1</f>
        <v>-0.0636095566294596</v>
      </c>
      <c r="F3861" s="7" t="str">
        <f aca="false">IFERROR(INDEX(02_轉折點45個!B:B,MATCH(A3861,02_轉折點45個!A:A,0)),"")</f>
        <v/>
      </c>
      <c r="G3861" s="7" t="s">
        <v>1994</v>
      </c>
    </row>
    <row r="3862" customFormat="false" ht="15" hidden="false" customHeight="false" outlineLevel="0" collapsed="false">
      <c r="A3862" s="7" t="s">
        <v>5092</v>
      </c>
      <c r="B3862" s="7" t="n">
        <v>3716.11</v>
      </c>
      <c r="C3862" s="7" t="n">
        <f aca="false">AVERAGE(B3813:B3862)</f>
        <v>3832.7284</v>
      </c>
      <c r="D3862" s="7" t="n">
        <f aca="false">AVERAGE(B3663:B3862)</f>
        <v>3640.8327</v>
      </c>
      <c r="E3862" s="7" t="n">
        <f aca="false">B3862/MAX(B3611:B3862)-1</f>
        <v>-0.0666135854440236</v>
      </c>
      <c r="F3862" s="7" t="str">
        <f aca="false">IFERROR(INDEX(02_轉折點45個!B:B,MATCH(A3862,02_轉折點45個!A:A,0)),"")</f>
        <v/>
      </c>
      <c r="G3862" s="7" t="s">
        <v>1994</v>
      </c>
    </row>
    <row r="3863" customFormat="false" ht="15" hidden="false" customHeight="false" outlineLevel="0" collapsed="false">
      <c r="A3863" s="7" t="s">
        <v>5093</v>
      </c>
      <c r="B3863" s="7" t="n">
        <v>3701.34</v>
      </c>
      <c r="C3863" s="7" t="n">
        <f aca="false">AVERAGE(B3814:B3863)</f>
        <v>3828.333</v>
      </c>
      <c r="D3863" s="7" t="n">
        <f aca="false">AVERAGE(B3664:B3863)</f>
        <v>3642.9898</v>
      </c>
      <c r="E3863" s="7" t="n">
        <f aca="false">B3863/MAX(B3612:B3863)-1</f>
        <v>-0.0703234103262235</v>
      </c>
      <c r="F3863" s="7" t="str">
        <f aca="false">IFERROR(INDEX(02_轉折點45個!B:B,MATCH(A3863,02_轉折點45個!A:A,0)),"")</f>
        <v/>
      </c>
      <c r="G3863" s="7" t="s">
        <v>1994</v>
      </c>
    </row>
    <row r="3864" customFormat="false" ht="15" hidden="false" customHeight="false" outlineLevel="0" collapsed="false">
      <c r="A3864" s="7" t="s">
        <v>5094</v>
      </c>
      <c r="B3864" s="7" t="n">
        <v>3719.95</v>
      </c>
      <c r="C3864" s="7" t="n">
        <f aca="false">AVERAGE(B3815:B3864)</f>
        <v>3823.8188</v>
      </c>
      <c r="D3864" s="7" t="n">
        <f aca="false">AVERAGE(B3665:B3864)</f>
        <v>3645.23845</v>
      </c>
      <c r="E3864" s="7" t="n">
        <f aca="false">B3864/MAX(B3613:B3864)-1</f>
        <v>-0.0656490812092473</v>
      </c>
      <c r="F3864" s="7" t="str">
        <f aca="false">IFERROR(INDEX(02_轉折點45個!B:B,MATCH(A3864,02_轉折點45個!A:A,0)),"")</f>
        <v/>
      </c>
      <c r="G3864" s="7" t="s">
        <v>1994</v>
      </c>
    </row>
    <row r="3865" customFormat="false" ht="15" hidden="false" customHeight="false" outlineLevel="0" collapsed="false">
      <c r="A3865" s="7" t="s">
        <v>1117</v>
      </c>
      <c r="B3865" s="7" t="n">
        <v>3785.72</v>
      </c>
      <c r="C3865" s="7" t="n">
        <f aca="false">AVERAGE(B3816:B3865)</f>
        <v>3820.8176</v>
      </c>
      <c r="D3865" s="7" t="n">
        <f aca="false">AVERAGE(B3666:B3865)</f>
        <v>3647.69905</v>
      </c>
      <c r="E3865" s="7" t="n">
        <f aca="false">B3865/MAX(B3614:B3865)-1</f>
        <v>-0.0491294344589233</v>
      </c>
      <c r="F3865" s="7" t="str">
        <f aca="false">IFERROR(INDEX(02_轉折點45個!B:B,MATCH(A3865,02_轉折點45個!A:A,0)),"")</f>
        <v/>
      </c>
      <c r="G3865" s="7" t="s">
        <v>1994</v>
      </c>
    </row>
    <row r="3866" customFormat="false" ht="15" hidden="false" customHeight="false" outlineLevel="0" collapsed="false">
      <c r="A3866" s="7" t="s">
        <v>5095</v>
      </c>
      <c r="B3866" s="7" t="n">
        <v>3773.21</v>
      </c>
      <c r="C3866" s="7" t="n">
        <f aca="false">AVERAGE(B3817:B3866)</f>
        <v>3818.1294</v>
      </c>
      <c r="D3866" s="7" t="n">
        <f aca="false">AVERAGE(B3667:B3866)</f>
        <v>3650.0607</v>
      </c>
      <c r="E3866" s="7" t="n">
        <f aca="false">B3866/MAX(B3615:B3866)-1</f>
        <v>-0.0522716084112808</v>
      </c>
      <c r="F3866" s="7" t="str">
        <f aca="false">IFERROR(INDEX(02_轉折點45個!B:B,MATCH(A3866,02_轉折點45個!A:A,0)),"")</f>
        <v/>
      </c>
      <c r="G3866" s="7" t="s">
        <v>1994</v>
      </c>
    </row>
    <row r="3867" customFormat="false" ht="15" hidden="false" customHeight="false" outlineLevel="0" collapsed="false">
      <c r="A3867" s="7" t="s">
        <v>5096</v>
      </c>
      <c r="B3867" s="7" t="n">
        <v>3746.22</v>
      </c>
      <c r="C3867" s="7" t="n">
        <f aca="false">AVERAGE(B3818:B3867)</f>
        <v>3813.537</v>
      </c>
      <c r="D3867" s="7" t="n">
        <f aca="false">AVERAGE(B3668:B3867)</f>
        <v>3652.3514</v>
      </c>
      <c r="E3867" s="7" t="n">
        <f aca="false">B3867/MAX(B3616:B3867)-1</f>
        <v>-0.0590507670822743</v>
      </c>
      <c r="F3867" s="7" t="str">
        <f aca="false">IFERROR(INDEX(02_轉折點45個!B:B,MATCH(A3867,02_轉折點45個!A:A,0)),"")</f>
        <v/>
      </c>
      <c r="G3867" s="7" t="s">
        <v>1994</v>
      </c>
    </row>
    <row r="3868" customFormat="false" ht="15" hidden="false" customHeight="false" outlineLevel="0" collapsed="false">
      <c r="A3868" s="7" t="s">
        <v>1118</v>
      </c>
      <c r="B3868" s="7" t="n">
        <v>3717.59</v>
      </c>
      <c r="C3868" s="7" t="n">
        <f aca="false">AVERAGE(B3819:B3868)</f>
        <v>3808.2624</v>
      </c>
      <c r="D3868" s="7" t="n">
        <f aca="false">AVERAGE(B3669:B3868)</f>
        <v>3654.4198</v>
      </c>
      <c r="E3868" s="7" t="n">
        <f aca="false">B3868/MAX(B3617:B3868)-1</f>
        <v>-0.0662418494368702</v>
      </c>
      <c r="F3868" s="7" t="str">
        <f aca="false">IFERROR(INDEX(02_轉折點45個!B:B,MATCH(A3868,02_轉折點45個!A:A,0)),"")</f>
        <v/>
      </c>
      <c r="G3868" s="7" t="s">
        <v>1994</v>
      </c>
    </row>
    <row r="3869" customFormat="false" ht="15" hidden="false" customHeight="false" outlineLevel="0" collapsed="false">
      <c r="A3869" s="7" t="s">
        <v>5097</v>
      </c>
      <c r="B3869" s="7" t="n">
        <v>3737.05</v>
      </c>
      <c r="C3869" s="7" t="n">
        <f aca="false">AVERAGE(B3820:B3869)</f>
        <v>3803.4836</v>
      </c>
      <c r="D3869" s="7" t="n">
        <f aca="false">AVERAGE(B3670:B3869)</f>
        <v>3656.5403</v>
      </c>
      <c r="E3869" s="7" t="n">
        <f aca="false">B3869/MAX(B3618:B3869)-1</f>
        <v>-0.0613540232887585</v>
      </c>
      <c r="F3869" s="7" t="str">
        <f aca="false">IFERROR(INDEX(02_轉折點45個!B:B,MATCH(A3869,02_轉折點45個!A:A,0)),"")</f>
        <v/>
      </c>
      <c r="G3869" s="7" t="s">
        <v>1994</v>
      </c>
    </row>
    <row r="3870" customFormat="false" ht="15" hidden="false" customHeight="false" outlineLevel="0" collapsed="false">
      <c r="A3870" s="7" t="s">
        <v>5098</v>
      </c>
      <c r="B3870" s="7" t="n">
        <v>3769.23</v>
      </c>
      <c r="C3870" s="7" t="n">
        <f aca="false">AVERAGE(B3821:B3870)</f>
        <v>3799.6392</v>
      </c>
      <c r="D3870" s="7" t="n">
        <f aca="false">AVERAGE(B3671:B3870)</f>
        <v>3658.59615</v>
      </c>
      <c r="E3870" s="7" t="n">
        <f aca="false">B3870/MAX(B3619:B3870)-1</f>
        <v>-0.05327127686295</v>
      </c>
      <c r="F3870" s="7" t="str">
        <f aca="false">IFERROR(INDEX(02_轉折點45個!B:B,MATCH(A3870,02_轉折點45個!A:A,0)),"")</f>
        <v/>
      </c>
      <c r="G3870" s="7" t="s">
        <v>1994</v>
      </c>
    </row>
    <row r="3871" customFormat="false" ht="15" hidden="false" customHeight="false" outlineLevel="0" collapsed="false">
      <c r="A3871" s="7" t="s">
        <v>5099</v>
      </c>
      <c r="B3871" s="7" t="n">
        <v>3742.81</v>
      </c>
      <c r="C3871" s="7" t="n">
        <f aca="false">AVERAGE(B3822:B3871)</f>
        <v>3795.2986</v>
      </c>
      <c r="D3871" s="7" t="n">
        <f aca="false">AVERAGE(B3672:B3871)</f>
        <v>3660.45665</v>
      </c>
      <c r="E3871" s="7" t="n">
        <f aca="false">B3871/MAX(B3620:B3871)-1</f>
        <v>-0.059907266936594</v>
      </c>
      <c r="F3871" s="7" t="str">
        <f aca="false">IFERROR(INDEX(02_轉折點45個!B:B,MATCH(A3871,02_轉折點45個!A:A,0)),"")</f>
        <v/>
      </c>
      <c r="G3871" s="7" t="s">
        <v>1994</v>
      </c>
    </row>
    <row r="3872" customFormat="false" ht="15" hidden="false" customHeight="false" outlineLevel="0" collapsed="false">
      <c r="A3872" s="7" t="s">
        <v>5100</v>
      </c>
      <c r="B3872" s="7" t="n">
        <v>3774.46</v>
      </c>
      <c r="C3872" s="7" t="n">
        <f aca="false">AVERAGE(B3823:B3872)</f>
        <v>3792.0892</v>
      </c>
      <c r="D3872" s="7" t="n">
        <f aca="false">AVERAGE(B3673:B3872)</f>
        <v>3662.46005</v>
      </c>
      <c r="E3872" s="7" t="n">
        <f aca="false">B3872/MAX(B3621:B3872)-1</f>
        <v>-0.0519576421890228</v>
      </c>
      <c r="F3872" s="7" t="str">
        <f aca="false">IFERROR(INDEX(02_轉折點45個!B:B,MATCH(A3872,02_轉折點45個!A:A,0)),"")</f>
        <v/>
      </c>
      <c r="G3872" s="7" t="s">
        <v>1994</v>
      </c>
    </row>
    <row r="3873" customFormat="false" ht="15" hidden="false" customHeight="false" outlineLevel="0" collapsed="false">
      <c r="A3873" s="7" t="s">
        <v>1119</v>
      </c>
      <c r="B3873" s="7" t="n">
        <v>3795.29</v>
      </c>
      <c r="C3873" s="7" t="n">
        <f aca="false">AVERAGE(B3824:B3873)</f>
        <v>3789.0014</v>
      </c>
      <c r="D3873" s="7" t="n">
        <f aca="false">AVERAGE(B3674:B3873)</f>
        <v>3664.69175</v>
      </c>
      <c r="E3873" s="7" t="n">
        <f aca="false">B3873/MAX(B3622:B3873)-1</f>
        <v>-0.0467257090613163</v>
      </c>
      <c r="F3873" s="7" t="str">
        <f aca="false">IFERROR(INDEX(02_轉折點45個!B:B,MATCH(A3873,02_轉折點45個!A:A,0)),"")</f>
        <v/>
      </c>
      <c r="G3873" s="7" t="s">
        <v>1994</v>
      </c>
    </row>
    <row r="3874" customFormat="false" ht="15" hidden="false" customHeight="false" outlineLevel="0" collapsed="false">
      <c r="A3874" s="7" t="s">
        <v>5101</v>
      </c>
      <c r="B3874" s="7" t="n">
        <v>3824.04</v>
      </c>
      <c r="C3874" s="7" t="n">
        <f aca="false">AVERAGE(B3825:B3874)</f>
        <v>3787.6382</v>
      </c>
      <c r="D3874" s="7" t="n">
        <f aca="false">AVERAGE(B3675:B3874)</f>
        <v>3667.12095</v>
      </c>
      <c r="E3874" s="7" t="n">
        <f aca="false">B3874/MAX(B3623:B3874)-1</f>
        <v>-0.0395044859493837</v>
      </c>
      <c r="F3874" s="7" t="str">
        <f aca="false">IFERROR(INDEX(02_轉折點45個!B:B,MATCH(A3874,02_轉折點45個!A:A,0)),"")</f>
        <v/>
      </c>
      <c r="G3874" s="7" t="s">
        <v>1994</v>
      </c>
    </row>
    <row r="3875" customFormat="false" ht="15" hidden="false" customHeight="false" outlineLevel="0" collapsed="false">
      <c r="A3875" s="7" t="s">
        <v>1120</v>
      </c>
      <c r="B3875" s="7" t="n">
        <v>3870.87</v>
      </c>
      <c r="C3875" s="7" t="n">
        <f aca="false">AVERAGE(B3826:B3875)</f>
        <v>3787.486</v>
      </c>
      <c r="D3875" s="7" t="n">
        <f aca="false">AVERAGE(B3676:B3875)</f>
        <v>3669.71525</v>
      </c>
      <c r="E3875" s="7" t="n">
        <f aca="false">B3875/MAX(B3624:B3875)-1</f>
        <v>-0.0277420553987121</v>
      </c>
      <c r="F3875" s="7" t="str">
        <f aca="false">IFERROR(INDEX(02_轉折點45個!B:B,MATCH(A3875,02_轉折點45個!A:A,0)),"")</f>
        <v/>
      </c>
      <c r="G3875" s="7" t="s">
        <v>1994</v>
      </c>
    </row>
    <row r="3876" customFormat="false" ht="15" hidden="false" customHeight="false" outlineLevel="0" collapsed="false">
      <c r="A3876" s="7" t="s">
        <v>5102</v>
      </c>
      <c r="B3876" s="7" t="n">
        <v>3859.92</v>
      </c>
      <c r="C3876" s="7" t="n">
        <f aca="false">AVERAGE(B3827:B3876)</f>
        <v>3786.4834</v>
      </c>
      <c r="D3876" s="7" t="n">
        <f aca="false">AVERAGE(B3677:B3876)</f>
        <v>3672.29595</v>
      </c>
      <c r="E3876" s="7" t="n">
        <f aca="false">B3876/MAX(B3625:B3876)-1</f>
        <v>-0.0304923995056916</v>
      </c>
      <c r="F3876" s="7" t="str">
        <f aca="false">IFERROR(INDEX(02_轉折點45個!B:B,MATCH(A3876,02_轉折點45個!A:A,0)),"")</f>
        <v/>
      </c>
      <c r="G3876" s="7" t="s">
        <v>1994</v>
      </c>
    </row>
    <row r="3877" customFormat="false" ht="15" hidden="false" customHeight="false" outlineLevel="0" collapsed="false">
      <c r="A3877" s="7" t="s">
        <v>1121</v>
      </c>
      <c r="B3877" s="7" t="n">
        <v>3880.81</v>
      </c>
      <c r="C3877" s="7" t="n">
        <f aca="false">AVERAGE(B3828:B3877)</f>
        <v>3784.9238</v>
      </c>
      <c r="D3877" s="7" t="n">
        <f aca="false">AVERAGE(B3678:B3877)</f>
        <v>3674.93615</v>
      </c>
      <c r="E3877" s="7" t="n">
        <f aca="false">B3877/MAX(B3626:B3877)-1</f>
        <v>-0.0252453959993169</v>
      </c>
      <c r="F3877" s="7" t="str">
        <f aca="false">IFERROR(INDEX(02_轉折點45個!B:B,MATCH(A3877,02_轉折點45個!A:A,0)),"")</f>
        <v/>
      </c>
      <c r="G3877" s="7" t="s">
        <v>1994</v>
      </c>
    </row>
    <row r="3878" customFormat="false" ht="15" hidden="false" customHeight="false" outlineLevel="0" collapsed="false">
      <c r="A3878" s="7" t="s">
        <v>5103</v>
      </c>
      <c r="B3878" s="7" t="n">
        <v>3875.94</v>
      </c>
      <c r="C3878" s="7" t="n">
        <f aca="false">AVERAGE(B3829:B3878)</f>
        <v>3783.7364</v>
      </c>
      <c r="D3878" s="7" t="n">
        <f aca="false">AVERAGE(B3679:B3878)</f>
        <v>3677.48585</v>
      </c>
      <c r="E3878" s="7" t="n">
        <f aca="false">B3878/MAX(B3627:B3878)-1</f>
        <v>-0.0264686084012338</v>
      </c>
      <c r="F3878" s="7" t="str">
        <f aca="false">IFERROR(INDEX(02_轉折點45個!B:B,MATCH(A3878,02_轉折點45個!A:A,0)),"")</f>
        <v/>
      </c>
      <c r="G3878" s="7" t="s">
        <v>1994</v>
      </c>
    </row>
    <row r="3879" customFormat="false" ht="15" hidden="false" customHeight="false" outlineLevel="0" collapsed="false">
      <c r="A3879" s="7" t="s">
        <v>5104</v>
      </c>
      <c r="B3879" s="7" t="n">
        <v>3870.99</v>
      </c>
      <c r="C3879" s="7" t="n">
        <f aca="false">AVERAGE(B3830:B3879)</f>
        <v>3782.2364</v>
      </c>
      <c r="D3879" s="7" t="n">
        <f aca="false">AVERAGE(B3680:B3879)</f>
        <v>3680.0801</v>
      </c>
      <c r="E3879" s="7" t="n">
        <f aca="false">B3879/MAX(B3628:B3879)-1</f>
        <v>-0.0277119146413753</v>
      </c>
      <c r="F3879" s="7" t="str">
        <f aca="false">IFERROR(INDEX(02_轉折點45個!B:B,MATCH(A3879,02_轉折點45個!A:A,0)),"")</f>
        <v/>
      </c>
      <c r="G3879" s="7" t="s">
        <v>1994</v>
      </c>
    </row>
    <row r="3880" customFormat="false" ht="15" hidden="false" customHeight="false" outlineLevel="0" collapsed="false">
      <c r="A3880" s="7" t="s">
        <v>5105</v>
      </c>
      <c r="B3880" s="7" t="n">
        <v>3868.14</v>
      </c>
      <c r="C3880" s="7" t="n">
        <f aca="false">AVERAGE(B3831:B3880)</f>
        <v>3781.456</v>
      </c>
      <c r="D3880" s="7" t="n">
        <f aca="false">AVERAGE(B3681:B3880)</f>
        <v>3682.94855</v>
      </c>
      <c r="E3880" s="7" t="n">
        <f aca="false">B3880/MAX(B3629:B3880)-1</f>
        <v>-0.0284277576281234</v>
      </c>
      <c r="F3880" s="7" t="str">
        <f aca="false">IFERROR(INDEX(02_轉折點45個!B:B,MATCH(A3880,02_轉折點45個!A:A,0)),"")</f>
        <v/>
      </c>
      <c r="G3880" s="7" t="s">
        <v>1994</v>
      </c>
    </row>
    <row r="3881" customFormat="false" ht="15" hidden="false" customHeight="false" outlineLevel="0" collapsed="false">
      <c r="A3881" s="7" t="s">
        <v>5106</v>
      </c>
      <c r="B3881" s="7" t="n">
        <v>3884.18</v>
      </c>
      <c r="C3881" s="7" t="n">
        <f aca="false">AVERAGE(B3832:B3881)</f>
        <v>3781.9174</v>
      </c>
      <c r="D3881" s="7" t="n">
        <f aca="false">AVERAGE(B3682:B3881)</f>
        <v>3685.91245</v>
      </c>
      <c r="E3881" s="7" t="n">
        <f aca="false">B3881/MAX(B3630:B3881)-1</f>
        <v>-0.0243989430641095</v>
      </c>
      <c r="F3881" s="7" t="str">
        <f aca="false">IFERROR(INDEX(02_轉折點45個!B:B,MATCH(A3881,02_轉折點45個!A:A,0)),"")</f>
        <v/>
      </c>
      <c r="G3881" s="7" t="s">
        <v>1994</v>
      </c>
    </row>
    <row r="3882" customFormat="false" ht="15" hidden="false" customHeight="false" outlineLevel="0" collapsed="false">
      <c r="A3882" s="7" t="s">
        <v>5107</v>
      </c>
      <c r="B3882" s="7" t="n">
        <v>3924.92</v>
      </c>
      <c r="C3882" s="7" t="n">
        <f aca="false">AVERAGE(B3833:B3882)</f>
        <v>3783.0496</v>
      </c>
      <c r="D3882" s="7" t="n">
        <f aca="false">AVERAGE(B3683:B3882)</f>
        <v>3689.1426</v>
      </c>
      <c r="E3882" s="7" t="n">
        <f aca="false">B3882/MAX(B3631:B3882)-1</f>
        <v>-0.0141661559482785</v>
      </c>
      <c r="F3882" s="7" t="str">
        <f aca="false">IFERROR(INDEX(02_轉折點45個!B:B,MATCH(A3882,02_轉折點45個!A:A,0)),"")</f>
        <v/>
      </c>
      <c r="G3882" s="7" t="s">
        <v>1994</v>
      </c>
    </row>
    <row r="3883" customFormat="false" ht="15" hidden="false" customHeight="false" outlineLevel="0" collapsed="false">
      <c r="A3883" s="7" t="s">
        <v>5108</v>
      </c>
      <c r="B3883" s="7" t="n">
        <v>3947.91</v>
      </c>
      <c r="C3883" s="7" t="n">
        <f aca="false">AVERAGE(B3834:B3883)</f>
        <v>3785.7504</v>
      </c>
      <c r="D3883" s="7" t="n">
        <f aca="false">AVERAGE(B3684:B3883)</f>
        <v>3692.37575</v>
      </c>
      <c r="E3883" s="7" t="n">
        <f aca="false">B3883/MAX(B3632:B3883)-1</f>
        <v>-0.00839168918851041</v>
      </c>
      <c r="F3883" s="7" t="str">
        <f aca="false">IFERROR(INDEX(02_轉折點45個!B:B,MATCH(A3883,02_轉折點45個!A:A,0)),"")</f>
        <v/>
      </c>
      <c r="G3883" s="7" t="s">
        <v>1994</v>
      </c>
    </row>
    <row r="3884" customFormat="false" ht="15" hidden="false" customHeight="false" outlineLevel="0" collapsed="false">
      <c r="A3884" s="7" t="s">
        <v>5109</v>
      </c>
      <c r="B3884" s="7" t="n">
        <v>3961.47</v>
      </c>
      <c r="C3884" s="7" t="n">
        <f aca="false">AVERAGE(B3835:B3884)</f>
        <v>3789.1308</v>
      </c>
      <c r="D3884" s="7" t="n">
        <f aca="false">AVERAGE(B3685:B3884)</f>
        <v>3695.73975</v>
      </c>
      <c r="E3884" s="7" t="n">
        <f aca="false">B3884/MAX(B3633:B3884)-1</f>
        <v>-0.00498578360945623</v>
      </c>
      <c r="F3884" s="7" t="str">
        <f aca="false">IFERROR(INDEX(02_轉折點45個!B:B,MATCH(A3884,02_轉折點45個!A:A,0)),"")</f>
        <v/>
      </c>
      <c r="G3884" s="7" t="s">
        <v>1994</v>
      </c>
    </row>
    <row r="3885" customFormat="false" ht="15" hidden="false" customHeight="false" outlineLevel="0" collapsed="false">
      <c r="A3885" s="7" t="s">
        <v>5110</v>
      </c>
      <c r="B3885" s="7" t="n">
        <v>3963.08</v>
      </c>
      <c r="C3885" s="7" t="n">
        <f aca="false">AVERAGE(B3836:B3885)</f>
        <v>3792.4606</v>
      </c>
      <c r="D3885" s="7" t="n">
        <f aca="false">AVERAGE(B3686:B3885)</f>
        <v>3698.934</v>
      </c>
      <c r="E3885" s="7" t="n">
        <f aca="false">B3885/MAX(B3634:B3885)-1</f>
        <v>-0.00458139511518796</v>
      </c>
      <c r="F3885" s="7" t="str">
        <f aca="false">IFERROR(INDEX(02_轉折點45個!B:B,MATCH(A3885,02_轉折點45個!A:A,0)),"")</f>
        <v/>
      </c>
      <c r="G3885" s="7" t="s">
        <v>1994</v>
      </c>
    </row>
    <row r="3886" customFormat="false" ht="15" hidden="false" customHeight="false" outlineLevel="0" collapsed="false">
      <c r="A3886" s="7" t="s">
        <v>5111</v>
      </c>
      <c r="B3886" s="7" t="n">
        <v>3957.53</v>
      </c>
      <c r="C3886" s="7" t="n">
        <f aca="false">AVERAGE(B3837:B3886)</f>
        <v>3794.8896</v>
      </c>
      <c r="D3886" s="7" t="n">
        <f aca="false">AVERAGE(B3687:B3886)</f>
        <v>3702.01335</v>
      </c>
      <c r="E3886" s="7" t="n">
        <f aca="false">B3886/MAX(B3635:B3886)-1</f>
        <v>-0.00597540514201322</v>
      </c>
      <c r="F3886" s="7" t="str">
        <f aca="false">IFERROR(INDEX(02_轉折點45個!B:B,MATCH(A3886,02_轉折點45個!A:A,0)),"")</f>
        <v/>
      </c>
      <c r="G3886" s="7" t="s">
        <v>1994</v>
      </c>
    </row>
    <row r="3887" customFormat="false" ht="15" hidden="false" customHeight="false" outlineLevel="0" collapsed="false">
      <c r="A3887" s="7" t="s">
        <v>5112</v>
      </c>
      <c r="B3887" s="7" t="n">
        <v>3926.2</v>
      </c>
      <c r="C3887" s="7" t="n">
        <f aca="false">AVERAGE(B3838:B3887)</f>
        <v>3795.4304</v>
      </c>
      <c r="D3887" s="7" t="n">
        <f aca="false">AVERAGE(B3688:B3887)</f>
        <v>3704.93705</v>
      </c>
      <c r="E3887" s="7" t="n">
        <f aca="false">B3887/MAX(B3636:B3887)-1</f>
        <v>-0.0138446545366864</v>
      </c>
      <c r="F3887" s="7" t="str">
        <f aca="false">IFERROR(INDEX(02_轉折點45個!B:B,MATCH(A3887,02_轉折點45個!A:A,0)),"")</f>
        <v/>
      </c>
      <c r="G3887" s="7" t="s">
        <v>1994</v>
      </c>
    </row>
    <row r="3888" customFormat="false" ht="15" hidden="false" customHeight="false" outlineLevel="0" collapsed="false">
      <c r="A3888" s="7" t="s">
        <v>5113</v>
      </c>
      <c r="B3888" s="7" t="n">
        <v>3938.09</v>
      </c>
      <c r="C3888" s="7" t="n">
        <f aca="false">AVERAGE(B3839:B3888)</f>
        <v>3796.055</v>
      </c>
      <c r="D3888" s="7" t="n">
        <f aca="false">AVERAGE(B3689:B3888)</f>
        <v>3708.2813</v>
      </c>
      <c r="E3888" s="7" t="n">
        <f aca="false">B3888/MAX(B3637:B3888)-1</f>
        <v>-0.0108582078305688</v>
      </c>
      <c r="F3888" s="7" t="str">
        <f aca="false">IFERROR(INDEX(02_轉折點45個!B:B,MATCH(A3888,02_轉折點45個!A:A,0)),"")</f>
        <v/>
      </c>
      <c r="G3888" s="7" t="s">
        <v>1994</v>
      </c>
    </row>
    <row r="3889" customFormat="false" ht="15" hidden="false" customHeight="false" outlineLevel="0" collapsed="false">
      <c r="A3889" s="7" t="s">
        <v>5114</v>
      </c>
      <c r="B3889" s="7" t="n">
        <v>3947.64</v>
      </c>
      <c r="C3889" s="7" t="n">
        <f aca="false">AVERAGE(B3840:B3889)</f>
        <v>3797.5782</v>
      </c>
      <c r="D3889" s="7" t="n">
        <f aca="false">AVERAGE(B3690:B3889)</f>
        <v>3711.60555</v>
      </c>
      <c r="E3889" s="7" t="n">
        <f aca="false">B3889/MAX(B3638:B3889)-1</f>
        <v>-0.00845950589251809</v>
      </c>
      <c r="F3889" s="7" t="str">
        <f aca="false">IFERROR(INDEX(02_轉折點45個!B:B,MATCH(A3889,02_轉折點45個!A:A,0)),"")</f>
        <v/>
      </c>
      <c r="G3889" s="7" t="s">
        <v>1994</v>
      </c>
    </row>
    <row r="3890" customFormat="false" ht="15" hidden="false" customHeight="false" outlineLevel="0" collapsed="false">
      <c r="A3890" s="7" t="s">
        <v>5115</v>
      </c>
      <c r="B3890" s="7" t="n">
        <v>3962.37</v>
      </c>
      <c r="C3890" s="7" t="n">
        <f aca="false">AVERAGE(B3841:B3890)</f>
        <v>3801.406</v>
      </c>
      <c r="D3890" s="7" t="n">
        <f aca="false">AVERAGE(B3691:B3890)</f>
        <v>3714.88035</v>
      </c>
      <c r="E3890" s="7" t="n">
        <f aca="false">B3890/MAX(B3639:B3890)-1</f>
        <v>-0.00475972792943047</v>
      </c>
      <c r="F3890" s="7" t="str">
        <f aca="false">IFERROR(INDEX(02_轉折點45個!B:B,MATCH(A3890,02_轉折點45個!A:A,0)),"")</f>
        <v/>
      </c>
      <c r="G3890" s="7" t="s">
        <v>1994</v>
      </c>
    </row>
    <row r="3891" customFormat="false" ht="15" hidden="false" customHeight="false" outlineLevel="0" collapsed="false">
      <c r="A3891" s="7" t="s">
        <v>5116</v>
      </c>
      <c r="B3891" s="7" t="n">
        <v>3985.77</v>
      </c>
      <c r="C3891" s="7" t="n">
        <f aca="false">AVERAGE(B3842:B3891)</f>
        <v>3806.5784</v>
      </c>
      <c r="D3891" s="7" t="n">
        <f aca="false">AVERAGE(B3692:B3891)</f>
        <v>3718.41115</v>
      </c>
      <c r="E3891" s="7" t="n">
        <f aca="false">B3891/MAX(B3640:B3891)-1</f>
        <v>0</v>
      </c>
      <c r="F3891" s="7" t="str">
        <f aca="false">IFERROR(INDEX(02_轉折點45個!B:B,MATCH(A3891,02_轉折點45個!A:A,0)),"")</f>
        <v/>
      </c>
      <c r="G3891" s="7" t="s">
        <v>1994</v>
      </c>
    </row>
    <row r="3892" customFormat="false" ht="15" hidden="false" customHeight="false" outlineLevel="0" collapsed="false">
      <c r="A3892" s="7" t="s">
        <v>5117</v>
      </c>
      <c r="B3892" s="7" t="n">
        <v>3982.56</v>
      </c>
      <c r="C3892" s="7" t="n">
        <f aca="false">AVERAGE(B3843:B3892)</f>
        <v>3811.0792</v>
      </c>
      <c r="D3892" s="7" t="n">
        <f aca="false">AVERAGE(B3693:B3892)</f>
        <v>3721.82205</v>
      </c>
      <c r="E3892" s="7" t="n">
        <f aca="false">B3892/MAX(B3641:B3892)-1</f>
        <v>-0.000805365086294474</v>
      </c>
      <c r="F3892" s="7" t="str">
        <f aca="false">IFERROR(INDEX(02_轉折點45個!B:B,MATCH(A3892,02_轉折點45個!A:A,0)),"")</f>
        <v/>
      </c>
      <c r="G3892" s="7" t="s">
        <v>1994</v>
      </c>
    </row>
    <row r="3893" customFormat="false" ht="15" hidden="false" customHeight="false" outlineLevel="0" collapsed="false">
      <c r="A3893" s="7" t="s">
        <v>5118</v>
      </c>
      <c r="B3893" s="7" t="n">
        <v>3990.52</v>
      </c>
      <c r="C3893" s="7" t="n">
        <f aca="false">AVERAGE(B3844:B3893)</f>
        <v>3814.4436</v>
      </c>
      <c r="D3893" s="7" t="n">
        <f aca="false">AVERAGE(B3694:B3893)</f>
        <v>3725.10635</v>
      </c>
      <c r="E3893" s="7" t="n">
        <f aca="false">B3893/MAX(B3642:B3893)-1</f>
        <v>0</v>
      </c>
      <c r="F3893" s="7" t="str">
        <f aca="false">IFERROR(INDEX(02_轉折點45個!B:B,MATCH(A3893,02_轉折點45個!A:A,0)),"")</f>
        <v/>
      </c>
      <c r="G3893" s="7" t="s">
        <v>1994</v>
      </c>
    </row>
    <row r="3894" customFormat="false" ht="15" hidden="false" customHeight="false" outlineLevel="0" collapsed="false">
      <c r="A3894" s="7" t="s">
        <v>5119</v>
      </c>
      <c r="B3894" s="7" t="n">
        <v>3991.11</v>
      </c>
      <c r="C3894" s="7" t="n">
        <f aca="false">AVERAGE(B3845:B3894)</f>
        <v>3820.1914</v>
      </c>
      <c r="D3894" s="7" t="n">
        <f aca="false">AVERAGE(B3695:B3894)</f>
        <v>3728.3491</v>
      </c>
      <c r="E3894" s="7" t="n">
        <f aca="false">B3894/MAX(B3643:B3894)-1</f>
        <v>0</v>
      </c>
      <c r="F3894" s="7" t="str">
        <f aca="false">IFERROR(INDEX(02_轉折點45個!B:B,MATCH(A3894,02_轉折點45個!A:A,0)),"")</f>
        <v/>
      </c>
      <c r="G3894" s="7" t="s">
        <v>1994</v>
      </c>
    </row>
    <row r="3895" customFormat="false" ht="15" hidden="false" customHeight="false" outlineLevel="0" collapsed="false">
      <c r="A3895" s="7" t="s">
        <v>5120</v>
      </c>
      <c r="B3895" s="7" t="n">
        <v>3974.36</v>
      </c>
      <c r="C3895" s="7" t="n">
        <f aca="false">AVERAGE(B3846:B3895)</f>
        <v>3826.5978</v>
      </c>
      <c r="D3895" s="7" t="n">
        <f aca="false">AVERAGE(B3696:B3895)</f>
        <v>3731.5025</v>
      </c>
      <c r="E3895" s="7" t="n">
        <f aca="false">B3895/MAX(B3644:B3895)-1</f>
        <v>-0.0041968274490054</v>
      </c>
      <c r="F3895" s="7" t="str">
        <f aca="false">IFERROR(INDEX(02_轉折點45個!B:B,MATCH(A3895,02_轉折點45個!A:A,0)),"")</f>
        <v/>
      </c>
      <c r="G3895" s="7" t="s">
        <v>1994</v>
      </c>
    </row>
    <row r="3896" customFormat="false" ht="15" hidden="false" customHeight="false" outlineLevel="0" collapsed="false">
      <c r="A3896" s="7" t="s">
        <v>1122</v>
      </c>
      <c r="B3896" s="7" t="n">
        <v>4001.23</v>
      </c>
      <c r="C3896" s="7" t="n">
        <f aca="false">AVERAGE(B3847:B3896)</f>
        <v>3833.122</v>
      </c>
      <c r="D3896" s="7" t="n">
        <f aca="false">AVERAGE(B3697:B3896)</f>
        <v>3734.57935</v>
      </c>
      <c r="E3896" s="7" t="n">
        <f aca="false">B3896/MAX(B3645:B3896)-1</f>
        <v>0</v>
      </c>
      <c r="F3896" s="7" t="str">
        <f aca="false">IFERROR(INDEX(02_轉折點45個!B:B,MATCH(A3896,02_轉折點45個!A:A,0)),"")</f>
        <v/>
      </c>
      <c r="G3896" s="7" t="s">
        <v>1994</v>
      </c>
    </row>
    <row r="3897" customFormat="false" ht="15" hidden="false" customHeight="false" outlineLevel="0" collapsed="false">
      <c r="A3897" s="7" t="s">
        <v>5121</v>
      </c>
      <c r="B3897" s="7" t="n">
        <v>4000.58</v>
      </c>
      <c r="C3897" s="7" t="n">
        <f aca="false">AVERAGE(B3848:B3897)</f>
        <v>3839.4236</v>
      </c>
      <c r="D3897" s="7" t="n">
        <f aca="false">AVERAGE(B3698:B3897)</f>
        <v>3737.5486</v>
      </c>
      <c r="E3897" s="7" t="n">
        <f aca="false">B3897/MAX(B3646:B3897)-1</f>
        <v>-0.00016245004661064</v>
      </c>
      <c r="F3897" s="7" t="str">
        <f aca="false">IFERROR(INDEX(02_轉折點45個!B:B,MATCH(A3897,02_轉折點45個!A:A,0)),"")</f>
        <v/>
      </c>
      <c r="G3897" s="7" t="s">
        <v>1994</v>
      </c>
    </row>
    <row r="3898" customFormat="false" ht="15" hidden="false" customHeight="false" outlineLevel="0" collapsed="false">
      <c r="A3898" s="7" t="s">
        <v>5122</v>
      </c>
      <c r="B3898" s="7" t="n">
        <v>4017.83</v>
      </c>
      <c r="C3898" s="7" t="n">
        <f aca="false">AVERAGE(B3849:B3898)</f>
        <v>3845.1188</v>
      </c>
      <c r="D3898" s="7" t="n">
        <f aca="false">AVERAGE(B3699:B3898)</f>
        <v>3740.6224</v>
      </c>
      <c r="E3898" s="7" t="n">
        <f aca="false">B3898/MAX(B3647:B3898)-1</f>
        <v>0</v>
      </c>
      <c r="F3898" s="7" t="str">
        <f aca="false">IFERROR(INDEX(02_轉折點45個!B:B,MATCH(A3898,02_轉折點45個!A:A,0)),"")</f>
        <v/>
      </c>
      <c r="G3898" s="7" t="s">
        <v>1994</v>
      </c>
    </row>
    <row r="3899" customFormat="false" ht="15" hidden="false" customHeight="false" outlineLevel="0" collapsed="false">
      <c r="A3899" s="7" t="s">
        <v>5123</v>
      </c>
      <c r="B3899" s="7" t="n">
        <v>4027.19</v>
      </c>
      <c r="C3899" s="7" t="n">
        <f aca="false">AVERAGE(B3850:B3899)</f>
        <v>3850.8316</v>
      </c>
      <c r="D3899" s="7" t="n">
        <f aca="false">AVERAGE(B3700:B3899)</f>
        <v>3743.7843</v>
      </c>
      <c r="E3899" s="7" t="n">
        <f aca="false">B3899/MAX(B3648:B3899)-1</f>
        <v>0</v>
      </c>
      <c r="F3899" s="7" t="str">
        <f aca="false">IFERROR(INDEX(02_轉折點45個!B:B,MATCH(A3899,02_轉折點45個!A:A,0)),"")</f>
        <v/>
      </c>
      <c r="G3899" s="7" t="s">
        <v>1994</v>
      </c>
    </row>
    <row r="3900" customFormat="false" ht="15" hidden="false" customHeight="false" outlineLevel="0" collapsed="false">
      <c r="A3900" s="7" t="s">
        <v>5124</v>
      </c>
      <c r="B3900" s="7" t="n">
        <v>4073.3</v>
      </c>
      <c r="C3900" s="7" t="n">
        <f aca="false">AVERAGE(B3851:B3900)</f>
        <v>3856.9908</v>
      </c>
      <c r="D3900" s="7" t="n">
        <f aca="false">AVERAGE(B3701:B3900)</f>
        <v>3747.1484</v>
      </c>
      <c r="E3900" s="7" t="n">
        <f aca="false">B3900/MAX(B3649:B3900)-1</f>
        <v>0</v>
      </c>
      <c r="F3900" s="7" t="str">
        <f aca="false">IFERROR(INDEX(02_轉折點45個!B:B,MATCH(A3900,02_轉折點45個!A:A,0)),"")</f>
        <v/>
      </c>
      <c r="G3900" s="7" t="s">
        <v>1994</v>
      </c>
    </row>
    <row r="3901" customFormat="false" ht="15" hidden="false" customHeight="false" outlineLevel="0" collapsed="false">
      <c r="A3901" s="7" t="s">
        <v>5125</v>
      </c>
      <c r="B3901" s="7" t="n">
        <v>4072.46</v>
      </c>
      <c r="C3901" s="7" t="n">
        <f aca="false">AVERAGE(B3852:B3901)</f>
        <v>3862.404</v>
      </c>
      <c r="D3901" s="7" t="n">
        <f aca="false">AVERAGE(B3702:B3901)</f>
        <v>3750.52805</v>
      </c>
      <c r="E3901" s="7" t="n">
        <f aca="false">B3901/MAX(B3650:B3901)-1</f>
        <v>-0.000206221000171869</v>
      </c>
      <c r="F3901" s="7" t="str">
        <f aca="false">IFERROR(INDEX(02_轉折點45個!B:B,MATCH(A3901,02_轉折點45個!A:A,0)),"")</f>
        <v/>
      </c>
      <c r="G3901" s="7" t="s">
        <v>1994</v>
      </c>
    </row>
    <row r="3902" customFormat="false" ht="15" hidden="false" customHeight="false" outlineLevel="0" collapsed="false">
      <c r="A3902" s="7" t="s">
        <v>1123</v>
      </c>
      <c r="B3902" s="7" t="n">
        <v>4098.22</v>
      </c>
      <c r="C3902" s="7" t="n">
        <f aca="false">AVERAGE(B3853:B3902)</f>
        <v>3868.9626</v>
      </c>
      <c r="D3902" s="7" t="n">
        <f aca="false">AVERAGE(B3703:B3902)</f>
        <v>3753.9093</v>
      </c>
      <c r="E3902" s="7" t="n">
        <f aca="false">B3902/MAX(B3651:B3902)-1</f>
        <v>0</v>
      </c>
      <c r="F3902" s="7" t="str">
        <f aca="false">IFERROR(INDEX(02_轉折點45個!B:B,MATCH(A3902,02_轉折點45個!A:A,0)),"")</f>
        <v/>
      </c>
      <c r="G3902" s="7" t="s">
        <v>1994</v>
      </c>
    </row>
    <row r="3903" customFormat="false" ht="15" hidden="false" customHeight="false" outlineLevel="0" collapsed="false">
      <c r="A3903" s="7" t="s">
        <v>5126</v>
      </c>
      <c r="B3903" s="7" t="n">
        <v>4066.8</v>
      </c>
      <c r="C3903" s="7" t="n">
        <f aca="false">AVERAGE(B3854:B3903)</f>
        <v>3874.5024</v>
      </c>
      <c r="D3903" s="7" t="n">
        <f aca="false">AVERAGE(B3704:B3903)</f>
        <v>3756.96015</v>
      </c>
      <c r="E3903" s="7" t="n">
        <f aca="false">B3903/MAX(B3652:B3903)-1</f>
        <v>-0.00766674312262394</v>
      </c>
      <c r="F3903" s="7" t="str">
        <f aca="false">IFERROR(INDEX(02_轉折點45個!B:B,MATCH(A3903,02_轉折點45個!A:A,0)),"")</f>
        <v/>
      </c>
      <c r="G3903" s="7" t="s">
        <v>1994</v>
      </c>
    </row>
    <row r="3904" customFormat="false" ht="15" hidden="false" customHeight="false" outlineLevel="0" collapsed="false">
      <c r="A3904" s="7" t="s">
        <v>1124</v>
      </c>
      <c r="B3904" s="7" t="n">
        <v>4011.92</v>
      </c>
      <c r="C3904" s="7" t="n">
        <f aca="false">AVERAGE(B3855:B3904)</f>
        <v>3880.2744</v>
      </c>
      <c r="D3904" s="7" t="n">
        <f aca="false">AVERAGE(B3705:B3904)</f>
        <v>3759.7104</v>
      </c>
      <c r="E3904" s="7" t="n">
        <f aca="false">B3904/MAX(B3653:B3904)-1</f>
        <v>-0.0210579227079074</v>
      </c>
      <c r="F3904" s="7" t="str">
        <f aca="false">IFERROR(INDEX(02_轉折點45個!B:B,MATCH(A3904,02_轉折點45個!A:A,0)),"")</f>
        <v/>
      </c>
      <c r="G3904" s="7" t="s">
        <v>1994</v>
      </c>
    </row>
    <row r="3905" customFormat="false" ht="15" hidden="false" customHeight="false" outlineLevel="0" collapsed="false">
      <c r="A3905" s="7" t="s">
        <v>5127</v>
      </c>
      <c r="B3905" s="7" t="n">
        <v>4037.1</v>
      </c>
      <c r="C3905" s="7" t="n">
        <f aca="false">AVERAGE(B3856:B3905)</f>
        <v>3886.5712</v>
      </c>
      <c r="D3905" s="7" t="n">
        <f aca="false">AVERAGE(B3706:B3905)</f>
        <v>3762.65345</v>
      </c>
      <c r="E3905" s="7" t="n">
        <f aca="false">B3905/MAX(B3654:B3905)-1</f>
        <v>-0.0149137918413361</v>
      </c>
      <c r="F3905" s="7" t="str">
        <f aca="false">IFERROR(INDEX(02_轉折點45個!B:B,MATCH(A3905,02_轉折點45個!A:A,0)),"")</f>
        <v/>
      </c>
      <c r="G3905" s="7" t="s">
        <v>1994</v>
      </c>
    </row>
    <row r="3906" customFormat="false" ht="15" hidden="false" customHeight="false" outlineLevel="0" collapsed="false">
      <c r="A3906" s="7" t="s">
        <v>5128</v>
      </c>
      <c r="B3906" s="7" t="n">
        <v>4016.25</v>
      </c>
      <c r="C3906" s="7" t="n">
        <f aca="false">AVERAGE(B3857:B3906)</f>
        <v>3891.9186</v>
      </c>
      <c r="D3906" s="7" t="n">
        <f aca="false">AVERAGE(B3707:B3906)</f>
        <v>3765.53535</v>
      </c>
      <c r="E3906" s="7" t="n">
        <f aca="false">B3906/MAX(B3655:B3906)-1</f>
        <v>-0.0200013664468965</v>
      </c>
      <c r="F3906" s="7" t="str">
        <f aca="false">IFERROR(INDEX(02_轉折點45個!B:B,MATCH(A3906,02_轉折點45個!A:A,0)),"")</f>
        <v/>
      </c>
      <c r="G3906" s="7" t="s">
        <v>1994</v>
      </c>
    </row>
    <row r="3907" customFormat="false" ht="15" hidden="false" customHeight="false" outlineLevel="0" collapsed="false">
      <c r="A3907" s="7" t="s">
        <v>1125</v>
      </c>
      <c r="B3907" s="7" t="n">
        <v>4033.87</v>
      </c>
      <c r="C3907" s="7" t="n">
        <f aca="false">AVERAGE(B3858:B3907)</f>
        <v>3897.417</v>
      </c>
      <c r="D3907" s="7" t="n">
        <f aca="false">AVERAGE(B3708:B3907)</f>
        <v>3768.49185</v>
      </c>
      <c r="E3907" s="7" t="n">
        <f aca="false">B3907/MAX(B3656:B3907)-1</f>
        <v>-0.0157019388905428</v>
      </c>
      <c r="F3907" s="7" t="str">
        <f aca="false">IFERROR(INDEX(02_轉折點45個!B:B,MATCH(A3907,02_轉折點45個!A:A,0)),"")</f>
        <v/>
      </c>
      <c r="G3907" s="7" t="s">
        <v>1994</v>
      </c>
    </row>
    <row r="3908" customFormat="false" ht="15" hidden="false" customHeight="false" outlineLevel="0" collapsed="false">
      <c r="A3908" s="7" t="s">
        <v>5129</v>
      </c>
      <c r="B3908" s="7" t="n">
        <v>4056.65</v>
      </c>
      <c r="C3908" s="7" t="n">
        <f aca="false">AVERAGE(B3859:B3908)</f>
        <v>3903.1354</v>
      </c>
      <c r="D3908" s="7" t="n">
        <f aca="false">AVERAGE(B3709:B3908)</f>
        <v>3771.5949</v>
      </c>
      <c r="E3908" s="7" t="n">
        <f aca="false">B3908/MAX(B3657:B3908)-1</f>
        <v>-0.0101434281224532</v>
      </c>
      <c r="F3908" s="7" t="str">
        <f aca="false">IFERROR(INDEX(02_轉折點45個!B:B,MATCH(A3908,02_轉折點45個!A:A,0)),"")</f>
        <v/>
      </c>
      <c r="G3908" s="7" t="s">
        <v>1994</v>
      </c>
    </row>
    <row r="3909" customFormat="false" ht="15" hidden="false" customHeight="false" outlineLevel="0" collapsed="false">
      <c r="A3909" s="7" t="s">
        <v>5130</v>
      </c>
      <c r="B3909" s="7" t="n">
        <v>4034.69</v>
      </c>
      <c r="C3909" s="7" t="n">
        <f aca="false">AVERAGE(B3860:B3909)</f>
        <v>3908.4796</v>
      </c>
      <c r="D3909" s="7" t="n">
        <f aca="false">AVERAGE(B3710:B3909)</f>
        <v>3774.4679</v>
      </c>
      <c r="E3909" s="7" t="n">
        <f aca="false">B3909/MAX(B3658:B3909)-1</f>
        <v>-0.0155018520235615</v>
      </c>
      <c r="F3909" s="7" t="str">
        <f aca="false">IFERROR(INDEX(02_轉折點45個!B:B,MATCH(A3909,02_轉折點45個!A:A,0)),"")</f>
        <v/>
      </c>
      <c r="G3909" s="7" t="s">
        <v>1994</v>
      </c>
    </row>
    <row r="3910" customFormat="false" ht="15" hidden="false" customHeight="false" outlineLevel="0" collapsed="false">
      <c r="A3910" s="7" t="s">
        <v>5131</v>
      </c>
      <c r="B3910" s="7" t="n">
        <v>4043.45</v>
      </c>
      <c r="C3910" s="7" t="n">
        <f aca="false">AVERAGE(B3861:B3910)</f>
        <v>3913.7402</v>
      </c>
      <c r="D3910" s="7" t="n">
        <f aca="false">AVERAGE(B3711:B3910)</f>
        <v>3777.41135</v>
      </c>
      <c r="E3910" s="7" t="n">
        <f aca="false">B3910/MAX(B3659:B3910)-1</f>
        <v>-0.013364338664103</v>
      </c>
      <c r="F3910" s="7" t="str">
        <f aca="false">IFERROR(INDEX(02_轉折點45個!B:B,MATCH(A3910,02_轉折點45個!A:A,0)),"")</f>
        <v/>
      </c>
      <c r="G3910" s="7" t="s">
        <v>1994</v>
      </c>
    </row>
    <row r="3911" customFormat="false" ht="15" hidden="false" customHeight="false" outlineLevel="0" collapsed="false">
      <c r="A3911" s="7" t="s">
        <v>5132</v>
      </c>
      <c r="B3911" s="7" t="n">
        <v>3986.33</v>
      </c>
      <c r="C3911" s="7" t="n">
        <f aca="false">AVERAGE(B3862:B3911)</f>
        <v>3918.9054</v>
      </c>
      <c r="D3911" s="7" t="n">
        <f aca="false">AVERAGE(B3712:B3911)</f>
        <v>3780.1154</v>
      </c>
      <c r="E3911" s="7" t="n">
        <f aca="false">B3911/MAX(B3660:B3911)-1</f>
        <v>-0.0273020970079694</v>
      </c>
      <c r="F3911" s="7" t="str">
        <f aca="false">IFERROR(INDEX(02_轉折點45個!B:B,MATCH(A3911,02_轉折點45個!A:A,0)),"")</f>
        <v/>
      </c>
      <c r="G3911" s="7" t="s">
        <v>1994</v>
      </c>
    </row>
    <row r="3912" customFormat="false" ht="15" hidden="false" customHeight="false" outlineLevel="0" collapsed="false">
      <c r="A3912" s="7" t="s">
        <v>5133</v>
      </c>
      <c r="B3912" s="7" t="n">
        <v>4049.09</v>
      </c>
      <c r="C3912" s="7" t="n">
        <f aca="false">AVERAGE(B3863:B3912)</f>
        <v>3925.565</v>
      </c>
      <c r="D3912" s="7" t="n">
        <f aca="false">AVERAGE(B3713:B3912)</f>
        <v>3782.92085</v>
      </c>
      <c r="E3912" s="7" t="n">
        <f aca="false">B3912/MAX(B3661:B3912)-1</f>
        <v>-0.0119881314326707</v>
      </c>
      <c r="F3912" s="7" t="str">
        <f aca="false">IFERROR(INDEX(02_轉折點45個!B:B,MATCH(A3912,02_轉折點45個!A:A,0)),"")</f>
        <v/>
      </c>
      <c r="G3912" s="7" t="s">
        <v>1994</v>
      </c>
    </row>
    <row r="3913" customFormat="false" ht="15" hidden="false" customHeight="false" outlineLevel="0" collapsed="false">
      <c r="A3913" s="7" t="s">
        <v>5134</v>
      </c>
      <c r="B3913" s="7" t="n">
        <v>4042.28</v>
      </c>
      <c r="C3913" s="7" t="n">
        <f aca="false">AVERAGE(B3864:B3913)</f>
        <v>3932.3838</v>
      </c>
      <c r="D3913" s="7" t="n">
        <f aca="false">AVERAGE(B3714:B3913)</f>
        <v>3785.70575</v>
      </c>
      <c r="E3913" s="7" t="n">
        <f aca="false">B3913/MAX(B3662:B3913)-1</f>
        <v>-0.0136498284621128</v>
      </c>
      <c r="F3913" s="7" t="str">
        <f aca="false">IFERROR(INDEX(02_轉折點45個!B:B,MATCH(A3913,02_轉折點45個!A:A,0)),"")</f>
        <v/>
      </c>
      <c r="G3913" s="7" t="s">
        <v>1994</v>
      </c>
    </row>
    <row r="3914" customFormat="false" ht="15" hidden="false" customHeight="false" outlineLevel="0" collapsed="false">
      <c r="A3914" s="7" t="s">
        <v>5135</v>
      </c>
      <c r="B3914" s="7" t="n">
        <v>4070.9</v>
      </c>
      <c r="C3914" s="7" t="n">
        <f aca="false">AVERAGE(B3865:B3914)</f>
        <v>3939.4028</v>
      </c>
      <c r="D3914" s="7" t="n">
        <f aca="false">AVERAGE(B3715:B3914)</f>
        <v>3788.8196</v>
      </c>
      <c r="E3914" s="7" t="n">
        <f aca="false">B3914/MAX(B3663:B3914)-1</f>
        <v>-0.00666630878771768</v>
      </c>
      <c r="F3914" s="7" t="str">
        <f aca="false">IFERROR(INDEX(02_轉折點45個!B:B,MATCH(A3914,02_轉折點45個!A:A,0)),"")</f>
        <v/>
      </c>
      <c r="G3914" s="7" t="s">
        <v>1994</v>
      </c>
    </row>
    <row r="3915" customFormat="false" ht="15" hidden="false" customHeight="false" outlineLevel="0" collapsed="false">
      <c r="A3915" s="7" t="s">
        <v>5136</v>
      </c>
      <c r="B3915" s="7" t="n">
        <v>4087.05</v>
      </c>
      <c r="C3915" s="7" t="n">
        <f aca="false">AVERAGE(B3866:B3915)</f>
        <v>3945.4294</v>
      </c>
      <c r="D3915" s="7" t="n">
        <f aca="false">AVERAGE(B3716:B3915)</f>
        <v>3791.86155</v>
      </c>
      <c r="E3915" s="7" t="n">
        <f aca="false">B3915/MAX(B3664:B3915)-1</f>
        <v>-0.00272557354168401</v>
      </c>
      <c r="F3915" s="7" t="str">
        <f aca="false">IFERROR(INDEX(02_轉折點45個!B:B,MATCH(A3915,02_轉折點45個!A:A,0)),"")</f>
        <v/>
      </c>
      <c r="G3915" s="7" t="s">
        <v>1994</v>
      </c>
    </row>
    <row r="3916" customFormat="false" ht="15" hidden="false" customHeight="false" outlineLevel="0" collapsed="false">
      <c r="A3916" s="7" t="s">
        <v>5137</v>
      </c>
      <c r="B3916" s="7" t="n">
        <v>4085.6</v>
      </c>
      <c r="C3916" s="7" t="n">
        <f aca="false">AVERAGE(B3867:B3916)</f>
        <v>3951.6772</v>
      </c>
      <c r="D3916" s="7" t="n">
        <f aca="false">AVERAGE(B3717:B3916)</f>
        <v>3795.06695</v>
      </c>
      <c r="E3916" s="7" t="n">
        <f aca="false">B3916/MAX(B3665:B3916)-1</f>
        <v>-0.00307938568451682</v>
      </c>
      <c r="F3916" s="7" t="str">
        <f aca="false">IFERROR(INDEX(02_轉折點45個!B:B,MATCH(A3916,02_轉折點45個!A:A,0)),"")</f>
        <v/>
      </c>
      <c r="G3916" s="7" t="s">
        <v>1994</v>
      </c>
    </row>
    <row r="3917" customFormat="false" ht="15" hidden="false" customHeight="false" outlineLevel="0" collapsed="false">
      <c r="A3917" s="7" t="s">
        <v>5138</v>
      </c>
      <c r="B3917" s="7" t="n">
        <v>4065</v>
      </c>
      <c r="C3917" s="7" t="n">
        <f aca="false">AVERAGE(B3868:B3917)</f>
        <v>3958.0528</v>
      </c>
      <c r="D3917" s="7" t="n">
        <f aca="false">AVERAGE(B3718:B3917)</f>
        <v>3798.51445</v>
      </c>
      <c r="E3917" s="7" t="n">
        <f aca="false">B3917/MAX(B3666:B3917)-1</f>
        <v>-0.00810595819648541</v>
      </c>
      <c r="F3917" s="7" t="str">
        <f aca="false">IFERROR(INDEX(02_轉折點45個!B:B,MATCH(A3917,02_轉折點45個!A:A,0)),"")</f>
        <v/>
      </c>
      <c r="G3917" s="7" t="s">
        <v>1994</v>
      </c>
    </row>
    <row r="3918" customFormat="false" ht="15" hidden="false" customHeight="false" outlineLevel="0" collapsed="false">
      <c r="A3918" s="7" t="s">
        <v>5139</v>
      </c>
      <c r="B3918" s="7" t="n">
        <v>4060.75</v>
      </c>
      <c r="C3918" s="7" t="n">
        <f aca="false">AVERAGE(B3869:B3918)</f>
        <v>3964.916</v>
      </c>
      <c r="D3918" s="7" t="n">
        <f aca="false">AVERAGE(B3719:B3918)</f>
        <v>3802.0186</v>
      </c>
      <c r="E3918" s="7" t="n">
        <f aca="false">B3918/MAX(B3667:B3918)-1</f>
        <v>-0.00914299378754691</v>
      </c>
      <c r="F3918" s="7" t="str">
        <f aca="false">IFERROR(INDEX(02_轉折點45個!B:B,MATCH(A3918,02_轉折點45個!A:A,0)),"")</f>
        <v/>
      </c>
      <c r="G3918" s="7" t="s">
        <v>1994</v>
      </c>
    </row>
    <row r="3919" customFormat="false" ht="15" hidden="false" customHeight="false" outlineLevel="0" collapsed="false">
      <c r="A3919" s="7" t="s">
        <v>5140</v>
      </c>
      <c r="B3919" s="7" t="n">
        <v>4058.73</v>
      </c>
      <c r="C3919" s="7" t="n">
        <f aca="false">AVERAGE(B3870:B3919)</f>
        <v>3971.3496</v>
      </c>
      <c r="D3919" s="7" t="n">
        <f aca="false">AVERAGE(B3720:B3919)</f>
        <v>3805.13365</v>
      </c>
      <c r="E3919" s="7" t="n">
        <f aca="false">B3919/MAX(B3668:B3919)-1</f>
        <v>-0.00963589070376902</v>
      </c>
      <c r="F3919" s="7" t="str">
        <f aca="false">IFERROR(INDEX(02_轉折點45個!B:B,MATCH(A3919,02_轉折點45個!A:A,0)),"")</f>
        <v/>
      </c>
      <c r="G3919" s="7" t="s">
        <v>1994</v>
      </c>
    </row>
    <row r="3920" customFormat="false" ht="15" hidden="false" customHeight="false" outlineLevel="0" collapsed="false">
      <c r="A3920" s="7" t="s">
        <v>1126</v>
      </c>
      <c r="B3920" s="7" t="n">
        <v>4077.18</v>
      </c>
      <c r="C3920" s="7" t="n">
        <f aca="false">AVERAGE(B3871:B3920)</f>
        <v>3977.5086</v>
      </c>
      <c r="D3920" s="7" t="n">
        <f aca="false">AVERAGE(B3721:B3920)</f>
        <v>3808.1988</v>
      </c>
      <c r="E3920" s="7" t="n">
        <f aca="false">B3920/MAX(B3669:B3920)-1</f>
        <v>-0.00513393619669034</v>
      </c>
      <c r="F3920" s="7" t="str">
        <f aca="false">IFERROR(INDEX(02_轉折點45個!B:B,MATCH(A3920,02_轉折點45個!A:A,0)),"")</f>
        <v/>
      </c>
      <c r="G3920" s="7" t="s">
        <v>1994</v>
      </c>
    </row>
    <row r="3921" customFormat="false" ht="15" hidden="false" customHeight="false" outlineLevel="0" collapsed="false">
      <c r="A3921" s="7" t="s">
        <v>1127</v>
      </c>
      <c r="B3921" s="7" t="n">
        <v>3992.1</v>
      </c>
      <c r="C3921" s="7" t="n">
        <f aca="false">AVERAGE(B3872:B3921)</f>
        <v>3982.4944</v>
      </c>
      <c r="D3921" s="7" t="n">
        <f aca="false">AVERAGE(B3722:B3921)</f>
        <v>3810.7316</v>
      </c>
      <c r="E3921" s="7" t="n">
        <f aca="false">B3921/MAX(B3670:B3921)-1</f>
        <v>-0.0258941686878694</v>
      </c>
      <c r="F3921" s="7" t="str">
        <f aca="false">IFERROR(INDEX(02_轉折點45個!B:B,MATCH(A3921,02_轉折點45個!A:A,0)),"")</f>
        <v/>
      </c>
      <c r="G3921" s="7" t="s">
        <v>1994</v>
      </c>
    </row>
    <row r="3922" customFormat="false" ht="15" hidden="false" customHeight="false" outlineLevel="0" collapsed="false">
      <c r="A3922" s="7" t="s">
        <v>1128</v>
      </c>
      <c r="B3922" s="7" t="n">
        <v>3976.45</v>
      </c>
      <c r="C3922" s="7" t="n">
        <f aca="false">AVERAGE(B3873:B3922)</f>
        <v>3986.5342</v>
      </c>
      <c r="D3922" s="7" t="n">
        <f aca="false">AVERAGE(B3723:B3922)</f>
        <v>3813.28335</v>
      </c>
      <c r="E3922" s="7" t="n">
        <f aca="false">B3922/MAX(B3671:B3922)-1</f>
        <v>-0.0297128997467194</v>
      </c>
      <c r="F3922" s="7" t="str">
        <f aca="false">IFERROR(INDEX(02_轉折點45個!B:B,MATCH(A3922,02_轉折點45個!A:A,0)),"")</f>
        <v/>
      </c>
      <c r="G3922" s="7" t="s">
        <v>1994</v>
      </c>
    </row>
    <row r="3923" customFormat="false" ht="15" hidden="false" customHeight="false" outlineLevel="0" collapsed="false">
      <c r="A3923" s="7" t="s">
        <v>5141</v>
      </c>
      <c r="B3923" s="7" t="n">
        <v>4005</v>
      </c>
      <c r="C3923" s="7" t="n">
        <f aca="false">AVERAGE(B3874:B3923)</f>
        <v>3990.7284</v>
      </c>
      <c r="D3923" s="7" t="n">
        <f aca="false">AVERAGE(B3724:B3923)</f>
        <v>3815.77035</v>
      </c>
      <c r="E3923" s="7" t="n">
        <f aca="false">B3923/MAX(B3672:B3923)-1</f>
        <v>-0.0227464606585298</v>
      </c>
      <c r="F3923" s="7" t="str">
        <f aca="false">IFERROR(INDEX(02_轉折點45個!B:B,MATCH(A3923,02_轉折點45個!A:A,0)),"")</f>
        <v/>
      </c>
      <c r="G3923" s="7" t="s">
        <v>1994</v>
      </c>
    </row>
    <row r="3924" customFormat="false" ht="15" hidden="false" customHeight="false" outlineLevel="0" collapsed="false">
      <c r="A3924" s="7" t="s">
        <v>5142</v>
      </c>
      <c r="B3924" s="7" t="n">
        <v>3976.64</v>
      </c>
      <c r="C3924" s="7" t="n">
        <f aca="false">AVERAGE(B3875:B3924)</f>
        <v>3993.7804</v>
      </c>
      <c r="D3924" s="7" t="n">
        <f aca="false">AVERAGE(B3725:B3924)</f>
        <v>3818.0072</v>
      </c>
      <c r="E3924" s="7" t="n">
        <f aca="false">B3924/MAX(B3673:B3924)-1</f>
        <v>-0.0296665381555896</v>
      </c>
      <c r="F3924" s="7" t="str">
        <f aca="false">IFERROR(INDEX(02_轉折點45個!B:B,MATCH(A3924,02_轉折點45個!A:A,0)),"")</f>
        <v/>
      </c>
      <c r="G3924" s="7" t="s">
        <v>1994</v>
      </c>
    </row>
    <row r="3925" customFormat="false" ht="15" hidden="false" customHeight="false" outlineLevel="0" collapsed="false">
      <c r="A3925" s="7" t="s">
        <v>5143</v>
      </c>
      <c r="B3925" s="7" t="n">
        <v>3978.65</v>
      </c>
      <c r="C3925" s="7" t="n">
        <f aca="false">AVERAGE(B3876:B3925)</f>
        <v>3995.936</v>
      </c>
      <c r="D3925" s="7" t="n">
        <f aca="false">AVERAGE(B3726:B3925)</f>
        <v>3820.02055</v>
      </c>
      <c r="E3925" s="7" t="n">
        <f aca="false">B3925/MAX(B3674:B3925)-1</f>
        <v>-0.029176081323111</v>
      </c>
      <c r="F3925" s="7" t="str">
        <f aca="false">IFERROR(INDEX(02_轉折點45個!B:B,MATCH(A3925,02_轉折點45個!A:A,0)),"")</f>
        <v/>
      </c>
      <c r="G3925" s="7" t="s">
        <v>1994</v>
      </c>
    </row>
    <row r="3926" customFormat="false" ht="15" hidden="false" customHeight="false" outlineLevel="0" collapsed="false">
      <c r="A3926" s="7" t="s">
        <v>1129</v>
      </c>
      <c r="B3926" s="7" t="n">
        <v>3960.31</v>
      </c>
      <c r="C3926" s="7" t="n">
        <f aca="false">AVERAGE(B3877:B3926)</f>
        <v>3997.9438</v>
      </c>
      <c r="D3926" s="7" t="n">
        <f aca="false">AVERAGE(B3727:B3926)</f>
        <v>3821.91585</v>
      </c>
      <c r="E3926" s="7" t="n">
        <f aca="false">B3926/MAX(B3675:B3926)-1</f>
        <v>-0.0336511949090094</v>
      </c>
      <c r="F3926" s="7" t="str">
        <f aca="false">IFERROR(INDEX(02_轉折點45個!B:B,MATCH(A3926,02_轉折點45個!A:A,0)),"")</f>
        <v/>
      </c>
      <c r="G3926" s="7" t="s">
        <v>1994</v>
      </c>
    </row>
    <row r="3927" customFormat="false" ht="15" hidden="false" customHeight="false" outlineLevel="0" collapsed="false">
      <c r="A3927" s="7" t="s">
        <v>5144</v>
      </c>
      <c r="B3927" s="7" t="n">
        <v>3993.13</v>
      </c>
      <c r="C3927" s="7" t="n">
        <f aca="false">AVERAGE(B3878:B3927)</f>
        <v>4000.1902</v>
      </c>
      <c r="D3927" s="7" t="n">
        <f aca="false">AVERAGE(B3728:B3927)</f>
        <v>3823.93175</v>
      </c>
      <c r="E3927" s="7" t="n">
        <f aca="false">B3927/MAX(B3676:B3927)-1</f>
        <v>-0.025642840062271</v>
      </c>
      <c r="F3927" s="7" t="str">
        <f aca="false">IFERROR(INDEX(02_轉折點45個!B:B,MATCH(A3927,02_轉折點45個!A:A,0)),"")</f>
        <v/>
      </c>
      <c r="G3927" s="7" t="s">
        <v>1994</v>
      </c>
    </row>
    <row r="3928" customFormat="false" ht="15" hidden="false" customHeight="false" outlineLevel="0" collapsed="false">
      <c r="A3928" s="7" t="s">
        <v>5145</v>
      </c>
      <c r="B3928" s="7" t="n">
        <v>4020.93</v>
      </c>
      <c r="C3928" s="7" t="n">
        <f aca="false">AVERAGE(B3879:B3928)</f>
        <v>4003.09</v>
      </c>
      <c r="D3928" s="7" t="n">
        <f aca="false">AVERAGE(B3729:B3928)</f>
        <v>3826.18945</v>
      </c>
      <c r="E3928" s="7" t="n">
        <f aca="false">B3928/MAX(B3677:B3928)-1</f>
        <v>-0.0188594072548571</v>
      </c>
      <c r="F3928" s="7" t="str">
        <f aca="false">IFERROR(INDEX(02_轉折點45個!B:B,MATCH(A3928,02_轉折點45個!A:A,0)),"")</f>
        <v/>
      </c>
      <c r="G3928" s="7" t="s">
        <v>1994</v>
      </c>
    </row>
    <row r="3929" customFormat="false" ht="15" hidden="false" customHeight="false" outlineLevel="0" collapsed="false">
      <c r="A3929" s="7" t="s">
        <v>5146</v>
      </c>
      <c r="B3929" s="7" t="n">
        <v>4009.9</v>
      </c>
      <c r="C3929" s="7" t="n">
        <f aca="false">AVERAGE(B3880:B3929)</f>
        <v>4005.8682</v>
      </c>
      <c r="D3929" s="7" t="n">
        <f aca="false">AVERAGE(B3730:B3929)</f>
        <v>3828.292</v>
      </c>
      <c r="E3929" s="7" t="n">
        <f aca="false">B3929/MAX(B3678:B3929)-1</f>
        <v>-0.0215508196241295</v>
      </c>
      <c r="F3929" s="7" t="str">
        <f aca="false">IFERROR(INDEX(02_轉折點45個!B:B,MATCH(A3929,02_轉折點45個!A:A,0)),"")</f>
        <v/>
      </c>
      <c r="G3929" s="7" t="s">
        <v>1994</v>
      </c>
    </row>
    <row r="3930" customFormat="false" ht="15" hidden="false" customHeight="false" outlineLevel="0" collapsed="false">
      <c r="A3930" s="7" t="s">
        <v>5147</v>
      </c>
      <c r="B3930" s="7" t="n">
        <v>4050.9</v>
      </c>
      <c r="C3930" s="7" t="n">
        <f aca="false">AVERAGE(B3881:B3930)</f>
        <v>4009.5234</v>
      </c>
      <c r="D3930" s="7" t="n">
        <f aca="false">AVERAGE(B3731:B3930)</f>
        <v>3830.53375</v>
      </c>
      <c r="E3930" s="7" t="n">
        <f aca="false">B3930/MAX(B3679:B3930)-1</f>
        <v>-0.0115464762750658</v>
      </c>
      <c r="F3930" s="7" t="str">
        <f aca="false">IFERROR(INDEX(02_轉折點45個!B:B,MATCH(A3930,02_轉折點45個!A:A,0)),"")</f>
        <v/>
      </c>
      <c r="G3930" s="7" t="s">
        <v>1994</v>
      </c>
    </row>
    <row r="3931" customFormat="false" ht="15" hidden="false" customHeight="false" outlineLevel="0" collapsed="false">
      <c r="A3931" s="7" t="s">
        <v>5148</v>
      </c>
      <c r="B3931" s="7" t="n">
        <v>4068.14</v>
      </c>
      <c r="C3931" s="7" t="n">
        <f aca="false">AVERAGE(B3882:B3931)</f>
        <v>4013.2026</v>
      </c>
      <c r="D3931" s="7" t="n">
        <f aca="false">AVERAGE(B3732:B3931)</f>
        <v>3832.8765</v>
      </c>
      <c r="E3931" s="7" t="n">
        <f aca="false">B3931/MAX(B3680:B3931)-1</f>
        <v>-0.00733977190097168</v>
      </c>
      <c r="F3931" s="7" t="str">
        <f aca="false">IFERROR(INDEX(02_轉折點45個!B:B,MATCH(A3931,02_轉折點45個!A:A,0)),"")</f>
        <v/>
      </c>
      <c r="G3931" s="7" t="s">
        <v>1994</v>
      </c>
    </row>
    <row r="3932" customFormat="false" ht="15" hidden="false" customHeight="false" outlineLevel="0" collapsed="false">
      <c r="A3932" s="7" t="s">
        <v>5149</v>
      </c>
      <c r="B3932" s="7" t="n">
        <v>4079.04</v>
      </c>
      <c r="C3932" s="7" t="n">
        <f aca="false">AVERAGE(B3883:B3932)</f>
        <v>4016.285</v>
      </c>
      <c r="D3932" s="7" t="n">
        <f aca="false">AVERAGE(B3733:B3932)</f>
        <v>3835.21795</v>
      </c>
      <c r="E3932" s="7" t="n">
        <f aca="false">B3932/MAX(B3681:B3932)-1</f>
        <v>-0.00468008062036696</v>
      </c>
      <c r="F3932" s="7" t="str">
        <f aca="false">IFERROR(INDEX(02_轉折點45個!B:B,MATCH(A3932,02_轉折點45個!A:A,0)),"")</f>
        <v/>
      </c>
      <c r="G3932" s="7" t="s">
        <v>1994</v>
      </c>
    </row>
    <row r="3933" customFormat="false" ht="15" hidden="false" customHeight="false" outlineLevel="0" collapsed="false">
      <c r="A3933" s="7" t="s">
        <v>1130</v>
      </c>
      <c r="B3933" s="7" t="n">
        <v>4118.67</v>
      </c>
      <c r="C3933" s="7" t="n">
        <f aca="false">AVERAGE(B3884:B3933)</f>
        <v>4019.7002</v>
      </c>
      <c r="D3933" s="7" t="n">
        <f aca="false">AVERAGE(B3734:B3933)</f>
        <v>3837.85675</v>
      </c>
      <c r="E3933" s="7" t="n">
        <f aca="false">B3933/MAX(B3682:B3933)-1</f>
        <v>0</v>
      </c>
      <c r="F3933" s="7" t="str">
        <f aca="false">IFERROR(INDEX(02_轉折點45個!B:B,MATCH(A3933,02_轉折點45個!A:A,0)),"")</f>
        <v/>
      </c>
      <c r="G3933" s="7" t="s">
        <v>1994</v>
      </c>
    </row>
    <row r="3934" customFormat="false" ht="15" hidden="false" customHeight="false" outlineLevel="0" collapsed="false">
      <c r="A3934" s="7" t="s">
        <v>1131</v>
      </c>
      <c r="B3934" s="7" t="n">
        <v>4136.21</v>
      </c>
      <c r="C3934" s="7" t="n">
        <f aca="false">AVERAGE(B3885:B3934)</f>
        <v>4023.195</v>
      </c>
      <c r="D3934" s="7" t="n">
        <f aca="false">AVERAGE(B3735:B3934)</f>
        <v>3840.6331</v>
      </c>
      <c r="E3934" s="7" t="n">
        <f aca="false">B3934/MAX(B3683:B3934)-1</f>
        <v>0</v>
      </c>
      <c r="F3934" s="7" t="str">
        <f aca="false">IFERROR(INDEX(02_轉折點45個!B:B,MATCH(A3934,02_轉折點45個!A:A,0)),"")</f>
        <v/>
      </c>
      <c r="G3934" s="7" t="s">
        <v>1994</v>
      </c>
    </row>
    <row r="3935" customFormat="false" ht="15" hidden="false" customHeight="false" outlineLevel="0" collapsed="false">
      <c r="A3935" s="7" t="s">
        <v>5150</v>
      </c>
      <c r="B3935" s="7" t="n">
        <v>4135.27</v>
      </c>
      <c r="C3935" s="7" t="n">
        <f aca="false">AVERAGE(B3886:B3935)</f>
        <v>4026.6388</v>
      </c>
      <c r="D3935" s="7" t="n">
        <f aca="false">AVERAGE(B3736:B3935)</f>
        <v>3843.3941</v>
      </c>
      <c r="E3935" s="7" t="n">
        <f aca="false">B3935/MAX(B3684:B3935)-1</f>
        <v>-0.000227261188382455</v>
      </c>
      <c r="F3935" s="7" t="str">
        <f aca="false">IFERROR(INDEX(02_轉折點45個!B:B,MATCH(A3935,02_轉折點45個!A:A,0)),"")</f>
        <v/>
      </c>
      <c r="G3935" s="7" t="s">
        <v>1994</v>
      </c>
    </row>
    <row r="3936" customFormat="false" ht="15" hidden="false" customHeight="false" outlineLevel="0" collapsed="false">
      <c r="A3936" s="7" t="s">
        <v>1132</v>
      </c>
      <c r="B3936" s="7" t="n">
        <v>4140.4</v>
      </c>
      <c r="C3936" s="7" t="n">
        <f aca="false">AVERAGE(B3887:B3936)</f>
        <v>4030.2962</v>
      </c>
      <c r="D3936" s="7" t="n">
        <f aca="false">AVERAGE(B3737:B3936)</f>
        <v>3846.1143</v>
      </c>
      <c r="E3936" s="7" t="n">
        <f aca="false">B3936/MAX(B3685:B3936)-1</f>
        <v>0</v>
      </c>
      <c r="F3936" s="7" t="str">
        <f aca="false">IFERROR(INDEX(02_轉折點45個!B:B,MATCH(A3936,02_轉折點45個!A:A,0)),"")</f>
        <v/>
      </c>
      <c r="G3936" s="7" t="s">
        <v>1994</v>
      </c>
    </row>
    <row r="3937" customFormat="false" ht="15" hidden="false" customHeight="false" outlineLevel="0" collapsed="false">
      <c r="A3937" s="7" t="s">
        <v>1133</v>
      </c>
      <c r="B3937" s="7" t="n">
        <v>4146.29</v>
      </c>
      <c r="C3937" s="7" t="n">
        <f aca="false">AVERAGE(B3888:B3937)</f>
        <v>4034.698</v>
      </c>
      <c r="D3937" s="7" t="n">
        <f aca="false">AVERAGE(B3738:B3937)</f>
        <v>3848.849</v>
      </c>
      <c r="E3937" s="7" t="n">
        <f aca="false">B3937/MAX(B3686:B3937)-1</f>
        <v>0</v>
      </c>
      <c r="F3937" s="7" t="str">
        <f aca="false">IFERROR(INDEX(02_轉折點45個!B:B,MATCH(A3937,02_轉折點45個!A:A,0)),"")</f>
        <v/>
      </c>
      <c r="G3937" s="7" t="s">
        <v>1994</v>
      </c>
    </row>
    <row r="3938" customFormat="false" ht="15" hidden="false" customHeight="false" outlineLevel="0" collapsed="false">
      <c r="A3938" s="7" t="s">
        <v>1134</v>
      </c>
      <c r="B3938" s="7" t="n">
        <v>4163.47</v>
      </c>
      <c r="C3938" s="7" t="n">
        <f aca="false">AVERAGE(B3889:B3938)</f>
        <v>4039.2056</v>
      </c>
      <c r="D3938" s="7" t="n">
        <f aca="false">AVERAGE(B3739:B3938)</f>
        <v>3851.70575</v>
      </c>
      <c r="E3938" s="7" t="n">
        <f aca="false">B3938/MAX(B3687:B3938)-1</f>
        <v>0</v>
      </c>
      <c r="F3938" s="7" t="str">
        <f aca="false">IFERROR(INDEX(02_轉折點45個!B:B,MATCH(A3938,02_轉折點45個!A:A,0)),"")</f>
        <v/>
      </c>
      <c r="G3938" s="7" t="s">
        <v>1994</v>
      </c>
    </row>
    <row r="3939" customFormat="false" ht="15" hidden="false" customHeight="false" outlineLevel="0" collapsed="false">
      <c r="A3939" s="7" t="s">
        <v>1135</v>
      </c>
      <c r="B3939" s="7" t="n">
        <v>4175.61</v>
      </c>
      <c r="C3939" s="7" t="n">
        <f aca="false">AVERAGE(B3890:B3939)</f>
        <v>4043.765</v>
      </c>
      <c r="D3939" s="7" t="n">
        <f aca="false">AVERAGE(B3740:B3939)</f>
        <v>3854.96405</v>
      </c>
      <c r="E3939" s="7" t="n">
        <f aca="false">B3939/MAX(B3688:B3939)-1</f>
        <v>0</v>
      </c>
      <c r="F3939" s="7" t="str">
        <f aca="false">IFERROR(INDEX(02_轉折點45個!B:B,MATCH(A3939,02_轉折點45個!A:A,0)),"")</f>
        <v/>
      </c>
      <c r="G3939" s="7" t="s">
        <v>1994</v>
      </c>
    </row>
    <row r="3940" customFormat="false" ht="15" hidden="false" customHeight="false" outlineLevel="0" collapsed="false">
      <c r="A3940" s="7" t="s">
        <v>5151</v>
      </c>
      <c r="B3940" s="7" t="n">
        <v>4174.68</v>
      </c>
      <c r="C3940" s="7" t="n">
        <f aca="false">AVERAGE(B3891:B3940)</f>
        <v>4048.0112</v>
      </c>
      <c r="D3940" s="7" t="n">
        <f aca="false">AVERAGE(B3741:B3940)</f>
        <v>3857.93495</v>
      </c>
      <c r="E3940" s="7" t="n">
        <f aca="false">B3940/MAX(B3689:B3940)-1</f>
        <v>-0.000222721949607263</v>
      </c>
      <c r="F3940" s="7" t="str">
        <f aca="false">IFERROR(INDEX(02_轉折點45個!B:B,MATCH(A3940,02_轉折點45個!A:A,0)),"")</f>
        <v/>
      </c>
      <c r="G3940" s="7" t="s">
        <v>1994</v>
      </c>
    </row>
    <row r="3941" customFormat="false" ht="15" hidden="false" customHeight="false" outlineLevel="0" collapsed="false">
      <c r="A3941" s="7" t="s">
        <v>5152</v>
      </c>
      <c r="B3941" s="7" t="n">
        <v>4163.79</v>
      </c>
      <c r="C3941" s="7" t="n">
        <f aca="false">AVERAGE(B3892:B3941)</f>
        <v>4051.5716</v>
      </c>
      <c r="D3941" s="7" t="n">
        <f aca="false">AVERAGE(B3742:B3941)</f>
        <v>3860.84885</v>
      </c>
      <c r="E3941" s="7" t="n">
        <f aca="false">B3941/MAX(B3690:B3941)-1</f>
        <v>-0.00283072413371932</v>
      </c>
      <c r="F3941" s="7" t="str">
        <f aca="false">IFERROR(INDEX(02_轉折點45個!B:B,MATCH(A3941,02_轉折點45個!A:A,0)),"")</f>
        <v/>
      </c>
      <c r="G3941" s="7" t="s">
        <v>1994</v>
      </c>
    </row>
    <row r="3942" customFormat="false" ht="15" hidden="false" customHeight="false" outlineLevel="0" collapsed="false">
      <c r="A3942" s="7" t="s">
        <v>1136</v>
      </c>
      <c r="B3942" s="7" t="n">
        <v>4184.41</v>
      </c>
      <c r="C3942" s="7" t="n">
        <f aca="false">AVERAGE(B3893:B3942)</f>
        <v>4055.6086</v>
      </c>
      <c r="D3942" s="7" t="n">
        <f aca="false">AVERAGE(B3743:B3942)</f>
        <v>3863.86525</v>
      </c>
      <c r="E3942" s="7" t="n">
        <f aca="false">B3942/MAX(B3691:B3942)-1</f>
        <v>0</v>
      </c>
      <c r="F3942" s="7" t="str">
        <f aca="false">IFERROR(INDEX(02_轉折點45個!B:B,MATCH(A3942,02_轉折點45個!A:A,0)),"")</f>
        <v/>
      </c>
      <c r="G3942" s="7" t="s">
        <v>1994</v>
      </c>
    </row>
    <row r="3943" customFormat="false" ht="15" hidden="false" customHeight="false" outlineLevel="0" collapsed="false">
      <c r="A3943" s="7" t="s">
        <v>5153</v>
      </c>
      <c r="B3943" s="7" t="n">
        <v>4200.78</v>
      </c>
      <c r="C3943" s="7" t="n">
        <f aca="false">AVERAGE(B3894:B3943)</f>
        <v>4059.8138</v>
      </c>
      <c r="D3943" s="7" t="n">
        <f aca="false">AVERAGE(B3744:B3943)</f>
        <v>3866.7549</v>
      </c>
      <c r="E3943" s="7" t="n">
        <f aca="false">B3943/MAX(B3692:B3943)-1</f>
        <v>0</v>
      </c>
      <c r="F3943" s="7" t="str">
        <f aca="false">IFERROR(INDEX(02_轉折點45個!B:B,MATCH(A3943,02_轉折點45個!A:A,0)),"")</f>
        <v/>
      </c>
      <c r="G3943" s="7" t="s">
        <v>1994</v>
      </c>
    </row>
    <row r="3944" customFormat="false" ht="15" hidden="false" customHeight="false" outlineLevel="0" collapsed="false">
      <c r="A3944" s="7" t="s">
        <v>5154</v>
      </c>
      <c r="B3944" s="7" t="n">
        <v>4177.37</v>
      </c>
      <c r="C3944" s="7" t="n">
        <f aca="false">AVERAGE(B3895:B3944)</f>
        <v>4063.539</v>
      </c>
      <c r="D3944" s="7" t="n">
        <f aca="false">AVERAGE(B3745:B3944)</f>
        <v>3869.4948</v>
      </c>
      <c r="E3944" s="7" t="n">
        <f aca="false">B3944/MAX(B3693:B3944)-1</f>
        <v>-0.00557277457995897</v>
      </c>
      <c r="F3944" s="7" t="str">
        <f aca="false">IFERROR(INDEX(02_轉折點45個!B:B,MATCH(A3944,02_轉折點45個!A:A,0)),"")</f>
        <v/>
      </c>
      <c r="G3944" s="7" t="s">
        <v>1994</v>
      </c>
    </row>
    <row r="3945" customFormat="false" ht="15" hidden="false" customHeight="false" outlineLevel="0" collapsed="false">
      <c r="A3945" s="7" t="s">
        <v>5155</v>
      </c>
      <c r="B3945" s="7" t="n">
        <v>4167.98</v>
      </c>
      <c r="C3945" s="7" t="n">
        <f aca="false">AVERAGE(B3896:B3945)</f>
        <v>4067.4114</v>
      </c>
      <c r="D3945" s="7" t="n">
        <f aca="false">AVERAGE(B3746:B3945)</f>
        <v>3872.12735</v>
      </c>
      <c r="E3945" s="7" t="n">
        <f aca="false">B3945/MAX(B3694:B3945)-1</f>
        <v>-0.00780807373868664</v>
      </c>
      <c r="F3945" s="7" t="str">
        <f aca="false">IFERROR(INDEX(02_轉折點45個!B:B,MATCH(A3945,02_轉折點45個!A:A,0)),"")</f>
        <v/>
      </c>
      <c r="G3945" s="7" t="s">
        <v>1994</v>
      </c>
    </row>
    <row r="3946" customFormat="false" ht="15" hidden="false" customHeight="false" outlineLevel="0" collapsed="false">
      <c r="A3946" s="7" t="s">
        <v>5156</v>
      </c>
      <c r="B3946" s="7" t="n">
        <v>4186.81</v>
      </c>
      <c r="C3946" s="7" t="n">
        <f aca="false">AVERAGE(B3897:B3946)</f>
        <v>4071.123</v>
      </c>
      <c r="D3946" s="7" t="n">
        <f aca="false">AVERAGE(B3747:B3946)</f>
        <v>3875.0226</v>
      </c>
      <c r="E3946" s="7" t="n">
        <f aca="false">B3946/MAX(B3695:B3946)-1</f>
        <v>-0.00332557286980018</v>
      </c>
      <c r="F3946" s="7" t="str">
        <f aca="false">IFERROR(INDEX(02_轉折點45個!B:B,MATCH(A3946,02_轉折點45個!A:A,0)),"")</f>
        <v/>
      </c>
      <c r="G3946" s="7" t="s">
        <v>1994</v>
      </c>
    </row>
    <row r="3947" customFormat="false" ht="15" hidden="false" customHeight="false" outlineLevel="0" collapsed="false">
      <c r="A3947" s="7" t="s">
        <v>5157</v>
      </c>
      <c r="B3947" s="7" t="n">
        <v>4195.39</v>
      </c>
      <c r="C3947" s="7" t="n">
        <f aca="false">AVERAGE(B3898:B3947)</f>
        <v>4075.0192</v>
      </c>
      <c r="D3947" s="7" t="n">
        <f aca="false">AVERAGE(B3748:B3947)</f>
        <v>3878.04075</v>
      </c>
      <c r="E3947" s="7" t="n">
        <f aca="false">B3947/MAX(B3696:B3947)-1</f>
        <v>-0.0012830950442535</v>
      </c>
      <c r="F3947" s="7" t="str">
        <f aca="false">IFERROR(INDEX(02_轉折點45個!B:B,MATCH(A3947,02_轉折點45個!A:A,0)),"")</f>
        <v/>
      </c>
      <c r="G3947" s="7" t="s">
        <v>1994</v>
      </c>
    </row>
    <row r="3948" customFormat="false" ht="15" hidden="false" customHeight="false" outlineLevel="0" collapsed="false">
      <c r="A3948" s="7" t="s">
        <v>1137</v>
      </c>
      <c r="B3948" s="7" t="n">
        <v>4158.85</v>
      </c>
      <c r="C3948" s="7" t="n">
        <f aca="false">AVERAGE(B3899:B3948)</f>
        <v>4077.8396</v>
      </c>
      <c r="D3948" s="7" t="n">
        <f aca="false">AVERAGE(B3749:B3948)</f>
        <v>3880.9232</v>
      </c>
      <c r="E3948" s="7" t="n">
        <f aca="false">B3948/MAX(B3697:B3948)-1</f>
        <v>-0.00998147962997331</v>
      </c>
      <c r="F3948" s="7" t="str">
        <f aca="false">IFERROR(INDEX(02_轉折點45個!B:B,MATCH(A3948,02_轉折點45個!A:A,0)),"")</f>
        <v/>
      </c>
      <c r="G3948" s="7" t="s">
        <v>1994</v>
      </c>
    </row>
    <row r="3949" customFormat="false" ht="15" hidden="false" customHeight="false" outlineLevel="0" collapsed="false">
      <c r="A3949" s="7" t="s">
        <v>5158</v>
      </c>
      <c r="B3949" s="7" t="n">
        <v>4190.12</v>
      </c>
      <c r="C3949" s="7" t="n">
        <f aca="false">AVERAGE(B3900:B3949)</f>
        <v>4081.0982</v>
      </c>
      <c r="D3949" s="7" t="n">
        <f aca="false">AVERAGE(B3750:B3949)</f>
        <v>3883.7432</v>
      </c>
      <c r="E3949" s="7" t="n">
        <f aca="false">B3949/MAX(B3698:B3949)-1</f>
        <v>-0.00253762396507307</v>
      </c>
      <c r="F3949" s="7" t="str">
        <f aca="false">IFERROR(INDEX(02_轉折點45個!B:B,MATCH(A3949,02_轉折點45個!A:A,0)),"")</f>
        <v/>
      </c>
      <c r="G3949" s="7" t="s">
        <v>1994</v>
      </c>
    </row>
    <row r="3950" customFormat="false" ht="15" hidden="false" customHeight="false" outlineLevel="0" collapsed="false">
      <c r="A3950" s="7" t="s">
        <v>5159</v>
      </c>
      <c r="B3950" s="7" t="n">
        <v>4194.95</v>
      </c>
      <c r="C3950" s="7" t="n">
        <f aca="false">AVERAGE(B3901:B3950)</f>
        <v>4083.5312</v>
      </c>
      <c r="D3950" s="7" t="n">
        <f aca="false">AVERAGE(B3751:B3950)</f>
        <v>3886.48465</v>
      </c>
      <c r="E3950" s="7" t="n">
        <f aca="false">B3950/MAX(B3699:B3950)-1</f>
        <v>-0.00138783749684579</v>
      </c>
      <c r="F3950" s="7" t="str">
        <f aca="false">IFERROR(INDEX(02_轉折點45個!B:B,MATCH(A3950,02_轉折點45個!A:A,0)),"")</f>
        <v/>
      </c>
      <c r="G3950" s="7" t="s">
        <v>1994</v>
      </c>
    </row>
    <row r="3951" customFormat="false" ht="15" hidden="false" customHeight="false" outlineLevel="0" collapsed="false">
      <c r="A3951" s="7" t="s">
        <v>1138</v>
      </c>
      <c r="B3951" s="7" t="n">
        <v>4172.83</v>
      </c>
      <c r="C3951" s="7" t="n">
        <f aca="false">AVERAGE(B3902:B3951)</f>
        <v>4085.5386</v>
      </c>
      <c r="D3951" s="7" t="n">
        <f aca="false">AVERAGE(B3752:B3951)</f>
        <v>3889.10215</v>
      </c>
      <c r="E3951" s="7" t="n">
        <f aca="false">B3951/MAX(B3700:B3951)-1</f>
        <v>-0.00665352624988691</v>
      </c>
      <c r="F3951" s="7" t="str">
        <f aca="false">IFERROR(INDEX(02_轉折點45個!B:B,MATCH(A3951,02_轉折點45個!A:A,0)),"")</f>
        <v/>
      </c>
      <c r="G3951" s="7" t="s">
        <v>1994</v>
      </c>
    </row>
    <row r="3952" customFormat="false" ht="15" hidden="false" customHeight="false" outlineLevel="0" collapsed="false">
      <c r="A3952" s="7" t="s">
        <v>1139</v>
      </c>
      <c r="B3952" s="7" t="n">
        <v>4128.34</v>
      </c>
      <c r="C3952" s="7" t="n">
        <f aca="false">AVERAGE(B3903:B3952)</f>
        <v>4086.141</v>
      </c>
      <c r="D3952" s="7" t="n">
        <f aca="false">AVERAGE(B3753:B3952)</f>
        <v>3891.3913</v>
      </c>
      <c r="E3952" s="7" t="n">
        <f aca="false">B3952/MAX(B3701:B3952)-1</f>
        <v>-0.0172444165131237</v>
      </c>
      <c r="F3952" s="7" t="str">
        <f aca="false">IFERROR(INDEX(02_轉折點45個!B:B,MATCH(A3952,02_轉折點45個!A:A,0)),"")</f>
        <v/>
      </c>
      <c r="G3952" s="7" t="s">
        <v>1994</v>
      </c>
    </row>
    <row r="3953" customFormat="false" ht="15" hidden="false" customHeight="false" outlineLevel="0" collapsed="false">
      <c r="A3953" s="7" t="s">
        <v>5160</v>
      </c>
      <c r="B3953" s="7" t="n">
        <v>4159.28</v>
      </c>
      <c r="C3953" s="7" t="n">
        <f aca="false">AVERAGE(B3904:B3953)</f>
        <v>4087.9906</v>
      </c>
      <c r="D3953" s="7" t="n">
        <f aca="false">AVERAGE(B3754:B3953)</f>
        <v>3893.71185</v>
      </c>
      <c r="E3953" s="7" t="n">
        <f aca="false">B3953/MAX(B3702:B3953)-1</f>
        <v>-0.00987911768766758</v>
      </c>
      <c r="F3953" s="7" t="str">
        <f aca="false">IFERROR(INDEX(02_轉折點45個!B:B,MATCH(A3953,02_轉折點45個!A:A,0)),"")</f>
        <v/>
      </c>
      <c r="G3953" s="7" t="s">
        <v>1994</v>
      </c>
    </row>
    <row r="3954" customFormat="false" ht="15" hidden="false" customHeight="false" outlineLevel="0" collapsed="false">
      <c r="A3954" s="7" t="s">
        <v>5161</v>
      </c>
      <c r="B3954" s="7" t="n">
        <v>4167.89</v>
      </c>
      <c r="C3954" s="7" t="n">
        <f aca="false">AVERAGE(B3905:B3954)</f>
        <v>4091.11</v>
      </c>
      <c r="D3954" s="7" t="n">
        <f aca="false">AVERAGE(B3755:B3954)</f>
        <v>3896.0063</v>
      </c>
      <c r="E3954" s="7" t="n">
        <f aca="false">B3954/MAX(B3703:B3954)-1</f>
        <v>-0.00782949833126212</v>
      </c>
      <c r="F3954" s="7" t="str">
        <f aca="false">IFERROR(INDEX(02_轉折點45個!B:B,MATCH(A3954,02_轉折點45個!A:A,0)),"")</f>
        <v/>
      </c>
      <c r="G3954" s="7" t="s">
        <v>1994</v>
      </c>
    </row>
    <row r="3955" customFormat="false" ht="15" hidden="false" customHeight="false" outlineLevel="0" collapsed="false">
      <c r="A3955" s="7" t="s">
        <v>1140</v>
      </c>
      <c r="B3955" s="7" t="n">
        <v>4196.43</v>
      </c>
      <c r="C3955" s="7" t="n">
        <f aca="false">AVERAGE(B3906:B3955)</f>
        <v>4094.2966</v>
      </c>
      <c r="D3955" s="7" t="n">
        <f aca="false">AVERAGE(B3756:B3955)</f>
        <v>3898.51025</v>
      </c>
      <c r="E3955" s="7" t="n">
        <f aca="false">B3955/MAX(B3704:B3955)-1</f>
        <v>-0.00103552197449031</v>
      </c>
      <c r="F3955" s="7" t="str">
        <f aca="false">IFERROR(INDEX(02_轉折點45個!B:B,MATCH(A3955,02_轉折點45個!A:A,0)),"")</f>
        <v/>
      </c>
      <c r="G3955" s="7" t="s">
        <v>1994</v>
      </c>
    </row>
    <row r="3956" customFormat="false" ht="15" hidden="false" customHeight="false" outlineLevel="0" collapsed="false">
      <c r="A3956" s="7" t="s">
        <v>5162</v>
      </c>
      <c r="B3956" s="7" t="n">
        <v>4183.97</v>
      </c>
      <c r="C3956" s="7" t="n">
        <f aca="false">AVERAGE(B3907:B3956)</f>
        <v>4097.651</v>
      </c>
      <c r="D3956" s="7" t="n">
        <f aca="false">AVERAGE(B3757:B3956)</f>
        <v>3900.9887</v>
      </c>
      <c r="E3956" s="7" t="n">
        <f aca="false">B3956/MAX(B3705:B3956)-1</f>
        <v>-0.00400163779107676</v>
      </c>
      <c r="F3956" s="7" t="str">
        <f aca="false">IFERROR(INDEX(02_轉折點45個!B:B,MATCH(A3956,02_轉折點45個!A:A,0)),"")</f>
        <v/>
      </c>
      <c r="G3956" s="7" t="s">
        <v>1994</v>
      </c>
    </row>
    <row r="3957" customFormat="false" ht="15" hidden="false" customHeight="false" outlineLevel="0" collapsed="false">
      <c r="A3957" s="7" t="s">
        <v>5163</v>
      </c>
      <c r="B3957" s="7" t="n">
        <v>4136.37</v>
      </c>
      <c r="C3957" s="7" t="n">
        <f aca="false">AVERAGE(B3908:B3957)</f>
        <v>4099.701</v>
      </c>
      <c r="D3957" s="7" t="n">
        <f aca="false">AVERAGE(B3758:B3957)</f>
        <v>3903.2255</v>
      </c>
      <c r="E3957" s="7" t="n">
        <f aca="false">B3957/MAX(B3706:B3957)-1</f>
        <v>-0.0153328667533172</v>
      </c>
      <c r="F3957" s="7" t="str">
        <f aca="false">IFERROR(INDEX(02_轉折點45個!B:B,MATCH(A3957,02_轉折點45個!A:A,0)),"")</f>
        <v/>
      </c>
      <c r="G3957" s="7" t="s">
        <v>1994</v>
      </c>
    </row>
    <row r="3958" customFormat="false" ht="15" hidden="false" customHeight="false" outlineLevel="0" collapsed="false">
      <c r="A3958" s="7" t="s">
        <v>5164</v>
      </c>
      <c r="B3958" s="7" t="n">
        <v>4119.02</v>
      </c>
      <c r="C3958" s="7" t="n">
        <f aca="false">AVERAGE(B3909:B3958)</f>
        <v>4100.9484</v>
      </c>
      <c r="D3958" s="7" t="n">
        <f aca="false">AVERAGE(B3759:B3958)</f>
        <v>3905.39765</v>
      </c>
      <c r="E3958" s="7" t="n">
        <f aca="false">B3958/MAX(B3707:B3958)-1</f>
        <v>-0.019463052099848</v>
      </c>
      <c r="F3958" s="7" t="str">
        <f aca="false">IFERROR(INDEX(02_轉折點45個!B:B,MATCH(A3958,02_轉折點45個!A:A,0)),"")</f>
        <v/>
      </c>
      <c r="G3958" s="7" t="s">
        <v>1994</v>
      </c>
    </row>
    <row r="3959" customFormat="false" ht="15" hidden="false" customHeight="false" outlineLevel="0" collapsed="false">
      <c r="A3959" s="7" t="s">
        <v>5165</v>
      </c>
      <c r="B3959" s="7" t="n">
        <v>4161.52</v>
      </c>
      <c r="C3959" s="7" t="n">
        <f aca="false">AVERAGE(B3910:B3959)</f>
        <v>4103.485</v>
      </c>
      <c r="D3959" s="7" t="n">
        <f aca="false">AVERAGE(B3760:B3959)</f>
        <v>3907.6482</v>
      </c>
      <c r="E3959" s="7" t="n">
        <f aca="false">B3959/MAX(B3708:B3959)-1</f>
        <v>-0.0093458833835619</v>
      </c>
      <c r="F3959" s="7" t="str">
        <f aca="false">IFERROR(INDEX(02_轉折點45個!B:B,MATCH(A3959,02_轉折點45個!A:A,0)),"")</f>
        <v/>
      </c>
      <c r="G3959" s="7" t="s">
        <v>1994</v>
      </c>
    </row>
    <row r="3960" customFormat="false" ht="15" hidden="false" customHeight="false" outlineLevel="0" collapsed="false">
      <c r="A3960" s="7" t="s">
        <v>1141</v>
      </c>
      <c r="B3960" s="7" t="n">
        <v>4080.7</v>
      </c>
      <c r="C3960" s="7" t="n">
        <f aca="false">AVERAGE(B3911:B3960)</f>
        <v>4104.23</v>
      </c>
      <c r="D3960" s="7" t="n">
        <f aca="false">AVERAGE(B3761:B3960)</f>
        <v>3909.4662</v>
      </c>
      <c r="E3960" s="7" t="n">
        <f aca="false">B3960/MAX(B3709:B3960)-1</f>
        <v>-0.0285851675165089</v>
      </c>
      <c r="F3960" s="7" t="str">
        <f aca="false">IFERROR(INDEX(02_轉折點45個!B:B,MATCH(A3960,02_轉折點45個!A:A,0)),"")</f>
        <v/>
      </c>
      <c r="G3960" s="7" t="s">
        <v>1994</v>
      </c>
    </row>
    <row r="3961" customFormat="false" ht="15" hidden="false" customHeight="false" outlineLevel="0" collapsed="false">
      <c r="A3961" s="7" t="s">
        <v>5166</v>
      </c>
      <c r="B3961" s="7" t="n">
        <v>4122.21</v>
      </c>
      <c r="C3961" s="7" t="n">
        <f aca="false">AVERAGE(B3912:B3961)</f>
        <v>4106.9476</v>
      </c>
      <c r="D3961" s="7" t="n">
        <f aca="false">AVERAGE(B3762:B3961)</f>
        <v>3911.5295</v>
      </c>
      <c r="E3961" s="7" t="n">
        <f aca="false">B3961/MAX(B3710:B3961)-1</f>
        <v>-0.0187036693185551</v>
      </c>
      <c r="F3961" s="7" t="str">
        <f aca="false">IFERROR(INDEX(02_轉折點45個!B:B,MATCH(A3961,02_轉折點45個!A:A,0)),"")</f>
        <v/>
      </c>
      <c r="G3961" s="7" t="s">
        <v>1994</v>
      </c>
    </row>
    <row r="3962" customFormat="false" ht="15" hidden="false" customHeight="false" outlineLevel="0" collapsed="false">
      <c r="A3962" s="7" t="s">
        <v>5167</v>
      </c>
      <c r="B3962" s="7" t="n">
        <v>4116.42</v>
      </c>
      <c r="C3962" s="7" t="n">
        <f aca="false">AVERAGE(B3913:B3962)</f>
        <v>4108.2942</v>
      </c>
      <c r="D3962" s="7" t="n">
        <f aca="false">AVERAGE(B3763:B3962)</f>
        <v>3913.82275</v>
      </c>
      <c r="E3962" s="7" t="n">
        <f aca="false">B3962/MAX(B3711:B3962)-1</f>
        <v>-0.0200819847742562</v>
      </c>
      <c r="F3962" s="7" t="str">
        <f aca="false">IFERROR(INDEX(02_轉折點45個!B:B,MATCH(A3962,02_轉折點45個!A:A,0)),"")</f>
        <v/>
      </c>
      <c r="G3962" s="7" t="s">
        <v>1994</v>
      </c>
    </row>
    <row r="3963" customFormat="false" ht="15" hidden="false" customHeight="false" outlineLevel="0" collapsed="false">
      <c r="A3963" s="7" t="s">
        <v>5168</v>
      </c>
      <c r="B3963" s="7" t="n">
        <v>4105.04</v>
      </c>
      <c r="C3963" s="7" t="n">
        <f aca="false">AVERAGE(B3914:B3963)</f>
        <v>4109.5494</v>
      </c>
      <c r="D3963" s="7" t="n">
        <f aca="false">AVERAGE(B3764:B3963)</f>
        <v>3916.0838</v>
      </c>
      <c r="E3963" s="7" t="n">
        <f aca="false">B3963/MAX(B3712:B3963)-1</f>
        <v>-0.0227910054799346</v>
      </c>
      <c r="F3963" s="7" t="str">
        <f aca="false">IFERROR(INDEX(02_轉折點45個!B:B,MATCH(A3963,02_轉折點45個!A:A,0)),"")</f>
        <v/>
      </c>
      <c r="G3963" s="7" t="s">
        <v>1994</v>
      </c>
    </row>
    <row r="3964" customFormat="false" ht="15" hidden="false" customHeight="false" outlineLevel="0" collapsed="false">
      <c r="A3964" s="7" t="s">
        <v>5169</v>
      </c>
      <c r="B3964" s="7" t="n">
        <v>4039.9</v>
      </c>
      <c r="C3964" s="7" t="n">
        <f aca="false">AVERAGE(B3915:B3964)</f>
        <v>4108.9294</v>
      </c>
      <c r="D3964" s="7" t="n">
        <f aca="false">AVERAGE(B3765:B3964)</f>
        <v>3918.00735</v>
      </c>
      <c r="E3964" s="7" t="n">
        <f aca="false">B3964/MAX(B3713:B3964)-1</f>
        <v>-0.0382976494841434</v>
      </c>
      <c r="F3964" s="7" t="str">
        <f aca="false">IFERROR(INDEX(02_轉折點45個!B:B,MATCH(A3964,02_轉折點45個!A:A,0)),"")</f>
        <v/>
      </c>
      <c r="G3964" s="7" t="s">
        <v>1994</v>
      </c>
    </row>
    <row r="3965" customFormat="false" ht="15" hidden="false" customHeight="false" outlineLevel="0" collapsed="false">
      <c r="A3965" s="7" t="s">
        <v>5170</v>
      </c>
      <c r="B3965" s="7" t="n">
        <v>4047.31</v>
      </c>
      <c r="C3965" s="7" t="n">
        <f aca="false">AVERAGE(B3916:B3965)</f>
        <v>4108.1346</v>
      </c>
      <c r="D3965" s="7" t="n">
        <f aca="false">AVERAGE(B3766:B3965)</f>
        <v>3919.8376</v>
      </c>
      <c r="E3965" s="7" t="n">
        <f aca="false">B3965/MAX(B3714:B3965)-1</f>
        <v>-0.0365336913620803</v>
      </c>
      <c r="F3965" s="7" t="str">
        <f aca="false">IFERROR(INDEX(02_轉折點45個!B:B,MATCH(A3965,02_轉折點45個!A:A,0)),"")</f>
        <v/>
      </c>
      <c r="G3965" s="7" t="s">
        <v>1994</v>
      </c>
    </row>
    <row r="3966" customFormat="false" ht="15" hidden="false" customHeight="false" outlineLevel="0" collapsed="false">
      <c r="A3966" s="7" t="s">
        <v>1142</v>
      </c>
      <c r="B3966" s="7" t="n">
        <v>4088.8</v>
      </c>
      <c r="C3966" s="7" t="n">
        <f aca="false">AVERAGE(B3917:B3966)</f>
        <v>4108.1986</v>
      </c>
      <c r="D3966" s="7" t="n">
        <f aca="false">AVERAGE(B3767:B3966)</f>
        <v>3921.902</v>
      </c>
      <c r="E3966" s="7" t="n">
        <f aca="false">B3966/MAX(B3715:B3966)-1</f>
        <v>-0.0266569541846989</v>
      </c>
      <c r="F3966" s="7" t="str">
        <f aca="false">IFERROR(INDEX(02_轉折點45個!B:B,MATCH(A3966,02_轉折點45個!A:A,0)),"")</f>
        <v/>
      </c>
      <c r="G3966" s="7" t="s">
        <v>1994</v>
      </c>
    </row>
    <row r="3967" customFormat="false" ht="15" hidden="false" customHeight="false" outlineLevel="0" collapsed="false">
      <c r="A3967" s="7" t="s">
        <v>5171</v>
      </c>
      <c r="B3967" s="7" t="n">
        <v>4069.78</v>
      </c>
      <c r="C3967" s="7" t="n">
        <f aca="false">AVERAGE(B3918:B3967)</f>
        <v>4108.2942</v>
      </c>
      <c r="D3967" s="7" t="n">
        <f aca="false">AVERAGE(B3768:B3967)</f>
        <v>3923.6594</v>
      </c>
      <c r="E3967" s="7" t="n">
        <f aca="false">B3967/MAX(B3716:B3967)-1</f>
        <v>-0.0311846847490227</v>
      </c>
      <c r="F3967" s="7" t="str">
        <f aca="false">IFERROR(INDEX(02_轉折點45個!B:B,MATCH(A3967,02_轉折點45個!A:A,0)),"")</f>
        <v/>
      </c>
      <c r="G3967" s="7" t="s">
        <v>1994</v>
      </c>
    </row>
    <row r="3968" customFormat="false" ht="15" hidden="false" customHeight="false" outlineLevel="0" collapsed="false">
      <c r="A3968" s="7" t="s">
        <v>1143</v>
      </c>
      <c r="B3968" s="7" t="n">
        <v>4006.2</v>
      </c>
      <c r="C3968" s="7" t="n">
        <f aca="false">AVERAGE(B3919:B3968)</f>
        <v>4107.2032</v>
      </c>
      <c r="D3968" s="7" t="n">
        <f aca="false">AVERAGE(B3769:B3968)</f>
        <v>3925.15335</v>
      </c>
      <c r="E3968" s="7" t="n">
        <f aca="false">B3968/MAX(B3717:B3968)-1</f>
        <v>-0.0463199691485867</v>
      </c>
      <c r="F3968" s="7" t="str">
        <f aca="false">IFERROR(INDEX(02_轉折點45個!B:B,MATCH(A3968,02_轉折點45個!A:A,0)),"")</f>
        <v/>
      </c>
      <c r="G3968" s="7" t="s">
        <v>1994</v>
      </c>
    </row>
    <row r="3969" customFormat="false" ht="15" hidden="false" customHeight="false" outlineLevel="0" collapsed="false">
      <c r="A3969" s="7" t="s">
        <v>5172</v>
      </c>
      <c r="B3969" s="7" t="n">
        <v>4082.38</v>
      </c>
      <c r="C3969" s="7" t="n">
        <f aca="false">AVERAGE(B3920:B3969)</f>
        <v>4107.6762</v>
      </c>
      <c r="D3969" s="7" t="n">
        <f aca="false">AVERAGE(B3770:B3969)</f>
        <v>3926.81535</v>
      </c>
      <c r="E3969" s="7" t="n">
        <f aca="false">B3969/MAX(B3718:B3969)-1</f>
        <v>-0.0281852417884297</v>
      </c>
      <c r="F3969" s="7" t="str">
        <f aca="false">IFERROR(INDEX(02_轉折點45個!B:B,MATCH(A3969,02_轉折點45個!A:A,0)),"")</f>
        <v/>
      </c>
      <c r="G3969" s="7" t="s">
        <v>1994</v>
      </c>
    </row>
    <row r="3970" customFormat="false" ht="15" hidden="false" customHeight="false" outlineLevel="0" collapsed="false">
      <c r="A3970" s="7" t="s">
        <v>5173</v>
      </c>
      <c r="B3970" s="7" t="n">
        <v>3999.93</v>
      </c>
      <c r="C3970" s="7" t="n">
        <f aca="false">AVERAGE(B3921:B3970)</f>
        <v>4106.1312</v>
      </c>
      <c r="D3970" s="7" t="n">
        <f aca="false">AVERAGE(B3771:B3970)</f>
        <v>3927.8634</v>
      </c>
      <c r="E3970" s="7" t="n">
        <f aca="false">B3970/MAX(B3719:B3970)-1</f>
        <v>-0.0478125490980247</v>
      </c>
      <c r="F3970" s="7" t="str">
        <f aca="false">IFERROR(INDEX(02_轉折點45個!B:B,MATCH(A3970,02_轉折點45個!A:A,0)),"")</f>
        <v/>
      </c>
      <c r="G3970" s="7" t="s">
        <v>1994</v>
      </c>
    </row>
    <row r="3971" customFormat="false" ht="15" hidden="false" customHeight="false" outlineLevel="0" collapsed="false">
      <c r="A3971" s="7" t="s">
        <v>1144</v>
      </c>
      <c r="B3971" s="7" t="n">
        <v>3906.66</v>
      </c>
      <c r="C3971" s="7" t="n">
        <f aca="false">AVERAGE(B3922:B3971)</f>
        <v>4104.4224</v>
      </c>
      <c r="D3971" s="7" t="n">
        <f aca="false">AVERAGE(B3772:B3971)</f>
        <v>3928.4153</v>
      </c>
      <c r="E3971" s="7" t="n">
        <f aca="false">B3971/MAX(B3720:B3971)-1</f>
        <v>-0.0700155685372716</v>
      </c>
      <c r="F3971" s="7" t="str">
        <f aca="false">IFERROR(INDEX(02_轉折點45個!B:B,MATCH(A3971,02_轉折點45個!A:A,0)),"")</f>
        <v/>
      </c>
      <c r="G3971" s="7" t="s">
        <v>1994</v>
      </c>
    </row>
    <row r="3972" customFormat="false" ht="15" hidden="false" customHeight="false" outlineLevel="0" collapsed="false">
      <c r="A3972" s="7" t="s">
        <v>5174</v>
      </c>
      <c r="B3972" s="7" t="n">
        <v>3849.48</v>
      </c>
      <c r="C3972" s="7" t="n">
        <f aca="false">AVERAGE(B3923:B3972)</f>
        <v>4101.883</v>
      </c>
      <c r="D3972" s="7" t="n">
        <f aca="false">AVERAGE(B3773:B3972)</f>
        <v>3928.6276</v>
      </c>
      <c r="E3972" s="7" t="n">
        <f aca="false">B3972/MAX(B3721:B3972)-1</f>
        <v>-0.0836273263536771</v>
      </c>
      <c r="F3972" s="7" t="str">
        <f aca="false">IFERROR(INDEX(02_轉折點45個!B:B,MATCH(A3972,02_轉折點45個!A:A,0)),"")</f>
        <v/>
      </c>
      <c r="G3972" s="7" t="s">
        <v>1994</v>
      </c>
    </row>
    <row r="3973" customFormat="false" ht="15" hidden="false" customHeight="false" outlineLevel="0" collapsed="false">
      <c r="A3973" s="7" t="s">
        <v>5175</v>
      </c>
      <c r="B3973" s="7" t="n">
        <v>3861.83</v>
      </c>
      <c r="C3973" s="7" t="n">
        <f aca="false">AVERAGE(B3924:B3973)</f>
        <v>4099.0196</v>
      </c>
      <c r="D3973" s="7" t="n">
        <f aca="false">AVERAGE(B3774:B3973)</f>
        <v>3928.95</v>
      </c>
      <c r="E3973" s="7" t="n">
        <f aca="false">B3973/MAX(B3722:B3973)-1</f>
        <v>-0.0806873961502387</v>
      </c>
      <c r="F3973" s="7" t="str">
        <f aca="false">IFERROR(INDEX(02_轉折點45個!B:B,MATCH(A3973,02_轉折點45個!A:A,0)),"")</f>
        <v/>
      </c>
      <c r="G3973" s="7" t="s">
        <v>1994</v>
      </c>
    </row>
    <row r="3974" customFormat="false" ht="15" hidden="false" customHeight="false" outlineLevel="0" collapsed="false">
      <c r="A3974" s="7" t="s">
        <v>5176</v>
      </c>
      <c r="B3974" s="7" t="n">
        <v>3851</v>
      </c>
      <c r="C3974" s="7" t="n">
        <f aca="false">AVERAGE(B3925:B3974)</f>
        <v>4096.5068</v>
      </c>
      <c r="D3974" s="7" t="n">
        <f aca="false">AVERAGE(B3775:B3974)</f>
        <v>3929.2292</v>
      </c>
      <c r="E3974" s="7" t="n">
        <f aca="false">B3974/MAX(B3723:B3974)-1</f>
        <v>-0.083265488790177</v>
      </c>
      <c r="F3974" s="7" t="str">
        <f aca="false">IFERROR(INDEX(02_轉折點45個!B:B,MATCH(A3974,02_轉折點45個!A:A,0)),"")</f>
        <v/>
      </c>
      <c r="G3974" s="7" t="s">
        <v>1994</v>
      </c>
    </row>
    <row r="3975" customFormat="false" ht="15" hidden="false" customHeight="false" outlineLevel="0" collapsed="false">
      <c r="A3975" s="7" t="s">
        <v>5177</v>
      </c>
      <c r="B3975" s="7" t="n">
        <v>3852.89</v>
      </c>
      <c r="C3975" s="7" t="n">
        <f aca="false">AVERAGE(B3926:B3975)</f>
        <v>4093.9916</v>
      </c>
      <c r="D3975" s="7" t="n">
        <f aca="false">AVERAGE(B3776:B3975)</f>
        <v>3929.41555</v>
      </c>
      <c r="E3975" s="7" t="n">
        <f aca="false">B3975/MAX(B3724:B3975)-1</f>
        <v>-0.0828155723460881</v>
      </c>
      <c r="F3975" s="7" t="str">
        <f aca="false">IFERROR(INDEX(02_轉折點45個!B:B,MATCH(A3975,02_轉折點45個!A:A,0)),"")</f>
        <v/>
      </c>
      <c r="G3975" s="7" t="s">
        <v>1994</v>
      </c>
    </row>
    <row r="3976" customFormat="false" ht="15" hidden="false" customHeight="false" outlineLevel="0" collapsed="false">
      <c r="A3976" s="7" t="s">
        <v>1145</v>
      </c>
      <c r="B3976" s="7" t="n">
        <v>3890.39</v>
      </c>
      <c r="C3976" s="7" t="n">
        <f aca="false">AVERAGE(B3927:B3976)</f>
        <v>4092.5932</v>
      </c>
      <c r="D3976" s="7" t="n">
        <f aca="false">AVERAGE(B3777:B3976)</f>
        <v>3929.9425</v>
      </c>
      <c r="E3976" s="7" t="n">
        <f aca="false">B3976/MAX(B3725:B3976)-1</f>
        <v>-0.0738886587728945</v>
      </c>
      <c r="F3976" s="7" t="str">
        <f aca="false">IFERROR(INDEX(02_轉折點45個!B:B,MATCH(A3976,02_轉折點45個!A:A,0)),"")</f>
        <v/>
      </c>
      <c r="G3976" s="7" t="s">
        <v>1994</v>
      </c>
    </row>
    <row r="3977" customFormat="false" ht="15" hidden="false" customHeight="false" outlineLevel="0" collapsed="false">
      <c r="A3977" s="7" t="s">
        <v>1146</v>
      </c>
      <c r="B3977" s="7" t="n">
        <v>3943.04</v>
      </c>
      <c r="C3977" s="7" t="n">
        <f aca="false">AVERAGE(B3928:B3977)</f>
        <v>4091.5914</v>
      </c>
      <c r="D3977" s="7" t="n">
        <f aca="false">AVERAGE(B3778:B3977)</f>
        <v>3930.7837</v>
      </c>
      <c r="E3977" s="7" t="n">
        <f aca="false">B3977/MAX(B3726:B3977)-1</f>
        <v>-0.0613552721161308</v>
      </c>
      <c r="F3977" s="7" t="str">
        <f aca="false">IFERROR(INDEX(02_轉折點45個!B:B,MATCH(A3977,02_轉折點45個!A:A,0)),"")</f>
        <v/>
      </c>
      <c r="G3977" s="7" t="s">
        <v>1994</v>
      </c>
    </row>
    <row r="3978" customFormat="false" ht="15" hidden="false" customHeight="false" outlineLevel="0" collapsed="false">
      <c r="A3978" s="7" t="s">
        <v>1147</v>
      </c>
      <c r="B3978" s="7" t="n">
        <v>4037.52</v>
      </c>
      <c r="C3978" s="7" t="n">
        <f aca="false">AVERAGE(B3929:B3978)</f>
        <v>4091.9232</v>
      </c>
      <c r="D3978" s="7" t="n">
        <f aca="false">AVERAGE(B3779:B3978)</f>
        <v>3932.18055</v>
      </c>
      <c r="E3978" s="7" t="n">
        <f aca="false">B3978/MAX(B3727:B3978)-1</f>
        <v>-0.0388642109322553</v>
      </c>
      <c r="F3978" s="7" t="str">
        <f aca="false">IFERROR(INDEX(02_轉折點45個!B:B,MATCH(A3978,02_轉折點45個!A:A,0)),"")</f>
        <v/>
      </c>
      <c r="G3978" s="7" t="s">
        <v>1994</v>
      </c>
    </row>
    <row r="3979" customFormat="false" ht="15" hidden="false" customHeight="false" outlineLevel="0" collapsed="false">
      <c r="A3979" s="7" t="s">
        <v>5178</v>
      </c>
      <c r="B3979" s="7" t="n">
        <v>4004.05</v>
      </c>
      <c r="C3979" s="7" t="n">
        <f aca="false">AVERAGE(B3930:B3979)</f>
        <v>4091.8062</v>
      </c>
      <c r="D3979" s="7" t="n">
        <f aca="false">AVERAGE(B3780:B3979)</f>
        <v>3933.22965</v>
      </c>
      <c r="E3979" s="7" t="n">
        <f aca="false">B3979/MAX(B3728:B3979)-1</f>
        <v>-0.0468317788601164</v>
      </c>
      <c r="F3979" s="7" t="str">
        <f aca="false">IFERROR(INDEX(02_轉折點45個!B:B,MATCH(A3979,02_轉折點45個!A:A,0)),"")</f>
        <v/>
      </c>
      <c r="G3979" s="7" t="s">
        <v>1994</v>
      </c>
    </row>
    <row r="3980" customFormat="false" ht="15" hidden="false" customHeight="false" outlineLevel="0" collapsed="false">
      <c r="A3980" s="7" t="s">
        <v>5179</v>
      </c>
      <c r="B3980" s="7" t="n">
        <v>4067.95</v>
      </c>
      <c r="C3980" s="7" t="n">
        <f aca="false">AVERAGE(B3931:B3980)</f>
        <v>4092.1472</v>
      </c>
      <c r="D3980" s="7" t="n">
        <f aca="false">AVERAGE(B3781:B3980)</f>
        <v>3934.54145</v>
      </c>
      <c r="E3980" s="7" t="n">
        <f aca="false">B3980/MAX(B3729:B3980)-1</f>
        <v>-0.0316203181313947</v>
      </c>
      <c r="F3980" s="7" t="str">
        <f aca="false">IFERROR(INDEX(02_轉折點45個!B:B,MATCH(A3980,02_轉折點45個!A:A,0)),"")</f>
        <v/>
      </c>
      <c r="G3980" s="7" t="s">
        <v>1994</v>
      </c>
    </row>
    <row r="3981" customFormat="false" ht="15" hidden="false" customHeight="false" outlineLevel="0" collapsed="false">
      <c r="A3981" s="7" t="s">
        <v>5180</v>
      </c>
      <c r="B3981" s="7" t="n">
        <v>4096.2</v>
      </c>
      <c r="C3981" s="7" t="n">
        <f aca="false">AVERAGE(B3932:B3981)</f>
        <v>4092.7084</v>
      </c>
      <c r="D3981" s="7" t="n">
        <f aca="false">AVERAGE(B3782:B3981)</f>
        <v>3936.03755</v>
      </c>
      <c r="E3981" s="7" t="n">
        <f aca="false">B3981/MAX(B3730:B3981)-1</f>
        <v>-0.0248953765729222</v>
      </c>
      <c r="F3981" s="7" t="str">
        <f aca="false">IFERROR(INDEX(02_轉折點45個!B:B,MATCH(A3981,02_轉折點45個!A:A,0)),"")</f>
        <v/>
      </c>
      <c r="G3981" s="7" t="s">
        <v>1994</v>
      </c>
    </row>
    <row r="3982" customFormat="false" ht="15" hidden="false" customHeight="false" outlineLevel="0" collapsed="false">
      <c r="A3982" s="7" t="s">
        <v>5181</v>
      </c>
      <c r="B3982" s="7" t="n">
        <v>4098.22</v>
      </c>
      <c r="C3982" s="7" t="n">
        <f aca="false">AVERAGE(B3933:B3982)</f>
        <v>4093.092</v>
      </c>
      <c r="D3982" s="7" t="n">
        <f aca="false">AVERAGE(B3783:B3982)</f>
        <v>3937.45935</v>
      </c>
      <c r="E3982" s="7" t="n">
        <f aca="false">B3982/MAX(B3731:B3982)-1</f>
        <v>-0.0244145134951127</v>
      </c>
      <c r="F3982" s="7" t="str">
        <f aca="false">IFERROR(INDEX(02_轉折點45個!B:B,MATCH(A3982,02_轉折點45個!A:A,0)),"")</f>
        <v/>
      </c>
      <c r="G3982" s="7" t="s">
        <v>1994</v>
      </c>
    </row>
    <row r="3983" customFormat="false" ht="15" hidden="false" customHeight="false" outlineLevel="0" collapsed="false">
      <c r="A3983" s="7" t="s">
        <v>5182</v>
      </c>
      <c r="B3983" s="7" t="n">
        <v>4169.81</v>
      </c>
      <c r="C3983" s="7" t="n">
        <f aca="false">AVERAGE(B3934:B3983)</f>
        <v>4094.1148</v>
      </c>
      <c r="D3983" s="7" t="n">
        <f aca="false">AVERAGE(B3784:B3983)</f>
        <v>3939.5194</v>
      </c>
      <c r="E3983" s="7" t="n">
        <f aca="false">B3983/MAX(B3732:B3983)-1</f>
        <v>-0.00737244035631457</v>
      </c>
      <c r="F3983" s="7" t="str">
        <f aca="false">IFERROR(INDEX(02_轉折點45個!B:B,MATCH(A3983,02_轉折點45個!A:A,0)),"")</f>
        <v/>
      </c>
      <c r="G3983" s="7" t="s">
        <v>1994</v>
      </c>
    </row>
    <row r="3984" customFormat="false" ht="15" hidden="false" customHeight="false" outlineLevel="0" collapsed="false">
      <c r="A3984" s="7" t="s">
        <v>5183</v>
      </c>
      <c r="B3984" s="7" t="n">
        <v>4156.05</v>
      </c>
      <c r="C3984" s="7" t="n">
        <f aca="false">AVERAGE(B3935:B3984)</f>
        <v>4094.5116</v>
      </c>
      <c r="D3984" s="7" t="n">
        <f aca="false">AVERAGE(B3785:B3984)</f>
        <v>3941.1922</v>
      </c>
      <c r="E3984" s="7" t="n">
        <f aca="false">B3984/MAX(B3733:B3984)-1</f>
        <v>-0.0106480225101052</v>
      </c>
      <c r="F3984" s="7" t="str">
        <f aca="false">IFERROR(INDEX(02_轉折點45個!B:B,MATCH(A3984,02_轉折點45個!A:A,0)),"")</f>
        <v/>
      </c>
      <c r="G3984" s="7" t="s">
        <v>1994</v>
      </c>
    </row>
    <row r="3985" customFormat="false" ht="15" hidden="false" customHeight="false" outlineLevel="0" collapsed="false">
      <c r="A3985" s="7" t="s">
        <v>5184</v>
      </c>
      <c r="B3985" s="7" t="n">
        <v>4171.5</v>
      </c>
      <c r="C3985" s="7" t="n">
        <f aca="false">AVERAGE(B3936:B3985)</f>
        <v>4095.2362</v>
      </c>
      <c r="D3985" s="7" t="n">
        <f aca="false">AVERAGE(B3786:B3985)</f>
        <v>3942.7967</v>
      </c>
      <c r="E3985" s="7" t="n">
        <f aca="false">B3985/MAX(B3734:B3985)-1</f>
        <v>-0.00697013411794945</v>
      </c>
      <c r="F3985" s="7" t="str">
        <f aca="false">IFERROR(INDEX(02_轉折點45個!B:B,MATCH(A3985,02_轉折點45個!A:A,0)),"")</f>
        <v/>
      </c>
      <c r="G3985" s="7" t="s">
        <v>1994</v>
      </c>
    </row>
    <row r="3986" customFormat="false" ht="15" hidden="false" customHeight="false" outlineLevel="0" collapsed="false">
      <c r="A3986" s="7" t="s">
        <v>1148</v>
      </c>
      <c r="B3986" s="7" t="n">
        <v>4230.52</v>
      </c>
      <c r="C3986" s="7" t="n">
        <f aca="false">AVERAGE(B3937:B3986)</f>
        <v>4097.0386</v>
      </c>
      <c r="D3986" s="7" t="n">
        <f aca="false">AVERAGE(B3787:B3986)</f>
        <v>3944.6789</v>
      </c>
      <c r="E3986" s="7" t="n">
        <f aca="false">B3986/MAX(B3735:B3986)-1</f>
        <v>0</v>
      </c>
      <c r="F3986" s="7" t="str">
        <f aca="false">IFERROR(INDEX(02_轉折點45個!B:B,MATCH(A3986,02_轉折點45個!A:A,0)),"")</f>
        <v/>
      </c>
      <c r="G3986" s="7" t="s">
        <v>1994</v>
      </c>
    </row>
    <row r="3987" customFormat="false" ht="15" hidden="false" customHeight="false" outlineLevel="0" collapsed="false">
      <c r="A3987" s="7" t="s">
        <v>1149</v>
      </c>
      <c r="B3987" s="7" t="n">
        <v>4237.98</v>
      </c>
      <c r="C3987" s="7" t="n">
        <f aca="false">AVERAGE(B3938:B3987)</f>
        <v>4098.8724</v>
      </c>
      <c r="D3987" s="7" t="n">
        <f aca="false">AVERAGE(B3788:B3987)</f>
        <v>3946.69485</v>
      </c>
      <c r="E3987" s="7" t="n">
        <f aca="false">B3987/MAX(B3736:B3987)-1</f>
        <v>0</v>
      </c>
      <c r="F3987" s="7" t="str">
        <f aca="false">IFERROR(INDEX(02_轉折點45個!B:B,MATCH(A3987,02_轉折點45個!A:A,0)),"")</f>
        <v/>
      </c>
      <c r="G3987" s="7" t="s">
        <v>1994</v>
      </c>
    </row>
    <row r="3988" customFormat="false" ht="15" hidden="false" customHeight="false" outlineLevel="0" collapsed="false">
      <c r="A3988" s="7" t="s">
        <v>5185</v>
      </c>
      <c r="B3988" s="7" t="n">
        <v>4224.03</v>
      </c>
      <c r="C3988" s="7" t="n">
        <f aca="false">AVERAGE(B3939:B3988)</f>
        <v>4100.0836</v>
      </c>
      <c r="D3988" s="7" t="n">
        <f aca="false">AVERAGE(B3789:B3988)</f>
        <v>3948.5123</v>
      </c>
      <c r="E3988" s="7" t="n">
        <f aca="false">B3988/MAX(B3737:B3988)-1</f>
        <v>-0.00329166253734081</v>
      </c>
      <c r="F3988" s="7" t="str">
        <f aca="false">IFERROR(INDEX(02_轉折點45個!B:B,MATCH(A3988,02_轉折點45個!A:A,0)),"")</f>
        <v/>
      </c>
      <c r="G3988" s="7" t="s">
        <v>1994</v>
      </c>
    </row>
    <row r="3989" customFormat="false" ht="15" hidden="false" customHeight="false" outlineLevel="0" collapsed="false">
      <c r="A3989" s="7" t="s">
        <v>5186</v>
      </c>
      <c r="B3989" s="7" t="n">
        <v>4221.36</v>
      </c>
      <c r="C3989" s="7" t="n">
        <f aca="false">AVERAGE(B3940:B3989)</f>
        <v>4100.9986</v>
      </c>
      <c r="D3989" s="7" t="n">
        <f aca="false">AVERAGE(B3790:B3989)</f>
        <v>3950.23765</v>
      </c>
      <c r="E3989" s="7" t="n">
        <f aca="false">B3989/MAX(B3738:B3989)-1</f>
        <v>-0.00392167966814372</v>
      </c>
      <c r="F3989" s="7" t="str">
        <f aca="false">IFERROR(INDEX(02_轉折點45個!B:B,MATCH(A3989,02_轉折點45個!A:A,0)),"")</f>
        <v/>
      </c>
      <c r="G3989" s="7" t="s">
        <v>1994</v>
      </c>
    </row>
    <row r="3990" customFormat="false" ht="15" hidden="false" customHeight="false" outlineLevel="0" collapsed="false">
      <c r="A3990" s="7" t="s">
        <v>5187</v>
      </c>
      <c r="B3990" s="7" t="n">
        <v>4237.58</v>
      </c>
      <c r="C3990" s="7" t="n">
        <f aca="false">AVERAGE(B3941:B3990)</f>
        <v>4102.2566</v>
      </c>
      <c r="D3990" s="7" t="n">
        <f aca="false">AVERAGE(B3791:B3990)</f>
        <v>3952.1543</v>
      </c>
      <c r="E3990" s="7" t="n">
        <f aca="false">B3990/MAX(B3739:B3990)-1</f>
        <v>-9.43845888842221E-005</v>
      </c>
      <c r="F3990" s="7" t="str">
        <f aca="false">IFERROR(INDEX(02_轉折點45個!B:B,MATCH(A3990,02_轉折點45個!A:A,0)),"")</f>
        <v/>
      </c>
      <c r="G3990" s="7" t="s">
        <v>1994</v>
      </c>
    </row>
    <row r="3991" customFormat="false" ht="15" hidden="false" customHeight="false" outlineLevel="0" collapsed="false">
      <c r="A3991" s="7" t="s">
        <v>5188</v>
      </c>
      <c r="B3991" s="7" t="n">
        <v>4232.15</v>
      </c>
      <c r="C3991" s="7" t="n">
        <f aca="false">AVERAGE(B3942:B3991)</f>
        <v>4103.6238</v>
      </c>
      <c r="D3991" s="7" t="n">
        <f aca="false">AVERAGE(B3792:B3991)</f>
        <v>3954.45815</v>
      </c>
      <c r="E3991" s="7" t="n">
        <f aca="false">B3991/MAX(B3740:B3991)-1</f>
        <v>-0.00137565538298901</v>
      </c>
      <c r="F3991" s="7" t="str">
        <f aca="false">IFERROR(INDEX(02_轉折點45個!B:B,MATCH(A3991,02_轉折點45個!A:A,0)),"")</f>
        <v/>
      </c>
      <c r="G3991" s="7" t="s">
        <v>1994</v>
      </c>
    </row>
    <row r="3992" customFormat="false" ht="15" hidden="false" customHeight="false" outlineLevel="0" collapsed="false">
      <c r="A3992" s="7" t="s">
        <v>1150</v>
      </c>
      <c r="B3992" s="7" t="n">
        <v>4249.59</v>
      </c>
      <c r="C3992" s="7" t="n">
        <f aca="false">AVERAGE(B3943:B3992)</f>
        <v>4104.9274</v>
      </c>
      <c r="D3992" s="7" t="n">
        <f aca="false">AVERAGE(B3793:B3992)</f>
        <v>3957.05275</v>
      </c>
      <c r="E3992" s="7" t="n">
        <f aca="false">B3992/MAX(B3741:B3992)-1</f>
        <v>0</v>
      </c>
      <c r="F3992" s="7" t="str">
        <f aca="false">IFERROR(INDEX(02_轉折點45個!B:B,MATCH(A3992,02_轉折點45個!A:A,0)),"")</f>
        <v/>
      </c>
      <c r="G3992" s="7" t="s">
        <v>1994</v>
      </c>
    </row>
    <row r="3993" customFormat="false" ht="15" hidden="false" customHeight="false" outlineLevel="0" collapsed="false">
      <c r="A3993" s="7" t="s">
        <v>1151</v>
      </c>
      <c r="B3993" s="7" t="n">
        <v>4257.76</v>
      </c>
      <c r="C3993" s="7" t="n">
        <f aca="false">AVERAGE(B3944:B3993)</f>
        <v>4106.067</v>
      </c>
      <c r="D3993" s="7" t="n">
        <f aca="false">AVERAGE(B3794:B3993)</f>
        <v>3959.62265</v>
      </c>
      <c r="E3993" s="7" t="n">
        <f aca="false">B3993/MAX(B3742:B3993)-1</f>
        <v>0</v>
      </c>
      <c r="F3993" s="7" t="str">
        <f aca="false">IFERROR(INDEX(02_轉折點45個!B:B,MATCH(A3993,02_轉折點45個!A:A,0)),"")</f>
        <v/>
      </c>
      <c r="G3993" s="7" t="s">
        <v>1994</v>
      </c>
    </row>
    <row r="3994" customFormat="false" ht="15" hidden="false" customHeight="false" outlineLevel="0" collapsed="false">
      <c r="A3994" s="7" t="s">
        <v>1152</v>
      </c>
      <c r="B3994" s="7" t="n">
        <v>4271.08</v>
      </c>
      <c r="C3994" s="7" t="n">
        <f aca="false">AVERAGE(B3945:B3994)</f>
        <v>4107.9412</v>
      </c>
      <c r="D3994" s="7" t="n">
        <f aca="false">AVERAGE(B3795:B3994)</f>
        <v>3962.47165</v>
      </c>
      <c r="E3994" s="7" t="n">
        <f aca="false">B3994/MAX(B3743:B3994)-1</f>
        <v>0</v>
      </c>
      <c r="F3994" s="7" t="str">
        <f aca="false">IFERROR(INDEX(02_轉折點45個!B:B,MATCH(A3994,02_轉折點45個!A:A,0)),"")</f>
        <v/>
      </c>
      <c r="G3994" s="7" t="s">
        <v>1994</v>
      </c>
    </row>
    <row r="3995" customFormat="false" ht="15" hidden="false" customHeight="false" outlineLevel="0" collapsed="false">
      <c r="A3995" s="7" t="s">
        <v>1153</v>
      </c>
      <c r="B3995" s="7" t="n">
        <v>4275.65</v>
      </c>
      <c r="C3995" s="7" t="n">
        <f aca="false">AVERAGE(B3946:B3995)</f>
        <v>4110.0946</v>
      </c>
      <c r="D3995" s="7" t="n">
        <f aca="false">AVERAGE(B3796:B3995)</f>
        <v>3965.016</v>
      </c>
      <c r="E3995" s="7" t="n">
        <f aca="false">B3995/MAX(B3744:B3995)-1</f>
        <v>0</v>
      </c>
      <c r="F3995" s="7" t="str">
        <f aca="false">IFERROR(INDEX(02_轉折點45個!B:B,MATCH(A3995,02_轉折點45個!A:A,0)),"")</f>
        <v/>
      </c>
      <c r="G3995" s="7" t="s">
        <v>1994</v>
      </c>
    </row>
    <row r="3996" customFormat="false" ht="15" hidden="false" customHeight="false" outlineLevel="0" collapsed="false">
      <c r="A3996" s="7" t="s">
        <v>5189</v>
      </c>
      <c r="B3996" s="7" t="n">
        <v>4283.32</v>
      </c>
      <c r="C3996" s="7" t="n">
        <f aca="false">AVERAGE(B3947:B3996)</f>
        <v>4112.0248</v>
      </c>
      <c r="D3996" s="7" t="n">
        <f aca="false">AVERAGE(B3797:B3996)</f>
        <v>3967.68665</v>
      </c>
      <c r="E3996" s="7" t="n">
        <f aca="false">B3996/MAX(B3745:B3996)-1</f>
        <v>0</v>
      </c>
      <c r="F3996" s="7" t="str">
        <f aca="false">IFERROR(INDEX(02_轉折點45個!B:B,MATCH(A3996,02_轉折點45個!A:A,0)),"")</f>
        <v/>
      </c>
      <c r="G3996" s="7" t="s">
        <v>1994</v>
      </c>
    </row>
    <row r="3997" customFormat="false" ht="15" hidden="false" customHeight="false" outlineLevel="0" collapsed="false">
      <c r="A3997" s="7" t="s">
        <v>5190</v>
      </c>
      <c r="B3997" s="7" t="n">
        <v>4267.3</v>
      </c>
      <c r="C3997" s="7" t="n">
        <f aca="false">AVERAGE(B3948:B3997)</f>
        <v>4113.463</v>
      </c>
      <c r="D3997" s="7" t="n">
        <f aca="false">AVERAGE(B3798:B3997)</f>
        <v>3970.7656</v>
      </c>
      <c r="E3997" s="7" t="n">
        <f aca="false">B3997/MAX(B3746:B3997)-1</f>
        <v>-0.00374008946331339</v>
      </c>
      <c r="F3997" s="7" t="str">
        <f aca="false">IFERROR(INDEX(02_轉折點45個!B:B,MATCH(A3997,02_轉折點45個!A:A,0)),"")</f>
        <v/>
      </c>
      <c r="G3997" s="7" t="s">
        <v>1994</v>
      </c>
    </row>
    <row r="3998" customFormat="false" ht="15" hidden="false" customHeight="false" outlineLevel="0" collapsed="false">
      <c r="A3998" s="7" t="s">
        <v>5191</v>
      </c>
      <c r="B3998" s="7" t="n">
        <v>4296.02</v>
      </c>
      <c r="C3998" s="7" t="n">
        <f aca="false">AVERAGE(B3949:B3998)</f>
        <v>4116.2064</v>
      </c>
      <c r="D3998" s="7" t="n">
        <f aca="false">AVERAGE(B3799:B3998)</f>
        <v>3973.83025</v>
      </c>
      <c r="E3998" s="7" t="n">
        <f aca="false">B3998/MAX(B3747:B3998)-1</f>
        <v>0</v>
      </c>
      <c r="F3998" s="7" t="str">
        <f aca="false">IFERROR(INDEX(02_轉折點45個!B:B,MATCH(A3998,02_轉折點45個!A:A,0)),"")</f>
        <v/>
      </c>
      <c r="G3998" s="7" t="s">
        <v>1994</v>
      </c>
    </row>
    <row r="3999" customFormat="false" ht="15" hidden="false" customHeight="false" outlineLevel="0" collapsed="false">
      <c r="A3999" s="7" t="s">
        <v>5192</v>
      </c>
      <c r="B3999" s="7" t="n">
        <v>4271.6</v>
      </c>
      <c r="C3999" s="7" t="n">
        <f aca="false">AVERAGE(B3950:B3999)</f>
        <v>4117.836</v>
      </c>
      <c r="D3999" s="7" t="n">
        <f aca="false">AVERAGE(B3800:B3999)</f>
        <v>3976.86405</v>
      </c>
      <c r="E3999" s="7" t="n">
        <f aca="false">B3999/MAX(B3748:B3999)-1</f>
        <v>-0.00568433107853317</v>
      </c>
      <c r="F3999" s="7" t="str">
        <f aca="false">IFERROR(INDEX(02_轉折點45個!B:B,MATCH(A3999,02_轉折點45個!A:A,0)),"")</f>
        <v/>
      </c>
      <c r="G3999" s="7" t="s">
        <v>1994</v>
      </c>
    </row>
    <row r="4000" customFormat="false" ht="15" hidden="false" customHeight="false" outlineLevel="0" collapsed="false">
      <c r="A4000" s="7" t="s">
        <v>5193</v>
      </c>
      <c r="B4000" s="7" t="n">
        <v>4295.5</v>
      </c>
      <c r="C4000" s="7" t="n">
        <f aca="false">AVERAGE(B3951:B4000)</f>
        <v>4119.847</v>
      </c>
      <c r="D4000" s="7" t="n">
        <f aca="false">AVERAGE(B3801:B4000)</f>
        <v>3979.8092</v>
      </c>
      <c r="E4000" s="7" t="n">
        <f aca="false">B4000/MAX(B3749:B4000)-1</f>
        <v>-0.000121042267028693</v>
      </c>
      <c r="F4000" s="7" t="str">
        <f aca="false">IFERROR(INDEX(02_轉折點45個!B:B,MATCH(A4000,02_轉折點45個!A:A,0)),"")</f>
        <v/>
      </c>
      <c r="G4000" s="7" t="s">
        <v>1994</v>
      </c>
    </row>
    <row r="4001" customFormat="false" ht="15" hidden="false" customHeight="false" outlineLevel="0" collapsed="false">
      <c r="A4001" s="7" t="s">
        <v>5194</v>
      </c>
      <c r="B4001" s="7" t="n">
        <v>4305.64</v>
      </c>
      <c r="C4001" s="7" t="n">
        <f aca="false">AVERAGE(B3952:B4001)</f>
        <v>4122.5032</v>
      </c>
      <c r="D4001" s="7" t="n">
        <f aca="false">AVERAGE(B3802:B4001)</f>
        <v>3982.49105</v>
      </c>
      <c r="E4001" s="7" t="n">
        <f aca="false">B4001/MAX(B3750:B4001)-1</f>
        <v>0</v>
      </c>
      <c r="F4001" s="7" t="str">
        <f aca="false">IFERROR(INDEX(02_轉折點45個!B:B,MATCH(A4001,02_轉折點45個!A:A,0)),"")</f>
        <v/>
      </c>
      <c r="G4001" s="7" t="s">
        <v>1994</v>
      </c>
    </row>
    <row r="4002" customFormat="false" ht="15" hidden="false" customHeight="false" outlineLevel="0" collapsed="false">
      <c r="A4002" s="7" t="s">
        <v>5195</v>
      </c>
      <c r="B4002" s="7" t="n">
        <v>4343.94</v>
      </c>
      <c r="C4002" s="7" t="n">
        <f aca="false">AVERAGE(B3953:B4002)</f>
        <v>4126.8152</v>
      </c>
      <c r="D4002" s="7" t="n">
        <f aca="false">AVERAGE(B3803:B4002)</f>
        <v>3985.2625</v>
      </c>
      <c r="E4002" s="7" t="n">
        <f aca="false">B4002/MAX(B3751:B4002)-1</f>
        <v>0</v>
      </c>
      <c r="F4002" s="7" t="str">
        <f aca="false">IFERROR(INDEX(02_轉折點45個!B:B,MATCH(A4002,02_轉折點45個!A:A,0)),"")</f>
        <v/>
      </c>
      <c r="G4002" s="7" t="s">
        <v>1994</v>
      </c>
    </row>
    <row r="4003" customFormat="false" ht="15" hidden="false" customHeight="false" outlineLevel="0" collapsed="false">
      <c r="A4003" s="7" t="s">
        <v>5196</v>
      </c>
      <c r="B4003" s="7" t="n">
        <v>4347.01</v>
      </c>
      <c r="C4003" s="7" t="n">
        <f aca="false">AVERAGE(B3954:B4003)</f>
        <v>4130.5698</v>
      </c>
      <c r="D4003" s="7" t="n">
        <f aca="false">AVERAGE(B3804:B4003)</f>
        <v>3987.8534</v>
      </c>
      <c r="E4003" s="7" t="n">
        <f aca="false">B4003/MAX(B3752:B4003)-1</f>
        <v>0</v>
      </c>
      <c r="F4003" s="7" t="str">
        <f aca="false">IFERROR(INDEX(02_轉折點45個!B:B,MATCH(A4003,02_轉折點45個!A:A,0)),"")</f>
        <v/>
      </c>
      <c r="G4003" s="7" t="s">
        <v>1994</v>
      </c>
    </row>
    <row r="4004" customFormat="false" ht="15" hidden="false" customHeight="false" outlineLevel="0" collapsed="false">
      <c r="A4004" s="7" t="s">
        <v>1154</v>
      </c>
      <c r="B4004" s="7" t="n">
        <v>4373.56</v>
      </c>
      <c r="C4004" s="7" t="n">
        <f aca="false">AVERAGE(B3955:B4004)</f>
        <v>4134.6832</v>
      </c>
      <c r="D4004" s="7" t="n">
        <f aca="false">AVERAGE(B3805:B4004)</f>
        <v>3990.5303</v>
      </c>
      <c r="E4004" s="7" t="n">
        <f aca="false">B4004/MAX(B3753:B4004)-1</f>
        <v>0</v>
      </c>
      <c r="F4004" s="7" t="str">
        <f aca="false">IFERROR(INDEX(02_轉折點45個!B:B,MATCH(A4004,02_轉折點45個!A:A,0)),"")</f>
        <v/>
      </c>
      <c r="G4004" s="7" t="s">
        <v>1994</v>
      </c>
    </row>
    <row r="4005" customFormat="false" ht="15" hidden="false" customHeight="false" outlineLevel="0" collapsed="false">
      <c r="A4005" s="7" t="s">
        <v>5197</v>
      </c>
      <c r="B4005" s="7" t="n">
        <v>4377.5</v>
      </c>
      <c r="C4005" s="7" t="n">
        <f aca="false">AVERAGE(B3956:B4005)</f>
        <v>4138.3046</v>
      </c>
      <c r="D4005" s="7" t="n">
        <f aca="false">AVERAGE(B3806:B4005)</f>
        <v>3993.047</v>
      </c>
      <c r="E4005" s="7" t="n">
        <f aca="false">B4005/MAX(B3754:B4005)-1</f>
        <v>0</v>
      </c>
      <c r="F4005" s="7" t="str">
        <f aca="false">IFERROR(INDEX(02_轉折點45個!B:B,MATCH(A4005,02_轉折點45個!A:A,0)),"")</f>
        <v/>
      </c>
      <c r="G4005" s="7" t="s">
        <v>1994</v>
      </c>
    </row>
    <row r="4006" customFormat="false" ht="15" hidden="false" customHeight="false" outlineLevel="0" collapsed="false">
      <c r="A4006" s="7" t="s">
        <v>5198</v>
      </c>
      <c r="B4006" s="7" t="n">
        <v>4318.78</v>
      </c>
      <c r="C4006" s="7" t="n">
        <f aca="false">AVERAGE(B3957:B4006)</f>
        <v>4141.0008</v>
      </c>
      <c r="D4006" s="7" t="n">
        <f aca="false">AVERAGE(B3807:B4006)</f>
        <v>3995.2548</v>
      </c>
      <c r="E4006" s="7" t="n">
        <f aca="false">B4006/MAX(B3755:B4006)-1</f>
        <v>-0.0134140491147916</v>
      </c>
      <c r="F4006" s="7" t="str">
        <f aca="false">IFERROR(INDEX(02_轉折點45個!B:B,MATCH(A4006,02_轉折點45個!A:A,0)),"")</f>
        <v/>
      </c>
      <c r="G4006" s="7" t="s">
        <v>1994</v>
      </c>
    </row>
    <row r="4007" customFormat="false" ht="15" hidden="false" customHeight="false" outlineLevel="0" collapsed="false">
      <c r="A4007" s="7" t="s">
        <v>5199</v>
      </c>
      <c r="B4007" s="7" t="n">
        <v>4344.78</v>
      </c>
      <c r="C4007" s="7" t="n">
        <f aca="false">AVERAGE(B3958:B4007)</f>
        <v>4145.169</v>
      </c>
      <c r="D4007" s="7" t="n">
        <f aca="false">AVERAGE(B3808:B4007)</f>
        <v>3997.46125</v>
      </c>
      <c r="E4007" s="7" t="n">
        <f aca="false">B4007/MAX(B3756:B4007)-1</f>
        <v>-0.00747458595088524</v>
      </c>
      <c r="F4007" s="7" t="str">
        <f aca="false">IFERROR(INDEX(02_轉折點45個!B:B,MATCH(A4007,02_轉折點45個!A:A,0)),"")</f>
        <v/>
      </c>
      <c r="G4007" s="7" t="s">
        <v>1994</v>
      </c>
    </row>
    <row r="4008" customFormat="false" ht="15" hidden="false" customHeight="false" outlineLevel="0" collapsed="false">
      <c r="A4008" s="7" t="s">
        <v>5200</v>
      </c>
      <c r="B4008" s="7" t="n">
        <v>4361.83</v>
      </c>
      <c r="C4008" s="7" t="n">
        <f aca="false">AVERAGE(B3959:B4008)</f>
        <v>4150.0252</v>
      </c>
      <c r="D4008" s="7" t="n">
        <f aca="false">AVERAGE(B3809:B4008)</f>
        <v>3999.912</v>
      </c>
      <c r="E4008" s="7" t="n">
        <f aca="false">B4008/MAX(B3757:B4008)-1</f>
        <v>-0.00357966876070814</v>
      </c>
      <c r="F4008" s="7" t="str">
        <f aca="false">IFERROR(INDEX(02_轉折點45個!B:B,MATCH(A4008,02_轉折點45個!A:A,0)),"")</f>
        <v/>
      </c>
      <c r="G4008" s="7" t="s">
        <v>1994</v>
      </c>
    </row>
    <row r="4009" customFormat="false" ht="15" hidden="false" customHeight="false" outlineLevel="0" collapsed="false">
      <c r="A4009" s="7" t="s">
        <v>5201</v>
      </c>
      <c r="B4009" s="7" t="n">
        <v>4357.23</v>
      </c>
      <c r="C4009" s="7" t="n">
        <f aca="false">AVERAGE(B3960:B4009)</f>
        <v>4153.9394</v>
      </c>
      <c r="D4009" s="7" t="n">
        <f aca="false">AVERAGE(B3810:B4009)</f>
        <v>4002.20455</v>
      </c>
      <c r="E4009" s="7" t="n">
        <f aca="false">B4009/MAX(B3758:B4009)-1</f>
        <v>-0.00463049685893791</v>
      </c>
      <c r="F4009" s="7" t="str">
        <f aca="false">IFERROR(INDEX(02_轉折點45個!B:B,MATCH(A4009,02_轉折點45個!A:A,0)),"")</f>
        <v/>
      </c>
      <c r="G4009" s="7" t="s">
        <v>1994</v>
      </c>
    </row>
    <row r="4010" customFormat="false" ht="15" hidden="false" customHeight="false" outlineLevel="0" collapsed="false">
      <c r="A4010" s="7" t="s">
        <v>5202</v>
      </c>
      <c r="B4010" s="7" t="n">
        <v>4367.57</v>
      </c>
      <c r="C4010" s="7" t="n">
        <f aca="false">AVERAGE(B3961:B4010)</f>
        <v>4159.6768</v>
      </c>
      <c r="D4010" s="7" t="n">
        <f aca="false">AVERAGE(B3811:B4010)</f>
        <v>4004.56775</v>
      </c>
      <c r="E4010" s="7" t="n">
        <f aca="false">B4010/MAX(B3759:B4010)-1</f>
        <v>-0.00226841804683042</v>
      </c>
      <c r="F4010" s="7" t="str">
        <f aca="false">IFERROR(INDEX(02_轉折點45個!B:B,MATCH(A4010,02_轉折點45個!A:A,0)),"")</f>
        <v/>
      </c>
      <c r="G4010" s="7" t="s">
        <v>1994</v>
      </c>
    </row>
    <row r="4011" customFormat="false" ht="15" hidden="false" customHeight="false" outlineLevel="0" collapsed="false">
      <c r="A4011" s="7" t="s">
        <v>5203</v>
      </c>
      <c r="B4011" s="7" t="n">
        <v>4330.96</v>
      </c>
      <c r="C4011" s="7" t="n">
        <f aca="false">AVERAGE(B3962:B4011)</f>
        <v>4163.8518</v>
      </c>
      <c r="D4011" s="7" t="n">
        <f aca="false">AVERAGE(B3812:B4011)</f>
        <v>4006.61285</v>
      </c>
      <c r="E4011" s="7" t="n">
        <f aca="false">B4011/MAX(B3760:B4011)-1</f>
        <v>-0.0106316390633924</v>
      </c>
      <c r="F4011" s="7" t="str">
        <f aca="false">IFERROR(INDEX(02_轉折點45個!B:B,MATCH(A4011,02_轉折點45個!A:A,0)),"")</f>
        <v/>
      </c>
      <c r="G4011" s="7" t="s">
        <v>1994</v>
      </c>
    </row>
    <row r="4012" customFormat="false" ht="15" hidden="false" customHeight="false" outlineLevel="0" collapsed="false">
      <c r="A4012" s="7" t="s">
        <v>5204</v>
      </c>
      <c r="B4012" s="7" t="n">
        <v>4354.52</v>
      </c>
      <c r="C4012" s="7" t="n">
        <f aca="false">AVERAGE(B3963:B4012)</f>
        <v>4168.6138</v>
      </c>
      <c r="D4012" s="7" t="n">
        <f aca="false">AVERAGE(B3813:B4012)</f>
        <v>4008.80035</v>
      </c>
      <c r="E4012" s="7" t="n">
        <f aca="false">B4012/MAX(B3761:B4012)-1</f>
        <v>-0.0052495716733294</v>
      </c>
      <c r="F4012" s="7" t="str">
        <f aca="false">IFERROR(INDEX(02_轉折點45個!B:B,MATCH(A4012,02_轉折點45個!A:A,0)),"")</f>
        <v/>
      </c>
      <c r="G4012" s="7" t="s">
        <v>1994</v>
      </c>
    </row>
    <row r="4013" customFormat="false" ht="15" hidden="false" customHeight="false" outlineLevel="0" collapsed="false">
      <c r="A4013" s="7" t="s">
        <v>1156</v>
      </c>
      <c r="B4013" s="7" t="n">
        <v>4279.19</v>
      </c>
      <c r="C4013" s="7" t="n">
        <f aca="false">AVERAGE(B3964:B4013)</f>
        <v>4172.0968</v>
      </c>
      <c r="D4013" s="7" t="n">
        <f aca="false">AVERAGE(B3814:B4013)</f>
        <v>4010.59075</v>
      </c>
      <c r="E4013" s="7" t="n">
        <f aca="false">B4013/MAX(B3762:B4013)-1</f>
        <v>-0.0224580239862936</v>
      </c>
      <c r="F4013" s="7" t="str">
        <f aca="false">IFERROR(INDEX(02_轉折點45個!B:B,MATCH(A4013,02_轉折點45個!A:A,0)),"")</f>
        <v/>
      </c>
      <c r="G4013" s="7" t="s">
        <v>1994</v>
      </c>
    </row>
    <row r="4014" customFormat="false" ht="15" hidden="false" customHeight="false" outlineLevel="0" collapsed="false">
      <c r="A4014" s="7" t="s">
        <v>5205</v>
      </c>
      <c r="B4014" s="7" t="n">
        <v>4301.25</v>
      </c>
      <c r="C4014" s="7" t="n">
        <f aca="false">AVERAGE(B3965:B4014)</f>
        <v>4177.3238</v>
      </c>
      <c r="D4014" s="7" t="n">
        <f aca="false">AVERAGE(B3815:B4014)</f>
        <v>4012.3687</v>
      </c>
      <c r="E4014" s="7" t="n">
        <f aca="false">B4014/MAX(B3763:B4014)-1</f>
        <v>-0.0174186179326099</v>
      </c>
      <c r="F4014" s="7" t="str">
        <f aca="false">IFERROR(INDEX(02_轉折點45個!B:B,MATCH(A4014,02_轉折點45個!A:A,0)),"")</f>
        <v/>
      </c>
      <c r="G4014" s="7" t="s">
        <v>1994</v>
      </c>
    </row>
    <row r="4015" customFormat="false" ht="15" hidden="false" customHeight="false" outlineLevel="0" collapsed="false">
      <c r="A4015" s="7" t="s">
        <v>1157</v>
      </c>
      <c r="B4015" s="7" t="n">
        <v>4251.4</v>
      </c>
      <c r="C4015" s="7" t="n">
        <f aca="false">AVERAGE(B3966:B4015)</f>
        <v>4181.4056</v>
      </c>
      <c r="D4015" s="7" t="n">
        <f aca="false">AVERAGE(B3816:B4015)</f>
        <v>4013.9468</v>
      </c>
      <c r="E4015" s="7" t="n">
        <f aca="false">B4015/MAX(B3764:B4015)-1</f>
        <v>-0.0288063963449459</v>
      </c>
      <c r="F4015" s="7" t="str">
        <f aca="false">IFERROR(INDEX(02_轉折點45個!B:B,MATCH(A4015,02_轉折點45個!A:A,0)),"")</f>
        <v/>
      </c>
      <c r="G4015" s="7" t="s">
        <v>1994</v>
      </c>
    </row>
    <row r="4016" customFormat="false" ht="15" hidden="false" customHeight="false" outlineLevel="0" collapsed="false">
      <c r="A4016" s="7" t="s">
        <v>5206</v>
      </c>
      <c r="B4016" s="7" t="n">
        <v>4207.15</v>
      </c>
      <c r="C4016" s="7" t="n">
        <f aca="false">AVERAGE(B3967:B4016)</f>
        <v>4183.7726</v>
      </c>
      <c r="D4016" s="7" t="n">
        <f aca="false">AVERAGE(B3817:B4016)</f>
        <v>4015.44445</v>
      </c>
      <c r="E4016" s="7" t="n">
        <f aca="false">B4016/MAX(B3765:B4016)-1</f>
        <v>-0.0389149057681326</v>
      </c>
      <c r="F4016" s="7" t="str">
        <f aca="false">IFERROR(INDEX(02_轉折點45個!B:B,MATCH(A4016,02_轉折點45個!A:A,0)),"")</f>
        <v/>
      </c>
      <c r="G4016" s="7" t="s">
        <v>1994</v>
      </c>
    </row>
    <row r="4017" customFormat="false" ht="15" hidden="false" customHeight="false" outlineLevel="0" collapsed="false">
      <c r="A4017" s="7" t="s">
        <v>5207</v>
      </c>
      <c r="B4017" s="7" t="n">
        <v>4154.77</v>
      </c>
      <c r="C4017" s="7" t="n">
        <f aca="false">AVERAGE(B3968:B4017)</f>
        <v>4185.4724</v>
      </c>
      <c r="D4017" s="7" t="n">
        <f aca="false">AVERAGE(B3818:B4017)</f>
        <v>4016.3391</v>
      </c>
      <c r="E4017" s="7" t="n">
        <f aca="false">B4017/MAX(B3766:B4017)-1</f>
        <v>-0.0508806396344945</v>
      </c>
      <c r="F4017" s="7" t="str">
        <f aca="false">IFERROR(INDEX(02_轉折點45個!B:B,MATCH(A4017,02_轉折點45個!A:A,0)),"")</f>
        <v/>
      </c>
      <c r="G4017" s="7" t="s">
        <v>1994</v>
      </c>
    </row>
    <row r="4018" customFormat="false" ht="15" hidden="false" customHeight="false" outlineLevel="0" collapsed="false">
      <c r="A4018" s="7" t="s">
        <v>1158</v>
      </c>
      <c r="B4018" s="7" t="n">
        <v>4242.91</v>
      </c>
      <c r="C4018" s="7" t="n">
        <f aca="false">AVERAGE(B3969:B4018)</f>
        <v>4190.2066</v>
      </c>
      <c r="D4018" s="7" t="n">
        <f aca="false">AVERAGE(B3819:B4018)</f>
        <v>4017.64705</v>
      </c>
      <c r="E4018" s="7" t="n">
        <f aca="false">B4018/MAX(B3767:B4018)-1</f>
        <v>-0.0307458595088521</v>
      </c>
      <c r="F4018" s="7" t="str">
        <f aca="false">IFERROR(INDEX(02_轉折點45個!B:B,MATCH(A4018,02_轉折點45個!A:A,0)),"")</f>
        <v/>
      </c>
      <c r="G4018" s="7" t="s">
        <v>1994</v>
      </c>
    </row>
    <row r="4019" customFormat="false" ht="15" hidden="false" customHeight="false" outlineLevel="0" collapsed="false">
      <c r="A4019" s="7" t="s">
        <v>5208</v>
      </c>
      <c r="B4019" s="7" t="n">
        <v>4338.01</v>
      </c>
      <c r="C4019" s="7" t="n">
        <f aca="false">AVERAGE(B3970:B4019)</f>
        <v>4195.3192</v>
      </c>
      <c r="D4019" s="7" t="n">
        <f aca="false">AVERAGE(B3820:B4019)</f>
        <v>4019.45715</v>
      </c>
      <c r="E4019" s="7" t="n">
        <f aca="false">B4019/MAX(B3768:B4019)-1</f>
        <v>-0.00902113078240996</v>
      </c>
      <c r="F4019" s="7" t="str">
        <f aca="false">IFERROR(INDEX(02_轉折點45個!B:B,MATCH(A4019,02_轉折點45個!A:A,0)),"")</f>
        <v/>
      </c>
      <c r="G4019" s="7" t="s">
        <v>1994</v>
      </c>
    </row>
    <row r="4020" customFormat="false" ht="15" hidden="false" customHeight="false" outlineLevel="0" collapsed="false">
      <c r="A4020" s="7" t="s">
        <v>5209</v>
      </c>
      <c r="B4020" s="7" t="n">
        <v>4353.52</v>
      </c>
      <c r="C4020" s="7" t="n">
        <f aca="false">AVERAGE(B3971:B4020)</f>
        <v>4202.391</v>
      </c>
      <c r="D4020" s="7" t="n">
        <f aca="false">AVERAGE(B3821:B4020)</f>
        <v>4021.4175</v>
      </c>
      <c r="E4020" s="7" t="n">
        <f aca="false">B4020/MAX(B3769:B4020)-1</f>
        <v>-0.00547801256424885</v>
      </c>
      <c r="F4020" s="7" t="str">
        <f aca="false">IFERROR(INDEX(02_轉折點45個!B:B,MATCH(A4020,02_轉折點45個!A:A,0)),"")</f>
        <v/>
      </c>
      <c r="G4020" s="7" t="s">
        <v>1994</v>
      </c>
    </row>
    <row r="4021" customFormat="false" ht="15" hidden="false" customHeight="false" outlineLevel="0" collapsed="false">
      <c r="A4021" s="7" t="s">
        <v>5210</v>
      </c>
      <c r="B4021" s="7" t="n">
        <v>4368.17</v>
      </c>
      <c r="C4021" s="7" t="n">
        <f aca="false">AVERAGE(B3972:B4021)</f>
        <v>4211.6212</v>
      </c>
      <c r="D4021" s="7" t="n">
        <f aca="false">AVERAGE(B3822:B4021)</f>
        <v>4023.45915</v>
      </c>
      <c r="E4021" s="7" t="n">
        <f aca="false">B4021/MAX(B3770:B4021)-1</f>
        <v>-0.00213135351227867</v>
      </c>
      <c r="F4021" s="7" t="str">
        <f aca="false">IFERROR(INDEX(02_轉折點45個!B:B,MATCH(A4021,02_轉折點45個!A:A,0)),"")</f>
        <v/>
      </c>
      <c r="G4021" s="7" t="s">
        <v>1994</v>
      </c>
    </row>
    <row r="4022" customFormat="false" ht="15" hidden="false" customHeight="false" outlineLevel="0" collapsed="false">
      <c r="A4022" s="7" t="s">
        <v>5211</v>
      </c>
      <c r="B4022" s="7" t="n">
        <v>4353.56</v>
      </c>
      <c r="C4022" s="7" t="n">
        <f aca="false">AVERAGE(B3973:B4022)</f>
        <v>4221.7028</v>
      </c>
      <c r="D4022" s="7" t="n">
        <f aca="false">AVERAGE(B3823:B4022)</f>
        <v>4025.5523</v>
      </c>
      <c r="E4022" s="7" t="n">
        <f aca="false">B4022/MAX(B3771:B4022)-1</f>
        <v>-0.00546887492861214</v>
      </c>
      <c r="F4022" s="7" t="str">
        <f aca="false">IFERROR(INDEX(02_轉折點45個!B:B,MATCH(A4022,02_轉折點45個!A:A,0)),"")</f>
        <v/>
      </c>
      <c r="G4022" s="7" t="s">
        <v>1994</v>
      </c>
    </row>
    <row r="4023" customFormat="false" ht="15" hidden="false" customHeight="false" outlineLevel="0" collapsed="false">
      <c r="A4023" s="7" t="s">
        <v>5212</v>
      </c>
      <c r="B4023" s="7" t="n">
        <v>4360.91</v>
      </c>
      <c r="C4023" s="7" t="n">
        <f aca="false">AVERAGE(B3974:B4023)</f>
        <v>4231.6844</v>
      </c>
      <c r="D4023" s="7" t="n">
        <f aca="false">AVERAGE(B3824:B4023)</f>
        <v>4027.60845</v>
      </c>
      <c r="E4023" s="7" t="n">
        <f aca="false">B4023/MAX(B3772:B4023)-1</f>
        <v>-0.00378983438035407</v>
      </c>
      <c r="F4023" s="7" t="str">
        <f aca="false">IFERROR(INDEX(02_轉折點45個!B:B,MATCH(A4023,02_轉折點45個!A:A,0)),"")</f>
        <v/>
      </c>
      <c r="G4023" s="7" t="s">
        <v>1994</v>
      </c>
    </row>
    <row r="4024" customFormat="false" ht="15" hidden="false" customHeight="false" outlineLevel="0" collapsed="false">
      <c r="A4024" s="7" t="s">
        <v>1159</v>
      </c>
      <c r="B4024" s="7" t="n">
        <v>4391.42</v>
      </c>
      <c r="C4024" s="7" t="n">
        <f aca="false">AVERAGE(B3975:B4024)</f>
        <v>4242.4928</v>
      </c>
      <c r="D4024" s="7" t="n">
        <f aca="false">AVERAGE(B3825:B4024)</f>
        <v>4030.10455</v>
      </c>
      <c r="E4024" s="7" t="n">
        <f aca="false">B4024/MAX(B3773:B4024)-1</f>
        <v>0</v>
      </c>
      <c r="F4024" s="7" t="str">
        <f aca="false">IFERROR(INDEX(02_轉折點45個!B:B,MATCH(A4024,02_轉折點45個!A:A,0)),"")</f>
        <v/>
      </c>
      <c r="G4024" s="7" t="s">
        <v>1994</v>
      </c>
    </row>
    <row r="4025" customFormat="false" ht="15" hidden="false" customHeight="false" outlineLevel="0" collapsed="false">
      <c r="A4025" s="7" t="s">
        <v>1160</v>
      </c>
      <c r="B4025" s="7" t="n">
        <v>4391.46</v>
      </c>
      <c r="C4025" s="7" t="n">
        <f aca="false">AVERAGE(B3976:B4025)</f>
        <v>4253.2642</v>
      </c>
      <c r="D4025" s="7" t="n">
        <f aca="false">AVERAGE(B3826:B4025)</f>
        <v>4032.66945</v>
      </c>
      <c r="E4025" s="7" t="n">
        <f aca="false">B4025/MAX(B3774:B4025)-1</f>
        <v>0</v>
      </c>
      <c r="F4025" s="7" t="str">
        <f aca="false">IFERROR(INDEX(02_轉折點45個!B:B,MATCH(A4025,02_轉折點45個!A:A,0)),"")</f>
        <v/>
      </c>
      <c r="G4025" s="7" t="s">
        <v>1994</v>
      </c>
    </row>
    <row r="4026" customFormat="false" ht="15" hidden="false" customHeight="false" outlineLevel="0" collapsed="false">
      <c r="A4026" s="7" t="s">
        <v>1161</v>
      </c>
      <c r="B4026" s="7" t="n">
        <v>4364.54</v>
      </c>
      <c r="C4026" s="7" t="n">
        <f aca="false">AVERAGE(B3977:B4026)</f>
        <v>4262.7472</v>
      </c>
      <c r="D4026" s="7" t="n">
        <f aca="false">AVERAGE(B3827:B4026)</f>
        <v>4034.9419</v>
      </c>
      <c r="E4026" s="7" t="n">
        <f aca="false">B4026/MAX(B3775:B4026)-1</f>
        <v>-0.00613007974568824</v>
      </c>
      <c r="F4026" s="7" t="str">
        <f aca="false">IFERROR(INDEX(02_轉折點45個!B:B,MATCH(A4026,02_轉折點45個!A:A,0)),"")</f>
        <v/>
      </c>
      <c r="G4026" s="7" t="s">
        <v>1994</v>
      </c>
    </row>
    <row r="4027" customFormat="false" ht="15" hidden="false" customHeight="false" outlineLevel="0" collapsed="false">
      <c r="A4027" s="7" t="s">
        <v>5213</v>
      </c>
      <c r="B4027" s="7" t="n">
        <v>4326.73</v>
      </c>
      <c r="C4027" s="7" t="n">
        <f aca="false">AVERAGE(B3978:B4027)</f>
        <v>4270.421</v>
      </c>
      <c r="D4027" s="7" t="n">
        <f aca="false">AVERAGE(B3828:B4027)</f>
        <v>4036.7816</v>
      </c>
      <c r="E4027" s="7" t="n">
        <f aca="false">B4027/MAX(B3776:B4027)-1</f>
        <v>-0.0147399725831502</v>
      </c>
      <c r="F4027" s="7" t="str">
        <f aca="false">IFERROR(INDEX(02_轉折點45個!B:B,MATCH(A4027,02_轉折點45個!A:A,0)),"")</f>
        <v/>
      </c>
      <c r="G4027" s="7" t="s">
        <v>1994</v>
      </c>
    </row>
    <row r="4028" customFormat="false" ht="15" hidden="false" customHeight="false" outlineLevel="0" collapsed="false">
      <c r="A4028" s="7" t="s">
        <v>5214</v>
      </c>
      <c r="B4028" s="7" t="n">
        <v>4318.28</v>
      </c>
      <c r="C4028" s="7" t="n">
        <f aca="false">AVERAGE(B3979:B4028)</f>
        <v>4276.0362</v>
      </c>
      <c r="D4028" s="7" t="n">
        <f aca="false">AVERAGE(B3829:B4028)</f>
        <v>4038.69645</v>
      </c>
      <c r="E4028" s="7" t="n">
        <f aca="false">B4028/MAX(B3777:B4028)-1</f>
        <v>-0.0166641618049579</v>
      </c>
      <c r="F4028" s="7" t="str">
        <f aca="false">IFERROR(INDEX(02_轉折點45個!B:B,MATCH(A4028,02_轉折點45個!A:A,0)),"")</f>
        <v/>
      </c>
      <c r="G4028" s="7" t="s">
        <v>1994</v>
      </c>
    </row>
    <row r="4029" customFormat="false" ht="15" hidden="false" customHeight="false" outlineLevel="0" collapsed="false">
      <c r="A4029" s="7" t="s">
        <v>1162</v>
      </c>
      <c r="B4029" s="7" t="n">
        <v>4250.46</v>
      </c>
      <c r="C4029" s="7" t="n">
        <f aca="false">AVERAGE(B3980:B4029)</f>
        <v>4280.9644</v>
      </c>
      <c r="D4029" s="7" t="n">
        <f aca="false">AVERAGE(B3830:B4029)</f>
        <v>4040.2188</v>
      </c>
      <c r="E4029" s="7" t="n">
        <f aca="false">B4029/MAX(B3778:B4029)-1</f>
        <v>-0.0321077728135973</v>
      </c>
      <c r="F4029" s="7" t="str">
        <f aca="false">IFERROR(INDEX(02_轉折點45個!B:B,MATCH(A4029,02_轉折點45個!A:A,0)),"")</f>
        <v/>
      </c>
      <c r="G4029" s="7" t="s">
        <v>1994</v>
      </c>
    </row>
    <row r="4030" customFormat="false" ht="15" hidden="false" customHeight="false" outlineLevel="0" collapsed="false">
      <c r="A4030" s="7" t="s">
        <v>5215</v>
      </c>
      <c r="B4030" s="7" t="n">
        <v>4195.8</v>
      </c>
      <c r="C4030" s="7" t="n">
        <f aca="false">AVERAGE(B3981:B4030)</f>
        <v>4283.5214</v>
      </c>
      <c r="D4030" s="7" t="n">
        <f aca="false">AVERAGE(B3831:B4030)</f>
        <v>4041.662</v>
      </c>
      <c r="E4030" s="7" t="n">
        <f aca="false">B4030/MAX(B3779:B4030)-1</f>
        <v>-0.0445546583596344</v>
      </c>
      <c r="F4030" s="7" t="str">
        <f aca="false">IFERROR(INDEX(02_轉折點45個!B:B,MATCH(A4030,02_轉折點45個!A:A,0)),"")</f>
        <v/>
      </c>
      <c r="G4030" s="7" t="s">
        <v>1994</v>
      </c>
    </row>
    <row r="4031" customFormat="false" ht="15" hidden="false" customHeight="false" outlineLevel="0" collapsed="false">
      <c r="A4031" s="7" t="s">
        <v>5216</v>
      </c>
      <c r="B4031" s="7" t="n">
        <v>4248.54</v>
      </c>
      <c r="C4031" s="7" t="n">
        <f aca="false">AVERAGE(B3982:B4031)</f>
        <v>4286.5682</v>
      </c>
      <c r="D4031" s="7" t="n">
        <f aca="false">AVERAGE(B3832:B4031)</f>
        <v>4043.59915</v>
      </c>
      <c r="E4031" s="7" t="n">
        <f aca="false">B4031/MAX(B3780:B4031)-1</f>
        <v>-0.0325449850391442</v>
      </c>
      <c r="F4031" s="7" t="str">
        <f aca="false">IFERROR(INDEX(02_轉折點45個!B:B,MATCH(A4031,02_轉折點45個!A:A,0)),"")</f>
        <v/>
      </c>
      <c r="G4031" s="7" t="s">
        <v>1994</v>
      </c>
    </row>
    <row r="4032" customFormat="false" ht="15" hidden="false" customHeight="false" outlineLevel="0" collapsed="false">
      <c r="A4032" s="7" t="s">
        <v>5217</v>
      </c>
      <c r="B4032" s="7" t="n">
        <v>4326.85</v>
      </c>
      <c r="C4032" s="7" t="n">
        <f aca="false">AVERAGE(B3983:B4032)</f>
        <v>4291.1408</v>
      </c>
      <c r="D4032" s="7" t="n">
        <f aca="false">AVERAGE(B3833:B4032)</f>
        <v>4045.89185</v>
      </c>
      <c r="E4032" s="7" t="n">
        <f aca="false">B4032/MAX(B3781:B4032)-1</f>
        <v>-0.0147126468190533</v>
      </c>
      <c r="F4032" s="7" t="str">
        <f aca="false">IFERROR(INDEX(02_轉折點45個!B:B,MATCH(A4032,02_轉折點45個!A:A,0)),"")</f>
        <v/>
      </c>
      <c r="G4032" s="7" t="s">
        <v>1994</v>
      </c>
    </row>
    <row r="4033" customFormat="false" ht="15" hidden="false" customHeight="false" outlineLevel="0" collapsed="false">
      <c r="A4033" s="7" t="s">
        <v>5218</v>
      </c>
      <c r="B4033" s="7" t="n">
        <v>4297.51</v>
      </c>
      <c r="C4033" s="7" t="n">
        <f aca="false">AVERAGE(B3984:B4033)</f>
        <v>4293.6948</v>
      </c>
      <c r="D4033" s="7" t="n">
        <f aca="false">AVERAGE(B3834:B4033)</f>
        <v>4048.31505</v>
      </c>
      <c r="E4033" s="7" t="n">
        <f aca="false">B4033/MAX(B3782:B4033)-1</f>
        <v>-0.0213937961406913</v>
      </c>
      <c r="F4033" s="7" t="str">
        <f aca="false">IFERROR(INDEX(02_轉折點45個!B:B,MATCH(A4033,02_轉折點45個!A:A,0)),"")</f>
        <v/>
      </c>
      <c r="G4033" s="7" t="s">
        <v>1994</v>
      </c>
    </row>
    <row r="4034" customFormat="false" ht="15" hidden="false" customHeight="false" outlineLevel="0" collapsed="false">
      <c r="A4034" s="7" t="s">
        <v>5219</v>
      </c>
      <c r="B4034" s="7" t="n">
        <v>4261.55</v>
      </c>
      <c r="C4034" s="7" t="n">
        <f aca="false">AVERAGE(B3985:B4034)</f>
        <v>4295.8048</v>
      </c>
      <c r="D4034" s="7" t="n">
        <f aca="false">AVERAGE(B3835:B4034)</f>
        <v>4050.66055</v>
      </c>
      <c r="E4034" s="7" t="n">
        <f aca="false">B4034/MAX(B3783:B4034)-1</f>
        <v>-0.0295824167816625</v>
      </c>
      <c r="F4034" s="7" t="str">
        <f aca="false">IFERROR(INDEX(02_轉折點45個!B:B,MATCH(A4034,02_轉折點45個!A:A,0)),"")</f>
        <v/>
      </c>
      <c r="G4034" s="7" t="s">
        <v>1994</v>
      </c>
    </row>
    <row r="4035" customFormat="false" ht="15" hidden="false" customHeight="false" outlineLevel="0" collapsed="false">
      <c r="A4035" s="7" t="s">
        <v>5220</v>
      </c>
      <c r="B4035" s="7" t="n">
        <v>4258.62</v>
      </c>
      <c r="C4035" s="7" t="n">
        <f aca="false">AVERAGE(B3986:B4035)</f>
        <v>4297.5472</v>
      </c>
      <c r="D4035" s="7" t="n">
        <f aca="false">AVERAGE(B3836:B4035)</f>
        <v>4052.9707</v>
      </c>
      <c r="E4035" s="7" t="n">
        <f aca="false">B4035/MAX(B3784:B4035)-1</f>
        <v>-0.0302496208550231</v>
      </c>
      <c r="F4035" s="7" t="str">
        <f aca="false">IFERROR(INDEX(02_轉折點45個!B:B,MATCH(A4035,02_轉折點45個!A:A,0)),"")</f>
        <v/>
      </c>
      <c r="G4035" s="7" t="s">
        <v>1994</v>
      </c>
    </row>
    <row r="4036" customFormat="false" ht="15" hidden="false" customHeight="false" outlineLevel="0" collapsed="false">
      <c r="A4036" s="7" t="s">
        <v>5221</v>
      </c>
      <c r="B4036" s="7" t="n">
        <v>4238.36</v>
      </c>
      <c r="C4036" s="7" t="n">
        <f aca="false">AVERAGE(B3987:B4036)</f>
        <v>4297.704</v>
      </c>
      <c r="D4036" s="7" t="n">
        <f aca="false">AVERAGE(B3837:B4036)</f>
        <v>4054.9821</v>
      </c>
      <c r="E4036" s="7" t="n">
        <f aca="false">B4036/MAX(B3785:B4036)-1</f>
        <v>-0.0348631206933459</v>
      </c>
      <c r="F4036" s="7" t="str">
        <f aca="false">IFERROR(INDEX(02_轉折點45個!B:B,MATCH(A4036,02_轉折點45個!A:A,0)),"")</f>
        <v/>
      </c>
      <c r="G4036" s="7" t="s">
        <v>1994</v>
      </c>
    </row>
    <row r="4037" customFormat="false" ht="15" hidden="false" customHeight="false" outlineLevel="0" collapsed="false">
      <c r="A4037" s="7" t="s">
        <v>1163</v>
      </c>
      <c r="B4037" s="7" t="n">
        <v>4175.78</v>
      </c>
      <c r="C4037" s="7" t="n">
        <f aca="false">AVERAGE(B3988:B4037)</f>
        <v>4296.46</v>
      </c>
      <c r="D4037" s="7" t="n">
        <f aca="false">AVERAGE(B3838:B4037)</f>
        <v>4056.3652</v>
      </c>
      <c r="E4037" s="7" t="n">
        <f aca="false">B4037/MAX(B3786:B4037)-1</f>
        <v>-0.0491135066697637</v>
      </c>
      <c r="F4037" s="7" t="str">
        <f aca="false">IFERROR(INDEX(02_轉折點45個!B:B,MATCH(A4037,02_轉折點45個!A:A,0)),"")</f>
        <v/>
      </c>
      <c r="G4037" s="7" t="s">
        <v>1994</v>
      </c>
    </row>
    <row r="4038" customFormat="false" ht="15" hidden="false" customHeight="false" outlineLevel="0" collapsed="false">
      <c r="A4038" s="7" t="s">
        <v>1164</v>
      </c>
      <c r="B4038" s="7" t="n">
        <v>4233.84</v>
      </c>
      <c r="C4038" s="7" t="n">
        <f aca="false">AVERAGE(B3989:B4038)</f>
        <v>4296.6562</v>
      </c>
      <c r="D4038" s="7" t="n">
        <f aca="false">AVERAGE(B3839:B4038)</f>
        <v>4058.0001</v>
      </c>
      <c r="E4038" s="7" t="n">
        <f aca="false">B4038/MAX(B3787:B4038)-1</f>
        <v>-0.0358923911409873</v>
      </c>
      <c r="F4038" s="7" t="str">
        <f aca="false">IFERROR(INDEX(02_轉折點45個!B:B,MATCH(A4038,02_轉折點45個!A:A,0)),"")</f>
        <v/>
      </c>
      <c r="G4038" s="7" t="s">
        <v>1994</v>
      </c>
    </row>
    <row r="4039" customFormat="false" ht="15" hidden="false" customHeight="false" outlineLevel="0" collapsed="false">
      <c r="A4039" s="7" t="s">
        <v>5222</v>
      </c>
      <c r="B4039" s="7" t="n">
        <v>4252.54</v>
      </c>
      <c r="C4039" s="7" t="n">
        <f aca="false">AVERAGE(B3990:B4039)</f>
        <v>4297.2798</v>
      </c>
      <c r="D4039" s="7" t="n">
        <f aca="false">AVERAGE(B3840:B4039)</f>
        <v>4059.9054</v>
      </c>
      <c r="E4039" s="7" t="n">
        <f aca="false">B4039/MAX(B3788:B4039)-1</f>
        <v>-0.0316341262359215</v>
      </c>
      <c r="F4039" s="7" t="str">
        <f aca="false">IFERROR(INDEX(02_轉折點45個!B:B,MATCH(A4039,02_轉折點45個!A:A,0)),"")</f>
        <v/>
      </c>
      <c r="G4039" s="7" t="s">
        <v>1994</v>
      </c>
    </row>
    <row r="4040" customFormat="false" ht="15" hidden="false" customHeight="false" outlineLevel="0" collapsed="false">
      <c r="A4040" s="7" t="s">
        <v>5223</v>
      </c>
      <c r="B4040" s="7" t="n">
        <v>4264.03</v>
      </c>
      <c r="C4040" s="7" t="n">
        <f aca="false">AVERAGE(B3991:B4040)</f>
        <v>4297.8088</v>
      </c>
      <c r="D4040" s="7" t="n">
        <f aca="false">AVERAGE(B3841:B4040)</f>
        <v>4062.37065</v>
      </c>
      <c r="E4040" s="7" t="n">
        <f aca="false">B4040/MAX(B3789:B4040)-1</f>
        <v>-0.0290176843236646</v>
      </c>
      <c r="F4040" s="7" t="str">
        <f aca="false">IFERROR(INDEX(02_轉折點45個!B:B,MATCH(A4040,02_轉折點45個!A:A,0)),"")</f>
        <v/>
      </c>
      <c r="G4040" s="7" t="s">
        <v>1994</v>
      </c>
    </row>
    <row r="4041" customFormat="false" ht="15" hidden="false" customHeight="false" outlineLevel="0" collapsed="false">
      <c r="A4041" s="7" t="s">
        <v>5224</v>
      </c>
      <c r="B4041" s="7" t="n">
        <v>4339.84</v>
      </c>
      <c r="C4041" s="7" t="n">
        <f aca="false">AVERAGE(B3992:B4041)</f>
        <v>4299.9626</v>
      </c>
      <c r="D4041" s="7" t="n">
        <f aca="false">AVERAGE(B3842:B4041)</f>
        <v>4065.4341</v>
      </c>
      <c r="E4041" s="7" t="n">
        <f aca="false">B4041/MAX(B3790:B4041)-1</f>
        <v>-0.0117546328555879</v>
      </c>
      <c r="F4041" s="7" t="str">
        <f aca="false">IFERROR(INDEX(02_轉折點45個!B:B,MATCH(A4041,02_轉折點45個!A:A,0)),"")</f>
        <v/>
      </c>
      <c r="G4041" s="7" t="s">
        <v>1994</v>
      </c>
    </row>
    <row r="4042" customFormat="false" ht="15" hidden="false" customHeight="false" outlineLevel="0" collapsed="false">
      <c r="A4042" s="7" t="s">
        <v>5225</v>
      </c>
      <c r="B4042" s="7" t="n">
        <v>4346.67</v>
      </c>
      <c r="C4042" s="7" t="n">
        <f aca="false">AVERAGE(B3993:B4042)</f>
        <v>4301.9042</v>
      </c>
      <c r="D4042" s="7" t="n">
        <f aca="false">AVERAGE(B3843:B4042)</f>
        <v>4068.37985</v>
      </c>
      <c r="E4042" s="7" t="n">
        <f aca="false">B4042/MAX(B3791:B4042)-1</f>
        <v>-0.0101993414490853</v>
      </c>
      <c r="F4042" s="7" t="str">
        <f aca="false">IFERROR(INDEX(02_轉折點45個!B:B,MATCH(A4042,02_轉折點45個!A:A,0)),"")</f>
        <v/>
      </c>
      <c r="G4042" s="7" t="s">
        <v>1994</v>
      </c>
    </row>
    <row r="4043" customFormat="false" ht="15" hidden="false" customHeight="false" outlineLevel="0" collapsed="false">
      <c r="A4043" s="7" t="s">
        <v>5226</v>
      </c>
      <c r="B4043" s="7" t="n">
        <v>4359.35</v>
      </c>
      <c r="C4043" s="7" t="n">
        <f aca="false">AVERAGE(B3994:B4043)</f>
        <v>4303.936</v>
      </c>
      <c r="D4043" s="7" t="n">
        <f aca="false">AVERAGE(B3844:B4043)</f>
        <v>4071.0651</v>
      </c>
      <c r="E4043" s="7" t="n">
        <f aca="false">B4043/MAX(B3792:B4043)-1</f>
        <v>-0.00731191904286954</v>
      </c>
      <c r="F4043" s="7" t="str">
        <f aca="false">IFERROR(INDEX(02_轉折點45個!B:B,MATCH(A4043,02_轉折點45個!A:A,0)),"")</f>
        <v/>
      </c>
      <c r="G4043" s="7" t="s">
        <v>1994</v>
      </c>
    </row>
    <row r="4044" customFormat="false" ht="15" hidden="false" customHeight="false" outlineLevel="0" collapsed="false">
      <c r="A4044" s="7" t="s">
        <v>1165</v>
      </c>
      <c r="B4044" s="7" t="n">
        <v>4276.89</v>
      </c>
      <c r="C4044" s="7" t="n">
        <f aca="false">AVERAGE(B3995:B4044)</f>
        <v>4304.0522</v>
      </c>
      <c r="D4044" s="7" t="n">
        <f aca="false">AVERAGE(B3845:B4044)</f>
        <v>4073.93095</v>
      </c>
      <c r="E4044" s="7" t="n">
        <f aca="false">B4044/MAX(B3793:B4044)-1</f>
        <v>-0.0260892732713038</v>
      </c>
      <c r="F4044" s="7" t="str">
        <f aca="false">IFERROR(INDEX(02_轉折點45個!B:B,MATCH(A4044,02_轉折點45個!A:A,0)),"")</f>
        <v/>
      </c>
      <c r="G4044" s="7" t="s">
        <v>1994</v>
      </c>
    </row>
    <row r="4045" customFormat="false" ht="15" hidden="false" customHeight="false" outlineLevel="0" collapsed="false">
      <c r="A4045" s="7" t="s">
        <v>5227</v>
      </c>
      <c r="B4045" s="7" t="n">
        <v>4237.14</v>
      </c>
      <c r="C4045" s="7" t="n">
        <f aca="false">AVERAGE(B3996:B4045)</f>
        <v>4303.282</v>
      </c>
      <c r="D4045" s="7" t="n">
        <f aca="false">AVERAGE(B3846:B4045)</f>
        <v>4076.84645</v>
      </c>
      <c r="E4045" s="7" t="n">
        <f aca="false">B4045/MAX(B3794:B4045)-1</f>
        <v>-0.0351409326283285</v>
      </c>
      <c r="F4045" s="7" t="str">
        <f aca="false">IFERROR(INDEX(02_轉折點45個!B:B,MATCH(A4045,02_轉折點45個!A:A,0)),"")</f>
        <v/>
      </c>
      <c r="G4045" s="7" t="s">
        <v>1994</v>
      </c>
    </row>
    <row r="4046" customFormat="false" ht="15" hidden="false" customHeight="false" outlineLevel="0" collapsed="false">
      <c r="A4046" s="7" t="s">
        <v>5228</v>
      </c>
      <c r="B4046" s="7" t="n">
        <v>4278.64</v>
      </c>
      <c r="C4046" s="7" t="n">
        <f aca="false">AVERAGE(B3997:B4046)</f>
        <v>4303.1884</v>
      </c>
      <c r="D4046" s="7" t="n">
        <f aca="false">AVERAGE(B3847:B4046)</f>
        <v>4079.86455</v>
      </c>
      <c r="E4046" s="7" t="n">
        <f aca="false">B4046/MAX(B3795:B4046)-1</f>
        <v>-0.0256907725448939</v>
      </c>
      <c r="F4046" s="7" t="str">
        <f aca="false">IFERROR(INDEX(02_轉折點45個!B:B,MATCH(A4046,02_轉折點45個!A:A,0)),"")</f>
        <v/>
      </c>
      <c r="G4046" s="7" t="s">
        <v>1994</v>
      </c>
    </row>
    <row r="4047" customFormat="false" ht="15" hidden="false" customHeight="false" outlineLevel="0" collapsed="false">
      <c r="A4047" s="7" t="s">
        <v>1166</v>
      </c>
      <c r="B4047" s="7" t="n">
        <v>4234.63</v>
      </c>
      <c r="C4047" s="7" t="n">
        <f aca="false">AVERAGE(B3998:B4047)</f>
        <v>4302.535</v>
      </c>
      <c r="D4047" s="7" t="n">
        <f aca="false">AVERAGE(B3848:B4047)</f>
        <v>4082.6102</v>
      </c>
      <c r="E4047" s="7" t="n">
        <f aca="false">B4047/MAX(B3796:B4047)-1</f>
        <v>-0.0357124965273508</v>
      </c>
      <c r="F4047" s="7" t="str">
        <f aca="false">IFERROR(INDEX(02_轉折點45個!B:B,MATCH(A4047,02_轉折點45個!A:A,0)),"")</f>
        <v/>
      </c>
      <c r="G4047" s="7" t="s">
        <v>1994</v>
      </c>
    </row>
    <row r="4048" customFormat="false" ht="15" hidden="false" customHeight="false" outlineLevel="0" collapsed="false">
      <c r="A4048" s="7" t="s">
        <v>5229</v>
      </c>
      <c r="B4048" s="7" t="n">
        <v>4272.5</v>
      </c>
      <c r="C4048" s="7" t="n">
        <f aca="false">AVERAGE(B3999:B4048)</f>
        <v>4302.0646</v>
      </c>
      <c r="D4048" s="7" t="n">
        <f aca="false">AVERAGE(B3849:B4048)</f>
        <v>4085.30735</v>
      </c>
      <c r="E4048" s="7" t="n">
        <f aca="false">B4048/MAX(B3797:B4048)-1</f>
        <v>-0.0270889408078406</v>
      </c>
      <c r="F4048" s="7" t="str">
        <f aca="false">IFERROR(INDEX(02_轉折點45個!B:B,MATCH(A4048,02_轉折點45個!A:A,0)),"")</f>
        <v/>
      </c>
      <c r="G4048" s="7" t="s">
        <v>1994</v>
      </c>
    </row>
    <row r="4049" customFormat="false" ht="15" hidden="false" customHeight="false" outlineLevel="0" collapsed="false">
      <c r="A4049" s="7" t="s">
        <v>5230</v>
      </c>
      <c r="B4049" s="7" t="n">
        <v>4319.13</v>
      </c>
      <c r="C4049" s="7" t="n">
        <f aca="false">AVERAGE(B4000:B4049)</f>
        <v>4303.0152</v>
      </c>
      <c r="D4049" s="7" t="n">
        <f aca="false">AVERAGE(B3850:B4049)</f>
        <v>4088.19525</v>
      </c>
      <c r="E4049" s="7" t="n">
        <f aca="false">B4049/MAX(B3798:B4049)-1</f>
        <v>-0.0164706043092729</v>
      </c>
      <c r="F4049" s="7" t="str">
        <f aca="false">IFERROR(INDEX(02_轉折點45個!B:B,MATCH(A4049,02_轉折點45個!A:A,0)),"")</f>
        <v/>
      </c>
      <c r="G4049" s="7" t="s">
        <v>1994</v>
      </c>
    </row>
    <row r="4050" customFormat="false" ht="15" hidden="false" customHeight="false" outlineLevel="0" collapsed="false">
      <c r="A4050" s="7" t="s">
        <v>5231</v>
      </c>
      <c r="B4050" s="7" t="n">
        <v>4309.05</v>
      </c>
      <c r="C4050" s="7" t="n">
        <f aca="false">AVERAGE(B4001:B4050)</f>
        <v>4303.2862</v>
      </c>
      <c r="D4050" s="7" t="n">
        <f aca="false">AVERAGE(B3851:B4050)</f>
        <v>4090.9138</v>
      </c>
      <c r="E4050" s="7" t="n">
        <f aca="false">B4050/MAX(B3799:B4050)-1</f>
        <v>-0.018765968493394</v>
      </c>
      <c r="F4050" s="7" t="str">
        <f aca="false">IFERROR(INDEX(02_轉折點45個!B:B,MATCH(A4050,02_轉折點45個!A:A,0)),"")</f>
        <v/>
      </c>
      <c r="G4050" s="7" t="s">
        <v>1994</v>
      </c>
    </row>
    <row r="4051" customFormat="false" ht="15" hidden="false" customHeight="false" outlineLevel="0" collapsed="false">
      <c r="A4051" s="7" t="s">
        <v>5232</v>
      </c>
      <c r="B4051" s="7" t="n">
        <v>4353.26</v>
      </c>
      <c r="C4051" s="7" t="n">
        <f aca="false">AVERAGE(B4002:B4051)</f>
        <v>4304.2386</v>
      </c>
      <c r="D4051" s="7" t="n">
        <f aca="false">AVERAGE(B3852:B4051)</f>
        <v>4093.6711</v>
      </c>
      <c r="E4051" s="7" t="n">
        <f aca="false">B4051/MAX(B3800:B4051)-1</f>
        <v>-0.00869870157077601</v>
      </c>
      <c r="F4051" s="7" t="str">
        <f aca="false">IFERROR(INDEX(02_轉折點45個!B:B,MATCH(A4051,02_轉折點45個!A:A,0)),"")</f>
        <v/>
      </c>
      <c r="G4051" s="7" t="s">
        <v>1994</v>
      </c>
    </row>
    <row r="4052" customFormat="false" ht="15" hidden="false" customHeight="false" outlineLevel="0" collapsed="false">
      <c r="A4052" s="7" t="s">
        <v>5233</v>
      </c>
      <c r="B4052" s="7" t="n">
        <v>4334.35</v>
      </c>
      <c r="C4052" s="7" t="n">
        <f aca="false">AVERAGE(B4003:B4052)</f>
        <v>4304.0468</v>
      </c>
      <c r="D4052" s="7" t="n">
        <f aca="false">AVERAGE(B3853:B4052)</f>
        <v>4096.4914</v>
      </c>
      <c r="E4052" s="7" t="n">
        <f aca="false">B4052/MAX(B3801:B4052)-1</f>
        <v>-0.0130047865630109</v>
      </c>
      <c r="F4052" s="7" t="str">
        <f aca="false">IFERROR(INDEX(02_轉折點45個!B:B,MATCH(A4052,02_轉折點45個!A:A,0)),"")</f>
        <v/>
      </c>
      <c r="G4052" s="7" t="s">
        <v>1994</v>
      </c>
    </row>
    <row r="4053" customFormat="false" ht="15" hidden="false" customHeight="false" outlineLevel="0" collapsed="false">
      <c r="A4053" s="7" t="s">
        <v>5234</v>
      </c>
      <c r="B4053" s="7" t="n">
        <v>4317.55</v>
      </c>
      <c r="C4053" s="7" t="n">
        <f aca="false">AVERAGE(B4004:B4053)</f>
        <v>4303.4576</v>
      </c>
      <c r="D4053" s="7" t="n">
        <f aca="false">AVERAGE(B3854:B4053)</f>
        <v>4099.1301</v>
      </c>
      <c r="E4053" s="7" t="n">
        <f aca="false">B4053/MAX(B3802:B4053)-1</f>
        <v>-0.0168303935365459</v>
      </c>
      <c r="F4053" s="7" t="str">
        <f aca="false">IFERROR(INDEX(02_轉折點45個!B:B,MATCH(A4053,02_轉折點45個!A:A,0)),"")</f>
        <v/>
      </c>
      <c r="G4053" s="7" t="s">
        <v>1994</v>
      </c>
    </row>
    <row r="4054" customFormat="false" ht="15" hidden="false" customHeight="false" outlineLevel="0" collapsed="false">
      <c r="A4054" s="7" t="s">
        <v>5235</v>
      </c>
      <c r="B4054" s="7" t="n">
        <v>4373.86</v>
      </c>
      <c r="C4054" s="7" t="n">
        <f aca="false">AVERAGE(B4005:B4054)</f>
        <v>4303.4636</v>
      </c>
      <c r="D4054" s="7" t="n">
        <f aca="false">AVERAGE(B3855:B4054)</f>
        <v>4102.3828</v>
      </c>
      <c r="E4054" s="7" t="n">
        <f aca="false">B4054/MAX(B3803:B4054)-1</f>
        <v>-0.00400777873417957</v>
      </c>
      <c r="F4054" s="7" t="str">
        <f aca="false">IFERROR(INDEX(02_轉折點45個!B:B,MATCH(A4054,02_轉折點45個!A:A,0)),"")</f>
        <v/>
      </c>
      <c r="G4054" s="7" t="s">
        <v>1994</v>
      </c>
    </row>
    <row r="4055" customFormat="false" ht="15" hidden="false" customHeight="false" outlineLevel="0" collapsed="false">
      <c r="A4055" s="7" t="s">
        <v>5236</v>
      </c>
      <c r="B4055" s="7" t="n">
        <v>4386.23</v>
      </c>
      <c r="C4055" s="7" t="n">
        <f aca="false">AVERAGE(B4006:B4055)</f>
        <v>4303.6382</v>
      </c>
      <c r="D4055" s="7" t="n">
        <f aca="false">AVERAGE(B3856:B4055)</f>
        <v>4105.70265</v>
      </c>
      <c r="E4055" s="7" t="n">
        <f aca="false">B4055/MAX(B3804:B4055)-1</f>
        <v>-0.00119094788521368</v>
      </c>
      <c r="F4055" s="7" t="str">
        <f aca="false">IFERROR(INDEX(02_轉折點45個!B:B,MATCH(A4055,02_轉折點45個!A:A,0)),"")</f>
        <v/>
      </c>
      <c r="G4055" s="7" t="s">
        <v>1994</v>
      </c>
    </row>
    <row r="4056" customFormat="false" ht="15" hidden="false" customHeight="false" outlineLevel="0" collapsed="false">
      <c r="A4056" s="7" t="s">
        <v>1168</v>
      </c>
      <c r="B4056" s="7" t="n">
        <v>4437.78</v>
      </c>
      <c r="C4056" s="7" t="n">
        <f aca="false">AVERAGE(B4007:B4056)</f>
        <v>4306.0182</v>
      </c>
      <c r="D4056" s="7" t="n">
        <f aca="false">AVERAGE(B3857:B4056)</f>
        <v>4109.14715</v>
      </c>
      <c r="E4056" s="7" t="n">
        <f aca="false">B4056/MAX(B3805:B4056)-1</f>
        <v>0</v>
      </c>
      <c r="F4056" s="7" t="str">
        <f aca="false">IFERROR(INDEX(02_轉折點45個!B:B,MATCH(A4056,02_轉折點45個!A:A,0)),"")</f>
        <v/>
      </c>
      <c r="G4056" s="7" t="s">
        <v>1994</v>
      </c>
    </row>
    <row r="4057" customFormat="false" ht="15" hidden="false" customHeight="false" outlineLevel="0" collapsed="false">
      <c r="A4057" s="7" t="s">
        <v>5237</v>
      </c>
      <c r="B4057" s="7" t="n">
        <v>4470.88</v>
      </c>
      <c r="C4057" s="7" t="n">
        <f aca="false">AVERAGE(B4008:B4057)</f>
        <v>4308.5402</v>
      </c>
      <c r="D4057" s="7" t="n">
        <f aca="false">AVERAGE(B3858:B4057)</f>
        <v>4112.7068</v>
      </c>
      <c r="E4057" s="7" t="n">
        <f aca="false">B4057/MAX(B3806:B4057)-1</f>
        <v>0</v>
      </c>
      <c r="F4057" s="7" t="str">
        <f aca="false">IFERROR(INDEX(02_轉折點45個!B:B,MATCH(A4057,02_轉折點45個!A:A,0)),"")</f>
        <v/>
      </c>
      <c r="G4057" s="7" t="s">
        <v>1994</v>
      </c>
    </row>
    <row r="4058" customFormat="false" ht="15" hidden="false" customHeight="false" outlineLevel="0" collapsed="false">
      <c r="A4058" s="7" t="s">
        <v>5238</v>
      </c>
      <c r="B4058" s="7" t="n">
        <v>4475.84</v>
      </c>
      <c r="C4058" s="7" t="n">
        <f aca="false">AVERAGE(B4009:B4058)</f>
        <v>4310.8204</v>
      </c>
      <c r="D4058" s="7" t="n">
        <f aca="false">AVERAGE(B3859:B4058)</f>
        <v>4116.23235</v>
      </c>
      <c r="E4058" s="7" t="n">
        <f aca="false">B4058/MAX(B3807:B4058)-1</f>
        <v>0</v>
      </c>
      <c r="F4058" s="7" t="str">
        <f aca="false">IFERROR(INDEX(02_轉折點45個!B:B,MATCH(A4058,02_轉折點45個!A:A,0)),"")</f>
        <v/>
      </c>
      <c r="G4058" s="7" t="s">
        <v>1994</v>
      </c>
    </row>
    <row r="4059" customFormat="false" ht="15" hidden="false" customHeight="false" outlineLevel="0" collapsed="false">
      <c r="A4059" s="7" t="s">
        <v>5239</v>
      </c>
      <c r="B4059" s="7" t="n">
        <v>4482.32</v>
      </c>
      <c r="C4059" s="7" t="n">
        <f aca="false">AVERAGE(B4010:B4059)</f>
        <v>4313.3222</v>
      </c>
      <c r="D4059" s="7" t="n">
        <f aca="false">AVERAGE(B3860:B4059)</f>
        <v>4119.80655</v>
      </c>
      <c r="E4059" s="7" t="n">
        <f aca="false">B4059/MAX(B3808:B4059)-1</f>
        <v>0</v>
      </c>
      <c r="F4059" s="7" t="str">
        <f aca="false">IFERROR(INDEX(02_轉折點45個!B:B,MATCH(A4059,02_轉折點45個!A:A,0)),"")</f>
        <v/>
      </c>
      <c r="G4059" s="7" t="s">
        <v>1994</v>
      </c>
    </row>
    <row r="4060" customFormat="false" ht="15" hidden="false" customHeight="false" outlineLevel="0" collapsed="false">
      <c r="A4060" s="7" t="s">
        <v>1169</v>
      </c>
      <c r="B4060" s="7" t="n">
        <v>4499.07</v>
      </c>
      <c r="C4060" s="7" t="n">
        <f aca="false">AVERAGE(B4011:B4060)</f>
        <v>4315.9522</v>
      </c>
      <c r="D4060" s="7" t="n">
        <f aca="false">AVERAGE(B3861:B4060)</f>
        <v>4123.3998</v>
      </c>
      <c r="E4060" s="7" t="n">
        <f aca="false">B4060/MAX(B3809:B4060)-1</f>
        <v>0</v>
      </c>
      <c r="F4060" s="7" t="str">
        <f aca="false">IFERROR(INDEX(02_轉折點45個!B:B,MATCH(A4060,02_轉折點45個!A:A,0)),"")</f>
        <v/>
      </c>
      <c r="G4060" s="7" t="s">
        <v>1994</v>
      </c>
    </row>
    <row r="4061" customFormat="false" ht="15" hidden="false" customHeight="false" outlineLevel="0" collapsed="false">
      <c r="A4061" s="7" t="s">
        <v>5240</v>
      </c>
      <c r="B4061" s="7" t="n">
        <v>4527.64</v>
      </c>
      <c r="C4061" s="7" t="n">
        <f aca="false">AVERAGE(B4012:B4061)</f>
        <v>4319.8858</v>
      </c>
      <c r="D4061" s="7" t="n">
        <f aca="false">AVERAGE(B3862:B4061)</f>
        <v>4127.39765</v>
      </c>
      <c r="E4061" s="7" t="n">
        <f aca="false">B4061/MAX(B3810:B4061)-1</f>
        <v>0</v>
      </c>
      <c r="F4061" s="7" t="str">
        <f aca="false">IFERROR(INDEX(02_轉折點45個!B:B,MATCH(A4061,02_轉折點45個!A:A,0)),"")</f>
        <v/>
      </c>
      <c r="G4061" s="7" t="s">
        <v>1994</v>
      </c>
    </row>
    <row r="4062" customFormat="false" ht="15" hidden="false" customHeight="false" outlineLevel="0" collapsed="false">
      <c r="A4062" s="7" t="s">
        <v>5241</v>
      </c>
      <c r="B4062" s="7" t="n">
        <v>4532.21</v>
      </c>
      <c r="C4062" s="7" t="n">
        <f aca="false">AVERAGE(B4013:B4062)</f>
        <v>4323.4396</v>
      </c>
      <c r="D4062" s="7" t="n">
        <f aca="false">AVERAGE(B3863:B4062)</f>
        <v>4131.47815</v>
      </c>
      <c r="E4062" s="7" t="n">
        <f aca="false">B4062/MAX(B3811:B4062)-1</f>
        <v>0</v>
      </c>
      <c r="F4062" s="7" t="str">
        <f aca="false">IFERROR(INDEX(02_轉折點45個!B:B,MATCH(A4062,02_轉折點45個!A:A,0)),"")</f>
        <v/>
      </c>
      <c r="G4062" s="7" t="s">
        <v>1994</v>
      </c>
    </row>
    <row r="4063" customFormat="false" ht="15" hidden="false" customHeight="false" outlineLevel="0" collapsed="false">
      <c r="A4063" s="7" t="s">
        <v>5242</v>
      </c>
      <c r="B4063" s="7" t="n">
        <v>4538.74</v>
      </c>
      <c r="C4063" s="7" t="n">
        <f aca="false">AVERAGE(B4014:B4063)</f>
        <v>4328.6306</v>
      </c>
      <c r="D4063" s="7" t="n">
        <f aca="false">AVERAGE(B3864:B4063)</f>
        <v>4135.66515</v>
      </c>
      <c r="E4063" s="7" t="n">
        <f aca="false">B4063/MAX(B3812:B4063)-1</f>
        <v>0</v>
      </c>
      <c r="F4063" s="7" t="str">
        <f aca="false">IFERROR(INDEX(02_轉折點45個!B:B,MATCH(A4063,02_轉折點45個!A:A,0)),"")</f>
        <v/>
      </c>
      <c r="G4063" s="7" t="s">
        <v>1994</v>
      </c>
    </row>
    <row r="4064" customFormat="false" ht="15" hidden="false" customHeight="false" outlineLevel="0" collapsed="false">
      <c r="A4064" s="7" t="s">
        <v>5243</v>
      </c>
      <c r="B4064" s="7" t="n">
        <v>4537.84</v>
      </c>
      <c r="C4064" s="7" t="n">
        <f aca="false">AVERAGE(B4015:B4064)</f>
        <v>4333.3624</v>
      </c>
      <c r="D4064" s="7" t="n">
        <f aca="false">AVERAGE(B3865:B4064)</f>
        <v>4139.7546</v>
      </c>
      <c r="E4064" s="7" t="n">
        <f aca="false">B4064/MAX(B3813:B4064)-1</f>
        <v>-0.00019829291829887</v>
      </c>
      <c r="F4064" s="7" t="str">
        <f aca="false">IFERROR(INDEX(02_轉折點45個!B:B,MATCH(A4064,02_轉折點45個!A:A,0)),"")</f>
        <v/>
      </c>
      <c r="G4064" s="7" t="s">
        <v>1994</v>
      </c>
    </row>
    <row r="4065" customFormat="false" ht="15" hidden="false" customHeight="false" outlineLevel="0" collapsed="false">
      <c r="A4065" s="7" t="s">
        <v>5244</v>
      </c>
      <c r="B4065" s="7" t="n">
        <v>4556.8</v>
      </c>
      <c r="C4065" s="7" t="n">
        <f aca="false">AVERAGE(B4016:B4065)</f>
        <v>4339.4704</v>
      </c>
      <c r="D4065" s="7" t="n">
        <f aca="false">AVERAGE(B3866:B4065)</f>
        <v>4143.61</v>
      </c>
      <c r="E4065" s="7" t="n">
        <f aca="false">B4065/MAX(B3814:B4065)-1</f>
        <v>0</v>
      </c>
      <c r="F4065" s="7" t="str">
        <f aca="false">IFERROR(INDEX(02_轉折點45個!B:B,MATCH(A4065,02_轉折點45個!A:A,0)),"")</f>
        <v/>
      </c>
      <c r="G4065" s="7" t="s">
        <v>1994</v>
      </c>
    </row>
    <row r="4066" customFormat="false" ht="15" hidden="false" customHeight="false" outlineLevel="0" collapsed="false">
      <c r="A4066" s="7" t="s">
        <v>1170</v>
      </c>
      <c r="B4066" s="7" t="n">
        <v>4534.54</v>
      </c>
      <c r="C4066" s="7" t="n">
        <f aca="false">AVERAGE(B4017:B4066)</f>
        <v>4346.0182</v>
      </c>
      <c r="D4066" s="7" t="n">
        <f aca="false">AVERAGE(B3867:B4066)</f>
        <v>4147.41665</v>
      </c>
      <c r="E4066" s="7" t="n">
        <f aca="false">B4066/MAX(B3815:B4066)-1</f>
        <v>-0.00488500702247197</v>
      </c>
      <c r="F4066" s="7" t="str">
        <f aca="false">IFERROR(INDEX(02_轉折點45個!B:B,MATCH(A4066,02_轉折點45個!A:A,0)),"")</f>
        <v/>
      </c>
      <c r="G4066" s="7" t="s">
        <v>1994</v>
      </c>
    </row>
    <row r="4067" customFormat="false" ht="15" hidden="false" customHeight="false" outlineLevel="0" collapsed="false">
      <c r="A4067" s="7" t="s">
        <v>5245</v>
      </c>
      <c r="B4067" s="7" t="n">
        <v>4575.26</v>
      </c>
      <c r="C4067" s="7" t="n">
        <f aca="false">AVERAGE(B4018:B4067)</f>
        <v>4354.428</v>
      </c>
      <c r="D4067" s="7" t="n">
        <f aca="false">AVERAGE(B3868:B4067)</f>
        <v>4151.56185</v>
      </c>
      <c r="E4067" s="7" t="n">
        <f aca="false">B4067/MAX(B3816:B4067)-1</f>
        <v>0</v>
      </c>
      <c r="F4067" s="7" t="str">
        <f aca="false">IFERROR(INDEX(02_轉折點45個!B:B,MATCH(A4067,02_轉折點45個!A:A,0)),"")</f>
        <v/>
      </c>
      <c r="G4067" s="7" t="s">
        <v>1994</v>
      </c>
    </row>
    <row r="4068" customFormat="false" ht="15" hidden="false" customHeight="false" outlineLevel="0" collapsed="false">
      <c r="A4068" s="7" t="s">
        <v>1172</v>
      </c>
      <c r="B4068" s="7" t="n">
        <v>4549.5</v>
      </c>
      <c r="C4068" s="7" t="n">
        <f aca="false">AVERAGE(B4019:B4068)</f>
        <v>4360.5598</v>
      </c>
      <c r="D4068" s="7" t="n">
        <f aca="false">AVERAGE(B3869:B4068)</f>
        <v>4155.7214</v>
      </c>
      <c r="E4068" s="7" t="n">
        <f aca="false">B4068/MAX(B3817:B4068)-1</f>
        <v>-0.00563028112063579</v>
      </c>
      <c r="F4068" s="7" t="str">
        <f aca="false">IFERROR(INDEX(02_轉折點45個!B:B,MATCH(A4068,02_轉折點45個!A:A,0)),"")</f>
        <v/>
      </c>
      <c r="G4068" s="7" t="s">
        <v>1994</v>
      </c>
    </row>
    <row r="4069" customFormat="false" ht="15" hidden="false" customHeight="false" outlineLevel="0" collapsed="false">
      <c r="A4069" s="7" t="s">
        <v>5246</v>
      </c>
      <c r="B4069" s="7" t="n">
        <v>4537.84</v>
      </c>
      <c r="C4069" s="7" t="n">
        <f aca="false">AVERAGE(B4020:B4069)</f>
        <v>4364.5564</v>
      </c>
      <c r="D4069" s="7" t="n">
        <f aca="false">AVERAGE(B3870:B4069)</f>
        <v>4159.72535</v>
      </c>
      <c r="E4069" s="7" t="n">
        <f aca="false">B4069/MAX(B3818:B4069)-1</f>
        <v>-0.00817877016825275</v>
      </c>
      <c r="F4069" s="7" t="str">
        <f aca="false">IFERROR(INDEX(02_轉折點45個!B:B,MATCH(A4069,02_轉折點45個!A:A,0)),"")</f>
        <v/>
      </c>
      <c r="G4069" s="7" t="s">
        <v>1994</v>
      </c>
    </row>
    <row r="4070" customFormat="false" ht="15" hidden="false" customHeight="false" outlineLevel="0" collapsed="false">
      <c r="A4070" s="7" t="s">
        <v>5247</v>
      </c>
      <c r="B4070" s="7" t="n">
        <v>4552.16</v>
      </c>
      <c r="C4070" s="7" t="n">
        <f aca="false">AVERAGE(B4021:B4070)</f>
        <v>4368.5292</v>
      </c>
      <c r="D4070" s="7" t="n">
        <f aca="false">AVERAGE(B3871:B4070)</f>
        <v>4163.64</v>
      </c>
      <c r="E4070" s="7" t="n">
        <f aca="false">B4070/MAX(B3819:B4070)-1</f>
        <v>-0.00504889339622239</v>
      </c>
      <c r="F4070" s="7" t="str">
        <f aca="false">IFERROR(INDEX(02_轉折點45個!B:B,MATCH(A4070,02_轉折點45個!A:A,0)),"")</f>
        <v/>
      </c>
      <c r="G4070" s="7" t="s">
        <v>1994</v>
      </c>
    </row>
    <row r="4071" customFormat="false" ht="15" hidden="false" customHeight="false" outlineLevel="0" collapsed="false">
      <c r="A4071" s="7" t="s">
        <v>5248</v>
      </c>
      <c r="B4071" s="7" t="n">
        <v>4501.51</v>
      </c>
      <c r="C4071" s="7" t="n">
        <f aca="false">AVERAGE(B4022:B4071)</f>
        <v>4371.196</v>
      </c>
      <c r="D4071" s="7" t="n">
        <f aca="false">AVERAGE(B3872:B4071)</f>
        <v>4167.4335</v>
      </c>
      <c r="E4071" s="7" t="n">
        <f aca="false">B4071/MAX(B3820:B4071)-1</f>
        <v>-0.0161193025095842</v>
      </c>
      <c r="F4071" s="7" t="str">
        <f aca="false">IFERROR(INDEX(02_轉折點45個!B:B,MATCH(A4071,02_轉折點45個!A:A,0)),"")</f>
        <v/>
      </c>
      <c r="G4071" s="7" t="s">
        <v>1994</v>
      </c>
    </row>
    <row r="4072" customFormat="false" ht="15" hidden="false" customHeight="false" outlineLevel="0" collapsed="false">
      <c r="A4072" s="7" t="s">
        <v>1173</v>
      </c>
      <c r="B4072" s="7" t="n">
        <v>4515.28</v>
      </c>
      <c r="C4072" s="7" t="n">
        <f aca="false">AVERAGE(B4023:B4072)</f>
        <v>4374.4304</v>
      </c>
      <c r="D4072" s="7" t="n">
        <f aca="false">AVERAGE(B3873:B4072)</f>
        <v>4171.1376</v>
      </c>
      <c r="E4072" s="7" t="n">
        <f aca="false">B4072/MAX(B3821:B4072)-1</f>
        <v>-0.0131096374850829</v>
      </c>
      <c r="F4072" s="7" t="str">
        <f aca="false">IFERROR(INDEX(02_轉折點45個!B:B,MATCH(A4072,02_轉折點45個!A:A,0)),"")</f>
        <v/>
      </c>
      <c r="G4072" s="7" t="s">
        <v>1994</v>
      </c>
    </row>
    <row r="4073" customFormat="false" ht="15" hidden="false" customHeight="false" outlineLevel="0" collapsed="false">
      <c r="A4073" s="7" t="s">
        <v>1174</v>
      </c>
      <c r="B4073" s="7" t="n">
        <v>4439.77</v>
      </c>
      <c r="C4073" s="7" t="n">
        <f aca="false">AVERAGE(B4024:B4073)</f>
        <v>4376.0076</v>
      </c>
      <c r="D4073" s="7" t="n">
        <f aca="false">AVERAGE(B3874:B4073)</f>
        <v>4174.36</v>
      </c>
      <c r="E4073" s="7" t="n">
        <f aca="false">B4073/MAX(B3822:B4073)-1</f>
        <v>-0.0296136175867601</v>
      </c>
      <c r="F4073" s="7" t="str">
        <f aca="false">IFERROR(INDEX(02_轉折點45個!B:B,MATCH(A4073,02_轉折點45個!A:A,0)),"")</f>
        <v/>
      </c>
      <c r="G4073" s="7" t="s">
        <v>1994</v>
      </c>
    </row>
    <row r="4074" customFormat="false" ht="15" hidden="false" customHeight="false" outlineLevel="0" collapsed="false">
      <c r="A4074" s="7" t="s">
        <v>5249</v>
      </c>
      <c r="B4074" s="7" t="n">
        <v>4430.77</v>
      </c>
      <c r="C4074" s="7" t="n">
        <f aca="false">AVERAGE(B4025:B4074)</f>
        <v>4376.7946</v>
      </c>
      <c r="D4074" s="7" t="n">
        <f aca="false">AVERAGE(B3875:B4074)</f>
        <v>4177.39365</v>
      </c>
      <c r="E4074" s="7" t="n">
        <f aca="false">B4074/MAX(B3823:B4074)-1</f>
        <v>-0.0315807189099635</v>
      </c>
      <c r="F4074" s="7" t="str">
        <f aca="false">IFERROR(INDEX(02_轉折點45個!B:B,MATCH(A4074,02_轉折點45個!A:A,0)),"")</f>
        <v/>
      </c>
      <c r="G4074" s="7" t="s">
        <v>1994</v>
      </c>
    </row>
    <row r="4075" customFormat="false" ht="15" hidden="false" customHeight="false" outlineLevel="0" collapsed="false">
      <c r="A4075" s="7" t="s">
        <v>5250</v>
      </c>
      <c r="B4075" s="7" t="n">
        <v>4470.38</v>
      </c>
      <c r="C4075" s="7" t="n">
        <f aca="false">AVERAGE(B4026:B4075)</f>
        <v>4378.373</v>
      </c>
      <c r="D4075" s="7" t="n">
        <f aca="false">AVERAGE(B3876:B4075)</f>
        <v>4180.3912</v>
      </c>
      <c r="E4075" s="7" t="n">
        <f aca="false">B4075/MAX(B3824:B4075)-1</f>
        <v>-0.0229232874197314</v>
      </c>
      <c r="F4075" s="7" t="str">
        <f aca="false">IFERROR(INDEX(02_轉折點45個!B:B,MATCH(A4075,02_轉折點45個!A:A,0)),"")</f>
        <v/>
      </c>
      <c r="G4075" s="7" t="s">
        <v>1994</v>
      </c>
    </row>
    <row r="4076" customFormat="false" ht="15" hidden="false" customHeight="false" outlineLevel="0" collapsed="false">
      <c r="A4076" s="7" t="s">
        <v>5251</v>
      </c>
      <c r="B4076" s="7" t="n">
        <v>4450.71</v>
      </c>
      <c r="C4076" s="7" t="n">
        <f aca="false">AVERAGE(B4027:B4076)</f>
        <v>4380.0964</v>
      </c>
      <c r="D4076" s="7" t="n">
        <f aca="false">AVERAGE(B3877:B4076)</f>
        <v>4183.34515</v>
      </c>
      <c r="E4076" s="7" t="n">
        <f aca="false">B4076/MAX(B3825:B4076)-1</f>
        <v>-0.0272224966449994</v>
      </c>
      <c r="F4076" s="7" t="str">
        <f aca="false">IFERROR(INDEX(02_轉折點45個!B:B,MATCH(A4076,02_轉折點45個!A:A,0)),"")</f>
        <v/>
      </c>
      <c r="G4076" s="7" t="s">
        <v>1994</v>
      </c>
    </row>
    <row r="4077" customFormat="false" ht="15" hidden="false" customHeight="false" outlineLevel="0" collapsed="false">
      <c r="A4077" s="7" t="s">
        <v>5252</v>
      </c>
      <c r="B4077" s="7" t="n">
        <v>4503.47</v>
      </c>
      <c r="C4077" s="7" t="n">
        <f aca="false">AVERAGE(B4028:B4077)</f>
        <v>4383.6312</v>
      </c>
      <c r="D4077" s="7" t="n">
        <f aca="false">AVERAGE(B3878:B4077)</f>
        <v>4186.45845</v>
      </c>
      <c r="E4077" s="7" t="n">
        <f aca="false">B4077/MAX(B3826:B4077)-1</f>
        <v>-0.0156909115547532</v>
      </c>
      <c r="F4077" s="7" t="str">
        <f aca="false">IFERROR(INDEX(02_轉折點45個!B:B,MATCH(A4077,02_轉折點45個!A:A,0)),"")</f>
        <v/>
      </c>
      <c r="G4077" s="7" t="s">
        <v>1994</v>
      </c>
    </row>
    <row r="4078" customFormat="false" ht="15" hidden="false" customHeight="false" outlineLevel="0" collapsed="false">
      <c r="A4078" s="7" t="s">
        <v>5253</v>
      </c>
      <c r="B4078" s="7" t="n">
        <v>4510.7</v>
      </c>
      <c r="C4078" s="7" t="n">
        <f aca="false">AVERAGE(B4029:B4078)</f>
        <v>4387.4796</v>
      </c>
      <c r="D4078" s="7" t="n">
        <f aca="false">AVERAGE(B3879:B4078)</f>
        <v>4189.63225</v>
      </c>
      <c r="E4078" s="7" t="n">
        <f aca="false">B4078/MAX(B3827:B4078)-1</f>
        <v>-0.0141106734917797</v>
      </c>
      <c r="F4078" s="7" t="str">
        <f aca="false">IFERROR(INDEX(02_轉折點45個!B:B,MATCH(A4078,02_轉折點45個!A:A,0)),"")</f>
        <v/>
      </c>
      <c r="G4078" s="7" t="s">
        <v>1994</v>
      </c>
    </row>
    <row r="4079" customFormat="false" ht="15" hidden="false" customHeight="false" outlineLevel="0" collapsed="false">
      <c r="A4079" s="7" t="s">
        <v>1175</v>
      </c>
      <c r="B4079" s="7" t="n">
        <v>4552.18</v>
      </c>
      <c r="C4079" s="7" t="n">
        <f aca="false">AVERAGE(B4030:B4079)</f>
        <v>4393.514</v>
      </c>
      <c r="D4079" s="7" t="n">
        <f aca="false">AVERAGE(B3880:B4079)</f>
        <v>4193.0382</v>
      </c>
      <c r="E4079" s="7" t="n">
        <f aca="false">B4079/MAX(B3828:B4079)-1</f>
        <v>-0.00504452205994854</v>
      </c>
      <c r="F4079" s="7" t="str">
        <f aca="false">IFERROR(INDEX(02_轉折點45個!B:B,MATCH(A4079,02_轉折點45個!A:A,0)),"")</f>
        <v/>
      </c>
      <c r="G4079" s="7" t="s">
        <v>1994</v>
      </c>
    </row>
    <row r="4080" customFormat="false" ht="15" hidden="false" customHeight="false" outlineLevel="0" collapsed="false">
      <c r="A4080" s="7" t="s">
        <v>5254</v>
      </c>
      <c r="B4080" s="7" t="n">
        <v>4560.9</v>
      </c>
      <c r="C4080" s="7" t="n">
        <f aca="false">AVERAGE(B4031:B4080)</f>
        <v>4400.816</v>
      </c>
      <c r="D4080" s="7" t="n">
        <f aca="false">AVERAGE(B3881:B4080)</f>
        <v>4196.502</v>
      </c>
      <c r="E4080" s="7" t="n">
        <f aca="false">B4080/MAX(B3829:B4080)-1</f>
        <v>-0.00313861944457816</v>
      </c>
      <c r="F4080" s="7" t="str">
        <f aca="false">IFERROR(INDEX(02_轉折點45個!B:B,MATCH(A4080,02_轉折點45個!A:A,0)),"")</f>
        <v/>
      </c>
      <c r="G4080" s="7" t="s">
        <v>1994</v>
      </c>
    </row>
    <row r="4081" customFormat="false" ht="15" hidden="false" customHeight="false" outlineLevel="0" collapsed="false">
      <c r="A4081" s="7" t="s">
        <v>1176</v>
      </c>
      <c r="B4081" s="7" t="n">
        <v>4592</v>
      </c>
      <c r="C4081" s="7" t="n">
        <f aca="false">AVERAGE(B4032:B4081)</f>
        <v>4407.6852</v>
      </c>
      <c r="D4081" s="7" t="n">
        <f aca="false">AVERAGE(B3882:B4081)</f>
        <v>4200.0411</v>
      </c>
      <c r="E4081" s="7" t="n">
        <f aca="false">B4081/MAX(B3830:B4081)-1</f>
        <v>0</v>
      </c>
      <c r="F4081" s="7" t="str">
        <f aca="false">IFERROR(INDEX(02_轉折點45個!B:B,MATCH(A4081,02_轉折點45個!A:A,0)),"")</f>
        <v/>
      </c>
      <c r="G4081" s="7" t="s">
        <v>1994</v>
      </c>
    </row>
    <row r="4082" customFormat="false" ht="15" hidden="false" customHeight="false" outlineLevel="0" collapsed="false">
      <c r="A4082" s="7" t="s">
        <v>5255</v>
      </c>
      <c r="B4082" s="7" t="n">
        <v>4577.89</v>
      </c>
      <c r="C4082" s="7" t="n">
        <f aca="false">AVERAGE(B4033:B4082)</f>
        <v>4412.706</v>
      </c>
      <c r="D4082" s="7" t="n">
        <f aca="false">AVERAGE(B3883:B4082)</f>
        <v>4203.30595</v>
      </c>
      <c r="E4082" s="7" t="n">
        <f aca="false">B4082/MAX(B3831:B4082)-1</f>
        <v>-0.00307273519163753</v>
      </c>
      <c r="F4082" s="7" t="str">
        <f aca="false">IFERROR(INDEX(02_轉折點45個!B:B,MATCH(A4082,02_轉折點45個!A:A,0)),"")</f>
        <v/>
      </c>
      <c r="G4082" s="7" t="s">
        <v>1994</v>
      </c>
    </row>
    <row r="4083" customFormat="false" ht="15" hidden="false" customHeight="false" outlineLevel="0" collapsed="false">
      <c r="A4083" s="7" t="s">
        <v>5256</v>
      </c>
      <c r="B4083" s="7" t="n">
        <v>4563.05</v>
      </c>
      <c r="C4083" s="7" t="n">
        <f aca="false">AVERAGE(B4034:B4083)</f>
        <v>4418.0168</v>
      </c>
      <c r="D4083" s="7" t="n">
        <f aca="false">AVERAGE(B3884:B4083)</f>
        <v>4206.38165</v>
      </c>
      <c r="E4083" s="7" t="n">
        <f aca="false">B4083/MAX(B3832:B4083)-1</f>
        <v>-0.00630444250871076</v>
      </c>
      <c r="F4083" s="7" t="str">
        <f aca="false">IFERROR(INDEX(02_轉折點45個!B:B,MATCH(A4083,02_轉折點45個!A:A,0)),"")</f>
        <v/>
      </c>
      <c r="G4083" s="7" t="s">
        <v>1994</v>
      </c>
    </row>
    <row r="4084" customFormat="false" ht="15" hidden="false" customHeight="false" outlineLevel="0" collapsed="false">
      <c r="A4084" s="7" t="s">
        <v>1177</v>
      </c>
      <c r="B4084" s="7" t="n">
        <v>4455.06</v>
      </c>
      <c r="C4084" s="7" t="n">
        <f aca="false">AVERAGE(B4035:B4084)</f>
        <v>4421.887</v>
      </c>
      <c r="D4084" s="7" t="n">
        <f aca="false">AVERAGE(B3885:B4084)</f>
        <v>4208.8496</v>
      </c>
      <c r="E4084" s="7" t="n">
        <f aca="false">B4084/MAX(B3833:B4084)-1</f>
        <v>-0.0298214285714284</v>
      </c>
      <c r="F4084" s="7" t="str">
        <f aca="false">IFERROR(INDEX(02_轉折點45個!B:B,MATCH(A4084,02_轉折點45個!A:A,0)),"")</f>
        <v/>
      </c>
      <c r="G4084" s="7" t="s">
        <v>1994</v>
      </c>
    </row>
    <row r="4085" customFormat="false" ht="15" hidden="false" customHeight="false" outlineLevel="0" collapsed="false">
      <c r="A4085" s="7" t="s">
        <v>5257</v>
      </c>
      <c r="B4085" s="7" t="n">
        <v>4443.03</v>
      </c>
      <c r="C4085" s="7" t="n">
        <f aca="false">AVERAGE(B4036:B4085)</f>
        <v>4425.5752</v>
      </c>
      <c r="D4085" s="7" t="n">
        <f aca="false">AVERAGE(B3886:B4085)</f>
        <v>4211.24935</v>
      </c>
      <c r="E4085" s="7" t="n">
        <f aca="false">B4085/MAX(B3834:B4085)-1</f>
        <v>-0.0324412020905924</v>
      </c>
      <c r="F4085" s="7" t="str">
        <f aca="false">IFERROR(INDEX(02_轉折點45個!B:B,MATCH(A4085,02_轉折點45個!A:A,0)),"")</f>
        <v/>
      </c>
      <c r="G4085" s="7" t="s">
        <v>1994</v>
      </c>
    </row>
    <row r="4086" customFormat="false" ht="15" hidden="false" customHeight="false" outlineLevel="0" collapsed="false">
      <c r="A4086" s="7" t="s">
        <v>1178</v>
      </c>
      <c r="B4086" s="7" t="n">
        <v>4468.48</v>
      </c>
      <c r="C4086" s="7" t="n">
        <f aca="false">AVERAGE(B4037:B4086)</f>
        <v>4430.1776</v>
      </c>
      <c r="D4086" s="7" t="n">
        <f aca="false">AVERAGE(B3887:B4086)</f>
        <v>4213.8041</v>
      </c>
      <c r="E4086" s="7" t="n">
        <f aca="false">B4086/MAX(B3835:B4086)-1</f>
        <v>-0.0268989547038329</v>
      </c>
      <c r="F4086" s="7" t="str">
        <f aca="false">IFERROR(INDEX(02_轉折點45個!B:B,MATCH(A4086,02_轉折點45個!A:A,0)),"")</f>
        <v/>
      </c>
      <c r="G4086" s="7" t="s">
        <v>1994</v>
      </c>
    </row>
    <row r="4087" customFormat="false" ht="15" hidden="false" customHeight="false" outlineLevel="0" collapsed="false">
      <c r="A4087" s="7" t="s">
        <v>5258</v>
      </c>
      <c r="B4087" s="7" t="n">
        <v>4519.85</v>
      </c>
      <c r="C4087" s="7" t="n">
        <f aca="false">AVERAGE(B4038:B4087)</f>
        <v>4437.059</v>
      </c>
      <c r="D4087" s="7" t="n">
        <f aca="false">AVERAGE(B3888:B4087)</f>
        <v>4216.77235</v>
      </c>
      <c r="E4087" s="7" t="n">
        <f aca="false">B4087/MAX(B3836:B4087)-1</f>
        <v>-0.0157121080139372</v>
      </c>
      <c r="F4087" s="7" t="str">
        <f aca="false">IFERROR(INDEX(02_轉折點45個!B:B,MATCH(A4087,02_轉折點45個!A:A,0)),"")</f>
        <v/>
      </c>
      <c r="G4087" s="7" t="s">
        <v>1994</v>
      </c>
    </row>
    <row r="4088" customFormat="false" ht="15" hidden="false" customHeight="false" outlineLevel="0" collapsed="false">
      <c r="A4088" s="7" t="s">
        <v>5259</v>
      </c>
      <c r="B4088" s="7" t="n">
        <v>4477.31</v>
      </c>
      <c r="C4088" s="7" t="n">
        <f aca="false">AVERAGE(B4039:B4088)</f>
        <v>4441.9284</v>
      </c>
      <c r="D4088" s="7" t="n">
        <f aca="false">AVERAGE(B3889:B4088)</f>
        <v>4219.46845</v>
      </c>
      <c r="E4088" s="7" t="n">
        <f aca="false">B4088/MAX(B3837:B4088)-1</f>
        <v>-0.0249760452961672</v>
      </c>
      <c r="F4088" s="7" t="str">
        <f aca="false">IFERROR(INDEX(02_轉折點45個!B:B,MATCH(A4088,02_轉折點45個!A:A,0)),"")</f>
        <v/>
      </c>
      <c r="G4088" s="7" t="s">
        <v>1994</v>
      </c>
    </row>
    <row r="4089" customFormat="false" ht="15" hidden="false" customHeight="false" outlineLevel="0" collapsed="false">
      <c r="A4089" s="7" t="s">
        <v>5260</v>
      </c>
      <c r="B4089" s="7" t="n">
        <v>4458.44</v>
      </c>
      <c r="C4089" s="7" t="n">
        <f aca="false">AVERAGE(B4040:B4089)</f>
        <v>4446.0464</v>
      </c>
      <c r="D4089" s="7" t="n">
        <f aca="false">AVERAGE(B3890:B4089)</f>
        <v>4222.02245</v>
      </c>
      <c r="E4089" s="7" t="n">
        <f aca="false">B4089/MAX(B3838:B4089)-1</f>
        <v>-0.0290853658536586</v>
      </c>
      <c r="F4089" s="7" t="str">
        <f aca="false">IFERROR(INDEX(02_轉折點45個!B:B,MATCH(A4089,02_轉折點45個!A:A,0)),"")</f>
        <v/>
      </c>
      <c r="G4089" s="7" t="s">
        <v>1994</v>
      </c>
    </row>
    <row r="4090" customFormat="false" ht="15" hidden="false" customHeight="false" outlineLevel="0" collapsed="false">
      <c r="A4090" s="7" t="s">
        <v>1179</v>
      </c>
      <c r="B4090" s="7" t="n">
        <v>4464.57</v>
      </c>
      <c r="C4090" s="7" t="n">
        <f aca="false">AVERAGE(B4041:B4090)</f>
        <v>4450.0572</v>
      </c>
      <c r="D4090" s="7" t="n">
        <f aca="false">AVERAGE(B3891:B4090)</f>
        <v>4224.53345</v>
      </c>
      <c r="E4090" s="7" t="n">
        <f aca="false">B4090/MAX(B3839:B4090)-1</f>
        <v>-0.0277504355400697</v>
      </c>
      <c r="F4090" s="7" t="str">
        <f aca="false">IFERROR(INDEX(02_轉折點45個!B:B,MATCH(A4090,02_轉折點45個!A:A,0)),"")</f>
        <v/>
      </c>
      <c r="G4090" s="7" t="s">
        <v>1994</v>
      </c>
    </row>
    <row r="4091" customFormat="false" ht="15" hidden="false" customHeight="false" outlineLevel="0" collapsed="false">
      <c r="A4091" s="7" t="s">
        <v>5261</v>
      </c>
      <c r="B4091" s="7" t="n">
        <v>4492.33</v>
      </c>
      <c r="C4091" s="7" t="n">
        <f aca="false">AVERAGE(B4042:B4091)</f>
        <v>4453.107</v>
      </c>
      <c r="D4091" s="7" t="n">
        <f aca="false">AVERAGE(B3892:B4091)</f>
        <v>4227.06625</v>
      </c>
      <c r="E4091" s="7" t="n">
        <f aca="false">B4091/MAX(B3840:B4091)-1</f>
        <v>-0.0217051393728224</v>
      </c>
      <c r="F4091" s="7" t="str">
        <f aca="false">IFERROR(INDEX(02_轉折點45個!B:B,MATCH(A4091,02_轉折點45個!A:A,0)),"")</f>
        <v/>
      </c>
      <c r="G4091" s="7" t="s">
        <v>1994</v>
      </c>
    </row>
    <row r="4092" customFormat="false" ht="15" hidden="false" customHeight="false" outlineLevel="0" collapsed="false">
      <c r="A4092" s="7" t="s">
        <v>5262</v>
      </c>
      <c r="B4092" s="7" t="n">
        <v>4485.85</v>
      </c>
      <c r="C4092" s="7" t="n">
        <f aca="false">AVERAGE(B4043:B4092)</f>
        <v>4455.8906</v>
      </c>
      <c r="D4092" s="7" t="n">
        <f aca="false">AVERAGE(B3893:B4092)</f>
        <v>4229.5827</v>
      </c>
      <c r="E4092" s="7" t="n">
        <f aca="false">B4092/MAX(B3841:B4092)-1</f>
        <v>-0.0231162891986062</v>
      </c>
      <c r="F4092" s="7" t="str">
        <f aca="false">IFERROR(INDEX(02_轉折點45個!B:B,MATCH(A4092,02_轉折點45個!A:A,0)),"")</f>
        <v/>
      </c>
      <c r="G4092" s="7" t="s">
        <v>1994</v>
      </c>
    </row>
    <row r="4093" customFormat="false" ht="15" hidden="false" customHeight="false" outlineLevel="0" collapsed="false">
      <c r="A4093" s="7" t="s">
        <v>5263</v>
      </c>
      <c r="B4093" s="7" t="n">
        <v>4522.93</v>
      </c>
      <c r="C4093" s="7" t="n">
        <f aca="false">AVERAGE(B4044:B4093)</f>
        <v>4459.1622</v>
      </c>
      <c r="D4093" s="7" t="n">
        <f aca="false">AVERAGE(B3894:B4093)</f>
        <v>4232.24475</v>
      </c>
      <c r="E4093" s="7" t="n">
        <f aca="false">B4093/MAX(B3842:B4093)-1</f>
        <v>-0.0150413763066202</v>
      </c>
      <c r="F4093" s="7" t="str">
        <f aca="false">IFERROR(INDEX(02_轉折點45個!B:B,MATCH(A4093,02_轉折點45個!A:A,0)),"")</f>
        <v/>
      </c>
      <c r="G4093" s="7" t="s">
        <v>1994</v>
      </c>
    </row>
    <row r="4094" customFormat="false" ht="15" hidden="false" customHeight="false" outlineLevel="0" collapsed="false">
      <c r="A4094" s="7" t="s">
        <v>5264</v>
      </c>
      <c r="B4094" s="7" t="n">
        <v>4544.62</v>
      </c>
      <c r="C4094" s="7" t="n">
        <f aca="false">AVERAGE(B4045:B4094)</f>
        <v>4464.5168</v>
      </c>
      <c r="D4094" s="7" t="n">
        <f aca="false">AVERAGE(B3895:B4094)</f>
        <v>4235.0123</v>
      </c>
      <c r="E4094" s="7" t="n">
        <f aca="false">B4094/MAX(B3843:B4094)-1</f>
        <v>-0.0103179442508711</v>
      </c>
      <c r="F4094" s="7" t="str">
        <f aca="false">IFERROR(INDEX(02_轉折點45個!B:B,MATCH(A4094,02_轉折點45個!A:A,0)),"")</f>
        <v/>
      </c>
      <c r="G4094" s="7" t="s">
        <v>1994</v>
      </c>
    </row>
    <row r="4095" customFormat="false" ht="15" hidden="false" customHeight="false" outlineLevel="0" collapsed="false">
      <c r="A4095" s="7" t="s">
        <v>5265</v>
      </c>
      <c r="B4095" s="7" t="n">
        <v>4564.19</v>
      </c>
      <c r="C4095" s="7" t="n">
        <f aca="false">AVERAGE(B4046:B4095)</f>
        <v>4471.0578</v>
      </c>
      <c r="D4095" s="7" t="n">
        <f aca="false">AVERAGE(B3896:B4095)</f>
        <v>4237.96145</v>
      </c>
      <c r="E4095" s="7" t="n">
        <f aca="false">B4095/MAX(B3844:B4095)-1</f>
        <v>-0.00605618466898961</v>
      </c>
      <c r="F4095" s="7" t="str">
        <f aca="false">IFERROR(INDEX(02_轉折點45個!B:B,MATCH(A4095,02_轉折點45個!A:A,0)),"")</f>
        <v/>
      </c>
      <c r="G4095" s="7" t="s">
        <v>1994</v>
      </c>
    </row>
    <row r="4096" customFormat="false" ht="15" hidden="false" customHeight="false" outlineLevel="0" collapsed="false">
      <c r="A4096" s="7" t="s">
        <v>5266</v>
      </c>
      <c r="B4096" s="7" t="n">
        <v>4557.13</v>
      </c>
      <c r="C4096" s="7" t="n">
        <f aca="false">AVERAGE(B4047:B4096)</f>
        <v>4476.6276</v>
      </c>
      <c r="D4096" s="7" t="n">
        <f aca="false">AVERAGE(B3897:B4096)</f>
        <v>4240.74095</v>
      </c>
      <c r="E4096" s="7" t="n">
        <f aca="false">B4096/MAX(B3845:B4096)-1</f>
        <v>-0.00759364111498251</v>
      </c>
      <c r="F4096" s="7" t="str">
        <f aca="false">IFERROR(INDEX(02_轉折點45個!B:B,MATCH(A4096,02_轉折點45個!A:A,0)),"")</f>
        <v/>
      </c>
      <c r="G4096" s="7" t="s">
        <v>1994</v>
      </c>
    </row>
    <row r="4097" customFormat="false" ht="15" hidden="false" customHeight="false" outlineLevel="0" collapsed="false">
      <c r="A4097" s="7" t="s">
        <v>1180</v>
      </c>
      <c r="B4097" s="7" t="n">
        <v>4547.12</v>
      </c>
      <c r="C4097" s="7" t="n">
        <f aca="false">AVERAGE(B4048:B4097)</f>
        <v>4482.8774</v>
      </c>
      <c r="D4097" s="7" t="n">
        <f aca="false">AVERAGE(B3898:B4097)</f>
        <v>4243.47365</v>
      </c>
      <c r="E4097" s="7" t="n">
        <f aca="false">B4097/MAX(B3846:B4097)-1</f>
        <v>-0.00977351916376312</v>
      </c>
      <c r="F4097" s="7" t="str">
        <f aca="false">IFERROR(INDEX(02_轉折點45個!B:B,MATCH(A4097,02_轉折點45個!A:A,0)),"")</f>
        <v/>
      </c>
      <c r="G4097" s="7" t="s">
        <v>1994</v>
      </c>
    </row>
    <row r="4098" customFormat="false" ht="15" hidden="false" customHeight="false" outlineLevel="0" collapsed="false">
      <c r="A4098" s="7" t="s">
        <v>5267</v>
      </c>
      <c r="B4098" s="7" t="n">
        <v>4577.93</v>
      </c>
      <c r="C4098" s="7" t="n">
        <f aca="false">AVERAGE(B4049:B4098)</f>
        <v>4488.986</v>
      </c>
      <c r="D4098" s="7" t="n">
        <f aca="false">AVERAGE(B3899:B4098)</f>
        <v>4246.27415</v>
      </c>
      <c r="E4098" s="7" t="n">
        <f aca="false">B4098/MAX(B3847:B4098)-1</f>
        <v>-0.00306402439024389</v>
      </c>
      <c r="F4098" s="7" t="str">
        <f aca="false">IFERROR(INDEX(02_轉折點45個!B:B,MATCH(A4098,02_轉折點45個!A:A,0)),"")</f>
        <v/>
      </c>
      <c r="G4098" s="7" t="s">
        <v>1994</v>
      </c>
    </row>
    <row r="4099" customFormat="false" ht="15" hidden="false" customHeight="false" outlineLevel="0" collapsed="false">
      <c r="A4099" s="7" t="s">
        <v>5268</v>
      </c>
      <c r="B4099" s="7" t="n">
        <v>4574.98</v>
      </c>
      <c r="C4099" s="7" t="n">
        <f aca="false">AVERAGE(B4050:B4099)</f>
        <v>4494.103</v>
      </c>
      <c r="D4099" s="7" t="n">
        <f aca="false">AVERAGE(B3900:B4099)</f>
        <v>4249.0131</v>
      </c>
      <c r="E4099" s="7" t="n">
        <f aca="false">B4099/MAX(B3848:B4099)-1</f>
        <v>-0.00370644599303149</v>
      </c>
      <c r="F4099" s="7" t="str">
        <f aca="false">IFERROR(INDEX(02_轉折點45個!B:B,MATCH(A4099,02_轉折點45個!A:A,0)),"")</f>
        <v/>
      </c>
      <c r="G4099" s="7" t="s">
        <v>1994</v>
      </c>
    </row>
    <row r="4100" customFormat="false" ht="15" hidden="false" customHeight="false" outlineLevel="0" collapsed="false">
      <c r="A4100" s="7" t="s">
        <v>1181</v>
      </c>
      <c r="B4100" s="7" t="n">
        <v>4505.57</v>
      </c>
      <c r="C4100" s="7" t="n">
        <f aca="false">AVERAGE(B4051:B4100)</f>
        <v>4498.0334</v>
      </c>
      <c r="D4100" s="7" t="n">
        <f aca="false">AVERAGE(B3901:B4100)</f>
        <v>4251.17445</v>
      </c>
      <c r="E4100" s="7" t="n">
        <f aca="false">B4100/MAX(B3849:B4100)-1</f>
        <v>-0.0188218641114983</v>
      </c>
      <c r="F4100" s="7" t="str">
        <f aca="false">IFERROR(INDEX(02_轉折點45個!B:B,MATCH(A4100,02_轉折點45個!A:A,0)),"")</f>
        <v/>
      </c>
      <c r="G4100" s="7" t="s">
        <v>1994</v>
      </c>
    </row>
    <row r="4101" customFormat="false" ht="15" hidden="false" customHeight="false" outlineLevel="0" collapsed="false">
      <c r="A4101" s="7" t="s">
        <v>5269</v>
      </c>
      <c r="B4101" s="7" t="n">
        <v>4562.93</v>
      </c>
      <c r="C4101" s="7" t="n">
        <f aca="false">AVERAGE(B4052:B4101)</f>
        <v>4502.2268</v>
      </c>
      <c r="D4101" s="7" t="n">
        <f aca="false">AVERAGE(B3902:B4101)</f>
        <v>4253.6268</v>
      </c>
      <c r="E4101" s="7" t="n">
        <f aca="false">B4101/MAX(B3850:B4101)-1</f>
        <v>-0.00633057491289191</v>
      </c>
      <c r="F4101" s="7" t="str">
        <f aca="false">IFERROR(INDEX(02_轉折點45個!B:B,MATCH(A4101,02_轉折點45個!A:A,0)),"")</f>
        <v/>
      </c>
      <c r="G4101" s="7" t="s">
        <v>1994</v>
      </c>
    </row>
    <row r="4102" customFormat="false" ht="15" hidden="false" customHeight="false" outlineLevel="0" collapsed="false">
      <c r="A4102" s="7" t="s">
        <v>5270</v>
      </c>
      <c r="B4102" s="7" t="n">
        <v>4580.74</v>
      </c>
      <c r="C4102" s="7" t="n">
        <f aca="false">AVERAGE(B4053:B4102)</f>
        <v>4507.1546</v>
      </c>
      <c r="D4102" s="7" t="n">
        <f aca="false">AVERAGE(B3903:B4102)</f>
        <v>4256.0394</v>
      </c>
      <c r="E4102" s="7" t="n">
        <f aca="false">B4102/MAX(B3851:B4102)-1</f>
        <v>-0.00245209059233453</v>
      </c>
      <c r="F4102" s="7" t="str">
        <f aca="false">IFERROR(INDEX(02_轉折點45個!B:B,MATCH(A4102,02_轉折點45個!A:A,0)),"")</f>
        <v/>
      </c>
      <c r="G4102" s="7" t="s">
        <v>1994</v>
      </c>
    </row>
    <row r="4103" customFormat="false" ht="15" hidden="false" customHeight="false" outlineLevel="0" collapsed="false">
      <c r="A4103" s="7" t="s">
        <v>1182</v>
      </c>
      <c r="B4103" s="7" t="n">
        <v>4599.99</v>
      </c>
      <c r="C4103" s="7" t="n">
        <f aca="false">AVERAGE(B4054:B4103)</f>
        <v>4512.8034</v>
      </c>
      <c r="D4103" s="7" t="n">
        <f aca="false">AVERAGE(B3904:B4103)</f>
        <v>4258.70535</v>
      </c>
      <c r="E4103" s="7" t="n">
        <f aca="false">B4103/MAX(B3852:B4103)-1</f>
        <v>0</v>
      </c>
      <c r="F4103" s="7" t="str">
        <f aca="false">IFERROR(INDEX(02_轉折點45個!B:B,MATCH(A4103,02_轉折點45個!A:A,0)),"")</f>
        <v/>
      </c>
      <c r="G4103" s="7" t="s">
        <v>1994</v>
      </c>
    </row>
    <row r="4104" customFormat="false" ht="15" hidden="false" customHeight="false" outlineLevel="0" collapsed="false">
      <c r="A4104" s="7" t="s">
        <v>1183</v>
      </c>
      <c r="B4104" s="7" t="n">
        <v>4619.08</v>
      </c>
      <c r="C4104" s="7" t="n">
        <f aca="false">AVERAGE(B4055:B4104)</f>
        <v>4517.7078</v>
      </c>
      <c r="D4104" s="7" t="n">
        <f aca="false">AVERAGE(B3905:B4104)</f>
        <v>4261.74115</v>
      </c>
      <c r="E4104" s="7" t="n">
        <f aca="false">B4104/MAX(B3853:B4104)-1</f>
        <v>0</v>
      </c>
      <c r="F4104" s="7" t="str">
        <f aca="false">IFERROR(INDEX(02_轉折點45個!B:B,MATCH(A4104,02_轉折點45個!A:A,0)),"")</f>
        <v/>
      </c>
      <c r="G4104" s="7" t="s">
        <v>1994</v>
      </c>
    </row>
    <row r="4105" customFormat="false" ht="15" hidden="false" customHeight="false" outlineLevel="0" collapsed="false">
      <c r="A4105" s="7" t="s">
        <v>5271</v>
      </c>
      <c r="B4105" s="7" t="n">
        <v>4651.98</v>
      </c>
      <c r="C4105" s="7" t="n">
        <f aca="false">AVERAGE(B4056:B4105)</f>
        <v>4523.0228</v>
      </c>
      <c r="D4105" s="7" t="n">
        <f aca="false">AVERAGE(B3906:B4105)</f>
        <v>4264.81555</v>
      </c>
      <c r="E4105" s="7" t="n">
        <f aca="false">B4105/MAX(B3854:B4105)-1</f>
        <v>0</v>
      </c>
      <c r="F4105" s="7" t="str">
        <f aca="false">IFERROR(INDEX(02_轉折點45個!B:B,MATCH(A4105,02_轉折點45個!A:A,0)),"")</f>
        <v/>
      </c>
      <c r="G4105" s="7" t="s">
        <v>1994</v>
      </c>
    </row>
    <row r="4106" customFormat="false" ht="15" hidden="false" customHeight="false" outlineLevel="0" collapsed="false">
      <c r="A4106" s="7" t="s">
        <v>1184</v>
      </c>
      <c r="B4106" s="7" t="n">
        <v>4622.91</v>
      </c>
      <c r="C4106" s="7" t="n">
        <f aca="false">AVERAGE(B4057:B4106)</f>
        <v>4526.7254</v>
      </c>
      <c r="D4106" s="7" t="n">
        <f aca="false">AVERAGE(B3907:B4106)</f>
        <v>4267.84885</v>
      </c>
      <c r="E4106" s="7" t="n">
        <f aca="false">B4106/MAX(B3855:B4106)-1</f>
        <v>-0.00624895205912313</v>
      </c>
      <c r="F4106" s="7" t="str">
        <f aca="false">IFERROR(INDEX(02_轉折點45個!B:B,MATCH(A4106,02_轉折點45個!A:A,0)),"")</f>
        <v/>
      </c>
      <c r="G4106" s="7" t="s">
        <v>1994</v>
      </c>
    </row>
    <row r="4107" customFormat="false" ht="15" hidden="false" customHeight="false" outlineLevel="0" collapsed="false">
      <c r="A4107" s="7" t="s">
        <v>5272</v>
      </c>
      <c r="B4107" s="7" t="n">
        <v>4618.49</v>
      </c>
      <c r="C4107" s="7" t="n">
        <f aca="false">AVERAGE(B4058:B4107)</f>
        <v>4529.6776</v>
      </c>
      <c r="D4107" s="7" t="n">
        <f aca="false">AVERAGE(B3908:B4107)</f>
        <v>4270.77195</v>
      </c>
      <c r="E4107" s="7" t="n">
        <f aca="false">B4107/MAX(B3856:B4107)-1</f>
        <v>-0.00719908512074419</v>
      </c>
      <c r="F4107" s="7" t="str">
        <f aca="false">IFERROR(INDEX(02_轉折點45個!B:B,MATCH(A4107,02_轉折點45個!A:A,0)),"")</f>
        <v/>
      </c>
      <c r="G4107" s="7" t="s">
        <v>1994</v>
      </c>
    </row>
    <row r="4108" customFormat="false" ht="15" hidden="false" customHeight="false" outlineLevel="0" collapsed="false">
      <c r="A4108" s="7" t="s">
        <v>5273</v>
      </c>
      <c r="B4108" s="7" t="n">
        <v>4589.46</v>
      </c>
      <c r="C4108" s="7" t="n">
        <f aca="false">AVERAGE(B4059:B4108)</f>
        <v>4531.95</v>
      </c>
      <c r="D4108" s="7" t="n">
        <f aca="false">AVERAGE(B3909:B4108)</f>
        <v>4273.436</v>
      </c>
      <c r="E4108" s="7" t="n">
        <f aca="false">B4108/MAX(B3857:B4108)-1</f>
        <v>-0.0134394386906219</v>
      </c>
      <c r="F4108" s="7" t="str">
        <f aca="false">IFERROR(INDEX(02_轉折點45個!B:B,MATCH(A4108,02_轉折點45個!A:A,0)),"")</f>
        <v/>
      </c>
      <c r="G4108" s="7" t="s">
        <v>1994</v>
      </c>
    </row>
    <row r="4109" customFormat="false" ht="15" hidden="false" customHeight="false" outlineLevel="0" collapsed="false">
      <c r="A4109" s="7" t="s">
        <v>1185</v>
      </c>
      <c r="B4109" s="7" t="n">
        <v>4514.35</v>
      </c>
      <c r="C4109" s="7" t="n">
        <f aca="false">AVERAGE(B4060:B4109)</f>
        <v>4532.5906</v>
      </c>
      <c r="D4109" s="7" t="n">
        <f aca="false">AVERAGE(B3910:B4109)</f>
        <v>4275.8343</v>
      </c>
      <c r="E4109" s="7" t="n">
        <f aca="false">B4109/MAX(B3858:B4109)-1</f>
        <v>-0.0295852518712461</v>
      </c>
      <c r="F4109" s="7" t="str">
        <f aca="false">IFERROR(INDEX(02_轉折點45個!B:B,MATCH(A4109,02_轉折點45個!A:A,0)),"")</f>
        <v/>
      </c>
      <c r="G4109" s="7" t="s">
        <v>1994</v>
      </c>
    </row>
    <row r="4110" customFormat="false" ht="15" hidden="false" customHeight="false" outlineLevel="0" collapsed="false">
      <c r="A4110" s="7" t="s">
        <v>1186</v>
      </c>
      <c r="B4110" s="7" t="n">
        <v>4572.79</v>
      </c>
      <c r="C4110" s="7" t="n">
        <f aca="false">AVERAGE(B4061:B4110)</f>
        <v>4534.065</v>
      </c>
      <c r="D4110" s="7" t="n">
        <f aca="false">AVERAGE(B3911:B4110)</f>
        <v>4278.481</v>
      </c>
      <c r="E4110" s="7" t="n">
        <f aca="false">B4110/MAX(B3859:B4110)-1</f>
        <v>-0.017022859083659</v>
      </c>
      <c r="F4110" s="7" t="str">
        <f aca="false">IFERROR(INDEX(02_轉折點45個!B:B,MATCH(A4110,02_轉折點45個!A:A,0)),"")</f>
        <v/>
      </c>
      <c r="G4110" s="7" t="s">
        <v>1994</v>
      </c>
    </row>
    <row r="4111" customFormat="false" ht="15" hidden="false" customHeight="false" outlineLevel="0" collapsed="false">
      <c r="A4111" s="7" t="s">
        <v>5274</v>
      </c>
      <c r="B4111" s="7" t="n">
        <v>4583.33</v>
      </c>
      <c r="C4111" s="7" t="n">
        <f aca="false">AVERAGE(B4062:B4111)</f>
        <v>4535.1788</v>
      </c>
      <c r="D4111" s="7" t="n">
        <f aca="false">AVERAGE(B3912:B4111)</f>
        <v>4281.466</v>
      </c>
      <c r="E4111" s="7" t="n">
        <f aca="false">B4111/MAX(B3860:B4111)-1</f>
        <v>-0.0147571571674856</v>
      </c>
      <c r="F4111" s="7" t="str">
        <f aca="false">IFERROR(INDEX(02_轉折點45個!B:B,MATCH(A4111,02_轉折點45個!A:A,0)),"")</f>
        <v/>
      </c>
      <c r="G4111" s="7" t="s">
        <v>1994</v>
      </c>
    </row>
    <row r="4112" customFormat="false" ht="15" hidden="false" customHeight="false" outlineLevel="0" collapsed="false">
      <c r="A4112" s="7" t="s">
        <v>5275</v>
      </c>
      <c r="B4112" s="7" t="n">
        <v>4512.44</v>
      </c>
      <c r="C4112" s="7" t="n">
        <f aca="false">AVERAGE(B4063:B4112)</f>
        <v>4534.7834</v>
      </c>
      <c r="D4112" s="7" t="n">
        <f aca="false">AVERAGE(B3913:B4112)</f>
        <v>4283.78275</v>
      </c>
      <c r="E4112" s="7" t="n">
        <f aca="false">B4112/MAX(B3861:B4112)-1</f>
        <v>-0.029995829732716</v>
      </c>
      <c r="F4112" s="7" t="str">
        <f aca="false">IFERROR(INDEX(02_轉折點45個!B:B,MATCH(A4112,02_轉折點45個!A:A,0)),"")</f>
        <v/>
      </c>
      <c r="G4112" s="7" t="s">
        <v>1994</v>
      </c>
    </row>
    <row r="4113" customFormat="false" ht="15" hidden="false" customHeight="false" outlineLevel="0" collapsed="false">
      <c r="A4113" s="7" t="s">
        <v>5276</v>
      </c>
      <c r="B4113" s="7" t="n">
        <v>4494.45</v>
      </c>
      <c r="C4113" s="7" t="n">
        <f aca="false">AVERAGE(B4064:B4113)</f>
        <v>4533.8976</v>
      </c>
      <c r="D4113" s="7" t="n">
        <f aca="false">AVERAGE(B3914:B4113)</f>
        <v>4286.0436</v>
      </c>
      <c r="E4113" s="7" t="n">
        <f aca="false">B4113/MAX(B3862:B4113)-1</f>
        <v>-0.0338630002708523</v>
      </c>
      <c r="F4113" s="7" t="str">
        <f aca="false">IFERROR(INDEX(02_轉折點45個!B:B,MATCH(A4113,02_轉折點45個!A:A,0)),"")</f>
        <v/>
      </c>
      <c r="G4113" s="7" t="s">
        <v>1994</v>
      </c>
    </row>
    <row r="4114" customFormat="false" ht="15" hidden="false" customHeight="false" outlineLevel="0" collapsed="false">
      <c r="A4114" s="7" t="s">
        <v>5277</v>
      </c>
      <c r="B4114" s="7" t="n">
        <v>4518.11</v>
      </c>
      <c r="C4114" s="7" t="n">
        <f aca="false">AVERAGE(B4065:B4114)</f>
        <v>4533.503</v>
      </c>
      <c r="D4114" s="7" t="n">
        <f aca="false">AVERAGE(B3915:B4114)</f>
        <v>4288.27965</v>
      </c>
      <c r="E4114" s="7" t="n">
        <f aca="false">B4114/MAX(B3863:B4114)-1</f>
        <v>-0.0287769938821749</v>
      </c>
      <c r="F4114" s="7" t="str">
        <f aca="false">IFERROR(INDEX(02_轉折點45個!B:B,MATCH(A4114,02_轉折點45個!A:A,0)),"")</f>
        <v/>
      </c>
      <c r="G4114" s="7" t="s">
        <v>1994</v>
      </c>
    </row>
    <row r="4115" customFormat="false" ht="15" hidden="false" customHeight="false" outlineLevel="0" collapsed="false">
      <c r="A4115" s="7" t="s">
        <v>1187</v>
      </c>
      <c r="B4115" s="7" t="n">
        <v>4571.11</v>
      </c>
      <c r="C4115" s="7" t="n">
        <f aca="false">AVERAGE(B4066:B4115)</f>
        <v>4533.7892</v>
      </c>
      <c r="D4115" s="7" t="n">
        <f aca="false">AVERAGE(B3916:B4115)</f>
        <v>4290.69995</v>
      </c>
      <c r="E4115" s="7" t="n">
        <f aca="false">B4115/MAX(B3864:B4115)-1</f>
        <v>-0.0173839956319675</v>
      </c>
      <c r="F4115" s="7" t="str">
        <f aca="false">IFERROR(INDEX(02_轉折點45個!B:B,MATCH(A4115,02_轉折點45個!A:A,0)),"")</f>
        <v/>
      </c>
      <c r="G4115" s="7" t="s">
        <v>1994</v>
      </c>
    </row>
    <row r="4116" customFormat="false" ht="15" hidden="false" customHeight="false" outlineLevel="0" collapsed="false">
      <c r="A4116" s="7" t="s">
        <v>5278</v>
      </c>
      <c r="B4116" s="7" t="n">
        <v>4561.99</v>
      </c>
      <c r="C4116" s="7" t="n">
        <f aca="false">AVERAGE(B4067:B4116)</f>
        <v>4534.3382</v>
      </c>
      <c r="D4116" s="7" t="n">
        <f aca="false">AVERAGE(B3917:B4116)</f>
        <v>4293.0819</v>
      </c>
      <c r="E4116" s="7" t="n">
        <f aca="false">B4116/MAX(B3865:B4116)-1</f>
        <v>-0.0193444511799277</v>
      </c>
      <c r="F4116" s="7" t="str">
        <f aca="false">IFERROR(INDEX(02_轉折點45個!B:B,MATCH(A4116,02_轉折點45個!A:A,0)),"")</f>
        <v/>
      </c>
      <c r="G4116" s="7" t="s">
        <v>1994</v>
      </c>
    </row>
    <row r="4117" customFormat="false" ht="15" hidden="false" customHeight="false" outlineLevel="0" collapsed="false">
      <c r="A4117" s="7" t="s">
        <v>5279</v>
      </c>
      <c r="B4117" s="7" t="n">
        <v>4546.11</v>
      </c>
      <c r="C4117" s="7" t="n">
        <f aca="false">AVERAGE(B4068:B4117)</f>
        <v>4533.7552</v>
      </c>
      <c r="D4117" s="7" t="n">
        <f aca="false">AVERAGE(B3918:B4117)</f>
        <v>4295.48745</v>
      </c>
      <c r="E4117" s="7" t="n">
        <f aca="false">B4117/MAX(B3866:B4117)-1</f>
        <v>-0.0227580514103671</v>
      </c>
      <c r="F4117" s="7" t="str">
        <f aca="false">IFERROR(INDEX(02_轉折點45個!B:B,MATCH(A4117,02_轉折點45個!A:A,0)),"")</f>
        <v/>
      </c>
      <c r="G4117" s="7" t="s">
        <v>1994</v>
      </c>
    </row>
    <row r="4118" customFormat="false" ht="15" hidden="false" customHeight="false" outlineLevel="0" collapsed="false">
      <c r="A4118" s="7" t="s">
        <v>5280</v>
      </c>
      <c r="B4118" s="7" t="n">
        <v>4551.14</v>
      </c>
      <c r="C4118" s="7" t="n">
        <f aca="false">AVERAGE(B4069:B4118)</f>
        <v>4533.788</v>
      </c>
      <c r="D4118" s="7" t="n">
        <f aca="false">AVERAGE(B3919:B4118)</f>
        <v>4297.9394</v>
      </c>
      <c r="E4118" s="7" t="n">
        <f aca="false">B4118/MAX(B3867:B4118)-1</f>
        <v>-0.021676791387753</v>
      </c>
      <c r="F4118" s="7" t="str">
        <f aca="false">IFERROR(INDEX(02_轉折點45個!B:B,MATCH(A4118,02_轉折點45個!A:A,0)),"")</f>
        <v/>
      </c>
      <c r="G4118" s="7" t="s">
        <v>1994</v>
      </c>
    </row>
    <row r="4119" customFormat="false" ht="15" hidden="false" customHeight="false" outlineLevel="0" collapsed="false">
      <c r="A4119" s="7" t="s">
        <v>5281</v>
      </c>
      <c r="B4119" s="7" t="n">
        <v>4614.27</v>
      </c>
      <c r="C4119" s="7" t="n">
        <f aca="false">AVERAGE(B4070:B4119)</f>
        <v>4535.3166</v>
      </c>
      <c r="D4119" s="7" t="n">
        <f aca="false">AVERAGE(B3920:B4119)</f>
        <v>4300.7171</v>
      </c>
      <c r="E4119" s="7" t="n">
        <f aca="false">B4119/MAX(B3868:B4119)-1</f>
        <v>-0.00810622573613795</v>
      </c>
      <c r="F4119" s="7" t="str">
        <f aca="false">IFERROR(INDEX(02_轉折點45個!B:B,MATCH(A4119,02_轉折點45個!A:A,0)),"")</f>
        <v/>
      </c>
      <c r="G4119" s="7" t="s">
        <v>1994</v>
      </c>
    </row>
    <row r="4120" customFormat="false" ht="15" hidden="false" customHeight="false" outlineLevel="0" collapsed="false">
      <c r="A4120" s="7" t="s">
        <v>5282</v>
      </c>
      <c r="B4120" s="7" t="n">
        <v>4611.98</v>
      </c>
      <c r="C4120" s="7" t="n">
        <f aca="false">AVERAGE(B4071:B4120)</f>
        <v>4536.513</v>
      </c>
      <c r="D4120" s="7" t="n">
        <f aca="false">AVERAGE(B3921:B4120)</f>
        <v>4303.3911</v>
      </c>
      <c r="E4120" s="7" t="n">
        <f aca="false">B4120/MAX(B3869:B4120)-1</f>
        <v>-0.0085984892454396</v>
      </c>
      <c r="F4120" s="7" t="str">
        <f aca="false">IFERROR(INDEX(02_轉折點45個!B:B,MATCH(A4120,02_轉折點45個!A:A,0)),"")</f>
        <v/>
      </c>
      <c r="G4120" s="7" t="s">
        <v>1994</v>
      </c>
    </row>
    <row r="4121" customFormat="false" ht="15" hidden="false" customHeight="false" outlineLevel="0" collapsed="false">
      <c r="A4121" s="7" t="s">
        <v>5283</v>
      </c>
      <c r="B4121" s="7" t="n">
        <v>4639.52</v>
      </c>
      <c r="C4121" s="7" t="n">
        <f aca="false">AVERAGE(B4072:B4121)</f>
        <v>4539.2732</v>
      </c>
      <c r="D4121" s="7" t="n">
        <f aca="false">AVERAGE(B3922:B4121)</f>
        <v>4306.6282</v>
      </c>
      <c r="E4121" s="7" t="n">
        <f aca="false">B4121/MAX(B3870:B4121)-1</f>
        <v>-0.00267842939995422</v>
      </c>
      <c r="F4121" s="7" t="str">
        <f aca="false">IFERROR(INDEX(02_轉折點45個!B:B,MATCH(A4121,02_轉折點45個!A:A,0)),"")</f>
        <v/>
      </c>
      <c r="G4121" s="7" t="s">
        <v>1994</v>
      </c>
    </row>
    <row r="4122" customFormat="false" ht="15" hidden="false" customHeight="false" outlineLevel="0" collapsed="false">
      <c r="A4122" s="7" t="s">
        <v>5284</v>
      </c>
      <c r="B4122" s="7" t="n">
        <v>4631.84</v>
      </c>
      <c r="C4122" s="7" t="n">
        <f aca="false">AVERAGE(B4073:B4122)</f>
        <v>4541.6044</v>
      </c>
      <c r="D4122" s="7" t="n">
        <f aca="false">AVERAGE(B3923:B4122)</f>
        <v>4309.90515</v>
      </c>
      <c r="E4122" s="7" t="n">
        <f aca="false">B4122/MAX(B3871:B4122)-1</f>
        <v>-0.00432933933507873</v>
      </c>
      <c r="F4122" s="7" t="str">
        <f aca="false">IFERROR(INDEX(02_轉折點45個!B:B,MATCH(A4122,02_轉折點45個!A:A,0)),"")</f>
        <v/>
      </c>
      <c r="G4122" s="7" t="s">
        <v>1994</v>
      </c>
    </row>
    <row r="4123" customFormat="false" ht="15" hidden="false" customHeight="false" outlineLevel="0" collapsed="false">
      <c r="A4123" s="7" t="s">
        <v>5285</v>
      </c>
      <c r="B4123" s="7" t="n">
        <v>4633.4</v>
      </c>
      <c r="C4123" s="7" t="n">
        <f aca="false">AVERAGE(B4074:B4123)</f>
        <v>4545.477</v>
      </c>
      <c r="D4123" s="7" t="n">
        <f aca="false">AVERAGE(B3924:B4123)</f>
        <v>4313.04715</v>
      </c>
      <c r="E4123" s="7" t="n">
        <f aca="false">B4123/MAX(B3872:B4123)-1</f>
        <v>-0.00399399825450664</v>
      </c>
      <c r="F4123" s="7" t="str">
        <f aca="false">IFERROR(INDEX(02_轉折點45個!B:B,MATCH(A4123,02_轉折點45個!A:A,0)),"")</f>
        <v/>
      </c>
      <c r="G4123" s="7" t="s">
        <v>1994</v>
      </c>
    </row>
    <row r="4124" customFormat="false" ht="15" hidden="false" customHeight="false" outlineLevel="0" collapsed="false">
      <c r="A4124" s="7" t="s">
        <v>5286</v>
      </c>
      <c r="B4124" s="7" t="n">
        <v>4650.81</v>
      </c>
      <c r="C4124" s="7" t="n">
        <f aca="false">AVERAGE(B4075:B4124)</f>
        <v>4549.8778</v>
      </c>
      <c r="D4124" s="7" t="n">
        <f aca="false">AVERAGE(B3925:B4124)</f>
        <v>4316.418</v>
      </c>
      <c r="E4124" s="7" t="n">
        <f aca="false">B4124/MAX(B3873:B4124)-1</f>
        <v>-0.000251505810428876</v>
      </c>
      <c r="F4124" s="7" t="str">
        <f aca="false">IFERROR(INDEX(02_轉折點45個!B:B,MATCH(A4124,02_轉折點45個!A:A,0)),"")</f>
        <v/>
      </c>
      <c r="G4124" s="7" t="s">
        <v>1994</v>
      </c>
    </row>
    <row r="4125" customFormat="false" ht="15" hidden="false" customHeight="false" outlineLevel="0" collapsed="false">
      <c r="A4125" s="7" t="s">
        <v>5287</v>
      </c>
      <c r="B4125" s="7" t="n">
        <v>4649.5</v>
      </c>
      <c r="C4125" s="7" t="n">
        <f aca="false">AVERAGE(B4076:B4125)</f>
        <v>4553.4602</v>
      </c>
      <c r="D4125" s="7" t="n">
        <f aca="false">AVERAGE(B3926:B4125)</f>
        <v>4319.77225</v>
      </c>
      <c r="E4125" s="7" t="n">
        <f aca="false">B4125/MAX(B3874:B4125)-1</f>
        <v>-0.000533106333217126</v>
      </c>
      <c r="F4125" s="7" t="str">
        <f aca="false">IFERROR(INDEX(02_轉折點45個!B:B,MATCH(A4125,02_轉折點45個!A:A,0)),"")</f>
        <v/>
      </c>
      <c r="G4125" s="7" t="s">
        <v>1994</v>
      </c>
    </row>
    <row r="4126" customFormat="false" ht="15" hidden="false" customHeight="false" outlineLevel="0" collapsed="false">
      <c r="A4126" s="7" t="s">
        <v>5288</v>
      </c>
      <c r="B4126" s="7" t="n">
        <v>4597.78</v>
      </c>
      <c r="C4126" s="7" t="n">
        <f aca="false">AVERAGE(B4077:B4126)</f>
        <v>4556.4016</v>
      </c>
      <c r="D4126" s="7" t="n">
        <f aca="false">AVERAGE(B3927:B4126)</f>
        <v>4322.9596</v>
      </c>
      <c r="E4126" s="7" t="n">
        <f aca="false">B4126/MAX(B3875:B4126)-1</f>
        <v>-0.0116509529275706</v>
      </c>
      <c r="F4126" s="7" t="str">
        <f aca="false">IFERROR(INDEX(02_轉折點45個!B:B,MATCH(A4126,02_轉折點45個!A:A,0)),"")</f>
        <v/>
      </c>
      <c r="G4126" s="7" t="s">
        <v>1994</v>
      </c>
    </row>
    <row r="4127" customFormat="false" ht="15" hidden="false" customHeight="false" outlineLevel="0" collapsed="false">
      <c r="A4127" s="7" t="s">
        <v>1188</v>
      </c>
      <c r="B4127" s="7" t="n">
        <v>4665.24</v>
      </c>
      <c r="C4127" s="7" t="n">
        <f aca="false">AVERAGE(B4078:B4127)</f>
        <v>4559.637</v>
      </c>
      <c r="D4127" s="7" t="n">
        <f aca="false">AVERAGE(B3928:B4127)</f>
        <v>4326.32015</v>
      </c>
      <c r="E4127" s="7" t="n">
        <f aca="false">B4127/MAX(B3876:B4127)-1</f>
        <v>0</v>
      </c>
      <c r="F4127" s="7" t="str">
        <f aca="false">IFERROR(INDEX(02_轉折點45個!B:B,MATCH(A4127,02_轉折點45個!A:A,0)),"")</f>
        <v/>
      </c>
      <c r="G4127" s="7" t="s">
        <v>1994</v>
      </c>
    </row>
    <row r="4128" customFormat="false" ht="15" hidden="false" customHeight="false" outlineLevel="0" collapsed="false">
      <c r="A4128" s="7" t="s">
        <v>5289</v>
      </c>
      <c r="B4128" s="7" t="n">
        <v>4657.37</v>
      </c>
      <c r="C4128" s="7" t="n">
        <f aca="false">AVERAGE(B4079:B4128)</f>
        <v>4562.5704</v>
      </c>
      <c r="D4128" s="7" t="n">
        <f aca="false">AVERAGE(B3929:B4128)</f>
        <v>4329.50235</v>
      </c>
      <c r="E4128" s="7" t="n">
        <f aca="false">B4128/MAX(B3877:B4128)-1</f>
        <v>-0.00168694429439853</v>
      </c>
      <c r="F4128" s="7" t="str">
        <f aca="false">IFERROR(INDEX(02_轉折點45個!B:B,MATCH(A4128,02_轉折點45個!A:A,0)),"")</f>
        <v/>
      </c>
      <c r="G4128" s="7" t="s">
        <v>1994</v>
      </c>
    </row>
    <row r="4129" customFormat="false" ht="15" hidden="false" customHeight="false" outlineLevel="0" collapsed="false">
      <c r="A4129" s="7" t="s">
        <v>1189</v>
      </c>
      <c r="B4129" s="7" t="n">
        <v>4631.84</v>
      </c>
      <c r="C4129" s="7" t="n">
        <f aca="false">AVERAGE(B4080:B4129)</f>
        <v>4564.1636</v>
      </c>
      <c r="D4129" s="7" t="n">
        <f aca="false">AVERAGE(B3930:B4129)</f>
        <v>4332.61205</v>
      </c>
      <c r="E4129" s="7" t="n">
        <f aca="false">B4129/MAX(B3878:B4129)-1</f>
        <v>-0.00715933156707904</v>
      </c>
      <c r="F4129" s="7" t="str">
        <f aca="false">IFERROR(INDEX(02_轉折點45個!B:B,MATCH(A4129,02_轉折點45個!A:A,0)),"")</f>
        <v/>
      </c>
      <c r="G4129" s="7" t="s">
        <v>1994</v>
      </c>
    </row>
    <row r="4130" customFormat="false" ht="15" hidden="false" customHeight="false" outlineLevel="0" collapsed="false">
      <c r="A4130" s="7" t="s">
        <v>1190</v>
      </c>
      <c r="B4130" s="7" t="n">
        <v>4643.63</v>
      </c>
      <c r="C4130" s="7" t="n">
        <f aca="false">AVERAGE(B4081:B4130)</f>
        <v>4565.8182</v>
      </c>
      <c r="D4130" s="7" t="n">
        <f aca="false">AVERAGE(B3931:B4130)</f>
        <v>4335.5757</v>
      </c>
      <c r="E4130" s="7" t="n">
        <f aca="false">B4130/MAX(B3879:B4130)-1</f>
        <v>-0.004632130394149</v>
      </c>
      <c r="F4130" s="7" t="str">
        <f aca="false">IFERROR(INDEX(02_轉折點45個!B:B,MATCH(A4130,02_轉折點45個!A:A,0)),"")</f>
        <v/>
      </c>
      <c r="G4130" s="7" t="s">
        <v>1994</v>
      </c>
    </row>
    <row r="4131" customFormat="false" ht="15" hidden="false" customHeight="false" outlineLevel="0" collapsed="false">
      <c r="A4131" s="7" t="s">
        <v>5290</v>
      </c>
      <c r="B4131" s="7" t="n">
        <v>4637.77</v>
      </c>
      <c r="C4131" s="7" t="n">
        <f aca="false">AVERAGE(B4082:B4131)</f>
        <v>4566.7336</v>
      </c>
      <c r="D4131" s="7" t="n">
        <f aca="false">AVERAGE(B3932:B4131)</f>
        <v>4338.42385</v>
      </c>
      <c r="E4131" s="7" t="n">
        <f aca="false">B4131/MAX(B3880:B4131)-1</f>
        <v>-0.00588822868705563</v>
      </c>
      <c r="F4131" s="7" t="str">
        <f aca="false">IFERROR(INDEX(02_轉折點45個!B:B,MATCH(A4131,02_轉折點45個!A:A,0)),"")</f>
        <v/>
      </c>
      <c r="G4131" s="7" t="s">
        <v>1994</v>
      </c>
    </row>
    <row r="4132" customFormat="false" ht="15" hidden="false" customHeight="false" outlineLevel="0" collapsed="false">
      <c r="A4132" s="7" t="s">
        <v>5291</v>
      </c>
      <c r="B4132" s="7" t="n">
        <v>4658.52</v>
      </c>
      <c r="C4132" s="7" t="n">
        <f aca="false">AVERAGE(B4083:B4132)</f>
        <v>4568.3462</v>
      </c>
      <c r="D4132" s="7" t="n">
        <f aca="false">AVERAGE(B3933:B4132)</f>
        <v>4341.32125</v>
      </c>
      <c r="E4132" s="7" t="n">
        <f aca="false">B4132/MAX(B3881:B4132)-1</f>
        <v>-0.00144044036319657</v>
      </c>
      <c r="F4132" s="7" t="str">
        <f aca="false">IFERROR(INDEX(02_轉折點45個!B:B,MATCH(A4132,02_轉折點45個!A:A,0)),"")</f>
        <v/>
      </c>
      <c r="G4132" s="7" t="s">
        <v>1994</v>
      </c>
    </row>
    <row r="4133" customFormat="false" ht="15" hidden="false" customHeight="false" outlineLevel="0" collapsed="false">
      <c r="A4133" s="7" t="s">
        <v>1191</v>
      </c>
      <c r="B4133" s="7" t="n">
        <v>4621.87</v>
      </c>
      <c r="C4133" s="7" t="n">
        <f aca="false">AVERAGE(B4084:B4133)</f>
        <v>4569.5226</v>
      </c>
      <c r="D4133" s="7" t="n">
        <f aca="false">AVERAGE(B3934:B4133)</f>
        <v>4343.83725</v>
      </c>
      <c r="E4133" s="7" t="n">
        <f aca="false">B4133/MAX(B3882:B4133)-1</f>
        <v>-0.00929641347497656</v>
      </c>
      <c r="F4133" s="7" t="str">
        <f aca="false">IFERROR(INDEX(02_轉折點45個!B:B,MATCH(A4133,02_轉折點45個!A:A,0)),"")</f>
        <v/>
      </c>
      <c r="G4133" s="7" t="s">
        <v>1994</v>
      </c>
    </row>
    <row r="4134" customFormat="false" ht="15" hidden="false" customHeight="false" outlineLevel="0" collapsed="false">
      <c r="A4134" s="7" t="s">
        <v>1192</v>
      </c>
      <c r="B4134" s="7" t="n">
        <v>4630.41</v>
      </c>
      <c r="C4134" s="7" t="n">
        <f aca="false">AVERAGE(B4085:B4134)</f>
        <v>4573.0296</v>
      </c>
      <c r="D4134" s="7" t="n">
        <f aca="false">AVERAGE(B3935:B4134)</f>
        <v>4346.30825</v>
      </c>
      <c r="E4134" s="7" t="n">
        <f aca="false">B4134/MAX(B3883:B4134)-1</f>
        <v>-0.00746585384674747</v>
      </c>
      <c r="F4134" s="7" t="str">
        <f aca="false">IFERROR(INDEX(02_轉折點45個!B:B,MATCH(A4134,02_轉折點45個!A:A,0)),"")</f>
        <v/>
      </c>
      <c r="G4134" s="7" t="s">
        <v>1994</v>
      </c>
    </row>
    <row r="4135" customFormat="false" ht="15" hidden="false" customHeight="false" outlineLevel="0" collapsed="false">
      <c r="A4135" s="7" t="s">
        <v>5292</v>
      </c>
      <c r="B4135" s="7" t="n">
        <v>4587.62</v>
      </c>
      <c r="C4135" s="7" t="n">
        <f aca="false">AVERAGE(B4086:B4135)</f>
        <v>4575.9214</v>
      </c>
      <c r="D4135" s="7" t="n">
        <f aca="false">AVERAGE(B3936:B4135)</f>
        <v>4348.57</v>
      </c>
      <c r="E4135" s="7" t="n">
        <f aca="false">B4135/MAX(B3884:B4135)-1</f>
        <v>-0.0166379435999006</v>
      </c>
      <c r="F4135" s="7" t="str">
        <f aca="false">IFERROR(INDEX(02_轉折點45個!B:B,MATCH(A4135,02_轉折點45個!A:A,0)),"")</f>
        <v/>
      </c>
      <c r="G4135" s="7" t="s">
        <v>1994</v>
      </c>
    </row>
    <row r="4136" customFormat="false" ht="15" hidden="false" customHeight="false" outlineLevel="0" collapsed="false">
      <c r="A4136" s="7" t="s">
        <v>5293</v>
      </c>
      <c r="B4136" s="7" t="n">
        <v>4580.53</v>
      </c>
      <c r="C4136" s="7" t="n">
        <f aca="false">AVERAGE(B4087:B4136)</f>
        <v>4578.1624</v>
      </c>
      <c r="D4136" s="7" t="n">
        <f aca="false">AVERAGE(B3937:B4136)</f>
        <v>4350.77065</v>
      </c>
      <c r="E4136" s="7" t="n">
        <f aca="false">B4136/MAX(B3885:B4136)-1</f>
        <v>-0.0181576939235709</v>
      </c>
      <c r="F4136" s="7" t="str">
        <f aca="false">IFERROR(INDEX(02_轉折點45個!B:B,MATCH(A4136,02_轉折點45個!A:A,0)),"")</f>
        <v/>
      </c>
      <c r="G4136" s="7" t="s">
        <v>1994</v>
      </c>
    </row>
    <row r="4137" customFormat="false" ht="15" hidden="false" customHeight="false" outlineLevel="0" collapsed="false">
      <c r="A4137" s="7" t="s">
        <v>5294</v>
      </c>
      <c r="B4137" s="7" t="n">
        <v>4637.92</v>
      </c>
      <c r="C4137" s="7" t="n">
        <f aca="false">AVERAGE(B4088:B4137)</f>
        <v>4580.5238</v>
      </c>
      <c r="D4137" s="7" t="n">
        <f aca="false">AVERAGE(B3938:B4137)</f>
        <v>4353.2288</v>
      </c>
      <c r="E4137" s="7" t="n">
        <f aca="false">B4137/MAX(B3886:B4137)-1</f>
        <v>-0.00585607600037719</v>
      </c>
      <c r="F4137" s="7" t="str">
        <f aca="false">IFERROR(INDEX(02_轉折點45個!B:B,MATCH(A4137,02_轉折點45個!A:A,0)),"")</f>
        <v/>
      </c>
      <c r="G4137" s="7" t="s">
        <v>1994</v>
      </c>
    </row>
    <row r="4138" customFormat="false" ht="15" hidden="false" customHeight="false" outlineLevel="0" collapsed="false">
      <c r="A4138" s="7" t="s">
        <v>5295</v>
      </c>
      <c r="B4138" s="7" t="n">
        <v>4643.24</v>
      </c>
      <c r="C4138" s="7" t="n">
        <f aca="false">AVERAGE(B4089:B4138)</f>
        <v>4583.8424</v>
      </c>
      <c r="D4138" s="7" t="n">
        <f aca="false">AVERAGE(B3939:B4138)</f>
        <v>4355.62765</v>
      </c>
      <c r="E4138" s="7" t="n">
        <f aca="false">B4138/MAX(B3887:B4138)-1</f>
        <v>-0.0047157273795132</v>
      </c>
      <c r="F4138" s="7" t="str">
        <f aca="false">IFERROR(INDEX(02_轉折點45個!B:B,MATCH(A4138,02_轉折點45個!A:A,0)),"")</f>
        <v/>
      </c>
      <c r="G4138" s="7" t="s">
        <v>1994</v>
      </c>
    </row>
    <row r="4139" customFormat="false" ht="15" hidden="false" customHeight="false" outlineLevel="0" collapsed="false">
      <c r="A4139" s="7" t="s">
        <v>5296</v>
      </c>
      <c r="B4139" s="7" t="n">
        <v>4614.55</v>
      </c>
      <c r="C4139" s="7" t="n">
        <f aca="false">AVERAGE(B4090:B4139)</f>
        <v>4586.9646</v>
      </c>
      <c r="D4139" s="7" t="n">
        <f aca="false">AVERAGE(B3940:B4139)</f>
        <v>4357.82235</v>
      </c>
      <c r="E4139" s="7" t="n">
        <f aca="false">B4139/MAX(B3888:B4139)-1</f>
        <v>-0.0108654645848872</v>
      </c>
      <c r="F4139" s="7" t="str">
        <f aca="false">IFERROR(INDEX(02_轉折點45個!B:B,MATCH(A4139,02_轉折點45個!A:A,0)),"")</f>
        <v/>
      </c>
      <c r="G4139" s="7" t="s">
        <v>1994</v>
      </c>
    </row>
    <row r="4140" customFormat="false" ht="15" hidden="false" customHeight="false" outlineLevel="0" collapsed="false">
      <c r="A4140" s="7" t="s">
        <v>5297</v>
      </c>
      <c r="B4140" s="7" t="n">
        <v>4595.24</v>
      </c>
      <c r="C4140" s="7" t="n">
        <f aca="false">AVERAGE(B4091:B4140)</f>
        <v>4589.578</v>
      </c>
      <c r="D4140" s="7" t="n">
        <f aca="false">AVERAGE(B3941:B4140)</f>
        <v>4359.92515</v>
      </c>
      <c r="E4140" s="7" t="n">
        <f aca="false">B4140/MAX(B3889:B4140)-1</f>
        <v>-0.0150045871166328</v>
      </c>
      <c r="F4140" s="7" t="str">
        <f aca="false">IFERROR(INDEX(02_轉折點45個!B:B,MATCH(A4140,02_轉折點45個!A:A,0)),"")</f>
        <v/>
      </c>
      <c r="G4140" s="7" t="s">
        <v>1994</v>
      </c>
    </row>
    <row r="4141" customFormat="false" ht="15" hidden="false" customHeight="false" outlineLevel="0" collapsed="false">
      <c r="A4141" s="7" t="s">
        <v>5298</v>
      </c>
      <c r="B4141" s="7" t="n">
        <v>4618.61</v>
      </c>
      <c r="C4141" s="7" t="n">
        <f aca="false">AVERAGE(B4092:B4141)</f>
        <v>4592.1036</v>
      </c>
      <c r="D4141" s="7" t="n">
        <f aca="false">AVERAGE(B3942:B4141)</f>
        <v>4362.19925</v>
      </c>
      <c r="E4141" s="7" t="n">
        <f aca="false">B4141/MAX(B3890:B4141)-1</f>
        <v>-0.00999519853212272</v>
      </c>
      <c r="F4141" s="7" t="str">
        <f aca="false">IFERROR(INDEX(02_轉折點45個!B:B,MATCH(A4141,02_轉折點45個!A:A,0)),"")</f>
        <v/>
      </c>
      <c r="G4141" s="7" t="s">
        <v>1994</v>
      </c>
    </row>
    <row r="4142" customFormat="false" ht="15" hidden="false" customHeight="false" outlineLevel="0" collapsed="false">
      <c r="A4142" s="7" t="s">
        <v>5299</v>
      </c>
      <c r="B4142" s="7" t="n">
        <v>4627.14</v>
      </c>
      <c r="C4142" s="7" t="n">
        <f aca="false">AVERAGE(B4093:B4142)</f>
        <v>4594.9294</v>
      </c>
      <c r="D4142" s="7" t="n">
        <f aca="false">AVERAGE(B3943:B4142)</f>
        <v>4364.4129</v>
      </c>
      <c r="E4142" s="7" t="n">
        <f aca="false">B4142/MAX(B3891:B4142)-1</f>
        <v>-0.00816678241633861</v>
      </c>
      <c r="F4142" s="7" t="str">
        <f aca="false">IFERROR(INDEX(02_轉折點45個!B:B,MATCH(A4142,02_轉折點45個!A:A,0)),"")</f>
        <v/>
      </c>
      <c r="G4142" s="7" t="s">
        <v>1994</v>
      </c>
    </row>
    <row r="4143" customFormat="false" ht="15" hidden="false" customHeight="false" outlineLevel="0" collapsed="false">
      <c r="A4143" s="7" t="s">
        <v>5300</v>
      </c>
      <c r="B4143" s="7" t="n">
        <v>4689.32</v>
      </c>
      <c r="C4143" s="7" t="n">
        <f aca="false">AVERAGE(B4094:B4143)</f>
        <v>4598.2572</v>
      </c>
      <c r="D4143" s="7" t="n">
        <f aca="false">AVERAGE(B3944:B4143)</f>
        <v>4366.8556</v>
      </c>
      <c r="E4143" s="7" t="n">
        <f aca="false">B4143/MAX(B3892:B4143)-1</f>
        <v>0</v>
      </c>
      <c r="F4143" s="7" t="str">
        <f aca="false">IFERROR(INDEX(02_轉折點45個!B:B,MATCH(A4143,02_轉折點45個!A:A,0)),"")</f>
        <v/>
      </c>
      <c r="G4143" s="7" t="s">
        <v>1994</v>
      </c>
    </row>
    <row r="4144" customFormat="false" ht="15" hidden="false" customHeight="false" outlineLevel="0" collapsed="false">
      <c r="A4144" s="7" t="s">
        <v>5301</v>
      </c>
      <c r="B4144" s="7" t="n">
        <v>4674.75</v>
      </c>
      <c r="C4144" s="7" t="n">
        <f aca="false">AVERAGE(B4095:B4144)</f>
        <v>4600.8598</v>
      </c>
      <c r="D4144" s="7" t="n">
        <f aca="false">AVERAGE(B3945:B4144)</f>
        <v>4369.3425</v>
      </c>
      <c r="E4144" s="7" t="n">
        <f aca="false">B4144/MAX(B3893:B4144)-1</f>
        <v>-0.00310706029872132</v>
      </c>
      <c r="F4144" s="7" t="str">
        <f aca="false">IFERROR(INDEX(02_轉折點45個!B:B,MATCH(A4144,02_轉折點45個!A:A,0)),"")</f>
        <v/>
      </c>
      <c r="G4144" s="7" t="s">
        <v>1994</v>
      </c>
    </row>
    <row r="4145" customFormat="false" ht="15" hidden="false" customHeight="false" outlineLevel="0" collapsed="false">
      <c r="A4145" s="7" t="s">
        <v>1193</v>
      </c>
      <c r="B4145" s="7" t="n">
        <v>4708.53</v>
      </c>
      <c r="C4145" s="7" t="n">
        <f aca="false">AVERAGE(B4096:B4145)</f>
        <v>4603.7466</v>
      </c>
      <c r="D4145" s="7" t="n">
        <f aca="false">AVERAGE(B3946:B4145)</f>
        <v>4372.04525</v>
      </c>
      <c r="E4145" s="7" t="n">
        <f aca="false">B4145/MAX(B3894:B4145)-1</f>
        <v>0</v>
      </c>
      <c r="F4145" s="7" t="str">
        <f aca="false">IFERROR(INDEX(02_轉折點45個!B:B,MATCH(A4145,02_轉折點45個!A:A,0)),"")</f>
        <v/>
      </c>
      <c r="G4145" s="7" t="s">
        <v>1994</v>
      </c>
    </row>
    <row r="4146" customFormat="false" ht="15" hidden="false" customHeight="false" outlineLevel="0" collapsed="false">
      <c r="A4146" s="7" t="s">
        <v>5302</v>
      </c>
      <c r="B4146" s="7" t="n">
        <v>4714.12</v>
      </c>
      <c r="C4146" s="7" t="n">
        <f aca="false">AVERAGE(B4097:B4146)</f>
        <v>4606.8864</v>
      </c>
      <c r="D4146" s="7" t="n">
        <f aca="false">AVERAGE(B3947:B4146)</f>
        <v>4374.6818</v>
      </c>
      <c r="E4146" s="7" t="n">
        <f aca="false">B4146/MAX(B3895:B4146)-1</f>
        <v>0</v>
      </c>
      <c r="F4146" s="7" t="str">
        <f aca="false">IFERROR(INDEX(02_轉折點45個!B:B,MATCH(A4146,02_轉折點45個!A:A,0)),"")</f>
        <v/>
      </c>
      <c r="G4146" s="7" t="s">
        <v>1994</v>
      </c>
    </row>
    <row r="4147" customFormat="false" ht="15" hidden="false" customHeight="false" outlineLevel="0" collapsed="false">
      <c r="A4147" s="7" t="s">
        <v>5303</v>
      </c>
      <c r="B4147" s="7" t="n">
        <v>4679.69</v>
      </c>
      <c r="C4147" s="7" t="n">
        <f aca="false">AVERAGE(B4098:B4147)</f>
        <v>4609.5378</v>
      </c>
      <c r="D4147" s="7" t="n">
        <f aca="false">AVERAGE(B3948:B4147)</f>
        <v>4377.1033</v>
      </c>
      <c r="E4147" s="7" t="n">
        <f aca="false">B4147/MAX(B3896:B4147)-1</f>
        <v>-0.00730359006559023</v>
      </c>
      <c r="F4147" s="7" t="str">
        <f aca="false">IFERROR(INDEX(02_轉折點45個!B:B,MATCH(A4147,02_轉折點45個!A:A,0)),"")</f>
        <v/>
      </c>
      <c r="G4147" s="7" t="s">
        <v>1994</v>
      </c>
    </row>
    <row r="4148" customFormat="false" ht="15" hidden="false" customHeight="false" outlineLevel="0" collapsed="false">
      <c r="A4148" s="7" t="s">
        <v>5304</v>
      </c>
      <c r="B4148" s="7" t="n">
        <v>4670.36</v>
      </c>
      <c r="C4148" s="7" t="n">
        <f aca="false">AVERAGE(B4099:B4148)</f>
        <v>4611.3864</v>
      </c>
      <c r="D4148" s="7" t="n">
        <f aca="false">AVERAGE(B3949:B4148)</f>
        <v>4379.66085</v>
      </c>
      <c r="E4148" s="7" t="n">
        <f aca="false">B4148/MAX(B3897:B4148)-1</f>
        <v>-0.00928275054517069</v>
      </c>
      <c r="F4148" s="7" t="str">
        <f aca="false">IFERROR(INDEX(02_轉折點45個!B:B,MATCH(A4148,02_轉折點45個!A:A,0)),"")</f>
        <v/>
      </c>
      <c r="G4148" s="7" t="s">
        <v>1994</v>
      </c>
    </row>
    <row r="4149" customFormat="false" ht="15" hidden="false" customHeight="false" outlineLevel="0" collapsed="false">
      <c r="A4149" s="7" t="s">
        <v>1194</v>
      </c>
      <c r="B4149" s="7" t="n">
        <v>4641.41</v>
      </c>
      <c r="C4149" s="7" t="n">
        <f aca="false">AVERAGE(B4100:B4149)</f>
        <v>4612.715</v>
      </c>
      <c r="D4149" s="7" t="n">
        <f aca="false">AVERAGE(B3950:B4149)</f>
        <v>4381.9173</v>
      </c>
      <c r="E4149" s="7" t="n">
        <f aca="false">B4149/MAX(B3898:B4149)-1</f>
        <v>-0.0154238755059268</v>
      </c>
      <c r="F4149" s="7" t="str">
        <f aca="false">IFERROR(INDEX(02_轉折點45個!B:B,MATCH(A4149,02_轉折點45個!A:A,0)),"")</f>
        <v/>
      </c>
      <c r="G4149" s="7" t="s">
        <v>1994</v>
      </c>
    </row>
    <row r="4150" customFormat="false" ht="15" hidden="false" customHeight="false" outlineLevel="0" collapsed="false">
      <c r="A4150" s="7" t="s">
        <v>1195</v>
      </c>
      <c r="B4150" s="7" t="n">
        <v>4529.92</v>
      </c>
      <c r="C4150" s="7" t="n">
        <f aca="false">AVERAGE(B4101:B4150)</f>
        <v>4613.202</v>
      </c>
      <c r="D4150" s="7" t="n">
        <f aca="false">AVERAGE(B3951:B4150)</f>
        <v>4383.59215</v>
      </c>
      <c r="E4150" s="7" t="n">
        <f aca="false">B4150/MAX(B3899:B4150)-1</f>
        <v>-0.039074100786573</v>
      </c>
      <c r="F4150" s="7" t="str">
        <f aca="false">IFERROR(INDEX(02_轉折點45個!B:B,MATCH(A4150,02_轉折點45個!A:A,0)),"")</f>
        <v/>
      </c>
      <c r="G4150" s="7" t="s">
        <v>1994</v>
      </c>
    </row>
    <row r="4151" customFormat="false" ht="15" hidden="false" customHeight="false" outlineLevel="0" collapsed="false">
      <c r="A4151" s="7" t="s">
        <v>5305</v>
      </c>
      <c r="B4151" s="7" t="n">
        <v>4555.87</v>
      </c>
      <c r="C4151" s="7" t="n">
        <f aca="false">AVERAGE(B4102:B4151)</f>
        <v>4613.0608</v>
      </c>
      <c r="D4151" s="7" t="n">
        <f aca="false">AVERAGE(B3952:B4151)</f>
        <v>4385.50735</v>
      </c>
      <c r="E4151" s="7" t="n">
        <f aca="false">B4151/MAX(B3900:B4151)-1</f>
        <v>-0.0335693618321129</v>
      </c>
      <c r="F4151" s="7" t="str">
        <f aca="false">IFERROR(INDEX(02_轉折點45個!B:B,MATCH(A4151,02_轉折點45個!A:A,0)),"")</f>
        <v/>
      </c>
      <c r="G4151" s="7" t="s">
        <v>1994</v>
      </c>
    </row>
    <row r="4152" customFormat="false" ht="15" hidden="false" customHeight="false" outlineLevel="0" collapsed="false">
      <c r="A4152" s="7" t="s">
        <v>5306</v>
      </c>
      <c r="B4152" s="7" t="n">
        <v>4579.85</v>
      </c>
      <c r="C4152" s="7" t="n">
        <f aca="false">AVERAGE(B4103:B4152)</f>
        <v>4613.043</v>
      </c>
      <c r="D4152" s="7" t="n">
        <f aca="false">AVERAGE(B3953:B4152)</f>
        <v>4387.7649</v>
      </c>
      <c r="E4152" s="7" t="n">
        <f aca="false">B4152/MAX(B3901:B4152)-1</f>
        <v>-0.0284825163551202</v>
      </c>
      <c r="F4152" s="7" t="str">
        <f aca="false">IFERROR(INDEX(02_轉折點45個!B:B,MATCH(A4152,02_轉折點45個!A:A,0)),"")</f>
        <v/>
      </c>
      <c r="G4152" s="7" t="s">
        <v>1994</v>
      </c>
    </row>
    <row r="4153" customFormat="false" ht="15" hidden="false" customHeight="false" outlineLevel="0" collapsed="false">
      <c r="A4153" s="7" t="s">
        <v>1196</v>
      </c>
      <c r="B4153" s="7" t="n">
        <v>4576.28</v>
      </c>
      <c r="C4153" s="7" t="n">
        <f aca="false">AVERAGE(B4104:B4153)</f>
        <v>4612.5688</v>
      </c>
      <c r="D4153" s="7" t="n">
        <f aca="false">AVERAGE(B3954:B4153)</f>
        <v>4389.8499</v>
      </c>
      <c r="E4153" s="7" t="n">
        <f aca="false">B4153/MAX(B3902:B4153)-1</f>
        <v>-0.0292398157026126</v>
      </c>
      <c r="F4153" s="7" t="str">
        <f aca="false">IFERROR(INDEX(02_轉折點45個!B:B,MATCH(A4153,02_轉折點45個!A:A,0)),"")</f>
        <v/>
      </c>
      <c r="G4153" s="7" t="s">
        <v>1994</v>
      </c>
    </row>
    <row r="4154" customFormat="false" ht="15" hidden="false" customHeight="false" outlineLevel="0" collapsed="false">
      <c r="A4154" s="7" t="s">
        <v>5307</v>
      </c>
      <c r="B4154" s="7" t="n">
        <v>4560.5</v>
      </c>
      <c r="C4154" s="7" t="n">
        <f aca="false">AVERAGE(B4105:B4154)</f>
        <v>4611.3972</v>
      </c>
      <c r="D4154" s="7" t="n">
        <f aca="false">AVERAGE(B3955:B4154)</f>
        <v>4391.81295</v>
      </c>
      <c r="E4154" s="7" t="n">
        <f aca="false">B4154/MAX(B3903:B4154)-1</f>
        <v>-0.0325872060957294</v>
      </c>
      <c r="F4154" s="7" t="str">
        <f aca="false">IFERROR(INDEX(02_轉折點45個!B:B,MATCH(A4154,02_轉折點45個!A:A,0)),"")</f>
        <v/>
      </c>
      <c r="G4154" s="7" t="s">
        <v>1994</v>
      </c>
    </row>
    <row r="4155" customFormat="false" ht="15" hidden="false" customHeight="false" outlineLevel="0" collapsed="false">
      <c r="A4155" s="7" t="s">
        <v>5308</v>
      </c>
      <c r="B4155" s="7" t="n">
        <v>4565.54</v>
      </c>
      <c r="C4155" s="7" t="n">
        <f aca="false">AVERAGE(B4106:B4155)</f>
        <v>4609.6684</v>
      </c>
      <c r="D4155" s="7" t="n">
        <f aca="false">AVERAGE(B3956:B4155)</f>
        <v>4393.6585</v>
      </c>
      <c r="E4155" s="7" t="n">
        <f aca="false">B4155/MAX(B3904:B4155)-1</f>
        <v>-0.0315180776051521</v>
      </c>
      <c r="F4155" s="7" t="str">
        <f aca="false">IFERROR(INDEX(02_轉折點45個!B:B,MATCH(A4155,02_轉折點45個!A:A,0)),"")</f>
        <v/>
      </c>
      <c r="G4155" s="7" t="s">
        <v>1994</v>
      </c>
    </row>
    <row r="4156" customFormat="false" ht="15" hidden="false" customHeight="false" outlineLevel="0" collapsed="false">
      <c r="A4156" s="7" t="s">
        <v>5309</v>
      </c>
      <c r="B4156" s="7" t="n">
        <v>4485.42</v>
      </c>
      <c r="C4156" s="7" t="n">
        <f aca="false">AVERAGE(B4107:B4156)</f>
        <v>4606.9186</v>
      </c>
      <c r="D4156" s="7" t="n">
        <f aca="false">AVERAGE(B3957:B4156)</f>
        <v>4395.16575</v>
      </c>
      <c r="E4156" s="7" t="n">
        <f aca="false">B4156/MAX(B3905:B4156)-1</f>
        <v>-0.0485138265466301</v>
      </c>
      <c r="F4156" s="7" t="str">
        <f aca="false">IFERROR(INDEX(02_轉折點45個!B:B,MATCH(A4156,02_轉折點45個!A:A,0)),"")</f>
        <v/>
      </c>
      <c r="G4156" s="7" t="s">
        <v>1994</v>
      </c>
    </row>
    <row r="4157" customFormat="false" ht="15" hidden="false" customHeight="false" outlineLevel="0" collapsed="false">
      <c r="A4157" s="7" t="s">
        <v>5310</v>
      </c>
      <c r="B4157" s="7" t="n">
        <v>4496.97</v>
      </c>
      <c r="C4157" s="7" t="n">
        <f aca="false">AVERAGE(B4108:B4157)</f>
        <v>4604.4882</v>
      </c>
      <c r="D4157" s="7" t="n">
        <f aca="false">AVERAGE(B3958:B4157)</f>
        <v>4396.96875</v>
      </c>
      <c r="E4157" s="7" t="n">
        <f aca="false">B4157/MAX(B3906:B4157)-1</f>
        <v>-0.0460637404223905</v>
      </c>
      <c r="F4157" s="7" t="str">
        <f aca="false">IFERROR(INDEX(02_轉折點45個!B:B,MATCH(A4157,02_轉折點45個!A:A,0)),"")</f>
        <v/>
      </c>
      <c r="G4157" s="7" t="s">
        <v>1994</v>
      </c>
    </row>
    <row r="4158" customFormat="false" ht="15" hidden="false" customHeight="false" outlineLevel="0" collapsed="false">
      <c r="A4158" s="7" t="s">
        <v>5311</v>
      </c>
      <c r="B4158" s="7" t="n">
        <v>4565.76</v>
      </c>
      <c r="C4158" s="7" t="n">
        <f aca="false">AVERAGE(B4109:B4158)</f>
        <v>4604.0142</v>
      </c>
      <c r="D4158" s="7" t="n">
        <f aca="false">AVERAGE(B3959:B4158)</f>
        <v>4399.20245</v>
      </c>
      <c r="E4158" s="7" t="n">
        <f aca="false">B4158/MAX(B3907:B4158)-1</f>
        <v>-0.0314714092980237</v>
      </c>
      <c r="F4158" s="7" t="str">
        <f aca="false">IFERROR(INDEX(02_轉折點45個!B:B,MATCH(A4158,02_轉折點45個!A:A,0)),"")</f>
        <v/>
      </c>
      <c r="G4158" s="7" t="s">
        <v>1994</v>
      </c>
    </row>
    <row r="4159" customFormat="false" ht="15" hidden="false" customHeight="false" outlineLevel="0" collapsed="false">
      <c r="A4159" s="7" t="s">
        <v>5312</v>
      </c>
      <c r="B4159" s="7" t="n">
        <v>4633.19</v>
      </c>
      <c r="C4159" s="7" t="n">
        <f aca="false">AVERAGE(B4110:B4159)</f>
        <v>4606.391</v>
      </c>
      <c r="D4159" s="7" t="n">
        <f aca="false">AVERAGE(B3960:B4159)</f>
        <v>4401.5608</v>
      </c>
      <c r="E4159" s="7" t="n">
        <f aca="false">B4159/MAX(B3908:B4159)-1</f>
        <v>-0.017167573163178</v>
      </c>
      <c r="F4159" s="7" t="str">
        <f aca="false">IFERROR(INDEX(02_轉折點45個!B:B,MATCH(A4159,02_轉折點45個!A:A,0)),"")</f>
        <v/>
      </c>
      <c r="G4159" s="7" t="s">
        <v>1994</v>
      </c>
    </row>
    <row r="4160" customFormat="false" ht="15" hidden="false" customHeight="false" outlineLevel="0" collapsed="false">
      <c r="A4160" s="7" t="s">
        <v>5313</v>
      </c>
      <c r="B4160" s="7" t="n">
        <v>4663.69</v>
      </c>
      <c r="C4160" s="7" t="n">
        <f aca="false">AVERAGE(B4111:B4160)</f>
        <v>4608.209</v>
      </c>
      <c r="D4160" s="7" t="n">
        <f aca="false">AVERAGE(B3961:B4160)</f>
        <v>4404.47575</v>
      </c>
      <c r="E4160" s="7" t="n">
        <f aca="false">B4160/MAX(B3909:B4160)-1</f>
        <v>-0.0106976487658355</v>
      </c>
      <c r="F4160" s="7" t="str">
        <f aca="false">IFERROR(INDEX(02_轉折點45個!B:B,MATCH(A4160,02_轉折點45個!A:A,0)),"")</f>
        <v/>
      </c>
      <c r="G4160" s="7" t="s">
        <v>1994</v>
      </c>
    </row>
    <row r="4161" customFormat="false" ht="15" hidden="false" customHeight="false" outlineLevel="0" collapsed="false">
      <c r="A4161" s="7" t="s">
        <v>5314</v>
      </c>
      <c r="B4161" s="7" t="n">
        <v>4658.25</v>
      </c>
      <c r="C4161" s="7" t="n">
        <f aca="false">AVERAGE(B4112:B4161)</f>
        <v>4609.7074</v>
      </c>
      <c r="D4161" s="7" t="n">
        <f aca="false">AVERAGE(B3962:B4161)</f>
        <v>4407.15595</v>
      </c>
      <c r="E4161" s="7" t="n">
        <f aca="false">B4161/MAX(B3910:B4161)-1</f>
        <v>-0.0118516287239188</v>
      </c>
      <c r="F4161" s="7" t="str">
        <f aca="false">IFERROR(INDEX(02_轉折點45個!B:B,MATCH(A4161,02_轉折點45個!A:A,0)),"")</f>
        <v/>
      </c>
      <c r="G4161" s="7" t="s">
        <v>1994</v>
      </c>
    </row>
    <row r="4162" customFormat="false" ht="15" hidden="false" customHeight="false" outlineLevel="0" collapsed="false">
      <c r="A4162" s="7" t="s">
        <v>1197</v>
      </c>
      <c r="B4162" s="7" t="n">
        <v>4716.94</v>
      </c>
      <c r="C4162" s="7" t="n">
        <f aca="false">AVERAGE(B4113:B4162)</f>
        <v>4613.7974</v>
      </c>
      <c r="D4162" s="7" t="n">
        <f aca="false">AVERAGE(B3963:B4162)</f>
        <v>4410.15855</v>
      </c>
      <c r="E4162" s="7" t="n">
        <f aca="false">B4162/MAX(B3911:B4162)-1</f>
        <v>0</v>
      </c>
      <c r="F4162" s="7" t="str">
        <f aca="false">IFERROR(INDEX(02_轉折點45個!B:B,MATCH(A4162,02_轉折點45個!A:A,0)),"")</f>
        <v/>
      </c>
      <c r="G4162" s="7" t="s">
        <v>1994</v>
      </c>
    </row>
    <row r="4163" customFormat="false" ht="15" hidden="false" customHeight="false" outlineLevel="0" collapsed="false">
      <c r="A4163" s="7" t="s">
        <v>5315</v>
      </c>
      <c r="B4163" s="7" t="n">
        <v>4759.84</v>
      </c>
      <c r="C4163" s="7" t="n">
        <f aca="false">AVERAGE(B4114:B4163)</f>
        <v>4619.1052</v>
      </c>
      <c r="D4163" s="7" t="n">
        <f aca="false">AVERAGE(B3964:B4163)</f>
        <v>4413.43255</v>
      </c>
      <c r="E4163" s="7" t="n">
        <f aca="false">B4163/MAX(B3912:B4163)-1</f>
        <v>0</v>
      </c>
      <c r="F4163" s="7" t="str">
        <f aca="false">IFERROR(INDEX(02_轉折點45個!B:B,MATCH(A4163,02_轉折點45個!A:A,0)),"")</f>
        <v/>
      </c>
      <c r="G4163" s="7" t="s">
        <v>1994</v>
      </c>
    </row>
    <row r="4164" customFormat="false" ht="15" hidden="false" customHeight="false" outlineLevel="0" collapsed="false">
      <c r="A4164" s="7" t="s">
        <v>144</v>
      </c>
      <c r="B4164" s="7" t="n">
        <v>4767.81</v>
      </c>
      <c r="C4164" s="7" t="n">
        <f aca="false">AVERAGE(B4115:B4164)</f>
        <v>4624.0992</v>
      </c>
      <c r="D4164" s="7" t="n">
        <f aca="false">AVERAGE(B3965:B4164)</f>
        <v>4417.0721</v>
      </c>
      <c r="E4164" s="7" t="n">
        <f aca="false">B4164/MAX(B3913:B4164)-1</f>
        <v>0</v>
      </c>
      <c r="F4164" s="7" t="str">
        <f aca="false">IFERROR(INDEX(02_轉折點45個!B:B,MATCH(A4164,02_轉折點45個!A:A,0)),"")</f>
        <v>TOP</v>
      </c>
      <c r="G4164" s="7" t="s">
        <v>1994</v>
      </c>
    </row>
    <row r="4165" customFormat="false" ht="15" hidden="false" customHeight="false" outlineLevel="0" collapsed="false">
      <c r="A4165" s="7" t="s">
        <v>5316</v>
      </c>
      <c r="B4165" s="7" t="n">
        <v>4758</v>
      </c>
      <c r="C4165" s="7" t="n">
        <f aca="false">AVERAGE(B4116:B4165)</f>
        <v>4627.837</v>
      </c>
      <c r="D4165" s="7" t="n">
        <f aca="false">AVERAGE(B3966:B4165)</f>
        <v>4420.62555</v>
      </c>
      <c r="E4165" s="7" t="n">
        <f aca="false">B4165/MAX(B3914:B4165)-1</f>
        <v>-0.00205754843418682</v>
      </c>
      <c r="F4165" s="7" t="str">
        <f aca="false">IFERROR(INDEX(02_轉折點45個!B:B,MATCH(A4165,02_轉折點45個!A:A,0)),"")</f>
        <v/>
      </c>
      <c r="G4165" s="7" t="s">
        <v>1994</v>
      </c>
    </row>
    <row r="4166" customFormat="false" ht="15" hidden="false" customHeight="false" outlineLevel="0" collapsed="false">
      <c r="A4166" s="7" t="s">
        <v>5317</v>
      </c>
      <c r="B4166" s="7" t="n">
        <v>4724.79</v>
      </c>
      <c r="C4166" s="7" t="n">
        <f aca="false">AVERAGE(B4117:B4166)</f>
        <v>4631.093</v>
      </c>
      <c r="D4166" s="7" t="n">
        <f aca="false">AVERAGE(B3967:B4166)</f>
        <v>4423.8055</v>
      </c>
      <c r="E4166" s="7" t="n">
        <f aca="false">B4166/MAX(B3915:B4166)-1</f>
        <v>-0.00902301056459898</v>
      </c>
      <c r="F4166" s="7" t="str">
        <f aca="false">IFERROR(INDEX(02_轉折點45個!B:B,MATCH(A4166,02_轉折點45個!A:A,0)),"")</f>
        <v/>
      </c>
      <c r="G4166" s="7" t="s">
        <v>1994</v>
      </c>
    </row>
    <row r="4167" customFormat="false" ht="15" hidden="false" customHeight="false" outlineLevel="0" collapsed="false">
      <c r="A4167" s="7" t="s">
        <v>5318</v>
      </c>
      <c r="B4167" s="7" t="n">
        <v>4701.62</v>
      </c>
      <c r="C4167" s="7" t="n">
        <f aca="false">AVERAGE(B4118:B4167)</f>
        <v>4634.2032</v>
      </c>
      <c r="D4167" s="7" t="n">
        <f aca="false">AVERAGE(B3968:B4167)</f>
        <v>4426.9647</v>
      </c>
      <c r="E4167" s="7" t="n">
        <f aca="false">B4167/MAX(B3916:B4167)-1</f>
        <v>-0.0138826840834682</v>
      </c>
      <c r="F4167" s="7" t="str">
        <f aca="false">IFERROR(INDEX(02_轉折點45個!B:B,MATCH(A4167,02_轉折點45個!A:A,0)),"")</f>
        <v/>
      </c>
      <c r="G4167" s="7" t="s">
        <v>1994</v>
      </c>
    </row>
    <row r="4168" customFormat="false" ht="15" hidden="false" customHeight="false" outlineLevel="0" collapsed="false">
      <c r="A4168" s="7" t="s">
        <v>1198</v>
      </c>
      <c r="B4168" s="7" t="n">
        <v>4648.83</v>
      </c>
      <c r="C4168" s="7" t="n">
        <f aca="false">AVERAGE(B4119:B4168)</f>
        <v>4636.157</v>
      </c>
      <c r="D4168" s="7" t="n">
        <f aca="false">AVERAGE(B3969:B4168)</f>
        <v>4430.17785</v>
      </c>
      <c r="E4168" s="7" t="n">
        <f aca="false">B4168/MAX(B3917:B4168)-1</f>
        <v>-0.0249548534861919</v>
      </c>
      <c r="F4168" s="7" t="str">
        <f aca="false">IFERROR(INDEX(02_轉折點45個!B:B,MATCH(A4168,02_轉折點45個!A:A,0)),"")</f>
        <v/>
      </c>
      <c r="G4168" s="7" t="s">
        <v>1994</v>
      </c>
    </row>
    <row r="4169" customFormat="false" ht="15" hidden="false" customHeight="false" outlineLevel="0" collapsed="false">
      <c r="A4169" s="7" t="s">
        <v>1199</v>
      </c>
      <c r="B4169" s="7" t="n">
        <v>4604.2</v>
      </c>
      <c r="C4169" s="7" t="n">
        <f aca="false">AVERAGE(B4120:B4169)</f>
        <v>4635.9556</v>
      </c>
      <c r="D4169" s="7" t="n">
        <f aca="false">AVERAGE(B3970:B4169)</f>
        <v>4432.78695</v>
      </c>
      <c r="E4169" s="7" t="n">
        <f aca="false">B4169/MAX(B3918:B4169)-1</f>
        <v>-0.0343155452922832</v>
      </c>
      <c r="F4169" s="7" t="str">
        <f aca="false">IFERROR(INDEX(02_轉折點45個!B:B,MATCH(A4169,02_轉折點45個!A:A,0)),"")</f>
        <v/>
      </c>
      <c r="G4169" s="7" t="s">
        <v>1994</v>
      </c>
    </row>
    <row r="4170" customFormat="false" ht="15" hidden="false" customHeight="false" outlineLevel="0" collapsed="false">
      <c r="A4170" s="7" t="s">
        <v>5319</v>
      </c>
      <c r="B4170" s="7" t="n">
        <v>4649.36</v>
      </c>
      <c r="C4170" s="7" t="n">
        <f aca="false">AVERAGE(B4121:B4170)</f>
        <v>4636.7032</v>
      </c>
      <c r="D4170" s="7" t="n">
        <f aca="false">AVERAGE(B3971:B4170)</f>
        <v>4436.0341</v>
      </c>
      <c r="E4170" s="7" t="n">
        <f aca="false">B4170/MAX(B3919:B4170)-1</f>
        <v>-0.0248436913383714</v>
      </c>
      <c r="F4170" s="7" t="str">
        <f aca="false">IFERROR(INDEX(02_轉折點45個!B:B,MATCH(A4170,02_轉折點45個!A:A,0)),"")</f>
        <v/>
      </c>
      <c r="G4170" s="7" t="s">
        <v>1994</v>
      </c>
    </row>
    <row r="4171" customFormat="false" ht="15" hidden="false" customHeight="false" outlineLevel="0" collapsed="false">
      <c r="A4171" s="7" t="s">
        <v>5320</v>
      </c>
      <c r="B4171" s="7" t="n">
        <v>4669.94</v>
      </c>
      <c r="C4171" s="7" t="n">
        <f aca="false">AVERAGE(B4122:B4171)</f>
        <v>4637.3116</v>
      </c>
      <c r="D4171" s="7" t="n">
        <f aca="false">AVERAGE(B3972:B4171)</f>
        <v>4439.8505</v>
      </c>
      <c r="E4171" s="7" t="n">
        <f aca="false">B4171/MAX(B3920:B4171)-1</f>
        <v>-0.0205272441645118</v>
      </c>
      <c r="F4171" s="7" t="str">
        <f aca="false">IFERROR(INDEX(02_轉折點45個!B:B,MATCH(A4171,02_轉折點45個!A:A,0)),"")</f>
        <v/>
      </c>
      <c r="G4171" s="7" t="s">
        <v>1994</v>
      </c>
    </row>
    <row r="4172" customFormat="false" ht="15" hidden="false" customHeight="false" outlineLevel="0" collapsed="false">
      <c r="A4172" s="7" t="s">
        <v>5321</v>
      </c>
      <c r="B4172" s="7" t="n">
        <v>4685.51</v>
      </c>
      <c r="C4172" s="7" t="n">
        <f aca="false">AVERAGE(B4123:B4172)</f>
        <v>4638.385</v>
      </c>
      <c r="D4172" s="7" t="n">
        <f aca="false">AVERAGE(B3973:B4172)</f>
        <v>4444.03065</v>
      </c>
      <c r="E4172" s="7" t="n">
        <f aca="false">B4172/MAX(B3921:B4172)-1</f>
        <v>-0.0172615938974079</v>
      </c>
      <c r="F4172" s="7" t="str">
        <f aca="false">IFERROR(INDEX(02_轉折點45個!B:B,MATCH(A4172,02_轉折點45個!A:A,0)),"")</f>
        <v/>
      </c>
      <c r="G4172" s="7" t="s">
        <v>1994</v>
      </c>
    </row>
    <row r="4173" customFormat="false" ht="15" hidden="false" customHeight="false" outlineLevel="0" collapsed="false">
      <c r="A4173" s="7" t="s">
        <v>1200</v>
      </c>
      <c r="B4173" s="7" t="n">
        <v>4685.06</v>
      </c>
      <c r="C4173" s="7" t="n">
        <f aca="false">AVERAGE(B4124:B4173)</f>
        <v>4639.4182</v>
      </c>
      <c r="D4173" s="7" t="n">
        <f aca="false">AVERAGE(B3974:B4173)</f>
        <v>4448.1468</v>
      </c>
      <c r="E4173" s="7" t="n">
        <f aca="false">B4173/MAX(B3922:B4173)-1</f>
        <v>-0.0173559768531044</v>
      </c>
      <c r="F4173" s="7" t="str">
        <f aca="false">IFERROR(INDEX(02_轉折點45個!B:B,MATCH(A4173,02_轉折點45個!A:A,0)),"")</f>
        <v/>
      </c>
      <c r="G4173" s="7" t="s">
        <v>1994</v>
      </c>
    </row>
    <row r="4174" customFormat="false" ht="15" hidden="false" customHeight="false" outlineLevel="0" collapsed="false">
      <c r="A4174" s="7" t="s">
        <v>5322</v>
      </c>
      <c r="B4174" s="7" t="n">
        <v>4673.27</v>
      </c>
      <c r="C4174" s="7" t="n">
        <f aca="false">AVERAGE(B4125:B4174)</f>
        <v>4639.8674</v>
      </c>
      <c r="D4174" s="7" t="n">
        <f aca="false">AVERAGE(B3975:B4174)</f>
        <v>4452.25815</v>
      </c>
      <c r="E4174" s="7" t="n">
        <f aca="false">B4174/MAX(B3923:B4174)-1</f>
        <v>-0.0198288102923564</v>
      </c>
      <c r="F4174" s="7" t="str">
        <f aca="false">IFERROR(INDEX(02_轉折點45個!B:B,MATCH(A4174,02_轉折點45個!A:A,0)),"")</f>
        <v/>
      </c>
      <c r="G4174" s="7" t="s">
        <v>1994</v>
      </c>
    </row>
    <row r="4175" customFormat="false" ht="15" hidden="false" customHeight="false" outlineLevel="0" collapsed="false">
      <c r="A4175" s="7" t="s">
        <v>5323</v>
      </c>
      <c r="B4175" s="7" t="n">
        <v>4664.29</v>
      </c>
      <c r="C4175" s="7" t="n">
        <f aca="false">AVERAGE(B4126:B4175)</f>
        <v>4640.1632</v>
      </c>
      <c r="D4175" s="7" t="n">
        <f aca="false">AVERAGE(B3976:B4175)</f>
        <v>4456.31515</v>
      </c>
      <c r="E4175" s="7" t="n">
        <f aca="false">B4175/MAX(B3924:B4175)-1</f>
        <v>-0.0217122746082584</v>
      </c>
      <c r="F4175" s="7" t="str">
        <f aca="false">IFERROR(INDEX(02_轉折點45個!B:B,MATCH(A4175,02_轉折點45個!A:A,0)),"")</f>
        <v/>
      </c>
      <c r="G4175" s="7" t="s">
        <v>1994</v>
      </c>
    </row>
    <row r="4176" customFormat="false" ht="15" hidden="false" customHeight="false" outlineLevel="0" collapsed="false">
      <c r="A4176" s="7" t="s">
        <v>5324</v>
      </c>
      <c r="B4176" s="7" t="n">
        <v>4695.71</v>
      </c>
      <c r="C4176" s="7" t="n">
        <f aca="false">AVERAGE(B4127:B4176)</f>
        <v>4642.1218</v>
      </c>
      <c r="D4176" s="7" t="n">
        <f aca="false">AVERAGE(B3977:B4176)</f>
        <v>4460.34175</v>
      </c>
      <c r="E4176" s="7" t="n">
        <f aca="false">B4176/MAX(B3925:B4176)-1</f>
        <v>-0.0151222469016173</v>
      </c>
      <c r="F4176" s="7" t="str">
        <f aca="false">IFERROR(INDEX(02_轉折點45個!B:B,MATCH(A4176,02_轉折點45個!A:A,0)),"")</f>
        <v/>
      </c>
      <c r="G4176" s="7" t="s">
        <v>1994</v>
      </c>
    </row>
    <row r="4177" customFormat="false" ht="15" hidden="false" customHeight="false" outlineLevel="0" collapsed="false">
      <c r="A4177" s="7" t="s">
        <v>1201</v>
      </c>
      <c r="B4177" s="7" t="n">
        <v>4619.43</v>
      </c>
      <c r="C4177" s="7" t="n">
        <f aca="false">AVERAGE(B4128:B4177)</f>
        <v>4641.2056</v>
      </c>
      <c r="D4177" s="7" t="n">
        <f aca="false">AVERAGE(B3978:B4177)</f>
        <v>4463.7237</v>
      </c>
      <c r="E4177" s="7" t="n">
        <f aca="false">B4177/MAX(B3926:B4177)-1</f>
        <v>-0.0311212065917057</v>
      </c>
      <c r="F4177" s="7" t="str">
        <f aca="false">IFERROR(INDEX(02_轉折點45個!B:B,MATCH(A4177,02_轉折點45個!A:A,0)),"")</f>
        <v/>
      </c>
      <c r="G4177" s="7" t="s">
        <v>1994</v>
      </c>
    </row>
    <row r="4178" customFormat="false" ht="15" hidden="false" customHeight="false" outlineLevel="0" collapsed="false">
      <c r="A4178" s="7" t="s">
        <v>1202</v>
      </c>
      <c r="B4178" s="7" t="n">
        <v>4607.64</v>
      </c>
      <c r="C4178" s="7" t="n">
        <f aca="false">AVERAGE(B4129:B4178)</f>
        <v>4640.211</v>
      </c>
      <c r="D4178" s="7" t="n">
        <f aca="false">AVERAGE(B3979:B4178)</f>
        <v>4466.5743</v>
      </c>
      <c r="E4178" s="7" t="n">
        <f aca="false">B4178/MAX(B3927:B4178)-1</f>
        <v>-0.0335940400309577</v>
      </c>
      <c r="F4178" s="7" t="str">
        <f aca="false">IFERROR(INDEX(02_轉折點45個!B:B,MATCH(A4178,02_轉折點45個!A:A,0)),"")</f>
        <v/>
      </c>
      <c r="G4178" s="7" t="s">
        <v>1994</v>
      </c>
    </row>
    <row r="4179" customFormat="false" ht="15" hidden="false" customHeight="false" outlineLevel="0" collapsed="false">
      <c r="A4179" s="7" t="s">
        <v>5325</v>
      </c>
      <c r="B4179" s="7" t="n">
        <v>4660.86</v>
      </c>
      <c r="C4179" s="7" t="n">
        <f aca="false">AVERAGE(B4130:B4179)</f>
        <v>4640.7914</v>
      </c>
      <c r="D4179" s="7" t="n">
        <f aca="false">AVERAGE(B3980:B4179)</f>
        <v>4469.85835</v>
      </c>
      <c r="E4179" s="7" t="n">
        <f aca="false">B4179/MAX(B3928:B4179)-1</f>
        <v>-0.0224316824705684</v>
      </c>
      <c r="F4179" s="7" t="str">
        <f aca="false">IFERROR(INDEX(02_轉折點45個!B:B,MATCH(A4179,02_轉折點45個!A:A,0)),"")</f>
        <v/>
      </c>
      <c r="G4179" s="7" t="s">
        <v>1994</v>
      </c>
    </row>
    <row r="4180" customFormat="false" ht="15" hidden="false" customHeight="false" outlineLevel="0" collapsed="false">
      <c r="A4180" s="7" t="s">
        <v>1203</v>
      </c>
      <c r="B4180" s="7" t="n">
        <v>4601.47</v>
      </c>
      <c r="C4180" s="7" t="n">
        <f aca="false">AVERAGE(B4131:B4180)</f>
        <v>4639.9482</v>
      </c>
      <c r="D4180" s="7" t="n">
        <f aca="false">AVERAGE(B3981:B4180)</f>
        <v>4472.52595</v>
      </c>
      <c r="E4180" s="7" t="n">
        <f aca="false">B4180/MAX(B3929:B4180)-1</f>
        <v>-0.0348881352235093</v>
      </c>
      <c r="F4180" s="7" t="str">
        <f aca="false">IFERROR(INDEX(02_轉折點45個!B:B,MATCH(A4180,02_轉折點45個!A:A,0)),"")</f>
        <v/>
      </c>
      <c r="G4180" s="7" t="s">
        <v>1994</v>
      </c>
    </row>
    <row r="4181" customFormat="false" ht="15" hidden="false" customHeight="false" outlineLevel="0" collapsed="false">
      <c r="A4181" s="7" t="s">
        <v>5326</v>
      </c>
      <c r="B4181" s="7" t="n">
        <v>4608.42</v>
      </c>
      <c r="C4181" s="7" t="n">
        <f aca="false">AVERAGE(B4132:B4181)</f>
        <v>4639.3612</v>
      </c>
      <c r="D4181" s="7" t="n">
        <f aca="false">AVERAGE(B3982:B4181)</f>
        <v>4475.08705</v>
      </c>
      <c r="E4181" s="7" t="n">
        <f aca="false">B4181/MAX(B3930:B4181)-1</f>
        <v>-0.0334304429077502</v>
      </c>
      <c r="F4181" s="7" t="str">
        <f aca="false">IFERROR(INDEX(02_轉折點45個!B:B,MATCH(A4181,02_轉折點45個!A:A,0)),"")</f>
        <v/>
      </c>
      <c r="G4181" s="7" t="s">
        <v>1994</v>
      </c>
    </row>
    <row r="4182" customFormat="false" ht="15" hidden="false" customHeight="false" outlineLevel="0" collapsed="false">
      <c r="A4182" s="7" t="s">
        <v>5327</v>
      </c>
      <c r="B4182" s="7" t="n">
        <v>4598.52</v>
      </c>
      <c r="C4182" s="7" t="n">
        <f aca="false">AVERAGE(B4133:B4182)</f>
        <v>4638.1612</v>
      </c>
      <c r="D4182" s="7" t="n">
        <f aca="false">AVERAGE(B3983:B4182)</f>
        <v>4477.58855</v>
      </c>
      <c r="E4182" s="7" t="n">
        <f aca="false">B4182/MAX(B3931:B4182)-1</f>
        <v>-0.0355068679330762</v>
      </c>
      <c r="F4182" s="7" t="str">
        <f aca="false">IFERROR(INDEX(02_轉折點45個!B:B,MATCH(A4182,02_轉折點45個!A:A,0)),"")</f>
        <v/>
      </c>
      <c r="G4182" s="7" t="s">
        <v>1994</v>
      </c>
    </row>
    <row r="4183" customFormat="false" ht="15" hidden="false" customHeight="false" outlineLevel="0" collapsed="false">
      <c r="A4183" s="7" t="s">
        <v>5328</v>
      </c>
      <c r="B4183" s="7" t="n">
        <v>4611.93</v>
      </c>
      <c r="C4183" s="7" t="n">
        <f aca="false">AVERAGE(B4134:B4183)</f>
        <v>4637.9624</v>
      </c>
      <c r="D4183" s="7" t="n">
        <f aca="false">AVERAGE(B3984:B4183)</f>
        <v>4479.79915</v>
      </c>
      <c r="E4183" s="7" t="n">
        <f aca="false">B4183/MAX(B3932:B4183)-1</f>
        <v>-0.0326942558533163</v>
      </c>
      <c r="F4183" s="7" t="str">
        <f aca="false">IFERROR(INDEX(02_轉折點45個!B:B,MATCH(A4183,02_轉折點45個!A:A,0)),"")</f>
        <v/>
      </c>
      <c r="G4183" s="7" t="s">
        <v>1994</v>
      </c>
    </row>
    <row r="4184" customFormat="false" ht="15" hidden="false" customHeight="false" outlineLevel="0" collapsed="false">
      <c r="A4184" s="7" t="s">
        <v>5329</v>
      </c>
      <c r="B4184" s="7" t="n">
        <v>4651.64</v>
      </c>
      <c r="C4184" s="7" t="n">
        <f aca="false">AVERAGE(B4135:B4184)</f>
        <v>4638.387</v>
      </c>
      <c r="D4184" s="7" t="n">
        <f aca="false">AVERAGE(B3985:B4184)</f>
        <v>4482.2771</v>
      </c>
      <c r="E4184" s="7" t="n">
        <f aca="false">B4184/MAX(B3933:B4184)-1</f>
        <v>-0.0243654843628417</v>
      </c>
      <c r="F4184" s="7" t="str">
        <f aca="false">IFERROR(INDEX(02_轉折點45個!B:B,MATCH(A4184,02_轉折點45個!A:A,0)),"")</f>
        <v/>
      </c>
      <c r="G4184" s="7" t="s">
        <v>1994</v>
      </c>
    </row>
    <row r="4185" customFormat="false" ht="15" hidden="false" customHeight="false" outlineLevel="0" collapsed="false">
      <c r="A4185" s="7" t="s">
        <v>5330</v>
      </c>
      <c r="B4185" s="7" t="n">
        <v>4622.08</v>
      </c>
      <c r="C4185" s="7" t="n">
        <f aca="false">AVERAGE(B4136:B4185)</f>
        <v>4639.0762</v>
      </c>
      <c r="D4185" s="7" t="n">
        <f aca="false">AVERAGE(B3986:B4185)</f>
        <v>4484.53</v>
      </c>
      <c r="E4185" s="7" t="n">
        <f aca="false">B4185/MAX(B3934:B4185)-1</f>
        <v>-0.0305653958526033</v>
      </c>
      <c r="F4185" s="7" t="str">
        <f aca="false">IFERROR(INDEX(02_轉折點45個!B:B,MATCH(A4185,02_轉折點45個!A:A,0)),"")</f>
        <v/>
      </c>
      <c r="G4185" s="7" t="s">
        <v>1994</v>
      </c>
    </row>
    <row r="4186" customFormat="false" ht="15" hidden="false" customHeight="false" outlineLevel="0" collapsed="false">
      <c r="A4186" s="7" t="s">
        <v>5331</v>
      </c>
      <c r="B4186" s="7" t="n">
        <v>4585.27</v>
      </c>
      <c r="C4186" s="7" t="n">
        <f aca="false">AVERAGE(B4137:B4186)</f>
        <v>4639.171</v>
      </c>
      <c r="D4186" s="7" t="n">
        <f aca="false">AVERAGE(B3987:B4186)</f>
        <v>4486.30375</v>
      </c>
      <c r="E4186" s="7" t="n">
        <f aca="false">B4186/MAX(B3935:B4186)-1</f>
        <v>-0.0382859216285884</v>
      </c>
      <c r="F4186" s="7" t="str">
        <f aca="false">IFERROR(INDEX(02_轉折點45個!B:B,MATCH(A4186,02_轉折點45個!A:A,0)),"")</f>
        <v/>
      </c>
      <c r="G4186" s="7" t="s">
        <v>1994</v>
      </c>
    </row>
    <row r="4187" customFormat="false" ht="15" hidden="false" customHeight="false" outlineLevel="0" collapsed="false">
      <c r="A4187" s="7" t="s">
        <v>1204</v>
      </c>
      <c r="B4187" s="7" t="n">
        <v>4455.94</v>
      </c>
      <c r="C4187" s="7" t="n">
        <f aca="false">AVERAGE(B4138:B4187)</f>
        <v>4635.5314</v>
      </c>
      <c r="D4187" s="7" t="n">
        <f aca="false">AVERAGE(B3988:B4187)</f>
        <v>4487.39355</v>
      </c>
      <c r="E4187" s="7" t="n">
        <f aca="false">B4187/MAX(B3936:B4187)-1</f>
        <v>-0.0654115830958031</v>
      </c>
      <c r="F4187" s="7" t="str">
        <f aca="false">IFERROR(INDEX(02_轉折點45個!B:B,MATCH(A4187,02_轉折點45個!A:A,0)),"")</f>
        <v/>
      </c>
      <c r="G4187" s="7" t="s">
        <v>1994</v>
      </c>
    </row>
    <row r="4188" customFormat="false" ht="15" hidden="false" customHeight="false" outlineLevel="0" collapsed="false">
      <c r="A4188" s="7" t="s">
        <v>5332</v>
      </c>
      <c r="B4188" s="7" t="n">
        <v>4299.31</v>
      </c>
      <c r="C4188" s="7" t="n">
        <f aca="false">AVERAGE(B4139:B4188)</f>
        <v>4628.6528</v>
      </c>
      <c r="D4188" s="7" t="n">
        <f aca="false">AVERAGE(B3989:B4188)</f>
        <v>4487.76995</v>
      </c>
      <c r="E4188" s="7" t="n">
        <f aca="false">B4188/MAX(B3937:B4188)-1</f>
        <v>-0.0982631438752802</v>
      </c>
      <c r="F4188" s="7" t="str">
        <f aca="false">IFERROR(INDEX(02_轉折點45個!B:B,MATCH(A4188,02_轉折點45個!A:A,0)),"")</f>
        <v/>
      </c>
      <c r="G4188" s="7" t="s">
        <v>1994</v>
      </c>
    </row>
    <row r="4189" customFormat="false" ht="15" hidden="false" customHeight="false" outlineLevel="0" collapsed="false">
      <c r="A4189" s="7" t="s">
        <v>5333</v>
      </c>
      <c r="B4189" s="7" t="n">
        <v>4135.06</v>
      </c>
      <c r="C4189" s="7" t="n">
        <f aca="false">AVERAGE(B4140:B4189)</f>
        <v>4619.063</v>
      </c>
      <c r="D4189" s="7" t="n">
        <f aca="false">AVERAGE(B3990:B4189)</f>
        <v>4487.33845</v>
      </c>
      <c r="E4189" s="7" t="n">
        <f aca="false">B4189/MAX(B3938:B4189)-1</f>
        <v>-0.132712922704554</v>
      </c>
      <c r="F4189" s="7" t="str">
        <f aca="false">IFERROR(INDEX(02_轉折點45個!B:B,MATCH(A4189,02_轉折點45個!A:A,0)),"")</f>
        <v/>
      </c>
      <c r="G4189" s="7" t="s">
        <v>1994</v>
      </c>
    </row>
    <row r="4190" customFormat="false" ht="15" hidden="false" customHeight="false" outlineLevel="0" collapsed="false">
      <c r="A4190" s="7" t="s">
        <v>5334</v>
      </c>
      <c r="B4190" s="7" t="n">
        <v>4117.01</v>
      </c>
      <c r="C4190" s="7" t="n">
        <f aca="false">AVERAGE(B4141:B4190)</f>
        <v>4609.4984</v>
      </c>
      <c r="D4190" s="7" t="n">
        <f aca="false">AVERAGE(B3991:B4190)</f>
        <v>4486.7356</v>
      </c>
      <c r="E4190" s="7" t="n">
        <f aca="false">B4190/MAX(B3939:B4190)-1</f>
        <v>-0.136498727927497</v>
      </c>
      <c r="F4190" s="7" t="str">
        <f aca="false">IFERROR(INDEX(02_轉折點45個!B:B,MATCH(A4190,02_轉折點45個!A:A,0)),"")</f>
        <v/>
      </c>
      <c r="G4190" s="7" t="s">
        <v>1994</v>
      </c>
    </row>
    <row r="4191" customFormat="false" ht="15" hidden="false" customHeight="false" outlineLevel="0" collapsed="false">
      <c r="A4191" s="7" t="s">
        <v>1205</v>
      </c>
      <c r="B4191" s="7" t="n">
        <v>4291.54</v>
      </c>
      <c r="C4191" s="7" t="n">
        <f aca="false">AVERAGE(B4142:B4191)</f>
        <v>4602.957</v>
      </c>
      <c r="D4191" s="7" t="n">
        <f aca="false">AVERAGE(B3992:B4191)</f>
        <v>4487.03255</v>
      </c>
      <c r="E4191" s="7" t="n">
        <f aca="false">B4191/MAX(B3940:B4191)-1</f>
        <v>-0.099892822910309</v>
      </c>
      <c r="F4191" s="7" t="str">
        <f aca="false">IFERROR(INDEX(02_轉折點45個!B:B,MATCH(A4191,02_轉折點45個!A:A,0)),"")</f>
        <v/>
      </c>
      <c r="G4191" s="7" t="s">
        <v>1994</v>
      </c>
    </row>
    <row r="4192" customFormat="false" ht="15" hidden="false" customHeight="false" outlineLevel="0" collapsed="false">
      <c r="A4192" s="7" t="s">
        <v>1206</v>
      </c>
      <c r="B4192" s="7" t="n">
        <v>4396.76</v>
      </c>
      <c r="C4192" s="7" t="n">
        <f aca="false">AVERAGE(B4143:B4192)</f>
        <v>4598.3494</v>
      </c>
      <c r="D4192" s="7" t="n">
        <f aca="false">AVERAGE(B3993:B4192)</f>
        <v>4487.7684</v>
      </c>
      <c r="E4192" s="7" t="n">
        <f aca="false">B4192/MAX(B3941:B4192)-1</f>
        <v>-0.0778239904694189</v>
      </c>
      <c r="F4192" s="7" t="str">
        <f aca="false">IFERROR(INDEX(02_轉折點45個!B:B,MATCH(A4192,02_轉折點45個!A:A,0)),"")</f>
        <v/>
      </c>
      <c r="G4192" s="7" t="s">
        <v>1994</v>
      </c>
    </row>
    <row r="4193" customFormat="false" ht="15" hidden="false" customHeight="false" outlineLevel="0" collapsed="false">
      <c r="A4193" s="7" t="s">
        <v>1207</v>
      </c>
      <c r="B4193" s="7" t="n">
        <v>4411.02</v>
      </c>
      <c r="C4193" s="7" t="n">
        <f aca="false">AVERAGE(B4144:B4193)</f>
        <v>4592.7834</v>
      </c>
      <c r="D4193" s="7" t="n">
        <f aca="false">AVERAGE(B3994:B4193)</f>
        <v>4488.5347</v>
      </c>
      <c r="E4193" s="7" t="n">
        <f aca="false">B4193/MAX(B3942:B4193)-1</f>
        <v>-0.0748330994733431</v>
      </c>
      <c r="F4193" s="7" t="str">
        <f aca="false">IFERROR(INDEX(02_轉折點45個!B:B,MATCH(A4193,02_轉折點45個!A:A,0)),"")</f>
        <v/>
      </c>
      <c r="G4193" s="7" t="s">
        <v>1994</v>
      </c>
    </row>
    <row r="4194" customFormat="false" ht="15" hidden="false" customHeight="false" outlineLevel="0" collapsed="false">
      <c r="A4194" s="7" t="s">
        <v>1208</v>
      </c>
      <c r="B4194" s="7" t="n">
        <v>4363.69</v>
      </c>
      <c r="C4194" s="7" t="n">
        <f aca="false">AVERAGE(B4145:B4194)</f>
        <v>4586.5622</v>
      </c>
      <c r="D4194" s="7" t="n">
        <f aca="false">AVERAGE(B3995:B4194)</f>
        <v>4488.99775</v>
      </c>
      <c r="E4194" s="7" t="n">
        <f aca="false">B4194/MAX(B3943:B4194)-1</f>
        <v>-0.0847600890136144</v>
      </c>
      <c r="F4194" s="7" t="str">
        <f aca="false">IFERROR(INDEX(02_轉折點45個!B:B,MATCH(A4194,02_轉折點45個!A:A,0)),"")</f>
        <v/>
      </c>
      <c r="G4194" s="7" t="s">
        <v>1994</v>
      </c>
    </row>
    <row r="4195" customFormat="false" ht="15" hidden="false" customHeight="false" outlineLevel="0" collapsed="false">
      <c r="A4195" s="7" t="s">
        <v>1209</v>
      </c>
      <c r="B4195" s="7" t="n">
        <v>4235.41</v>
      </c>
      <c r="C4195" s="7" t="n">
        <f aca="false">AVERAGE(B4146:B4195)</f>
        <v>4577.0998</v>
      </c>
      <c r="D4195" s="7" t="n">
        <f aca="false">AVERAGE(B3996:B4195)</f>
        <v>4488.79655</v>
      </c>
      <c r="E4195" s="7" t="n">
        <f aca="false">B4195/MAX(B3944:B4195)-1</f>
        <v>-0.111665523584203</v>
      </c>
      <c r="F4195" s="7" t="str">
        <f aca="false">IFERROR(INDEX(02_轉折點45個!B:B,MATCH(A4195,02_轉折點45個!A:A,0)),"")</f>
        <v/>
      </c>
      <c r="G4195" s="7" t="s">
        <v>1994</v>
      </c>
    </row>
    <row r="4196" customFormat="false" ht="15" hidden="false" customHeight="false" outlineLevel="0" collapsed="false">
      <c r="A4196" s="7" t="s">
        <v>5335</v>
      </c>
      <c r="B4196" s="7" t="n">
        <v>4339.45</v>
      </c>
      <c r="C4196" s="7" t="n">
        <f aca="false">AVERAGE(B4147:B4196)</f>
        <v>4569.6064</v>
      </c>
      <c r="D4196" s="7" t="n">
        <f aca="false">AVERAGE(B3997:B4196)</f>
        <v>4489.0772</v>
      </c>
      <c r="E4196" s="7" t="n">
        <f aca="false">B4196/MAX(B3945:B4196)-1</f>
        <v>-0.08984418422714</v>
      </c>
      <c r="F4196" s="7" t="str">
        <f aca="false">IFERROR(INDEX(02_轉折點45個!B:B,MATCH(A4196,02_轉折點45個!A:A,0)),"")</f>
        <v/>
      </c>
      <c r="G4196" s="7" t="s">
        <v>1994</v>
      </c>
    </row>
    <row r="4197" customFormat="false" ht="15" hidden="false" customHeight="false" outlineLevel="0" collapsed="false">
      <c r="A4197" s="7" t="s">
        <v>5336</v>
      </c>
      <c r="B4197" s="7" t="n">
        <v>4324.4</v>
      </c>
      <c r="C4197" s="7" t="n">
        <f aca="false">AVERAGE(B4148:B4197)</f>
        <v>4562.5006</v>
      </c>
      <c r="D4197" s="7" t="n">
        <f aca="false">AVERAGE(B3998:B4197)</f>
        <v>4489.3627</v>
      </c>
      <c r="E4197" s="7" t="n">
        <f aca="false">B4197/MAX(B3946:B4197)-1</f>
        <v>-0.0930007697454388</v>
      </c>
      <c r="F4197" s="7" t="str">
        <f aca="false">IFERROR(INDEX(02_轉折點45個!B:B,MATCH(A4197,02_轉折點45個!A:A,0)),"")</f>
        <v/>
      </c>
      <c r="G4197" s="7" t="s">
        <v>1994</v>
      </c>
    </row>
    <row r="4198" customFormat="false" ht="15" hidden="false" customHeight="false" outlineLevel="0" collapsed="false">
      <c r="A4198" s="7" t="s">
        <v>5337</v>
      </c>
      <c r="B4198" s="7" t="n">
        <v>4279.1</v>
      </c>
      <c r="C4198" s="7" t="n">
        <f aca="false">AVERAGE(B4149:B4198)</f>
        <v>4554.6754</v>
      </c>
      <c r="D4198" s="7" t="n">
        <f aca="false">AVERAGE(B3999:B4198)</f>
        <v>4489.2781</v>
      </c>
      <c r="E4198" s="7" t="n">
        <f aca="false">B4198/MAX(B3947:B4198)-1</f>
        <v>-0.102501987285567</v>
      </c>
      <c r="F4198" s="7" t="str">
        <f aca="false">IFERROR(INDEX(02_轉折點45個!B:B,MATCH(A4198,02_轉折點45個!A:A,0)),"")</f>
        <v/>
      </c>
      <c r="G4198" s="7" t="s">
        <v>1994</v>
      </c>
    </row>
    <row r="4199" customFormat="false" ht="15" hidden="false" customHeight="false" outlineLevel="0" collapsed="false">
      <c r="A4199" s="7" t="s">
        <v>1210</v>
      </c>
      <c r="B4199" s="7" t="n">
        <v>4396.05</v>
      </c>
      <c r="C4199" s="7" t="n">
        <f aca="false">AVERAGE(B4150:B4199)</f>
        <v>4549.7682</v>
      </c>
      <c r="D4199" s="7" t="n">
        <f aca="false">AVERAGE(B4000:B4199)</f>
        <v>4489.90035</v>
      </c>
      <c r="E4199" s="7" t="n">
        <f aca="false">B4199/MAX(B3948:B4199)-1</f>
        <v>-0.0779729057995181</v>
      </c>
      <c r="F4199" s="7" t="str">
        <f aca="false">IFERROR(INDEX(02_轉折點45個!B:B,MATCH(A4199,02_轉折點45個!A:A,0)),"")</f>
        <v/>
      </c>
      <c r="G4199" s="7" t="s">
        <v>1994</v>
      </c>
    </row>
    <row r="4200" customFormat="false" ht="15" hidden="false" customHeight="false" outlineLevel="0" collapsed="false">
      <c r="A4200" s="7" t="s">
        <v>5338</v>
      </c>
      <c r="B4200" s="7" t="n">
        <v>4345.44</v>
      </c>
      <c r="C4200" s="7" t="n">
        <f aca="false">AVERAGE(B4151:B4200)</f>
        <v>4546.0786</v>
      </c>
      <c r="D4200" s="7" t="n">
        <f aca="false">AVERAGE(B4001:B4200)</f>
        <v>4490.15005</v>
      </c>
      <c r="E4200" s="7" t="n">
        <f aca="false">B4200/MAX(B3949:B4200)-1</f>
        <v>-0.088587842216867</v>
      </c>
      <c r="F4200" s="7" t="str">
        <f aca="false">IFERROR(INDEX(02_轉折點45個!B:B,MATCH(A4200,02_轉折點45個!A:A,0)),"")</f>
        <v/>
      </c>
      <c r="G4200" s="7" t="s">
        <v>1994</v>
      </c>
    </row>
    <row r="4201" customFormat="false" ht="15" hidden="false" customHeight="false" outlineLevel="0" collapsed="false">
      <c r="A4201" s="7" t="s">
        <v>5339</v>
      </c>
      <c r="B4201" s="7" t="n">
        <v>4381.72</v>
      </c>
      <c r="C4201" s="7" t="n">
        <f aca="false">AVERAGE(B4152:B4201)</f>
        <v>4542.5956</v>
      </c>
      <c r="D4201" s="7" t="n">
        <f aca="false">AVERAGE(B4002:B4201)</f>
        <v>4490.53045</v>
      </c>
      <c r="E4201" s="7" t="n">
        <f aca="false">B4201/MAX(B3950:B4201)-1</f>
        <v>-0.0809784785887022</v>
      </c>
      <c r="F4201" s="7" t="str">
        <f aca="false">IFERROR(INDEX(02_轉折點45個!B:B,MATCH(A4201,02_轉折點45個!A:A,0)),"")</f>
        <v/>
      </c>
      <c r="G4201" s="7" t="s">
        <v>1994</v>
      </c>
    </row>
    <row r="4202" customFormat="false" ht="15" hidden="false" customHeight="false" outlineLevel="0" collapsed="false">
      <c r="A4202" s="7" t="s">
        <v>1211</v>
      </c>
      <c r="B4202" s="7" t="n">
        <v>4405.56</v>
      </c>
      <c r="C4202" s="7" t="n">
        <f aca="false">AVERAGE(B4153:B4202)</f>
        <v>4539.1098</v>
      </c>
      <c r="D4202" s="7" t="n">
        <f aca="false">AVERAGE(B4003:B4202)</f>
        <v>4490.83855</v>
      </c>
      <c r="E4202" s="7" t="n">
        <f aca="false">B4202/MAX(B3951:B4202)-1</f>
        <v>-0.0759782793357957</v>
      </c>
      <c r="F4202" s="7" t="str">
        <f aca="false">IFERROR(INDEX(02_轉折點45個!B:B,MATCH(A4202,02_轉折點45個!A:A,0)),"")</f>
        <v/>
      </c>
      <c r="G4202" s="7" t="s">
        <v>1994</v>
      </c>
    </row>
    <row r="4203" customFormat="false" ht="15" hidden="false" customHeight="false" outlineLevel="0" collapsed="false">
      <c r="A4203" s="7" t="s">
        <v>5340</v>
      </c>
      <c r="B4203" s="7" t="n">
        <v>4390.41</v>
      </c>
      <c r="C4203" s="7" t="n">
        <f aca="false">AVERAGE(B4154:B4203)</f>
        <v>4535.3924</v>
      </c>
      <c r="D4203" s="7" t="n">
        <f aca="false">AVERAGE(B4004:B4203)</f>
        <v>4491.05555</v>
      </c>
      <c r="E4203" s="7" t="n">
        <f aca="false">B4203/MAX(B3952:B4203)-1</f>
        <v>-0.0791558388442494</v>
      </c>
      <c r="F4203" s="7" t="str">
        <f aca="false">IFERROR(INDEX(02_轉折點45個!B:B,MATCH(A4203,02_轉折點45個!A:A,0)),"")</f>
        <v/>
      </c>
      <c r="G4203" s="7" t="s">
        <v>1994</v>
      </c>
    </row>
    <row r="4204" customFormat="false" ht="15" hidden="false" customHeight="false" outlineLevel="0" collapsed="false">
      <c r="A4204" s="7" t="s">
        <v>5341</v>
      </c>
      <c r="B4204" s="7" t="n">
        <v>4440.44</v>
      </c>
      <c r="C4204" s="7" t="n">
        <f aca="false">AVERAGE(B4155:B4204)</f>
        <v>4532.9912</v>
      </c>
      <c r="D4204" s="7" t="n">
        <f aca="false">AVERAGE(B4005:B4204)</f>
        <v>4491.38995</v>
      </c>
      <c r="E4204" s="7" t="n">
        <f aca="false">B4204/MAX(B3953:B4204)-1</f>
        <v>-0.0686625515697985</v>
      </c>
      <c r="F4204" s="7" t="str">
        <f aca="false">IFERROR(INDEX(02_轉折點45個!B:B,MATCH(A4204,02_轉折點45個!A:A,0)),"")</f>
        <v/>
      </c>
      <c r="G4204" s="7" t="s">
        <v>1994</v>
      </c>
    </row>
    <row r="4205" customFormat="false" ht="15" hidden="false" customHeight="false" outlineLevel="0" collapsed="false">
      <c r="A4205" s="7" t="s">
        <v>5342</v>
      </c>
      <c r="B4205" s="7" t="n">
        <v>4466.68</v>
      </c>
      <c r="C4205" s="7" t="n">
        <f aca="false">AVERAGE(B4156:B4205)</f>
        <v>4531.014</v>
      </c>
      <c r="D4205" s="7" t="n">
        <f aca="false">AVERAGE(B4006:B4205)</f>
        <v>4491.83585</v>
      </c>
      <c r="E4205" s="7" t="n">
        <f aca="false">B4205/MAX(B3954:B4205)-1</f>
        <v>-0.0631589765531764</v>
      </c>
      <c r="F4205" s="7" t="str">
        <f aca="false">IFERROR(INDEX(02_轉折點45個!B:B,MATCH(A4205,02_轉折點45個!A:A,0)),"")</f>
        <v/>
      </c>
      <c r="G4205" s="7" t="s">
        <v>1994</v>
      </c>
    </row>
    <row r="4206" customFormat="false" ht="15" hidden="false" customHeight="false" outlineLevel="0" collapsed="false">
      <c r="A4206" s="7" t="s">
        <v>5343</v>
      </c>
      <c r="B4206" s="7" t="n">
        <v>4470.98</v>
      </c>
      <c r="C4206" s="7" t="n">
        <f aca="false">AVERAGE(B4157:B4206)</f>
        <v>4530.7252</v>
      </c>
      <c r="D4206" s="7" t="n">
        <f aca="false">AVERAGE(B4007:B4206)</f>
        <v>4492.59685</v>
      </c>
      <c r="E4206" s="7" t="n">
        <f aca="false">B4206/MAX(B3955:B4206)-1</f>
        <v>-0.0622570949765198</v>
      </c>
      <c r="F4206" s="7" t="str">
        <f aca="false">IFERROR(INDEX(02_轉折點45個!B:B,MATCH(A4206,02_轉折點45個!A:A,0)),"")</f>
        <v/>
      </c>
      <c r="G4206" s="7" t="s">
        <v>1994</v>
      </c>
    </row>
    <row r="4207" customFormat="false" ht="15" hidden="false" customHeight="false" outlineLevel="0" collapsed="false">
      <c r="A4207" s="7" t="s">
        <v>5344</v>
      </c>
      <c r="B4207" s="7" t="n">
        <v>4410.03</v>
      </c>
      <c r="C4207" s="7" t="n">
        <f aca="false">AVERAGE(B4158:B4207)</f>
        <v>4528.9864</v>
      </c>
      <c r="D4207" s="7" t="n">
        <f aca="false">AVERAGE(B4008:B4207)</f>
        <v>4492.9231</v>
      </c>
      <c r="E4207" s="7" t="n">
        <f aca="false">B4207/MAX(B3956:B4207)-1</f>
        <v>-0.0750407419758759</v>
      </c>
      <c r="F4207" s="7" t="str">
        <f aca="false">IFERROR(INDEX(02_轉折點45個!B:B,MATCH(A4207,02_轉折點45個!A:A,0)),"")</f>
        <v/>
      </c>
      <c r="G4207" s="7" t="s">
        <v>1994</v>
      </c>
    </row>
    <row r="4208" customFormat="false" ht="15" hidden="false" customHeight="false" outlineLevel="0" collapsed="false">
      <c r="A4208" s="7" t="s">
        <v>5345</v>
      </c>
      <c r="B4208" s="7" t="n">
        <v>4411.6</v>
      </c>
      <c r="C4208" s="7" t="n">
        <f aca="false">AVERAGE(B4159:B4208)</f>
        <v>4525.9032</v>
      </c>
      <c r="D4208" s="7" t="n">
        <f aca="false">AVERAGE(B4009:B4208)</f>
        <v>4493.17195</v>
      </c>
      <c r="E4208" s="7" t="n">
        <f aca="false">B4208/MAX(B3957:B4208)-1</f>
        <v>-0.0747114503304452</v>
      </c>
      <c r="F4208" s="7" t="str">
        <f aca="false">IFERROR(INDEX(02_轉折點45個!B:B,MATCH(A4208,02_轉折點45個!A:A,0)),"")</f>
        <v/>
      </c>
      <c r="G4208" s="7" t="s">
        <v>1994</v>
      </c>
    </row>
    <row r="4209" customFormat="false" ht="15" hidden="false" customHeight="false" outlineLevel="0" collapsed="false">
      <c r="A4209" s="7" t="s">
        <v>5346</v>
      </c>
      <c r="B4209" s="7" t="n">
        <v>4345.61</v>
      </c>
      <c r="C4209" s="7" t="n">
        <f aca="false">AVERAGE(B4160:B4209)</f>
        <v>4520.1516</v>
      </c>
      <c r="D4209" s="7" t="n">
        <f aca="false">AVERAGE(B4010:B4209)</f>
        <v>4493.11385</v>
      </c>
      <c r="E4209" s="7" t="n">
        <f aca="false">B4209/MAX(B3958:B4209)-1</f>
        <v>-0.0885521864336039</v>
      </c>
      <c r="F4209" s="7" t="str">
        <f aca="false">IFERROR(INDEX(02_轉折點45個!B:B,MATCH(A4209,02_轉折點45個!A:A,0)),"")</f>
        <v/>
      </c>
      <c r="G4209" s="7" t="s">
        <v>1994</v>
      </c>
    </row>
    <row r="4210" customFormat="false" ht="15" hidden="false" customHeight="false" outlineLevel="0" collapsed="false">
      <c r="A4210" s="7" t="s">
        <v>5347</v>
      </c>
      <c r="B4210" s="7" t="n">
        <v>4341.97</v>
      </c>
      <c r="C4210" s="7" t="n">
        <f aca="false">AVERAGE(B4161:B4210)</f>
        <v>4513.7172</v>
      </c>
      <c r="D4210" s="7" t="n">
        <f aca="false">AVERAGE(B4011:B4210)</f>
        <v>4492.98585</v>
      </c>
      <c r="E4210" s="7" t="n">
        <f aca="false">B4210/MAX(B3959:B4210)-1</f>
        <v>-0.0893156396752388</v>
      </c>
      <c r="F4210" s="7" t="str">
        <f aca="false">IFERROR(INDEX(02_轉折點45個!B:B,MATCH(A4210,02_轉折點45個!A:A,0)),"")</f>
        <v/>
      </c>
      <c r="G4210" s="7" t="s">
        <v>1994</v>
      </c>
    </row>
    <row r="4211" customFormat="false" ht="15" hidden="false" customHeight="false" outlineLevel="0" collapsed="false">
      <c r="A4211" s="7" t="s">
        <v>5348</v>
      </c>
      <c r="B4211" s="7" t="n">
        <v>4325.29</v>
      </c>
      <c r="C4211" s="7" t="n">
        <f aca="false">AVERAGE(B4162:B4211)</f>
        <v>4507.058</v>
      </c>
      <c r="D4211" s="7" t="n">
        <f aca="false">AVERAGE(B4012:B4211)</f>
        <v>4492.9575</v>
      </c>
      <c r="E4211" s="7" t="n">
        <f aca="false">B4211/MAX(B3960:B4211)-1</f>
        <v>-0.092814101233061</v>
      </c>
      <c r="F4211" s="7" t="str">
        <f aca="false">IFERROR(INDEX(02_轉折點45個!B:B,MATCH(A4211,02_轉折點45個!A:A,0)),"")</f>
        <v/>
      </c>
      <c r="G4211" s="7" t="s">
        <v>1994</v>
      </c>
    </row>
    <row r="4212" customFormat="false" ht="15" hidden="false" customHeight="false" outlineLevel="0" collapsed="false">
      <c r="A4212" s="7" t="s">
        <v>1212</v>
      </c>
      <c r="B4212" s="7" t="n">
        <v>4281.46</v>
      </c>
      <c r="C4212" s="7" t="n">
        <f aca="false">AVERAGE(B4163:B4212)</f>
        <v>4498.3484</v>
      </c>
      <c r="D4212" s="7" t="n">
        <f aca="false">AVERAGE(B4013:B4212)</f>
        <v>4492.5922</v>
      </c>
      <c r="E4212" s="7" t="n">
        <f aca="false">B4212/MAX(B3961:B4212)-1</f>
        <v>-0.102007001117914</v>
      </c>
      <c r="F4212" s="7" t="str">
        <f aca="false">IFERROR(INDEX(02_轉折點45個!B:B,MATCH(A4212,02_轉折點45個!A:A,0)),"")</f>
        <v/>
      </c>
      <c r="G4212" s="7" t="s">
        <v>1994</v>
      </c>
    </row>
    <row r="4213" customFormat="false" ht="15" hidden="false" customHeight="false" outlineLevel="0" collapsed="false">
      <c r="A4213" s="7" t="s">
        <v>5349</v>
      </c>
      <c r="B4213" s="7" t="n">
        <v>4151.25</v>
      </c>
      <c r="C4213" s="7" t="n">
        <f aca="false">AVERAGE(B4164:B4213)</f>
        <v>4486.1766</v>
      </c>
      <c r="D4213" s="7" t="n">
        <f aca="false">AVERAGE(B4014:B4213)</f>
        <v>4491.9525</v>
      </c>
      <c r="E4213" s="7" t="n">
        <f aca="false">B4213/MAX(B3962:B4213)-1</f>
        <v>-0.129317233698491</v>
      </c>
      <c r="F4213" s="7" t="str">
        <f aca="false">IFERROR(INDEX(02_轉折點45個!B:B,MATCH(A4213,02_轉折點45個!A:A,0)),"")</f>
        <v/>
      </c>
      <c r="G4213" s="7" t="s">
        <v>1994</v>
      </c>
    </row>
    <row r="4214" customFormat="false" ht="15" hidden="false" customHeight="false" outlineLevel="0" collapsed="false">
      <c r="A4214" s="7" t="s">
        <v>5350</v>
      </c>
      <c r="B4214" s="7" t="n">
        <v>4126.9</v>
      </c>
      <c r="C4214" s="7" t="n">
        <f aca="false">AVERAGE(B4165:B4214)</f>
        <v>4473.3584</v>
      </c>
      <c r="D4214" s="7" t="n">
        <f aca="false">AVERAGE(B4015:B4214)</f>
        <v>4491.08075</v>
      </c>
      <c r="E4214" s="7" t="n">
        <f aca="false">B4214/MAX(B3963:B4214)-1</f>
        <v>-0.134424400301187</v>
      </c>
      <c r="F4214" s="7" t="str">
        <f aca="false">IFERROR(INDEX(02_轉折點45個!B:B,MATCH(A4214,02_轉折點45個!A:A,0)),"")</f>
        <v/>
      </c>
      <c r="G4214" s="7" t="s">
        <v>1994</v>
      </c>
    </row>
    <row r="4215" customFormat="false" ht="15" hidden="false" customHeight="false" outlineLevel="0" collapsed="false">
      <c r="A4215" s="7" t="s">
        <v>5351</v>
      </c>
      <c r="B4215" s="7" t="n">
        <v>4220.85</v>
      </c>
      <c r="C4215" s="7" t="n">
        <f aca="false">AVERAGE(B4166:B4215)</f>
        <v>4462.6154</v>
      </c>
      <c r="D4215" s="7" t="n">
        <f aca="false">AVERAGE(B4016:B4215)</f>
        <v>4490.928</v>
      </c>
      <c r="E4215" s="7" t="n">
        <f aca="false">B4215/MAX(B3964:B4215)-1</f>
        <v>-0.114719336550743</v>
      </c>
      <c r="F4215" s="7" t="str">
        <f aca="false">IFERROR(INDEX(02_轉折點45個!B:B,MATCH(A4215,02_轉折點45個!A:A,0)),"")</f>
        <v/>
      </c>
      <c r="G4215" s="7" t="s">
        <v>1994</v>
      </c>
    </row>
    <row r="4216" customFormat="false" ht="15" hidden="false" customHeight="false" outlineLevel="0" collapsed="false">
      <c r="A4216" s="7" t="s">
        <v>5352</v>
      </c>
      <c r="B4216" s="7" t="n">
        <v>4227.17</v>
      </c>
      <c r="C4216" s="7" t="n">
        <f aca="false">AVERAGE(B4167:B4216)</f>
        <v>4452.663</v>
      </c>
      <c r="D4216" s="7" t="n">
        <f aca="false">AVERAGE(B4017:B4216)</f>
        <v>4491.0281</v>
      </c>
      <c r="E4216" s="7" t="n">
        <f aca="false">B4216/MAX(B3965:B4216)-1</f>
        <v>-0.11339378037296</v>
      </c>
      <c r="F4216" s="7" t="str">
        <f aca="false">IFERROR(INDEX(02_轉折點45個!B:B,MATCH(A4216,02_轉折點45個!A:A,0)),"")</f>
        <v/>
      </c>
      <c r="G4216" s="7" t="s">
        <v>1994</v>
      </c>
    </row>
    <row r="4217" customFormat="false" ht="15" hidden="false" customHeight="false" outlineLevel="0" collapsed="false">
      <c r="A4217" s="7" t="s">
        <v>5353</v>
      </c>
      <c r="B4217" s="7" t="n">
        <v>4300.9</v>
      </c>
      <c r="C4217" s="7" t="n">
        <f aca="false">AVERAGE(B4168:B4217)</f>
        <v>4444.6486</v>
      </c>
      <c r="D4217" s="7" t="n">
        <f aca="false">AVERAGE(B4018:B4217)</f>
        <v>4491.75875</v>
      </c>
      <c r="E4217" s="7" t="n">
        <f aca="false">B4217/MAX(B3966:B4217)-1</f>
        <v>-0.0979296574318189</v>
      </c>
      <c r="F4217" s="7" t="str">
        <f aca="false">IFERROR(INDEX(02_轉折點45個!B:B,MATCH(A4217,02_轉折點45個!A:A,0)),"")</f>
        <v/>
      </c>
      <c r="G4217" s="7" t="s">
        <v>1994</v>
      </c>
    </row>
    <row r="4218" customFormat="false" ht="15" hidden="false" customHeight="false" outlineLevel="0" collapsed="false">
      <c r="A4218" s="7" t="s">
        <v>5354</v>
      </c>
      <c r="B4218" s="7" t="n">
        <v>4368.03</v>
      </c>
      <c r="C4218" s="7" t="n">
        <f aca="false">AVERAGE(B4169:B4218)</f>
        <v>4439.0326</v>
      </c>
      <c r="D4218" s="7" t="n">
        <f aca="false">AVERAGE(B4019:B4218)</f>
        <v>4492.38435</v>
      </c>
      <c r="E4218" s="7" t="n">
        <f aca="false">B4218/MAX(B3967:B4218)-1</f>
        <v>-0.0838498178408956</v>
      </c>
      <c r="F4218" s="7" t="str">
        <f aca="false">IFERROR(INDEX(02_轉折點45個!B:B,MATCH(A4218,02_轉折點45個!A:A,0)),"")</f>
        <v/>
      </c>
      <c r="G4218" s="7" t="s">
        <v>1994</v>
      </c>
    </row>
    <row r="4219" customFormat="false" ht="15" hidden="false" customHeight="false" outlineLevel="0" collapsed="false">
      <c r="A4219" s="7" t="s">
        <v>5355</v>
      </c>
      <c r="B4219" s="7" t="n">
        <v>4337.97</v>
      </c>
      <c r="C4219" s="7" t="n">
        <f aca="false">AVERAGE(B4170:B4219)</f>
        <v>4433.708</v>
      </c>
      <c r="D4219" s="7" t="n">
        <f aca="false">AVERAGE(B4020:B4219)</f>
        <v>4492.38415</v>
      </c>
      <c r="E4219" s="7" t="n">
        <f aca="false">B4219/MAX(B3968:B4219)-1</f>
        <v>-0.0901545992814311</v>
      </c>
      <c r="F4219" s="7" t="str">
        <f aca="false">IFERROR(INDEX(02_轉折點45個!B:B,MATCH(A4219,02_轉折點45個!A:A,0)),"")</f>
        <v/>
      </c>
      <c r="G4219" s="7" t="s">
        <v>1994</v>
      </c>
    </row>
    <row r="4220" customFormat="false" ht="15" hidden="false" customHeight="false" outlineLevel="0" collapsed="false">
      <c r="A4220" s="7" t="s">
        <v>5356</v>
      </c>
      <c r="B4220" s="7" t="n">
        <v>4377.06</v>
      </c>
      <c r="C4220" s="7" t="n">
        <f aca="false">AVERAGE(B4171:B4220)</f>
        <v>4428.262</v>
      </c>
      <c r="D4220" s="7" t="n">
        <f aca="false">AVERAGE(B4021:B4220)</f>
        <v>4492.50185</v>
      </c>
      <c r="E4220" s="7" t="n">
        <f aca="false">B4220/MAX(B3969:B4220)-1</f>
        <v>-0.0819558665299163</v>
      </c>
      <c r="F4220" s="7" t="str">
        <f aca="false">IFERROR(INDEX(02_轉折點45個!B:B,MATCH(A4220,02_轉折點45個!A:A,0)),"")</f>
        <v/>
      </c>
      <c r="G4220" s="7" t="s">
        <v>1994</v>
      </c>
    </row>
    <row r="4221" customFormat="false" ht="15" hidden="false" customHeight="false" outlineLevel="0" collapsed="false">
      <c r="A4221" s="7" t="s">
        <v>1213</v>
      </c>
      <c r="B4221" s="7" t="n">
        <v>4395.01</v>
      </c>
      <c r="C4221" s="7" t="n">
        <f aca="false">AVERAGE(B4172:B4221)</f>
        <v>4422.7634</v>
      </c>
      <c r="D4221" s="7" t="n">
        <f aca="false">AVERAGE(B4022:B4221)</f>
        <v>4492.63605</v>
      </c>
      <c r="E4221" s="7" t="n">
        <f aca="false">B4221/MAX(B3970:B4221)-1</f>
        <v>-0.078191035297128</v>
      </c>
      <c r="F4221" s="7" t="str">
        <f aca="false">IFERROR(INDEX(02_轉折點45個!B:B,MATCH(A4221,02_轉折點45個!A:A,0)),"")</f>
        <v/>
      </c>
      <c r="G4221" s="7" t="s">
        <v>1994</v>
      </c>
    </row>
    <row r="4222" customFormat="false" ht="15" hidden="false" customHeight="false" outlineLevel="0" collapsed="false">
      <c r="A4222" s="7" t="s">
        <v>5357</v>
      </c>
      <c r="B4222" s="7" t="n">
        <v>4412.99</v>
      </c>
      <c r="C4222" s="7" t="n">
        <f aca="false">AVERAGE(B4173:B4222)</f>
        <v>4417.313</v>
      </c>
      <c r="D4222" s="7" t="n">
        <f aca="false">AVERAGE(B4023:B4222)</f>
        <v>4492.9332</v>
      </c>
      <c r="E4222" s="7" t="n">
        <f aca="false">B4222/MAX(B3971:B4222)-1</f>
        <v>-0.0744199118672935</v>
      </c>
      <c r="F4222" s="7" t="str">
        <f aca="false">IFERROR(INDEX(02_轉折點45個!B:B,MATCH(A4222,02_轉折點45個!A:A,0)),"")</f>
        <v/>
      </c>
      <c r="G4222" s="7" t="s">
        <v>1994</v>
      </c>
    </row>
    <row r="4223" customFormat="false" ht="15" hidden="false" customHeight="false" outlineLevel="0" collapsed="false">
      <c r="A4223" s="7" t="s">
        <v>5358</v>
      </c>
      <c r="B4223" s="7" t="n">
        <v>4420.45</v>
      </c>
      <c r="C4223" s="7" t="n">
        <f aca="false">AVERAGE(B4174:B4223)</f>
        <v>4412.0208</v>
      </c>
      <c r="D4223" s="7" t="n">
        <f aca="false">AVERAGE(B4024:B4223)</f>
        <v>4493.2309</v>
      </c>
      <c r="E4223" s="7" t="n">
        <f aca="false">B4223/MAX(B3972:B4223)-1</f>
        <v>-0.0728552522017447</v>
      </c>
      <c r="F4223" s="7" t="str">
        <f aca="false">IFERROR(INDEX(02_轉折點45個!B:B,MATCH(A4223,02_轉折點45個!A:A,0)),"")</f>
        <v/>
      </c>
      <c r="G4223" s="7" t="s">
        <v>1994</v>
      </c>
    </row>
    <row r="4224" customFormat="false" ht="15" hidden="false" customHeight="false" outlineLevel="0" collapsed="false">
      <c r="A4224" s="7" t="s">
        <v>5359</v>
      </c>
      <c r="B4224" s="7" t="n">
        <v>4382.05</v>
      </c>
      <c r="C4224" s="7" t="n">
        <f aca="false">AVERAGE(B4175:B4224)</f>
        <v>4406.1964</v>
      </c>
      <c r="D4224" s="7" t="n">
        <f aca="false">AVERAGE(B4025:B4224)</f>
        <v>4493.18405</v>
      </c>
      <c r="E4224" s="7" t="n">
        <f aca="false">B4224/MAX(B3973:B4224)-1</f>
        <v>-0.0809092644211913</v>
      </c>
      <c r="F4224" s="7" t="str">
        <f aca="false">IFERROR(INDEX(02_轉折點45個!B:B,MATCH(A4224,02_轉折點45個!A:A,0)),"")</f>
        <v/>
      </c>
      <c r="G4224" s="7" t="s">
        <v>1994</v>
      </c>
    </row>
    <row r="4225" customFormat="false" ht="15" hidden="false" customHeight="false" outlineLevel="0" collapsed="false">
      <c r="A4225" s="7" t="s">
        <v>5360</v>
      </c>
      <c r="B4225" s="7" t="n">
        <v>4369.48</v>
      </c>
      <c r="C4225" s="7" t="n">
        <f aca="false">AVERAGE(B4176:B4225)</f>
        <v>4400.3002</v>
      </c>
      <c r="D4225" s="7" t="n">
        <f aca="false">AVERAGE(B4026:B4225)</f>
        <v>4493.07415</v>
      </c>
      <c r="E4225" s="7" t="n">
        <f aca="false">B4225/MAX(B3974:B4225)-1</f>
        <v>-0.0835456949836509</v>
      </c>
      <c r="F4225" s="7" t="str">
        <f aca="false">IFERROR(INDEX(02_轉折點45個!B:B,MATCH(A4225,02_轉折點45個!A:A,0)),"")</f>
        <v/>
      </c>
      <c r="G4225" s="7" t="s">
        <v>1994</v>
      </c>
    </row>
    <row r="4226" customFormat="false" ht="15" hidden="false" customHeight="false" outlineLevel="0" collapsed="false">
      <c r="A4226" s="7" t="s">
        <v>1214</v>
      </c>
      <c r="B4226" s="7" t="n">
        <v>4449.19</v>
      </c>
      <c r="C4226" s="7" t="n">
        <f aca="false">AVERAGE(B4177:B4226)</f>
        <v>4395.3698</v>
      </c>
      <c r="D4226" s="7" t="n">
        <f aca="false">AVERAGE(B4027:B4226)</f>
        <v>4493.4974</v>
      </c>
      <c r="E4226" s="7" t="n">
        <f aca="false">B4226/MAX(B3975:B4226)-1</f>
        <v>-0.0668273274312526</v>
      </c>
      <c r="F4226" s="7" t="str">
        <f aca="false">IFERROR(INDEX(02_轉折點45個!B:B,MATCH(A4226,02_轉折點45個!A:A,0)),"")</f>
        <v/>
      </c>
      <c r="G4226" s="7" t="s">
        <v>1994</v>
      </c>
    </row>
    <row r="4227" customFormat="false" ht="15" hidden="false" customHeight="false" outlineLevel="0" collapsed="false">
      <c r="A4227" s="7" t="s">
        <v>5361</v>
      </c>
      <c r="B4227" s="7" t="n">
        <v>4464.35</v>
      </c>
      <c r="C4227" s="7" t="n">
        <f aca="false">AVERAGE(B4178:B4227)</f>
        <v>4392.2682</v>
      </c>
      <c r="D4227" s="7" t="n">
        <f aca="false">AVERAGE(B4028:B4227)</f>
        <v>4494.1855</v>
      </c>
      <c r="E4227" s="7" t="n">
        <f aca="false">B4227/MAX(B3976:B4227)-1</f>
        <v>-0.0636476705237835</v>
      </c>
      <c r="F4227" s="7" t="str">
        <f aca="false">IFERROR(INDEX(02_轉折點45個!B:B,MATCH(A4227,02_轉折點45個!A:A,0)),"")</f>
        <v/>
      </c>
      <c r="G4227" s="7" t="s">
        <v>1994</v>
      </c>
    </row>
    <row r="4228" customFormat="false" ht="15" hidden="false" customHeight="false" outlineLevel="0" collapsed="false">
      <c r="A4228" s="7" t="s">
        <v>5362</v>
      </c>
      <c r="B4228" s="7" t="n">
        <v>4481.5</v>
      </c>
      <c r="C4228" s="7" t="n">
        <f aca="false">AVERAGE(B4179:B4228)</f>
        <v>4389.7454</v>
      </c>
      <c r="D4228" s="7" t="n">
        <f aca="false">AVERAGE(B4029:B4228)</f>
        <v>4495.0016</v>
      </c>
      <c r="E4228" s="7" t="n">
        <f aca="false">B4228/MAX(B3977:B4228)-1</f>
        <v>-0.0600506312122338</v>
      </c>
      <c r="F4228" s="7" t="str">
        <f aca="false">IFERROR(INDEX(02_轉折點45個!B:B,MATCH(A4228,02_轉折點45個!A:A,0)),"")</f>
        <v/>
      </c>
      <c r="G4228" s="7" t="s">
        <v>1994</v>
      </c>
    </row>
    <row r="4229" customFormat="false" ht="15" hidden="false" customHeight="false" outlineLevel="0" collapsed="false">
      <c r="A4229" s="7" t="s">
        <v>5363</v>
      </c>
      <c r="B4229" s="7" t="n">
        <v>4459.12</v>
      </c>
      <c r="C4229" s="7" t="n">
        <f aca="false">AVERAGE(B4180:B4229)</f>
        <v>4385.7106</v>
      </c>
      <c r="D4229" s="7" t="n">
        <f aca="false">AVERAGE(B4030:B4229)</f>
        <v>4496.0449</v>
      </c>
      <c r="E4229" s="7" t="n">
        <f aca="false">B4229/MAX(B3978:B4229)-1</f>
        <v>-0.0647446102088801</v>
      </c>
      <c r="F4229" s="7" t="str">
        <f aca="false">IFERROR(INDEX(02_轉折點45個!B:B,MATCH(A4229,02_轉折點45個!A:A,0)),"")</f>
        <v/>
      </c>
      <c r="G4229" s="7" t="s">
        <v>1994</v>
      </c>
    </row>
    <row r="4230" customFormat="false" ht="15" hidden="false" customHeight="false" outlineLevel="0" collapsed="false">
      <c r="A4230" s="7" t="s">
        <v>5364</v>
      </c>
      <c r="B4230" s="7" t="n">
        <v>4421.8</v>
      </c>
      <c r="C4230" s="7" t="n">
        <f aca="false">AVERAGE(B4181:B4230)</f>
        <v>4382.1172</v>
      </c>
      <c r="D4230" s="7" t="n">
        <f aca="false">AVERAGE(B4031:B4230)</f>
        <v>4497.1749</v>
      </c>
      <c r="E4230" s="7" t="n">
        <f aca="false">B4230/MAX(B3979:B4230)-1</f>
        <v>-0.0725721033346547</v>
      </c>
      <c r="F4230" s="7" t="str">
        <f aca="false">IFERROR(INDEX(02_轉折點45個!B:B,MATCH(A4230,02_轉折點45個!A:A,0)),"")</f>
        <v/>
      </c>
      <c r="G4230" s="7" t="s">
        <v>1994</v>
      </c>
    </row>
    <row r="4231" customFormat="false" ht="15" hidden="false" customHeight="false" outlineLevel="0" collapsed="false">
      <c r="A4231" s="7" t="s">
        <v>5365</v>
      </c>
      <c r="B4231" s="7" t="n">
        <v>4494.82</v>
      </c>
      <c r="C4231" s="7" t="n">
        <f aca="false">AVERAGE(B4182:B4231)</f>
        <v>4379.8452</v>
      </c>
      <c r="D4231" s="7" t="n">
        <f aca="false">AVERAGE(B4032:B4231)</f>
        <v>4498.4063</v>
      </c>
      <c r="E4231" s="7" t="n">
        <f aca="false">B4231/MAX(B3980:B4231)-1</f>
        <v>-0.0572568957236133</v>
      </c>
      <c r="F4231" s="7" t="str">
        <f aca="false">IFERROR(INDEX(02_轉折點45個!B:B,MATCH(A4231,02_轉折點45個!A:A,0)),"")</f>
        <v/>
      </c>
      <c r="G4231" s="7" t="s">
        <v>1994</v>
      </c>
    </row>
    <row r="4232" customFormat="false" ht="15" hidden="false" customHeight="false" outlineLevel="0" collapsed="false">
      <c r="A4232" s="7" t="s">
        <v>1215</v>
      </c>
      <c r="B4232" s="7" t="n">
        <v>4596.97</v>
      </c>
      <c r="C4232" s="7" t="n">
        <f aca="false">AVERAGE(B4183:B4232)</f>
        <v>4379.8142</v>
      </c>
      <c r="D4232" s="7" t="n">
        <f aca="false">AVERAGE(B4033:B4232)</f>
        <v>4499.7569</v>
      </c>
      <c r="E4232" s="7" t="n">
        <f aca="false">B4232/MAX(B3981:B4232)-1</f>
        <v>-0.0358319647804758</v>
      </c>
      <c r="F4232" s="7" t="str">
        <f aca="false">IFERROR(INDEX(02_轉折點45個!B:B,MATCH(A4232,02_轉折點45個!A:A,0)),"")</f>
        <v/>
      </c>
      <c r="G4232" s="7" t="s">
        <v>1994</v>
      </c>
    </row>
    <row r="4233" customFormat="false" ht="15" hidden="false" customHeight="false" outlineLevel="0" collapsed="false">
      <c r="A4233" s="7" t="s">
        <v>5366</v>
      </c>
      <c r="B4233" s="7" t="n">
        <v>4599.56</v>
      </c>
      <c r="C4233" s="7" t="n">
        <f aca="false">AVERAGE(B4184:B4233)</f>
        <v>4379.5668</v>
      </c>
      <c r="D4233" s="7" t="n">
        <f aca="false">AVERAGE(B4034:B4233)</f>
        <v>4501.26715</v>
      </c>
      <c r="E4233" s="7" t="n">
        <f aca="false">B4233/MAX(B3982:B4233)-1</f>
        <v>-0.0352887384354662</v>
      </c>
      <c r="F4233" s="7" t="str">
        <f aca="false">IFERROR(INDEX(02_轉折點45個!B:B,MATCH(A4233,02_轉折點45個!A:A,0)),"")</f>
        <v/>
      </c>
      <c r="G4233" s="7" t="s">
        <v>1994</v>
      </c>
    </row>
    <row r="4234" customFormat="false" ht="15" hidden="false" customHeight="false" outlineLevel="0" collapsed="false">
      <c r="A4234" s="7" t="s">
        <v>5367</v>
      </c>
      <c r="B4234" s="7" t="n">
        <v>4595.41</v>
      </c>
      <c r="C4234" s="7" t="n">
        <f aca="false">AVERAGE(B4185:B4234)</f>
        <v>4378.4422</v>
      </c>
      <c r="D4234" s="7" t="n">
        <f aca="false">AVERAGE(B4035:B4234)</f>
        <v>4502.93645</v>
      </c>
      <c r="E4234" s="7" t="n">
        <f aca="false">B4234/MAX(B3983:B4234)-1</f>
        <v>-0.0361591590268908</v>
      </c>
      <c r="F4234" s="7" t="str">
        <f aca="false">IFERROR(INDEX(02_轉折點45個!B:B,MATCH(A4234,02_轉折點45個!A:A,0)),"")</f>
        <v/>
      </c>
      <c r="G4234" s="7" t="s">
        <v>1994</v>
      </c>
    </row>
    <row r="4235" customFormat="false" ht="15" hidden="false" customHeight="false" outlineLevel="0" collapsed="false">
      <c r="A4235" s="7" t="s">
        <v>5368</v>
      </c>
      <c r="B4235" s="7" t="n">
        <v>4655.28</v>
      </c>
      <c r="C4235" s="7" t="n">
        <f aca="false">AVERAGE(B4186:B4235)</f>
        <v>4379.1062</v>
      </c>
      <c r="D4235" s="7" t="n">
        <f aca="false">AVERAGE(B4036:B4235)</f>
        <v>4504.91975</v>
      </c>
      <c r="E4235" s="7" t="n">
        <f aca="false">B4235/MAX(B3984:B4235)-1</f>
        <v>-0.0236020311212067</v>
      </c>
      <c r="F4235" s="7" t="str">
        <f aca="false">IFERROR(INDEX(02_轉折點45個!B:B,MATCH(A4235,02_轉折點45個!A:A,0)),"")</f>
        <v/>
      </c>
      <c r="G4235" s="7" t="s">
        <v>1994</v>
      </c>
    </row>
    <row r="4236" customFormat="false" ht="15" hidden="false" customHeight="false" outlineLevel="0" collapsed="false">
      <c r="A4236" s="7" t="s">
        <v>5369</v>
      </c>
      <c r="B4236" s="7" t="n">
        <v>4635.71</v>
      </c>
      <c r="C4236" s="7" t="n">
        <f aca="false">AVERAGE(B4187:B4236)</f>
        <v>4380.115</v>
      </c>
      <c r="D4236" s="7" t="n">
        <f aca="false">AVERAGE(B4037:B4236)</f>
        <v>4506.9065</v>
      </c>
      <c r="E4236" s="7" t="n">
        <f aca="false">B4236/MAX(B3985:B4236)-1</f>
        <v>-0.0277066409945028</v>
      </c>
      <c r="F4236" s="7" t="str">
        <f aca="false">IFERROR(INDEX(02_轉折點45個!B:B,MATCH(A4236,02_轉折點45個!A:A,0)),"")</f>
        <v/>
      </c>
      <c r="G4236" s="7" t="s">
        <v>1994</v>
      </c>
    </row>
    <row r="4237" customFormat="false" ht="15" hidden="false" customHeight="false" outlineLevel="0" collapsed="false">
      <c r="A4237" s="7" t="s">
        <v>1216</v>
      </c>
      <c r="B4237" s="7" t="n">
        <v>4616.97</v>
      </c>
      <c r="C4237" s="7" t="n">
        <f aca="false">AVERAGE(B4188:B4237)</f>
        <v>4383.3356</v>
      </c>
      <c r="D4237" s="7" t="n">
        <f aca="false">AVERAGE(B4038:B4237)</f>
        <v>4509.11245</v>
      </c>
      <c r="E4237" s="7" t="n">
        <f aca="false">B4237/MAX(B3986:B4237)-1</f>
        <v>-0.031637166749514</v>
      </c>
      <c r="F4237" s="7" t="str">
        <f aca="false">IFERROR(INDEX(02_轉折點45個!B:B,MATCH(A4237,02_轉折點45個!A:A,0)),"")</f>
        <v/>
      </c>
      <c r="G4237" s="7" t="s">
        <v>1994</v>
      </c>
    </row>
    <row r="4238" customFormat="false" ht="15" hidden="false" customHeight="false" outlineLevel="0" collapsed="false">
      <c r="A4238" s="7" t="s">
        <v>5370</v>
      </c>
      <c r="B4238" s="7" t="n">
        <v>4684.02</v>
      </c>
      <c r="C4238" s="7" t="n">
        <f aca="false">AVERAGE(B4189:B4238)</f>
        <v>4391.0298</v>
      </c>
      <c r="D4238" s="7" t="n">
        <f aca="false">AVERAGE(B4039:B4238)</f>
        <v>4511.36335</v>
      </c>
      <c r="E4238" s="7" t="n">
        <f aca="false">B4238/MAX(B3987:B4238)-1</f>
        <v>-0.0175741063507144</v>
      </c>
      <c r="F4238" s="7" t="str">
        <f aca="false">IFERROR(INDEX(02_轉折點45個!B:B,MATCH(A4238,02_轉折點45個!A:A,0)),"")</f>
        <v/>
      </c>
      <c r="G4238" s="7" t="s">
        <v>1994</v>
      </c>
    </row>
    <row r="4239" customFormat="false" ht="15" hidden="false" customHeight="false" outlineLevel="0" collapsed="false">
      <c r="A4239" s="7" t="s">
        <v>5371</v>
      </c>
      <c r="B4239" s="7" t="n">
        <v>4700.45</v>
      </c>
      <c r="C4239" s="7" t="n">
        <f aca="false">AVERAGE(B4190:B4239)</f>
        <v>4402.3376</v>
      </c>
      <c r="D4239" s="7" t="n">
        <f aca="false">AVERAGE(B4040:B4239)</f>
        <v>4513.6029</v>
      </c>
      <c r="E4239" s="7" t="n">
        <f aca="false">B4239/MAX(B3988:B4239)-1</f>
        <v>-0.0141280797682795</v>
      </c>
      <c r="F4239" s="7" t="str">
        <f aca="false">IFERROR(INDEX(02_轉折點45個!B:B,MATCH(A4239,02_轉折點45個!A:A,0)),"")</f>
        <v/>
      </c>
      <c r="G4239" s="7" t="s">
        <v>1994</v>
      </c>
    </row>
    <row r="4240" customFormat="false" ht="15" hidden="false" customHeight="false" outlineLevel="0" collapsed="false">
      <c r="A4240" s="7" t="s">
        <v>5372</v>
      </c>
      <c r="B4240" s="7" t="n">
        <v>4698.03</v>
      </c>
      <c r="C4240" s="7" t="n">
        <f aca="false">AVERAGE(B4191:B4240)</f>
        <v>4413.958</v>
      </c>
      <c r="D4240" s="7" t="n">
        <f aca="false">AVERAGE(B4041:B4240)</f>
        <v>4515.7729</v>
      </c>
      <c r="E4240" s="7" t="n">
        <f aca="false">B4240/MAX(B3989:B4240)-1</f>
        <v>-0.0146356503300259</v>
      </c>
      <c r="F4240" s="7" t="str">
        <f aca="false">IFERROR(INDEX(02_轉折點45個!B:B,MATCH(A4240,02_轉折點45個!A:A,0)),"")</f>
        <v/>
      </c>
      <c r="G4240" s="7" t="s">
        <v>1994</v>
      </c>
    </row>
    <row r="4241" customFormat="false" ht="15" hidden="false" customHeight="false" outlineLevel="0" collapsed="false">
      <c r="A4241" s="7" t="s">
        <v>5373</v>
      </c>
      <c r="B4241" s="7" t="n">
        <v>4684.56</v>
      </c>
      <c r="C4241" s="7" t="n">
        <f aca="false">AVERAGE(B4192:B4241)</f>
        <v>4421.8184</v>
      </c>
      <c r="D4241" s="7" t="n">
        <f aca="false">AVERAGE(B4042:B4241)</f>
        <v>4517.4965</v>
      </c>
      <c r="E4241" s="7" t="n">
        <f aca="false">B4241/MAX(B3990:B4241)-1</f>
        <v>-0.0174608468038785</v>
      </c>
      <c r="F4241" s="7" t="str">
        <f aca="false">IFERROR(INDEX(02_轉折點45個!B:B,MATCH(A4241,02_轉折點45個!A:A,0)),"")</f>
        <v/>
      </c>
      <c r="G4241" s="7" t="s">
        <v>1994</v>
      </c>
    </row>
    <row r="4242" customFormat="false" ht="15" hidden="false" customHeight="false" outlineLevel="0" collapsed="false">
      <c r="A4242" s="7" t="s">
        <v>5374</v>
      </c>
      <c r="B4242" s="7" t="n">
        <v>4702.27</v>
      </c>
      <c r="C4242" s="7" t="n">
        <f aca="false">AVERAGE(B4193:B4242)</f>
        <v>4427.9286</v>
      </c>
      <c r="D4242" s="7" t="n">
        <f aca="false">AVERAGE(B4043:B4242)</f>
        <v>4519.2745</v>
      </c>
      <c r="E4242" s="7" t="n">
        <f aca="false">B4242/MAX(B3991:B4242)-1</f>
        <v>-0.0137463531474619</v>
      </c>
      <c r="F4242" s="7" t="str">
        <f aca="false">IFERROR(INDEX(02_轉折點45個!B:B,MATCH(A4242,02_轉折點45個!A:A,0)),"")</f>
        <v/>
      </c>
      <c r="G4242" s="7" t="s">
        <v>1994</v>
      </c>
    </row>
    <row r="4243" customFormat="false" ht="15" hidden="false" customHeight="false" outlineLevel="0" collapsed="false">
      <c r="A4243" s="7" t="s">
        <v>5375</v>
      </c>
      <c r="B4243" s="7" t="n">
        <v>4654.93</v>
      </c>
      <c r="C4243" s="7" t="n">
        <f aca="false">AVERAGE(B4194:B4243)</f>
        <v>4432.8068</v>
      </c>
      <c r="D4243" s="7" t="n">
        <f aca="false">AVERAGE(B4044:B4243)</f>
        <v>4520.7524</v>
      </c>
      <c r="E4243" s="7" t="n">
        <f aca="false">B4243/MAX(B3992:B4243)-1</f>
        <v>-0.0236754400867485</v>
      </c>
      <c r="F4243" s="7" t="str">
        <f aca="false">IFERROR(INDEX(02_轉折點45個!B:B,MATCH(A4243,02_轉折點45個!A:A,0)),"")</f>
        <v/>
      </c>
      <c r="G4243" s="7" t="s">
        <v>1994</v>
      </c>
    </row>
    <row r="4244" customFormat="false" ht="15" hidden="false" customHeight="false" outlineLevel="0" collapsed="false">
      <c r="A4244" s="7" t="s">
        <v>5376</v>
      </c>
      <c r="B4244" s="7" t="n">
        <v>4643.91</v>
      </c>
      <c r="C4244" s="7" t="n">
        <f aca="false">AVERAGE(B4195:B4244)</f>
        <v>4438.4112</v>
      </c>
      <c r="D4244" s="7" t="n">
        <f aca="false">AVERAGE(B4045:B4244)</f>
        <v>4522.5875</v>
      </c>
      <c r="E4244" s="7" t="n">
        <f aca="false">B4244/MAX(B3993:B4244)-1</f>
        <v>-0.0259867738018085</v>
      </c>
      <c r="F4244" s="7" t="str">
        <f aca="false">IFERROR(INDEX(02_轉折點45個!B:B,MATCH(A4244,02_轉折點45個!A:A,0)),"")</f>
        <v/>
      </c>
      <c r="G4244" s="7" t="s">
        <v>1994</v>
      </c>
    </row>
    <row r="4245" customFormat="false" ht="15" hidden="false" customHeight="false" outlineLevel="0" collapsed="false">
      <c r="A4245" s="7" t="s">
        <v>1217</v>
      </c>
      <c r="B4245" s="7" t="n">
        <v>4629.09</v>
      </c>
      <c r="C4245" s="7" t="n">
        <f aca="false">AVERAGE(B4196:B4245)</f>
        <v>4446.2848</v>
      </c>
      <c r="D4245" s="7" t="n">
        <f aca="false">AVERAGE(B4046:B4245)</f>
        <v>4524.54725</v>
      </c>
      <c r="E4245" s="7" t="n">
        <f aca="false">B4245/MAX(B3994:B4245)-1</f>
        <v>-0.0290951191427511</v>
      </c>
      <c r="F4245" s="7" t="str">
        <f aca="false">IFERROR(INDEX(02_轉折點45個!B:B,MATCH(A4245,02_轉折點45個!A:A,0)),"")</f>
        <v/>
      </c>
      <c r="G4245" s="7" t="s">
        <v>1994</v>
      </c>
    </row>
    <row r="4246" customFormat="false" ht="15" hidden="false" customHeight="false" outlineLevel="0" collapsed="false">
      <c r="A4246" s="7" t="s">
        <v>5377</v>
      </c>
      <c r="B4246" s="7" t="n">
        <v>4572.5</v>
      </c>
      <c r="C4246" s="7" t="n">
        <f aca="false">AVERAGE(B4197:B4246)</f>
        <v>4450.9458</v>
      </c>
      <c r="D4246" s="7" t="n">
        <f aca="false">AVERAGE(B4047:B4246)</f>
        <v>4526.01655</v>
      </c>
      <c r="E4246" s="7" t="n">
        <f aca="false">B4246/MAX(B3995:B4246)-1</f>
        <v>-0.0409643001713576</v>
      </c>
      <c r="F4246" s="7" t="str">
        <f aca="false">IFERROR(INDEX(02_轉折點45個!B:B,MATCH(A4246,02_轉折點45個!A:A,0)),"")</f>
        <v/>
      </c>
      <c r="G4246" s="7" t="s">
        <v>1994</v>
      </c>
    </row>
    <row r="4247" customFormat="false" ht="15" hidden="false" customHeight="false" outlineLevel="0" collapsed="false">
      <c r="A4247" s="7" t="s">
        <v>1218</v>
      </c>
      <c r="B4247" s="7" t="n">
        <v>4501.98</v>
      </c>
      <c r="C4247" s="7" t="n">
        <f aca="false">AVERAGE(B4198:B4247)</f>
        <v>4454.4974</v>
      </c>
      <c r="D4247" s="7" t="n">
        <f aca="false">AVERAGE(B4048:B4247)</f>
        <v>4527.3533</v>
      </c>
      <c r="E4247" s="7" t="n">
        <f aca="false">B4247/MAX(B3996:B4247)-1</f>
        <v>-0.055755158028529</v>
      </c>
      <c r="F4247" s="7" t="str">
        <f aca="false">IFERROR(INDEX(02_轉折點45個!B:B,MATCH(A4247,02_轉折點45個!A:A,0)),"")</f>
        <v/>
      </c>
      <c r="G4247" s="7" t="s">
        <v>1994</v>
      </c>
    </row>
    <row r="4248" customFormat="false" ht="15" hidden="false" customHeight="false" outlineLevel="0" collapsed="false">
      <c r="A4248" s="7" t="s">
        <v>1219</v>
      </c>
      <c r="B4248" s="7" t="n">
        <v>4553.81</v>
      </c>
      <c r="C4248" s="7" t="n">
        <f aca="false">AVERAGE(B4199:B4248)</f>
        <v>4459.9916</v>
      </c>
      <c r="D4248" s="7" t="n">
        <f aca="false">AVERAGE(B4049:B4248)</f>
        <v>4528.75985</v>
      </c>
      <c r="E4248" s="7" t="n">
        <f aca="false">B4248/MAX(B3997:B4248)-1</f>
        <v>-0.0448843389312913</v>
      </c>
      <c r="F4248" s="7" t="str">
        <f aca="false">IFERROR(INDEX(02_轉折點45個!B:B,MATCH(A4248,02_轉折點45個!A:A,0)),"")</f>
        <v/>
      </c>
      <c r="G4248" s="7" t="s">
        <v>1994</v>
      </c>
    </row>
    <row r="4249" customFormat="false" ht="15" hidden="false" customHeight="false" outlineLevel="0" collapsed="false">
      <c r="A4249" s="7" t="s">
        <v>5378</v>
      </c>
      <c r="B4249" s="7" t="n">
        <v>4555.09</v>
      </c>
      <c r="C4249" s="7" t="n">
        <f aca="false">AVERAGE(B4200:B4249)</f>
        <v>4463.1724</v>
      </c>
      <c r="D4249" s="7" t="n">
        <f aca="false">AVERAGE(B4050:B4249)</f>
        <v>4529.93965</v>
      </c>
      <c r="E4249" s="7" t="n">
        <f aca="false">B4249/MAX(B3998:B4249)-1</f>
        <v>-0.0446158718573098</v>
      </c>
      <c r="F4249" s="7" t="str">
        <f aca="false">IFERROR(INDEX(02_轉折點45個!B:B,MATCH(A4249,02_轉折點45個!A:A,0)),"")</f>
        <v/>
      </c>
      <c r="G4249" s="7" t="s">
        <v>1994</v>
      </c>
    </row>
    <row r="4250" customFormat="false" ht="15" hidden="false" customHeight="false" outlineLevel="0" collapsed="false">
      <c r="A4250" s="7" t="s">
        <v>5379</v>
      </c>
      <c r="B4250" s="7" t="n">
        <v>4636.56</v>
      </c>
      <c r="C4250" s="7" t="n">
        <f aca="false">AVERAGE(B4201:B4250)</f>
        <v>4468.9948</v>
      </c>
      <c r="D4250" s="7" t="n">
        <f aca="false">AVERAGE(B4051:B4250)</f>
        <v>4531.5772</v>
      </c>
      <c r="E4250" s="7" t="n">
        <f aca="false">B4250/MAX(B3999:B4250)-1</f>
        <v>-0.0275283620781869</v>
      </c>
      <c r="F4250" s="7" t="str">
        <f aca="false">IFERROR(INDEX(02_轉折點45個!B:B,MATCH(A4250,02_轉折點45個!A:A,0)),"")</f>
        <v/>
      </c>
      <c r="G4250" s="7" t="s">
        <v>1994</v>
      </c>
    </row>
    <row r="4251" customFormat="false" ht="15" hidden="false" customHeight="false" outlineLevel="0" collapsed="false">
      <c r="A4251" s="7" t="s">
        <v>5380</v>
      </c>
      <c r="B4251" s="7" t="n">
        <v>4635.14</v>
      </c>
      <c r="C4251" s="7" t="n">
        <f aca="false">AVERAGE(B4202:B4251)</f>
        <v>4474.0632</v>
      </c>
      <c r="D4251" s="7" t="n">
        <f aca="false">AVERAGE(B4052:B4251)</f>
        <v>4532.9866</v>
      </c>
      <c r="E4251" s="7" t="n">
        <f aca="false">B4251/MAX(B4000:B4251)-1</f>
        <v>-0.0278261927383852</v>
      </c>
      <c r="F4251" s="7" t="str">
        <f aca="false">IFERROR(INDEX(02_轉折點45個!B:B,MATCH(A4251,02_轉折點45個!A:A,0)),"")</f>
        <v/>
      </c>
      <c r="G4251" s="7" t="s">
        <v>1994</v>
      </c>
    </row>
    <row r="4252" customFormat="false" ht="15" hidden="false" customHeight="false" outlineLevel="0" collapsed="false">
      <c r="A4252" s="7" t="s">
        <v>5381</v>
      </c>
      <c r="B4252" s="7" t="n">
        <v>4663.72</v>
      </c>
      <c r="C4252" s="7" t="n">
        <f aca="false">AVERAGE(B4203:B4252)</f>
        <v>4479.2264</v>
      </c>
      <c r="D4252" s="7" t="n">
        <f aca="false">AVERAGE(B4053:B4252)</f>
        <v>4534.63345</v>
      </c>
      <c r="E4252" s="7" t="n">
        <f aca="false">B4252/MAX(B4001:B4252)-1</f>
        <v>-0.0218318263521408</v>
      </c>
      <c r="F4252" s="7" t="str">
        <f aca="false">IFERROR(INDEX(02_轉折點45個!B:B,MATCH(A4252,02_轉折點45個!A:A,0)),"")</f>
        <v/>
      </c>
      <c r="G4252" s="7" t="s">
        <v>1994</v>
      </c>
    </row>
    <row r="4253" customFormat="false" ht="15" hidden="false" customHeight="false" outlineLevel="0" collapsed="false">
      <c r="A4253" s="7" t="s">
        <v>5382</v>
      </c>
      <c r="B4253" s="7" t="n">
        <v>4661.49</v>
      </c>
      <c r="C4253" s="7" t="n">
        <f aca="false">AVERAGE(B4204:B4253)</f>
        <v>4484.648</v>
      </c>
      <c r="D4253" s="7" t="n">
        <f aca="false">AVERAGE(B4054:B4253)</f>
        <v>4536.35315</v>
      </c>
      <c r="E4253" s="7" t="n">
        <f aca="false">B4253/MAX(B4002:B4253)-1</f>
        <v>-0.0222995463325931</v>
      </c>
      <c r="F4253" s="7" t="str">
        <f aca="false">IFERROR(INDEX(02_轉折點45個!B:B,MATCH(A4253,02_轉折點45個!A:A,0)),"")</f>
        <v/>
      </c>
      <c r="G4253" s="7" t="s">
        <v>1994</v>
      </c>
    </row>
    <row r="4254" customFormat="false" ht="15" hidden="false" customHeight="false" outlineLevel="0" collapsed="false">
      <c r="A4254" s="7" t="s">
        <v>5383</v>
      </c>
      <c r="B4254" s="7" t="n">
        <v>4661.79</v>
      </c>
      <c r="C4254" s="7" t="n">
        <f aca="false">AVERAGE(B4205:B4254)</f>
        <v>4489.075</v>
      </c>
      <c r="D4254" s="7" t="n">
        <f aca="false">AVERAGE(B4055:B4254)</f>
        <v>4537.7928</v>
      </c>
      <c r="E4254" s="7" t="n">
        <f aca="false">B4254/MAX(B4003:B4254)-1</f>
        <v>-0.0222366243621286</v>
      </c>
      <c r="F4254" s="7" t="str">
        <f aca="false">IFERROR(INDEX(02_轉折點45個!B:B,MATCH(A4254,02_轉折點45個!A:A,0)),"")</f>
        <v/>
      </c>
      <c r="G4254" s="7" t="s">
        <v>1994</v>
      </c>
    </row>
    <row r="4255" customFormat="false" ht="15" hidden="false" customHeight="false" outlineLevel="0" collapsed="false">
      <c r="A4255" s="7" t="s">
        <v>5384</v>
      </c>
      <c r="B4255" s="7" t="n">
        <v>4673.97</v>
      </c>
      <c r="C4255" s="7" t="n">
        <f aca="false">AVERAGE(B4206:B4255)</f>
        <v>4493.2208</v>
      </c>
      <c r="D4255" s="7" t="n">
        <f aca="false">AVERAGE(B4056:B4255)</f>
        <v>4539.2315</v>
      </c>
      <c r="E4255" s="7" t="n">
        <f aca="false">B4255/MAX(B4004:B4255)-1</f>
        <v>-0.0196819923612728</v>
      </c>
      <c r="F4255" s="7" t="str">
        <f aca="false">IFERROR(INDEX(02_轉折點45個!B:B,MATCH(A4255,02_轉折點45個!A:A,0)),"")</f>
        <v/>
      </c>
      <c r="G4255" s="7" t="s">
        <v>1994</v>
      </c>
    </row>
    <row r="4256" customFormat="false" ht="15" hidden="false" customHeight="false" outlineLevel="0" collapsed="false">
      <c r="A4256" s="7" t="s">
        <v>5385</v>
      </c>
      <c r="B4256" s="7" t="n">
        <v>4684.36</v>
      </c>
      <c r="C4256" s="7" t="n">
        <f aca="false">AVERAGE(B4207:B4256)</f>
        <v>4497.4884</v>
      </c>
      <c r="D4256" s="7" t="n">
        <f aca="false">AVERAGE(B4057:B4256)</f>
        <v>4540.4644</v>
      </c>
      <c r="E4256" s="7" t="n">
        <f aca="false">B4256/MAX(B4005:B4256)-1</f>
        <v>-0.0175027947841883</v>
      </c>
      <c r="F4256" s="7" t="str">
        <f aca="false">IFERROR(INDEX(02_轉折點45個!B:B,MATCH(A4256,02_轉折點45個!A:A,0)),"")</f>
        <v/>
      </c>
      <c r="G4256" s="7" t="s">
        <v>1994</v>
      </c>
    </row>
    <row r="4257" customFormat="false" ht="15" hidden="false" customHeight="false" outlineLevel="0" collapsed="false">
      <c r="A4257" s="7" t="s">
        <v>5386</v>
      </c>
      <c r="B4257" s="7" t="n">
        <v>4667.14</v>
      </c>
      <c r="C4257" s="7" t="n">
        <f aca="false">AVERAGE(B4208:B4257)</f>
        <v>4502.6306</v>
      </c>
      <c r="D4257" s="7" t="n">
        <f aca="false">AVERAGE(B4058:B4257)</f>
        <v>4541.4457</v>
      </c>
      <c r="E4257" s="7" t="n">
        <f aca="false">B4257/MAX(B4006:B4257)-1</f>
        <v>-0.0211145158888463</v>
      </c>
      <c r="F4257" s="7" t="str">
        <f aca="false">IFERROR(INDEX(02_轉折點45個!B:B,MATCH(A4257,02_轉折點45個!A:A,0)),"")</f>
        <v/>
      </c>
      <c r="G4257" s="7" t="s">
        <v>1994</v>
      </c>
    </row>
    <row r="4258" customFormat="false" ht="15" hidden="false" customHeight="false" outlineLevel="0" collapsed="false">
      <c r="A4258" s="7" t="s">
        <v>1220</v>
      </c>
      <c r="B4258" s="7" t="n">
        <v>4710.66</v>
      </c>
      <c r="C4258" s="7" t="n">
        <f aca="false">AVERAGE(B4209:B4258)</f>
        <v>4508.6118</v>
      </c>
      <c r="D4258" s="7" t="n">
        <f aca="false">AVERAGE(B4059:B4258)</f>
        <v>4542.6198</v>
      </c>
      <c r="E4258" s="7" t="n">
        <f aca="false">B4258/MAX(B4007:B4258)-1</f>
        <v>-0.0119866353734734</v>
      </c>
      <c r="F4258" s="7" t="str">
        <f aca="false">IFERROR(INDEX(02_轉折點45個!B:B,MATCH(A4258,02_轉折點45個!A:A,0)),"")</f>
        <v/>
      </c>
      <c r="G4258" s="7" t="s">
        <v>1994</v>
      </c>
    </row>
    <row r="4259" customFormat="false" ht="15" hidden="false" customHeight="false" outlineLevel="0" collapsed="false">
      <c r="A4259" s="7" t="s">
        <v>1221</v>
      </c>
      <c r="B4259" s="7" t="n">
        <v>4680.43</v>
      </c>
      <c r="C4259" s="7" t="n">
        <f aca="false">AVERAGE(B4210:B4259)</f>
        <v>4515.3082</v>
      </c>
      <c r="D4259" s="7" t="n">
        <f aca="false">AVERAGE(B4060:B4259)</f>
        <v>4543.61035</v>
      </c>
      <c r="E4259" s="7" t="n">
        <f aca="false">B4259/MAX(B4008:B4259)-1</f>
        <v>-0.0183270725972722</v>
      </c>
      <c r="F4259" s="7" t="str">
        <f aca="false">IFERROR(INDEX(02_轉折點45個!B:B,MATCH(A4259,02_轉折點45個!A:A,0)),"")</f>
        <v/>
      </c>
      <c r="G4259" s="7" t="s">
        <v>1994</v>
      </c>
    </row>
    <row r="4260" customFormat="false" ht="15" hidden="false" customHeight="false" outlineLevel="0" collapsed="false">
      <c r="A4260" s="7" t="s">
        <v>5387</v>
      </c>
      <c r="B4260" s="7" t="n">
        <v>4602.15</v>
      </c>
      <c r="C4260" s="7" t="n">
        <f aca="false">AVERAGE(B4211:B4260)</f>
        <v>4520.5118</v>
      </c>
      <c r="D4260" s="7" t="n">
        <f aca="false">AVERAGE(B4061:B4260)</f>
        <v>4544.12575</v>
      </c>
      <c r="E4260" s="7" t="n">
        <f aca="false">B4260/MAX(B4009:B4260)-1</f>
        <v>-0.0347455120904567</v>
      </c>
      <c r="F4260" s="7" t="str">
        <f aca="false">IFERROR(INDEX(02_轉折點45個!B:B,MATCH(A4260,02_轉折點45個!A:A,0)),"")</f>
        <v/>
      </c>
      <c r="G4260" s="7" t="s">
        <v>1994</v>
      </c>
    </row>
    <row r="4261" customFormat="false" ht="15" hidden="false" customHeight="false" outlineLevel="0" collapsed="false">
      <c r="A4261" s="7" t="s">
        <v>1222</v>
      </c>
      <c r="B4261" s="7" t="n">
        <v>4697.84</v>
      </c>
      <c r="C4261" s="7" t="n">
        <f aca="false">AVERAGE(B4212:B4261)</f>
        <v>4527.9628</v>
      </c>
      <c r="D4261" s="7" t="n">
        <f aca="false">AVERAGE(B4062:B4261)</f>
        <v>4544.97675</v>
      </c>
      <c r="E4261" s="7" t="n">
        <f aca="false">B4261/MAX(B4010:B4261)-1</f>
        <v>-0.01467550091132</v>
      </c>
      <c r="F4261" s="7" t="str">
        <f aca="false">IFERROR(INDEX(02_轉折點45個!B:B,MATCH(A4261,02_轉折點45個!A:A,0)),"")</f>
        <v/>
      </c>
      <c r="G4261" s="7" t="s">
        <v>1994</v>
      </c>
    </row>
    <row r="4262" customFormat="false" ht="15" hidden="false" customHeight="false" outlineLevel="0" collapsed="false">
      <c r="A4262" s="7" t="s">
        <v>5388</v>
      </c>
      <c r="B4262" s="7" t="n">
        <v>4660.87</v>
      </c>
      <c r="C4262" s="7" t="n">
        <f aca="false">AVERAGE(B4213:B4262)</f>
        <v>4535.551</v>
      </c>
      <c r="D4262" s="7" t="n">
        <f aca="false">AVERAGE(B4063:B4262)</f>
        <v>4545.62005</v>
      </c>
      <c r="E4262" s="7" t="n">
        <f aca="false">B4262/MAX(B4011:B4262)-1</f>
        <v>-0.0224295850715529</v>
      </c>
      <c r="F4262" s="7" t="str">
        <f aca="false">IFERROR(INDEX(02_轉折點45個!B:B,MATCH(A4262,02_轉折點45個!A:A,0)),"")</f>
        <v/>
      </c>
      <c r="G4262" s="7" t="s">
        <v>1994</v>
      </c>
    </row>
    <row r="4263" customFormat="false" ht="15" hidden="false" customHeight="false" outlineLevel="0" collapsed="false">
      <c r="A4263" s="7" t="s">
        <v>1223</v>
      </c>
      <c r="B4263" s="7" t="n">
        <v>4657.61</v>
      </c>
      <c r="C4263" s="7" t="n">
        <f aca="false">AVERAGE(B4214:B4263)</f>
        <v>4545.6782</v>
      </c>
      <c r="D4263" s="7" t="n">
        <f aca="false">AVERAGE(B4064:B4263)</f>
        <v>4546.2144</v>
      </c>
      <c r="E4263" s="7" t="n">
        <f aca="false">B4263/MAX(B4012:B4263)-1</f>
        <v>-0.0231133371505997</v>
      </c>
      <c r="F4263" s="7" t="str">
        <f aca="false">IFERROR(INDEX(02_轉折點45個!B:B,MATCH(A4263,02_轉折點45個!A:A,0)),"")</f>
        <v/>
      </c>
      <c r="G4263" s="7" t="s">
        <v>1994</v>
      </c>
    </row>
    <row r="4264" customFormat="false" ht="15" hidden="false" customHeight="false" outlineLevel="0" collapsed="false">
      <c r="A4264" s="7" t="s">
        <v>5389</v>
      </c>
      <c r="B4264" s="7" t="n">
        <v>4588.76</v>
      </c>
      <c r="C4264" s="7" t="n">
        <f aca="false">AVERAGE(B4215:B4264)</f>
        <v>4554.9154</v>
      </c>
      <c r="D4264" s="7" t="n">
        <f aca="false">AVERAGE(B4065:B4264)</f>
        <v>4546.469</v>
      </c>
      <c r="E4264" s="7" t="n">
        <f aca="false">B4264/MAX(B4013:B4264)-1</f>
        <v>-0.0375539293721856</v>
      </c>
      <c r="F4264" s="7" t="str">
        <f aca="false">IFERROR(INDEX(02_轉折點45個!B:B,MATCH(A4264,02_轉折點45個!A:A,0)),"")</f>
        <v/>
      </c>
      <c r="G4264" s="7" t="s">
        <v>1994</v>
      </c>
    </row>
    <row r="4265" customFormat="false" ht="15" hidden="false" customHeight="false" outlineLevel="0" collapsed="false">
      <c r="A4265" s="7" t="s">
        <v>5390</v>
      </c>
      <c r="B4265" s="7" t="n">
        <v>4609.13</v>
      </c>
      <c r="C4265" s="7" t="n">
        <f aca="false">AVERAGE(B4216:B4265)</f>
        <v>4562.681</v>
      </c>
      <c r="D4265" s="7" t="n">
        <f aca="false">AVERAGE(B4066:B4265)</f>
        <v>4546.73065</v>
      </c>
      <c r="E4265" s="7" t="n">
        <f aca="false">B4265/MAX(B4014:B4265)-1</f>
        <v>-0.033281527577651</v>
      </c>
      <c r="F4265" s="7" t="str">
        <f aca="false">IFERROR(INDEX(02_轉折點45個!B:B,MATCH(A4265,02_轉折點45個!A:A,0)),"")</f>
        <v/>
      </c>
      <c r="G4265" s="7" t="s">
        <v>1994</v>
      </c>
    </row>
    <row r="4266" customFormat="false" ht="15" hidden="false" customHeight="false" outlineLevel="0" collapsed="false">
      <c r="A4266" s="7" t="s">
        <v>1224</v>
      </c>
      <c r="B4266" s="7" t="n">
        <v>4507.08</v>
      </c>
      <c r="C4266" s="7" t="n">
        <f aca="false">AVERAGE(B4217:B4266)</f>
        <v>4568.2792</v>
      </c>
      <c r="D4266" s="7" t="n">
        <f aca="false">AVERAGE(B4067:B4266)</f>
        <v>4546.59335</v>
      </c>
      <c r="E4266" s="7" t="n">
        <f aca="false">B4266/MAX(B4015:B4266)-1</f>
        <v>-0.0546854845306337</v>
      </c>
      <c r="F4266" s="7" t="str">
        <f aca="false">IFERROR(INDEX(02_轉折點45個!B:B,MATCH(A4266,02_轉折點45個!A:A,0)),"")</f>
        <v/>
      </c>
      <c r="G4266" s="7" t="s">
        <v>1994</v>
      </c>
    </row>
    <row r="4267" customFormat="false" ht="15" hidden="false" customHeight="false" outlineLevel="0" collapsed="false">
      <c r="A4267" s="7" t="s">
        <v>5391</v>
      </c>
      <c r="B4267" s="7" t="n">
        <v>4524.22</v>
      </c>
      <c r="C4267" s="7" t="n">
        <f aca="false">AVERAGE(B4218:B4267)</f>
        <v>4572.7456</v>
      </c>
      <c r="D4267" s="7" t="n">
        <f aca="false">AVERAGE(B4068:B4267)</f>
        <v>4546.33815</v>
      </c>
      <c r="E4267" s="7" t="n">
        <f aca="false">B4267/MAX(B4016:B4267)-1</f>
        <v>-0.0510905426180993</v>
      </c>
      <c r="F4267" s="7" t="str">
        <f aca="false">IFERROR(INDEX(02_轉折點45個!B:B,MATCH(A4267,02_轉折點45個!A:A,0)),"")</f>
        <v/>
      </c>
      <c r="G4267" s="7" t="s">
        <v>1994</v>
      </c>
    </row>
    <row r="4268" customFormat="false" ht="15" hidden="false" customHeight="false" outlineLevel="0" collapsed="false">
      <c r="A4268" s="7" t="s">
        <v>1225</v>
      </c>
      <c r="B4268" s="7" t="n">
        <v>4563.62</v>
      </c>
      <c r="C4268" s="7" t="n">
        <f aca="false">AVERAGE(B4219:B4268)</f>
        <v>4576.6574</v>
      </c>
      <c r="D4268" s="7" t="n">
        <f aca="false">AVERAGE(B4069:B4268)</f>
        <v>4546.40875</v>
      </c>
      <c r="E4268" s="7" t="n">
        <f aca="false">B4268/MAX(B4017:B4268)-1</f>
        <v>-0.0428267904971047</v>
      </c>
      <c r="F4268" s="7" t="str">
        <f aca="false">IFERROR(INDEX(02_轉折點45個!B:B,MATCH(A4268,02_轉折點45個!A:A,0)),"")</f>
        <v/>
      </c>
      <c r="G4268" s="7" t="s">
        <v>1994</v>
      </c>
    </row>
    <row r="4269" customFormat="false" ht="15" hidden="false" customHeight="false" outlineLevel="0" collapsed="false">
      <c r="A4269" s="7" t="s">
        <v>5392</v>
      </c>
      <c r="B4269" s="7" t="n">
        <v>4632.85</v>
      </c>
      <c r="C4269" s="7" t="n">
        <f aca="false">AVERAGE(B4220:B4269)</f>
        <v>4582.555</v>
      </c>
      <c r="D4269" s="7" t="n">
        <f aca="false">AVERAGE(B4070:B4269)</f>
        <v>4546.8838</v>
      </c>
      <c r="E4269" s="7" t="n">
        <f aca="false">B4269/MAX(B4018:B4269)-1</f>
        <v>-0.0283064971129302</v>
      </c>
      <c r="F4269" s="7" t="str">
        <f aca="false">IFERROR(INDEX(02_轉折點45個!B:B,MATCH(A4269,02_轉折點45個!A:A,0)),"")</f>
        <v/>
      </c>
      <c r="G4269" s="7" t="s">
        <v>1994</v>
      </c>
    </row>
    <row r="4270" customFormat="false" ht="15" hidden="false" customHeight="false" outlineLevel="0" collapsed="false">
      <c r="A4270" s="7" t="s">
        <v>5393</v>
      </c>
      <c r="B4270" s="7" t="n">
        <v>4570.19</v>
      </c>
      <c r="C4270" s="7" t="n">
        <f aca="false">AVERAGE(B4221:B4270)</f>
        <v>4586.4176</v>
      </c>
      <c r="D4270" s="7" t="n">
        <f aca="false">AVERAGE(B4071:B4270)</f>
        <v>4546.97395</v>
      </c>
      <c r="E4270" s="7" t="n">
        <f aca="false">B4270/MAX(B4019:B4270)-1</f>
        <v>-0.0414487993439338</v>
      </c>
      <c r="F4270" s="7" t="str">
        <f aca="false">IFERROR(INDEX(02_轉折點45個!B:B,MATCH(A4270,02_轉折點45個!A:A,0)),"")</f>
        <v/>
      </c>
      <c r="G4270" s="7" t="s">
        <v>1994</v>
      </c>
    </row>
    <row r="4271" customFormat="false" ht="15" hidden="false" customHeight="false" outlineLevel="0" collapsed="false">
      <c r="A4271" s="7" t="s">
        <v>1226</v>
      </c>
      <c r="B4271" s="7" t="n">
        <v>4497.59</v>
      </c>
      <c r="C4271" s="7" t="n">
        <f aca="false">AVERAGE(B4222:B4271)</f>
        <v>4588.4692</v>
      </c>
      <c r="D4271" s="7" t="n">
        <f aca="false">AVERAGE(B4072:B4271)</f>
        <v>4546.95435</v>
      </c>
      <c r="E4271" s="7" t="n">
        <f aca="false">B4271/MAX(B4020:B4271)-1</f>
        <v>-0.056675916196325</v>
      </c>
      <c r="F4271" s="7" t="str">
        <f aca="false">IFERROR(INDEX(02_轉折點45個!B:B,MATCH(A4271,02_轉折點45個!A:A,0)),"")</f>
        <v/>
      </c>
      <c r="G4271" s="7" t="s">
        <v>1994</v>
      </c>
    </row>
    <row r="4272" customFormat="false" ht="15" hidden="false" customHeight="false" outlineLevel="0" collapsed="false">
      <c r="A4272" s="7" t="s">
        <v>1227</v>
      </c>
      <c r="B4272" s="7" t="n">
        <v>4539.47</v>
      </c>
      <c r="C4272" s="7" t="n">
        <f aca="false">AVERAGE(B4223:B4272)</f>
        <v>4590.9988</v>
      </c>
      <c r="D4272" s="7" t="n">
        <f aca="false">AVERAGE(B4073:B4272)</f>
        <v>4547.0753</v>
      </c>
      <c r="E4272" s="7" t="n">
        <f aca="false">B4272/MAX(B4021:B4272)-1</f>
        <v>-0.047892009119491</v>
      </c>
      <c r="F4272" s="7" t="str">
        <f aca="false">IFERROR(INDEX(02_轉折點45個!B:B,MATCH(A4272,02_轉折點45個!A:A,0)),"")</f>
        <v/>
      </c>
      <c r="G4272" s="7" t="s">
        <v>1994</v>
      </c>
    </row>
    <row r="4273" customFormat="false" ht="15" hidden="false" customHeight="false" outlineLevel="0" collapsed="false">
      <c r="A4273" s="7" t="s">
        <v>1228</v>
      </c>
      <c r="B4273" s="7" t="n">
        <v>4568.88</v>
      </c>
      <c r="C4273" s="7" t="n">
        <f aca="false">AVERAGE(B4224:B4273)</f>
        <v>4593.9674</v>
      </c>
      <c r="D4273" s="7" t="n">
        <f aca="false">AVERAGE(B4074:B4273)</f>
        <v>4547.72085</v>
      </c>
      <c r="E4273" s="7" t="n">
        <f aca="false">B4273/MAX(B4022:B4273)-1</f>
        <v>-0.0417235586149617</v>
      </c>
      <c r="F4273" s="7" t="str">
        <f aca="false">IFERROR(INDEX(02_轉折點45個!B:B,MATCH(A4273,02_轉折點45個!A:A,0)),"")</f>
        <v/>
      </c>
      <c r="G4273" s="7" t="s">
        <v>1994</v>
      </c>
    </row>
    <row r="4274" customFormat="false" ht="15" hidden="false" customHeight="false" outlineLevel="0" collapsed="false">
      <c r="A4274" s="7" t="s">
        <v>1229</v>
      </c>
      <c r="B4274" s="7" t="n">
        <v>4609.82</v>
      </c>
      <c r="C4274" s="7" t="n">
        <f aca="false">AVERAGE(B4225:B4274)</f>
        <v>4598.5228</v>
      </c>
      <c r="D4274" s="7" t="n">
        <f aca="false">AVERAGE(B4075:B4274)</f>
        <v>4548.6161</v>
      </c>
      <c r="E4274" s="7" t="n">
        <f aca="false">B4274/MAX(B4023:B4274)-1</f>
        <v>-0.0331368070455829</v>
      </c>
      <c r="F4274" s="7" t="str">
        <f aca="false">IFERROR(INDEX(02_轉折點45個!B:B,MATCH(A4274,02_轉折點45個!A:A,0)),"")</f>
        <v/>
      </c>
      <c r="G4274" s="7" t="s">
        <v>1994</v>
      </c>
    </row>
    <row r="4275" customFormat="false" ht="15" hidden="false" customHeight="false" outlineLevel="0" collapsed="false">
      <c r="A4275" s="7" t="s">
        <v>5394</v>
      </c>
      <c r="B4275" s="7" t="n">
        <v>4612.16</v>
      </c>
      <c r="C4275" s="7" t="n">
        <f aca="false">AVERAGE(B4226:B4275)</f>
        <v>4603.3764</v>
      </c>
      <c r="D4275" s="7" t="n">
        <f aca="false">AVERAGE(B4076:B4275)</f>
        <v>4549.325</v>
      </c>
      <c r="E4275" s="7" t="n">
        <f aca="false">B4275/MAX(B4024:B4275)-1</f>
        <v>-0.0326460156759604</v>
      </c>
      <c r="F4275" s="7" t="str">
        <f aca="false">IFERROR(INDEX(02_轉折點45個!B:B,MATCH(A4275,02_轉折點45個!A:A,0)),"")</f>
        <v/>
      </c>
      <c r="G4275" s="7" t="s">
        <v>1994</v>
      </c>
    </row>
    <row r="4276" customFormat="false" ht="15" hidden="false" customHeight="false" outlineLevel="0" collapsed="false">
      <c r="A4276" s="7" t="s">
        <v>5395</v>
      </c>
      <c r="B4276" s="7" t="n">
        <v>4605.31</v>
      </c>
      <c r="C4276" s="7" t="n">
        <f aca="false">AVERAGE(B4227:B4276)</f>
        <v>4606.4988</v>
      </c>
      <c r="D4276" s="7" t="n">
        <f aca="false">AVERAGE(B4077:B4276)</f>
        <v>4550.098</v>
      </c>
      <c r="E4276" s="7" t="n">
        <f aca="false">B4276/MAX(B4025:B4276)-1</f>
        <v>-0.0340827340015647</v>
      </c>
      <c r="F4276" s="7" t="str">
        <f aca="false">IFERROR(INDEX(02_轉折點45個!B:B,MATCH(A4276,02_轉折點45個!A:A,0)),"")</f>
        <v/>
      </c>
      <c r="G4276" s="7" t="s">
        <v>1994</v>
      </c>
    </row>
    <row r="4277" customFormat="false" ht="15" hidden="false" customHeight="false" outlineLevel="0" collapsed="false">
      <c r="A4277" s="7" t="s">
        <v>5396</v>
      </c>
      <c r="B4277" s="7" t="n">
        <v>4666.47</v>
      </c>
      <c r="C4277" s="7" t="n">
        <f aca="false">AVERAGE(B4228:B4277)</f>
        <v>4610.5412</v>
      </c>
      <c r="D4277" s="7" t="n">
        <f aca="false">AVERAGE(B4078:B4277)</f>
        <v>4550.913</v>
      </c>
      <c r="E4277" s="7" t="n">
        <f aca="false">B4277/MAX(B4026:B4277)-1</f>
        <v>-0.0212550416228835</v>
      </c>
      <c r="F4277" s="7" t="str">
        <f aca="false">IFERROR(INDEX(02_轉折點45個!B:B,MATCH(A4277,02_轉折點45個!A:A,0)),"")</f>
        <v/>
      </c>
      <c r="G4277" s="7" t="s">
        <v>1994</v>
      </c>
    </row>
    <row r="4278" customFormat="false" ht="15" hidden="false" customHeight="false" outlineLevel="0" collapsed="false">
      <c r="A4278" s="7" t="s">
        <v>5397</v>
      </c>
      <c r="B4278" s="7" t="n">
        <v>4628.02</v>
      </c>
      <c r="C4278" s="7" t="n">
        <f aca="false">AVERAGE(B4229:B4278)</f>
        <v>4613.4716</v>
      </c>
      <c r="D4278" s="7" t="n">
        <f aca="false">AVERAGE(B4079:B4278)</f>
        <v>4551.4996</v>
      </c>
      <c r="E4278" s="7" t="n">
        <f aca="false">B4278/MAX(B4027:B4278)-1</f>
        <v>-0.0293195408374075</v>
      </c>
      <c r="F4278" s="7" t="str">
        <f aca="false">IFERROR(INDEX(02_轉折點45個!B:B,MATCH(A4278,02_轉折點45個!A:A,0)),"")</f>
        <v/>
      </c>
      <c r="G4278" s="7" t="s">
        <v>1994</v>
      </c>
    </row>
    <row r="4279" customFormat="false" ht="15" hidden="false" customHeight="false" outlineLevel="0" collapsed="false">
      <c r="A4279" s="7" t="s">
        <v>1230</v>
      </c>
      <c r="B4279" s="7" t="n">
        <v>4574.63</v>
      </c>
      <c r="C4279" s="7" t="n">
        <f aca="false">AVERAGE(B4230:B4279)</f>
        <v>4615.7818</v>
      </c>
      <c r="D4279" s="7" t="n">
        <f aca="false">AVERAGE(B4080:B4279)</f>
        <v>4551.61185</v>
      </c>
      <c r="E4279" s="7" t="n">
        <f aca="false">B4279/MAX(B4028:B4279)-1</f>
        <v>-0.0405175541810602</v>
      </c>
      <c r="F4279" s="7" t="str">
        <f aca="false">IFERROR(INDEX(02_轉折點45個!B:B,MATCH(A4279,02_轉折點45個!A:A,0)),"")</f>
        <v/>
      </c>
      <c r="G4279" s="7" t="s">
        <v>1994</v>
      </c>
    </row>
    <row r="4280" customFormat="false" ht="15" hidden="false" customHeight="false" outlineLevel="0" collapsed="false">
      <c r="A4280" s="7" t="s">
        <v>1231</v>
      </c>
      <c r="B4280" s="7" t="n">
        <v>4479.33</v>
      </c>
      <c r="C4280" s="7" t="n">
        <f aca="false">AVERAGE(B4231:B4280)</f>
        <v>4616.9324</v>
      </c>
      <c r="D4280" s="7" t="n">
        <f aca="false">AVERAGE(B4081:B4280)</f>
        <v>4551.204</v>
      </c>
      <c r="E4280" s="7" t="n">
        <f aca="false">B4280/MAX(B4029:B4280)-1</f>
        <v>-0.0605057667985932</v>
      </c>
      <c r="F4280" s="7" t="str">
        <f aca="false">IFERROR(INDEX(02_轉折點45個!B:B,MATCH(A4280,02_轉折點45個!A:A,0)),"")</f>
        <v/>
      </c>
      <c r="G4280" s="7" t="s">
        <v>1994</v>
      </c>
    </row>
    <row r="4281" customFormat="false" ht="15" hidden="false" customHeight="false" outlineLevel="0" collapsed="false">
      <c r="A4281" s="7" t="s">
        <v>5398</v>
      </c>
      <c r="B4281" s="7" t="n">
        <v>4468.68</v>
      </c>
      <c r="C4281" s="7" t="n">
        <f aca="false">AVERAGE(B4232:B4281)</f>
        <v>4616.4096</v>
      </c>
      <c r="D4281" s="7" t="n">
        <f aca="false">AVERAGE(B4082:B4281)</f>
        <v>4550.5874</v>
      </c>
      <c r="E4281" s="7" t="n">
        <f aca="false">B4281/MAX(B4030:B4281)-1</f>
        <v>-0.0627394967500803</v>
      </c>
      <c r="F4281" s="7" t="str">
        <f aca="false">IFERROR(INDEX(02_轉折點45個!B:B,MATCH(A4281,02_轉折點45個!A:A,0)),"")</f>
        <v/>
      </c>
      <c r="G4281" s="7" t="s">
        <v>1994</v>
      </c>
    </row>
    <row r="4282" customFormat="false" ht="15" hidden="false" customHeight="false" outlineLevel="0" collapsed="false">
      <c r="A4282" s="7" t="s">
        <v>5399</v>
      </c>
      <c r="B4282" s="7" t="n">
        <v>4417.82</v>
      </c>
      <c r="C4282" s="7" t="n">
        <f aca="false">AVERAGE(B4233:B4282)</f>
        <v>4612.8266</v>
      </c>
      <c r="D4282" s="7" t="n">
        <f aca="false">AVERAGE(B4083:B4282)</f>
        <v>4549.78705</v>
      </c>
      <c r="E4282" s="7" t="n">
        <f aca="false">B4282/MAX(B4031:B4282)-1</f>
        <v>-0.0734068681428163</v>
      </c>
      <c r="F4282" s="7" t="str">
        <f aca="false">IFERROR(INDEX(02_轉折點45個!B:B,MATCH(A4282,02_轉折點45個!A:A,0)),"")</f>
        <v/>
      </c>
      <c r="G4282" s="7" t="s">
        <v>1994</v>
      </c>
    </row>
    <row r="4283" customFormat="false" ht="15" hidden="false" customHeight="false" outlineLevel="0" collapsed="false">
      <c r="A4283" s="7" t="s">
        <v>5400</v>
      </c>
      <c r="B4283" s="7" t="n">
        <v>4284.14</v>
      </c>
      <c r="C4283" s="7" t="n">
        <f aca="false">AVERAGE(B4234:B4283)</f>
        <v>4606.5182</v>
      </c>
      <c r="D4283" s="7" t="n">
        <f aca="false">AVERAGE(B4084:B4283)</f>
        <v>4548.3925</v>
      </c>
      <c r="E4283" s="7" t="n">
        <f aca="false">B4283/MAX(B4032:B4283)-1</f>
        <v>-0.101444898181765</v>
      </c>
      <c r="F4283" s="7" t="str">
        <f aca="false">IFERROR(INDEX(02_轉折點45個!B:B,MATCH(A4283,02_轉折點45個!A:A,0)),"")</f>
        <v/>
      </c>
      <c r="G4283" s="7" t="s">
        <v>1994</v>
      </c>
    </row>
    <row r="4284" customFormat="false" ht="15" hidden="false" customHeight="false" outlineLevel="0" collapsed="false">
      <c r="A4284" s="7" t="s">
        <v>5401</v>
      </c>
      <c r="B4284" s="7" t="n">
        <v>4242.29</v>
      </c>
      <c r="C4284" s="7" t="n">
        <f aca="false">AVERAGE(B4235:B4284)</f>
        <v>4599.4558</v>
      </c>
      <c r="D4284" s="7" t="n">
        <f aca="false">AVERAGE(B4085:B4284)</f>
        <v>4547.32865</v>
      </c>
      <c r="E4284" s="7" t="n">
        <f aca="false">B4284/MAX(B4033:B4284)-1</f>
        <v>-0.110222513061552</v>
      </c>
      <c r="F4284" s="7" t="str">
        <f aca="false">IFERROR(INDEX(02_轉折點45個!B:B,MATCH(A4284,02_轉折點45個!A:A,0)),"")</f>
        <v/>
      </c>
      <c r="G4284" s="7" t="s">
        <v>1994</v>
      </c>
    </row>
    <row r="4285" customFormat="false" ht="15" hidden="false" customHeight="false" outlineLevel="0" collapsed="false">
      <c r="A4285" s="7" t="s">
        <v>1232</v>
      </c>
      <c r="B4285" s="7" t="n">
        <v>4237.14</v>
      </c>
      <c r="C4285" s="7" t="n">
        <f aca="false">AVERAGE(B4236:B4285)</f>
        <v>4591.093</v>
      </c>
      <c r="D4285" s="7" t="n">
        <f aca="false">AVERAGE(B4086:B4285)</f>
        <v>4546.2992</v>
      </c>
      <c r="E4285" s="7" t="n">
        <f aca="false">B4285/MAX(B4034:B4285)-1</f>
        <v>-0.111302673554525</v>
      </c>
      <c r="F4285" s="7" t="str">
        <f aca="false">IFERROR(INDEX(02_轉折點45個!B:B,MATCH(A4285,02_轉折點45個!A:A,0)),"")</f>
        <v/>
      </c>
      <c r="G4285" s="7" t="s">
        <v>1994</v>
      </c>
    </row>
    <row r="4286" customFormat="false" ht="15" hidden="false" customHeight="false" outlineLevel="0" collapsed="false">
      <c r="A4286" s="7" t="s">
        <v>5402</v>
      </c>
      <c r="B4286" s="7" t="n">
        <v>4280.93</v>
      </c>
      <c r="C4286" s="7" t="n">
        <f aca="false">AVERAGE(B4237:B4286)</f>
        <v>4583.9974</v>
      </c>
      <c r="D4286" s="7" t="n">
        <f aca="false">AVERAGE(B4087:B4286)</f>
        <v>4545.36145</v>
      </c>
      <c r="E4286" s="7" t="n">
        <f aca="false">B4286/MAX(B4035:B4286)-1</f>
        <v>-0.102118163265734</v>
      </c>
      <c r="F4286" s="7" t="str">
        <f aca="false">IFERROR(INDEX(02_轉折點45個!B:B,MATCH(A4286,02_轉折點45個!A:A,0)),"")</f>
        <v/>
      </c>
      <c r="G4286" s="7" t="s">
        <v>1994</v>
      </c>
    </row>
    <row r="4287" customFormat="false" ht="15" hidden="false" customHeight="false" outlineLevel="0" collapsed="false">
      <c r="A4287" s="7" t="s">
        <v>5403</v>
      </c>
      <c r="B4287" s="7" t="n">
        <v>4134.88</v>
      </c>
      <c r="C4287" s="7" t="n">
        <f aca="false">AVERAGE(B4238:B4287)</f>
        <v>4574.3556</v>
      </c>
      <c r="D4287" s="7" t="n">
        <f aca="false">AVERAGE(B4088:B4287)</f>
        <v>4543.4366</v>
      </c>
      <c r="E4287" s="7" t="n">
        <f aca="false">B4287/MAX(B4036:B4287)-1</f>
        <v>-0.132750675886833</v>
      </c>
      <c r="F4287" s="7" t="str">
        <f aca="false">IFERROR(INDEX(02_轉折點45個!B:B,MATCH(A4287,02_轉折點45個!A:A,0)),"")</f>
        <v/>
      </c>
      <c r="G4287" s="7" t="s">
        <v>1994</v>
      </c>
    </row>
    <row r="4288" customFormat="false" ht="15" hidden="false" customHeight="false" outlineLevel="0" collapsed="false">
      <c r="A4288" s="7" t="s">
        <v>5404</v>
      </c>
      <c r="B4288" s="7" t="n">
        <v>4216.14</v>
      </c>
      <c r="C4288" s="7" t="n">
        <f aca="false">AVERAGE(B4239:B4288)</f>
        <v>4564.998</v>
      </c>
      <c r="D4288" s="7" t="n">
        <f aca="false">AVERAGE(B4089:B4288)</f>
        <v>4542.13075</v>
      </c>
      <c r="E4288" s="7" t="n">
        <f aca="false">B4288/MAX(B4037:B4288)-1</f>
        <v>-0.115707211487035</v>
      </c>
      <c r="F4288" s="7" t="str">
        <f aca="false">IFERROR(INDEX(02_轉折點45個!B:B,MATCH(A4288,02_轉折點45個!A:A,0)),"")</f>
        <v/>
      </c>
      <c r="G4288" s="7" t="s">
        <v>1994</v>
      </c>
    </row>
    <row r="4289" customFormat="false" ht="15" hidden="false" customHeight="false" outlineLevel="0" collapsed="false">
      <c r="A4289" s="7" t="s">
        <v>1233</v>
      </c>
      <c r="B4289" s="7" t="n">
        <v>4100.5</v>
      </c>
      <c r="C4289" s="7" t="n">
        <f aca="false">AVERAGE(B4240:B4289)</f>
        <v>4552.999</v>
      </c>
      <c r="D4289" s="7" t="n">
        <f aca="false">AVERAGE(B4090:B4289)</f>
        <v>4540.34105</v>
      </c>
      <c r="E4289" s="7" t="n">
        <f aca="false">B4289/MAX(B4038:B4289)-1</f>
        <v>-0.139961533702056</v>
      </c>
      <c r="F4289" s="7" t="str">
        <f aca="false">IFERROR(INDEX(02_轉折點45個!B:B,MATCH(A4289,02_轉折點45個!A:A,0)),"")</f>
        <v/>
      </c>
      <c r="G4289" s="7" t="s">
        <v>1994</v>
      </c>
    </row>
    <row r="4290" customFormat="false" ht="15" hidden="false" customHeight="false" outlineLevel="0" collapsed="false">
      <c r="A4290" s="7" t="s">
        <v>1234</v>
      </c>
      <c r="B4290" s="7" t="n">
        <v>4090.02</v>
      </c>
      <c r="C4290" s="7" t="n">
        <f aca="false">AVERAGE(B4241:B4290)</f>
        <v>4540.8388</v>
      </c>
      <c r="D4290" s="7" t="n">
        <f aca="false">AVERAGE(B4091:B4290)</f>
        <v>4538.4683</v>
      </c>
      <c r="E4290" s="7" t="n">
        <f aca="false">B4290/MAX(B4039:B4290)-1</f>
        <v>-0.14215960787028</v>
      </c>
      <c r="F4290" s="7" t="str">
        <f aca="false">IFERROR(INDEX(02_轉折點45個!B:B,MATCH(A4290,02_轉折點45個!A:A,0)),"")</f>
        <v/>
      </c>
      <c r="G4290" s="7" t="s">
        <v>1994</v>
      </c>
    </row>
    <row r="4291" customFormat="false" ht="15" hidden="false" customHeight="false" outlineLevel="0" collapsed="false">
      <c r="A4291" s="7" t="s">
        <v>1235</v>
      </c>
      <c r="B4291" s="7" t="n">
        <v>4085.21</v>
      </c>
      <c r="C4291" s="7" t="n">
        <f aca="false">AVERAGE(B4242:B4291)</f>
        <v>4528.8518</v>
      </c>
      <c r="D4291" s="7" t="n">
        <f aca="false">AVERAGE(B4092:B4291)</f>
        <v>4536.4327</v>
      </c>
      <c r="E4291" s="7" t="n">
        <f aca="false">B4291/MAX(B4040:B4291)-1</f>
        <v>-0.143168456796726</v>
      </c>
      <c r="F4291" s="7" t="str">
        <f aca="false">IFERROR(INDEX(02_轉折點45個!B:B,MATCH(A4291,02_轉折點45個!A:A,0)),"")</f>
        <v/>
      </c>
      <c r="G4291" s="7" t="s">
        <v>1994</v>
      </c>
    </row>
    <row r="4292" customFormat="false" ht="15" hidden="false" customHeight="false" outlineLevel="0" collapsed="false">
      <c r="A4292" s="7" t="s">
        <v>5405</v>
      </c>
      <c r="B4292" s="7" t="n">
        <v>4085.55</v>
      </c>
      <c r="C4292" s="7" t="n">
        <f aca="false">AVERAGE(B4243:B4292)</f>
        <v>4516.5174</v>
      </c>
      <c r="D4292" s="7" t="n">
        <f aca="false">AVERAGE(B4093:B4292)</f>
        <v>4534.4312</v>
      </c>
      <c r="E4292" s="7" t="n">
        <f aca="false">B4292/MAX(B4041:B4292)-1</f>
        <v>-0.1430971452302</v>
      </c>
      <c r="F4292" s="7" t="str">
        <f aca="false">IFERROR(INDEX(02_轉折點45個!B:B,MATCH(A4292,02_轉折點45個!A:A,0)),"")</f>
        <v/>
      </c>
      <c r="G4292" s="7" t="s">
        <v>1994</v>
      </c>
    </row>
    <row r="4293" customFormat="false" ht="15" hidden="false" customHeight="false" outlineLevel="0" collapsed="false">
      <c r="A4293" s="7" t="s">
        <v>5406</v>
      </c>
      <c r="B4293" s="7" t="n">
        <v>4194.38</v>
      </c>
      <c r="C4293" s="7" t="n">
        <f aca="false">AVERAGE(B4244:B4293)</f>
        <v>4507.3064</v>
      </c>
      <c r="D4293" s="7" t="n">
        <f aca="false">AVERAGE(B4094:B4293)</f>
        <v>4532.78845</v>
      </c>
      <c r="E4293" s="7" t="n">
        <f aca="false">B4293/MAX(B4042:B4293)-1</f>
        <v>-0.120271151744721</v>
      </c>
      <c r="F4293" s="7" t="str">
        <f aca="false">IFERROR(INDEX(02_轉折點45個!B:B,MATCH(A4293,02_轉折點45個!A:A,0)),"")</f>
        <v/>
      </c>
      <c r="G4293" s="7" t="s">
        <v>1994</v>
      </c>
    </row>
    <row r="4294" customFormat="false" ht="15" hidden="false" customHeight="false" outlineLevel="0" collapsed="false">
      <c r="A4294" s="7" t="s">
        <v>5407</v>
      </c>
      <c r="B4294" s="7" t="n">
        <v>4127.97</v>
      </c>
      <c r="C4294" s="7" t="n">
        <f aca="false">AVERAGE(B4245:B4294)</f>
        <v>4496.9876</v>
      </c>
      <c r="D4294" s="7" t="n">
        <f aca="false">AVERAGE(B4095:B4294)</f>
        <v>4530.7052</v>
      </c>
      <c r="E4294" s="7" t="n">
        <f aca="false">B4294/MAX(B4043:B4294)-1</f>
        <v>-0.13419997860653</v>
      </c>
      <c r="F4294" s="7" t="str">
        <f aca="false">IFERROR(INDEX(02_轉折點45個!B:B,MATCH(A4294,02_轉折點45個!A:A,0)),"")</f>
        <v/>
      </c>
      <c r="G4294" s="7" t="s">
        <v>1994</v>
      </c>
    </row>
    <row r="4295" customFormat="false" ht="15" hidden="false" customHeight="false" outlineLevel="0" collapsed="false">
      <c r="A4295" s="7" t="s">
        <v>5408</v>
      </c>
      <c r="B4295" s="7" t="n">
        <v>4172.9</v>
      </c>
      <c r="C4295" s="7" t="n">
        <f aca="false">AVERAGE(B4246:B4295)</f>
        <v>4487.8638</v>
      </c>
      <c r="D4295" s="7" t="n">
        <f aca="false">AVERAGE(B4096:B4295)</f>
        <v>4528.74875</v>
      </c>
      <c r="E4295" s="7" t="n">
        <f aca="false">B4295/MAX(B4044:B4295)-1</f>
        <v>-0.124776364829974</v>
      </c>
      <c r="F4295" s="7" t="str">
        <f aca="false">IFERROR(INDEX(02_轉折點45個!B:B,MATCH(A4295,02_轉折點45個!A:A,0)),"")</f>
        <v/>
      </c>
      <c r="G4295" s="7" t="s">
        <v>1994</v>
      </c>
    </row>
    <row r="4296" customFormat="false" ht="15" hidden="false" customHeight="false" outlineLevel="0" collapsed="false">
      <c r="A4296" s="7" t="s">
        <v>1236</v>
      </c>
      <c r="B4296" s="7" t="n">
        <v>4082</v>
      </c>
      <c r="C4296" s="7" t="n">
        <f aca="false">AVERAGE(B4247:B4296)</f>
        <v>4478.0538</v>
      </c>
      <c r="D4296" s="7" t="n">
        <f aca="false">AVERAGE(B4097:B4296)</f>
        <v>4526.3731</v>
      </c>
      <c r="E4296" s="7" t="n">
        <f aca="false">B4296/MAX(B4045:B4296)-1</f>
        <v>-0.143841721880696</v>
      </c>
      <c r="F4296" s="7" t="str">
        <f aca="false">IFERROR(INDEX(02_轉折點45個!B:B,MATCH(A4296,02_轉折點45個!A:A,0)),"")</f>
        <v/>
      </c>
      <c r="G4296" s="7" t="s">
        <v>1994</v>
      </c>
    </row>
    <row r="4297" customFormat="false" ht="15" hidden="false" customHeight="false" outlineLevel="0" collapsed="false">
      <c r="A4297" s="7" t="s">
        <v>5409</v>
      </c>
      <c r="B4297" s="7" t="n">
        <v>4117.18</v>
      </c>
      <c r="C4297" s="7" t="n">
        <f aca="false">AVERAGE(B4248:B4297)</f>
        <v>4470.3578</v>
      </c>
      <c r="D4297" s="7" t="n">
        <f aca="false">AVERAGE(B4098:B4297)</f>
        <v>4524.2234</v>
      </c>
      <c r="E4297" s="7" t="n">
        <f aca="false">B4297/MAX(B4046:B4297)-1</f>
        <v>-0.136463072144234</v>
      </c>
      <c r="F4297" s="7" t="str">
        <f aca="false">IFERROR(INDEX(02_轉折點45個!B:B,MATCH(A4297,02_轉折點45個!A:A,0)),"")</f>
        <v/>
      </c>
      <c r="G4297" s="7" t="s">
        <v>1994</v>
      </c>
    </row>
    <row r="4298" customFormat="false" ht="15" hidden="false" customHeight="false" outlineLevel="0" collapsed="false">
      <c r="A4298" s="7" t="s">
        <v>5410</v>
      </c>
      <c r="B4298" s="7" t="n">
        <v>4215.18</v>
      </c>
      <c r="C4298" s="7" t="n">
        <f aca="false">AVERAGE(B4249:B4298)</f>
        <v>4463.5852</v>
      </c>
      <c r="D4298" s="7" t="n">
        <f aca="false">AVERAGE(B4099:B4298)</f>
        <v>4522.40965</v>
      </c>
      <c r="E4298" s="7" t="n">
        <f aca="false">B4298/MAX(B4047:B4298)-1</f>
        <v>-0.115908561792521</v>
      </c>
      <c r="F4298" s="7" t="str">
        <f aca="false">IFERROR(INDEX(02_轉折點45個!B:B,MATCH(A4298,02_轉折點45個!A:A,0)),"")</f>
        <v/>
      </c>
      <c r="G4298" s="7" t="s">
        <v>1994</v>
      </c>
    </row>
    <row r="4299" customFormat="false" ht="15" hidden="false" customHeight="false" outlineLevel="0" collapsed="false">
      <c r="A4299" s="7" t="s">
        <v>5411</v>
      </c>
      <c r="B4299" s="7" t="n">
        <v>4221.04</v>
      </c>
      <c r="C4299" s="7" t="n">
        <f aca="false">AVERAGE(B4250:B4299)</f>
        <v>4456.9042</v>
      </c>
      <c r="D4299" s="7" t="n">
        <f aca="false">AVERAGE(B4100:B4299)</f>
        <v>4520.63995</v>
      </c>
      <c r="E4299" s="7" t="n">
        <f aca="false">B4299/MAX(B4048:B4299)-1</f>
        <v>-0.114679485969449</v>
      </c>
      <c r="F4299" s="7" t="str">
        <f aca="false">IFERROR(INDEX(02_轉折點45個!B:B,MATCH(A4299,02_轉折點45個!A:A,0)),"")</f>
        <v/>
      </c>
      <c r="G4299" s="7" t="s">
        <v>1994</v>
      </c>
    </row>
    <row r="4300" customFormat="false" ht="15" hidden="false" customHeight="false" outlineLevel="0" collapsed="false">
      <c r="A4300" s="7" t="s">
        <v>5412</v>
      </c>
      <c r="B4300" s="7" t="n">
        <v>4126.56</v>
      </c>
      <c r="C4300" s="7" t="n">
        <f aca="false">AVERAGE(B4251:B4300)</f>
        <v>4446.7042</v>
      </c>
      <c r="D4300" s="7" t="n">
        <f aca="false">AVERAGE(B4101:B4300)</f>
        <v>4518.7449</v>
      </c>
      <c r="E4300" s="7" t="n">
        <f aca="false">B4300/MAX(B4049:B4300)-1</f>
        <v>-0.134495711867713</v>
      </c>
      <c r="F4300" s="7" t="str">
        <f aca="false">IFERROR(INDEX(02_轉折點45個!B:B,MATCH(A4300,02_轉折點45個!A:A,0)),"")</f>
        <v/>
      </c>
      <c r="G4300" s="7" t="s">
        <v>1994</v>
      </c>
    </row>
    <row r="4301" customFormat="false" ht="15" hidden="false" customHeight="false" outlineLevel="0" collapsed="false">
      <c r="A4301" s="7" t="s">
        <v>5413</v>
      </c>
      <c r="B4301" s="7" t="n">
        <v>4114.95</v>
      </c>
      <c r="C4301" s="7" t="n">
        <f aca="false">AVERAGE(B4252:B4301)</f>
        <v>4436.3004</v>
      </c>
      <c r="D4301" s="7" t="n">
        <f aca="false">AVERAGE(B4102:B4301)</f>
        <v>4516.505</v>
      </c>
      <c r="E4301" s="7" t="n">
        <f aca="false">B4301/MAX(B4050:B4301)-1</f>
        <v>-0.136930792124686</v>
      </c>
      <c r="F4301" s="7" t="str">
        <f aca="false">IFERROR(INDEX(02_轉折點45個!B:B,MATCH(A4301,02_轉折點45個!A:A,0)),"")</f>
        <v/>
      </c>
      <c r="G4301" s="7" t="s">
        <v>1994</v>
      </c>
    </row>
    <row r="4302" customFormat="false" ht="15" hidden="false" customHeight="false" outlineLevel="0" collapsed="false">
      <c r="A4302" s="7" t="s">
        <v>5414</v>
      </c>
      <c r="B4302" s="7" t="n">
        <v>4119.81</v>
      </c>
      <c r="C4302" s="7" t="n">
        <f aca="false">AVERAGE(B4253:B4302)</f>
        <v>4425.4222</v>
      </c>
      <c r="D4302" s="7" t="n">
        <f aca="false">AVERAGE(B4103:B4302)</f>
        <v>4514.20035</v>
      </c>
      <c r="E4302" s="7" t="n">
        <f aca="false">B4302/MAX(B4051:B4302)-1</f>
        <v>-0.135911456203162</v>
      </c>
      <c r="F4302" s="7" t="str">
        <f aca="false">IFERROR(INDEX(02_轉折點45個!B:B,MATCH(A4302,02_轉折點45個!A:A,0)),"")</f>
        <v/>
      </c>
      <c r="G4302" s="7" t="s">
        <v>1994</v>
      </c>
    </row>
    <row r="4303" customFormat="false" ht="15" hidden="false" customHeight="false" outlineLevel="0" collapsed="false">
      <c r="A4303" s="7" t="s">
        <v>1237</v>
      </c>
      <c r="B4303" s="7" t="n">
        <v>3986.05</v>
      </c>
      <c r="C4303" s="7" t="n">
        <f aca="false">AVERAGE(B4254:B4303)</f>
        <v>4411.9134</v>
      </c>
      <c r="D4303" s="7" t="n">
        <f aca="false">AVERAGE(B4104:B4303)</f>
        <v>4511.13065</v>
      </c>
      <c r="E4303" s="7" t="n">
        <f aca="false">B4303/MAX(B4052:B4303)-1</f>
        <v>-0.163966265434235</v>
      </c>
      <c r="F4303" s="7" t="str">
        <f aca="false">IFERROR(INDEX(02_轉折點45個!B:B,MATCH(A4303,02_轉折點45個!A:A,0)),"")</f>
        <v/>
      </c>
      <c r="G4303" s="7" t="s">
        <v>1994</v>
      </c>
    </row>
    <row r="4304" customFormat="false" ht="15" hidden="false" customHeight="false" outlineLevel="0" collapsed="false">
      <c r="A4304" s="7" t="s">
        <v>5415</v>
      </c>
      <c r="B4304" s="7" t="n">
        <v>3913.52</v>
      </c>
      <c r="C4304" s="7" t="n">
        <f aca="false">AVERAGE(B4255:B4304)</f>
        <v>4396.948</v>
      </c>
      <c r="D4304" s="7" t="n">
        <f aca="false">AVERAGE(B4105:B4304)</f>
        <v>4507.60285</v>
      </c>
      <c r="E4304" s="7" t="n">
        <f aca="false">B4304/MAX(B4053:B4304)-1</f>
        <v>-0.179178700493518</v>
      </c>
      <c r="F4304" s="7" t="str">
        <f aca="false">IFERROR(INDEX(02_轉折點45個!B:B,MATCH(A4304,02_轉折點45個!A:A,0)),"")</f>
        <v/>
      </c>
      <c r="G4304" s="7" t="s">
        <v>1994</v>
      </c>
    </row>
    <row r="4305" customFormat="false" ht="15" hidden="false" customHeight="false" outlineLevel="0" collapsed="false">
      <c r="A4305" s="7" t="s">
        <v>5416</v>
      </c>
      <c r="B4305" s="7" t="n">
        <v>3899.82</v>
      </c>
      <c r="C4305" s="7" t="n">
        <f aca="false">AVERAGE(B4256:B4305)</f>
        <v>4381.465</v>
      </c>
      <c r="D4305" s="7" t="n">
        <f aca="false">AVERAGE(B4106:B4305)</f>
        <v>4503.84205</v>
      </c>
      <c r="E4305" s="7" t="n">
        <f aca="false">B4305/MAX(B4054:B4305)-1</f>
        <v>-0.182052137144727</v>
      </c>
      <c r="F4305" s="7" t="str">
        <f aca="false">IFERROR(INDEX(02_轉折點45個!B:B,MATCH(A4305,02_轉折點45個!A:A,0)),"")</f>
        <v/>
      </c>
      <c r="G4305" s="7" t="s">
        <v>1994</v>
      </c>
    </row>
    <row r="4306" customFormat="false" ht="15" hidden="false" customHeight="false" outlineLevel="0" collapsed="false">
      <c r="A4306" s="7" t="s">
        <v>5417</v>
      </c>
      <c r="B4306" s="7" t="n">
        <v>3913.37</v>
      </c>
      <c r="C4306" s="7" t="n">
        <f aca="false">AVERAGE(B4257:B4306)</f>
        <v>4366.0452</v>
      </c>
      <c r="D4306" s="7" t="n">
        <f aca="false">AVERAGE(B4107:B4306)</f>
        <v>4500.29435</v>
      </c>
      <c r="E4306" s="7" t="n">
        <f aca="false">B4306/MAX(B4055:B4306)-1</f>
        <v>-0.17921016147875</v>
      </c>
      <c r="F4306" s="7" t="str">
        <f aca="false">IFERROR(INDEX(02_轉折點45個!B:B,MATCH(A4306,02_轉折點45個!A:A,0)),"")</f>
        <v/>
      </c>
      <c r="G4306" s="7" t="s">
        <v>1994</v>
      </c>
    </row>
    <row r="4307" customFormat="false" ht="15" hidden="false" customHeight="false" outlineLevel="0" collapsed="false">
      <c r="A4307" s="7" t="s">
        <v>145</v>
      </c>
      <c r="B4307" s="7" t="n">
        <v>3898.07</v>
      </c>
      <c r="C4307" s="7" t="n">
        <f aca="false">AVERAGE(B4258:B4307)</f>
        <v>4350.6638</v>
      </c>
      <c r="D4307" s="7" t="n">
        <f aca="false">AVERAGE(B4108:B4307)</f>
        <v>4496.69225</v>
      </c>
      <c r="E4307" s="7" t="n">
        <f aca="false">B4307/MAX(B4056:B4307)-1</f>
        <v>-0.182419181972436</v>
      </c>
      <c r="F4307" s="7" t="str">
        <f aca="false">IFERROR(INDEX(02_轉折點45個!B:B,MATCH(A4307,02_轉折點45個!A:A,0)),"")</f>
        <v>BOTTOM</v>
      </c>
      <c r="G4307" s="7" t="s">
        <v>1994</v>
      </c>
    </row>
    <row r="4308" customFormat="false" ht="15" hidden="false" customHeight="false" outlineLevel="0" collapsed="false">
      <c r="A4308" s="7" t="s">
        <v>5418</v>
      </c>
      <c r="B4308" s="7" t="n">
        <v>3962.63</v>
      </c>
      <c r="C4308" s="7" t="n">
        <f aca="false">AVERAGE(B4259:B4308)</f>
        <v>4335.7032</v>
      </c>
      <c r="D4308" s="7" t="n">
        <f aca="false">AVERAGE(B4109:B4308)</f>
        <v>4493.5581</v>
      </c>
      <c r="E4308" s="7" t="n">
        <f aca="false">B4308/MAX(B4057:B4308)-1</f>
        <v>-0.168878373928491</v>
      </c>
      <c r="F4308" s="7" t="str">
        <f aca="false">IFERROR(INDEX(02_轉折點45個!B:B,MATCH(A4308,02_轉折點45個!A:A,0)),"")</f>
        <v/>
      </c>
      <c r="G4308" s="7" t="s">
        <v>1994</v>
      </c>
    </row>
    <row r="4309" customFormat="false" ht="15" hidden="false" customHeight="false" outlineLevel="0" collapsed="false">
      <c r="A4309" s="7" t="s">
        <v>5419</v>
      </c>
      <c r="B4309" s="7" t="n">
        <v>4052.57</v>
      </c>
      <c r="C4309" s="7" t="n">
        <f aca="false">AVERAGE(B4260:B4309)</f>
        <v>4323.146</v>
      </c>
      <c r="D4309" s="7" t="n">
        <f aca="false">AVERAGE(B4110:B4309)</f>
        <v>4491.2492</v>
      </c>
      <c r="E4309" s="7" t="n">
        <f aca="false">B4309/MAX(B4058:B4309)-1</f>
        <v>-0.150014367183256</v>
      </c>
      <c r="F4309" s="7" t="str">
        <f aca="false">IFERROR(INDEX(02_轉折點45個!B:B,MATCH(A4309,02_轉折點45個!A:A,0)),"")</f>
        <v/>
      </c>
      <c r="G4309" s="7" t="s">
        <v>1994</v>
      </c>
    </row>
    <row r="4310" customFormat="false" ht="15" hidden="false" customHeight="false" outlineLevel="0" collapsed="false">
      <c r="A4310" s="7" t="s">
        <v>5420</v>
      </c>
      <c r="B4310" s="7" t="n">
        <v>4142.19</v>
      </c>
      <c r="C4310" s="7" t="n">
        <f aca="false">AVERAGE(B4261:B4310)</f>
        <v>4313.9468</v>
      </c>
      <c r="D4310" s="7" t="n">
        <f aca="false">AVERAGE(B4111:B4310)</f>
        <v>4489.0962</v>
      </c>
      <c r="E4310" s="7" t="n">
        <f aca="false">B4310/MAX(B4059:B4310)-1</f>
        <v>-0.131217477206516</v>
      </c>
      <c r="F4310" s="7" t="str">
        <f aca="false">IFERROR(INDEX(02_轉折點45個!B:B,MATCH(A4310,02_轉折點45個!A:A,0)),"")</f>
        <v/>
      </c>
      <c r="G4310" s="7" t="s">
        <v>1994</v>
      </c>
    </row>
    <row r="4311" customFormat="false" ht="15" hidden="false" customHeight="false" outlineLevel="0" collapsed="false">
      <c r="A4311" s="7" t="s">
        <v>1238</v>
      </c>
      <c r="B4311" s="7" t="n">
        <v>4099.69</v>
      </c>
      <c r="C4311" s="7" t="n">
        <f aca="false">AVERAGE(B4262:B4311)</f>
        <v>4301.9838</v>
      </c>
      <c r="D4311" s="7" t="n">
        <f aca="false">AVERAGE(B4112:B4311)</f>
        <v>4486.678</v>
      </c>
      <c r="E4311" s="7" t="n">
        <f aca="false">B4311/MAX(B4060:B4311)-1</f>
        <v>-0.14013142302231</v>
      </c>
      <c r="F4311" s="7" t="str">
        <f aca="false">IFERROR(INDEX(02_轉折點45個!B:B,MATCH(A4311,02_轉折點45個!A:A,0)),"")</f>
        <v/>
      </c>
      <c r="G4311" s="7" t="s">
        <v>1994</v>
      </c>
    </row>
    <row r="4312" customFormat="false" ht="15" hidden="false" customHeight="false" outlineLevel="0" collapsed="false">
      <c r="A4312" s="7" t="s">
        <v>5421</v>
      </c>
      <c r="B4312" s="7" t="n">
        <v>4115.12</v>
      </c>
      <c r="C4312" s="7" t="n">
        <f aca="false">AVERAGE(B4263:B4312)</f>
        <v>4291.0688</v>
      </c>
      <c r="D4312" s="7" t="n">
        <f aca="false">AVERAGE(B4113:B4312)</f>
        <v>4484.6914</v>
      </c>
      <c r="E4312" s="7" t="n">
        <f aca="false">B4312/MAX(B4061:B4312)-1</f>
        <v>-0.136895136341423</v>
      </c>
      <c r="F4312" s="7" t="str">
        <f aca="false">IFERROR(INDEX(02_轉折點45個!B:B,MATCH(A4312,02_轉折點45個!A:A,0)),"")</f>
        <v/>
      </c>
      <c r="G4312" s="7" t="s">
        <v>1994</v>
      </c>
    </row>
    <row r="4313" customFormat="false" ht="15" hidden="false" customHeight="false" outlineLevel="0" collapsed="false">
      <c r="A4313" s="7" t="s">
        <v>5422</v>
      </c>
      <c r="B4313" s="7" t="n">
        <v>4175.58</v>
      </c>
      <c r="C4313" s="7" t="n">
        <f aca="false">AVERAGE(B4264:B4313)</f>
        <v>4281.4282</v>
      </c>
      <c r="D4313" s="7" t="n">
        <f aca="false">AVERAGE(B4114:B4313)</f>
        <v>4483.09705</v>
      </c>
      <c r="E4313" s="7" t="n">
        <f aca="false">B4313/MAX(B4062:B4313)-1</f>
        <v>-0.124214261893826</v>
      </c>
      <c r="F4313" s="7" t="str">
        <f aca="false">IFERROR(INDEX(02_轉折點45個!B:B,MATCH(A4313,02_轉折點45個!A:A,0)),"")</f>
        <v/>
      </c>
      <c r="G4313" s="7" t="s">
        <v>1994</v>
      </c>
    </row>
    <row r="4314" customFormat="false" ht="15" hidden="false" customHeight="false" outlineLevel="0" collapsed="false">
      <c r="A4314" s="7" t="s">
        <v>5423</v>
      </c>
      <c r="B4314" s="7" t="n">
        <v>4114.35</v>
      </c>
      <c r="C4314" s="7" t="n">
        <f aca="false">AVERAGE(B4265:B4314)</f>
        <v>4271.94</v>
      </c>
      <c r="D4314" s="7" t="n">
        <f aca="false">AVERAGE(B4115:B4314)</f>
        <v>4481.07825</v>
      </c>
      <c r="E4314" s="7" t="n">
        <f aca="false">B4314/MAX(B4063:B4314)-1</f>
        <v>-0.137056636065615</v>
      </c>
      <c r="F4314" s="7" t="str">
        <f aca="false">IFERROR(INDEX(02_轉折點45個!B:B,MATCH(A4314,02_轉折點45個!A:A,0)),"")</f>
        <v/>
      </c>
      <c r="G4314" s="7" t="s">
        <v>1994</v>
      </c>
    </row>
    <row r="4315" customFormat="false" ht="15" hidden="false" customHeight="false" outlineLevel="0" collapsed="false">
      <c r="A4315" s="7" t="s">
        <v>5424</v>
      </c>
      <c r="B4315" s="7" t="n">
        <v>4150</v>
      </c>
      <c r="C4315" s="7" t="n">
        <f aca="false">AVERAGE(B4266:B4315)</f>
        <v>4262.7574</v>
      </c>
      <c r="D4315" s="7" t="n">
        <f aca="false">AVERAGE(B4116:B4315)</f>
        <v>4478.9727</v>
      </c>
      <c r="E4315" s="7" t="n">
        <f aca="false">B4315/MAX(B4064:B4315)-1</f>
        <v>-0.129579408575426</v>
      </c>
      <c r="F4315" s="7" t="str">
        <f aca="false">IFERROR(INDEX(02_轉折點45個!B:B,MATCH(A4315,02_轉折點45個!A:A,0)),"")</f>
        <v/>
      </c>
      <c r="G4315" s="7" t="s">
        <v>1994</v>
      </c>
    </row>
    <row r="4316" customFormat="false" ht="15" hidden="false" customHeight="false" outlineLevel="0" collapsed="false">
      <c r="A4316" s="7" t="s">
        <v>5425</v>
      </c>
      <c r="B4316" s="7" t="n">
        <v>4186.17</v>
      </c>
      <c r="C4316" s="7" t="n">
        <f aca="false">AVERAGE(B4267:B4316)</f>
        <v>4256.3392</v>
      </c>
      <c r="D4316" s="7" t="n">
        <f aca="false">AVERAGE(B4117:B4316)</f>
        <v>4477.0936</v>
      </c>
      <c r="E4316" s="7" t="n">
        <f aca="false">B4316/MAX(B4065:B4316)-1</f>
        <v>-0.121993116336431</v>
      </c>
      <c r="F4316" s="7" t="str">
        <f aca="false">IFERROR(INDEX(02_轉折點45個!B:B,MATCH(A4316,02_轉折點45個!A:A,0)),"")</f>
        <v/>
      </c>
      <c r="G4316" s="7" t="s">
        <v>1994</v>
      </c>
    </row>
    <row r="4317" customFormat="false" ht="15" hidden="false" customHeight="false" outlineLevel="0" collapsed="false">
      <c r="A4317" s="7" t="s">
        <v>5426</v>
      </c>
      <c r="B4317" s="7" t="n">
        <v>4193.73</v>
      </c>
      <c r="C4317" s="7" t="n">
        <f aca="false">AVERAGE(B4268:B4317)</f>
        <v>4249.7294</v>
      </c>
      <c r="D4317" s="7" t="n">
        <f aca="false">AVERAGE(B4118:B4317)</f>
        <v>4475.3317</v>
      </c>
      <c r="E4317" s="7" t="n">
        <f aca="false">B4317/MAX(B4066:B4317)-1</f>
        <v>-0.120407482680728</v>
      </c>
      <c r="F4317" s="7" t="str">
        <f aca="false">IFERROR(INDEX(02_轉折點45個!B:B,MATCH(A4317,02_轉折點45個!A:A,0)),"")</f>
        <v/>
      </c>
      <c r="G4317" s="7" t="s">
        <v>1994</v>
      </c>
    </row>
    <row r="4318" customFormat="false" ht="15" hidden="false" customHeight="false" outlineLevel="0" collapsed="false">
      <c r="A4318" s="7" t="s">
        <v>5427</v>
      </c>
      <c r="B4318" s="7" t="n">
        <v>4164.02</v>
      </c>
      <c r="C4318" s="7" t="n">
        <f aca="false">AVERAGE(B4269:B4318)</f>
        <v>4241.7374</v>
      </c>
      <c r="D4318" s="7" t="n">
        <f aca="false">AVERAGE(B4119:B4318)</f>
        <v>4473.3961</v>
      </c>
      <c r="E4318" s="7" t="n">
        <f aca="false">B4318/MAX(B4067:B4318)-1</f>
        <v>-0.126638855155721</v>
      </c>
      <c r="F4318" s="7" t="str">
        <f aca="false">IFERROR(INDEX(02_轉折點45個!B:B,MATCH(A4318,02_轉折點45個!A:A,0)),"")</f>
        <v/>
      </c>
      <c r="G4318" s="7" t="s">
        <v>1994</v>
      </c>
    </row>
    <row r="4319" customFormat="false" ht="15" hidden="false" customHeight="false" outlineLevel="0" collapsed="false">
      <c r="A4319" s="7" t="s">
        <v>5428</v>
      </c>
      <c r="B4319" s="7" t="n">
        <v>4284.29</v>
      </c>
      <c r="C4319" s="7" t="n">
        <f aca="false">AVERAGE(B4270:B4319)</f>
        <v>4234.7662</v>
      </c>
      <c r="D4319" s="7" t="n">
        <f aca="false">AVERAGE(B4120:B4319)</f>
        <v>4471.7462</v>
      </c>
      <c r="E4319" s="7" t="n">
        <f aca="false">B4319/MAX(B4068:B4319)-1</f>
        <v>-0.101413437196533</v>
      </c>
      <c r="F4319" s="7" t="str">
        <f aca="false">IFERROR(INDEX(02_轉折點45個!B:B,MATCH(A4319,02_轉折點45個!A:A,0)),"")</f>
        <v/>
      </c>
      <c r="G4319" s="7" t="s">
        <v>1994</v>
      </c>
    </row>
    <row r="4320" customFormat="false" ht="15" hidden="false" customHeight="false" outlineLevel="0" collapsed="false">
      <c r="A4320" s="7" t="s">
        <v>5429</v>
      </c>
      <c r="B4320" s="7" t="n">
        <v>4296.92</v>
      </c>
      <c r="C4320" s="7" t="n">
        <f aca="false">AVERAGE(B4271:B4320)</f>
        <v>4229.3008</v>
      </c>
      <c r="D4320" s="7" t="n">
        <f aca="false">AVERAGE(B4121:B4320)</f>
        <v>4470.1709</v>
      </c>
      <c r="E4320" s="7" t="n">
        <f aca="false">B4320/MAX(B4069:B4320)-1</f>
        <v>-0.0987644222399803</v>
      </c>
      <c r="F4320" s="7" t="str">
        <f aca="false">IFERROR(INDEX(02_轉折點45個!B:B,MATCH(A4320,02_轉折點45個!A:A,0)),"")</f>
        <v/>
      </c>
      <c r="G4320" s="7" t="s">
        <v>1994</v>
      </c>
    </row>
    <row r="4321" customFormat="false" ht="15" hidden="false" customHeight="false" outlineLevel="0" collapsed="false">
      <c r="A4321" s="7" t="s">
        <v>5430</v>
      </c>
      <c r="B4321" s="7" t="n">
        <v>4300.57</v>
      </c>
      <c r="C4321" s="7" t="n">
        <f aca="false">AVERAGE(B4272:B4321)</f>
        <v>4225.3604</v>
      </c>
      <c r="D4321" s="7" t="n">
        <f aca="false">AVERAGE(B4122:B4321)</f>
        <v>4468.47615</v>
      </c>
      <c r="E4321" s="7" t="n">
        <f aca="false">B4321/MAX(B4070:B4321)-1</f>
        <v>-0.0979988715993299</v>
      </c>
      <c r="F4321" s="7" t="str">
        <f aca="false">IFERROR(INDEX(02_轉折點45個!B:B,MATCH(A4321,02_轉折點45個!A:A,0)),"")</f>
        <v/>
      </c>
      <c r="G4321" s="7" t="s">
        <v>1994</v>
      </c>
    </row>
    <row r="4322" customFormat="false" ht="15" hidden="false" customHeight="false" outlineLevel="0" collapsed="false">
      <c r="A4322" s="7" t="s">
        <v>5431</v>
      </c>
      <c r="B4322" s="7" t="n">
        <v>4309.34</v>
      </c>
      <c r="C4322" s="7" t="n">
        <f aca="false">AVERAGE(B4273:B4322)</f>
        <v>4220.7578</v>
      </c>
      <c r="D4322" s="7" t="n">
        <f aca="false">AVERAGE(B4123:B4322)</f>
        <v>4466.86365</v>
      </c>
      <c r="E4322" s="7" t="n">
        <f aca="false">B4322/MAX(B4071:B4322)-1</f>
        <v>-0.0961594526627529</v>
      </c>
      <c r="F4322" s="7" t="str">
        <f aca="false">IFERROR(INDEX(02_轉折點45個!B:B,MATCH(A4322,02_轉折點45個!A:A,0)),"")</f>
        <v/>
      </c>
      <c r="G4322" s="7" t="s">
        <v>1994</v>
      </c>
    </row>
    <row r="4323" customFormat="false" ht="15" hidden="false" customHeight="false" outlineLevel="0" collapsed="false">
      <c r="A4323" s="7" t="s">
        <v>5432</v>
      </c>
      <c r="B4323" s="7" t="n">
        <v>4301.33</v>
      </c>
      <c r="C4323" s="7" t="n">
        <f aca="false">AVERAGE(B4274:B4323)</f>
        <v>4215.4068</v>
      </c>
      <c r="D4323" s="7" t="n">
        <f aca="false">AVERAGE(B4124:B4323)</f>
        <v>4465.2033</v>
      </c>
      <c r="E4323" s="7" t="n">
        <f aca="false">B4323/MAX(B4072:B4323)-1</f>
        <v>-0.0978394692741532</v>
      </c>
      <c r="F4323" s="7" t="str">
        <f aca="false">IFERROR(INDEX(02_轉折點45個!B:B,MATCH(A4323,02_轉折點45個!A:A,0)),"")</f>
        <v/>
      </c>
      <c r="G4323" s="7" t="s">
        <v>1994</v>
      </c>
    </row>
    <row r="4324" customFormat="false" ht="15" hidden="false" customHeight="false" outlineLevel="0" collapsed="false">
      <c r="A4324" s="7" t="s">
        <v>5433</v>
      </c>
      <c r="B4324" s="7" t="n">
        <v>4247.03</v>
      </c>
      <c r="C4324" s="7" t="n">
        <f aca="false">AVERAGE(B4275:B4324)</f>
        <v>4208.151</v>
      </c>
      <c r="D4324" s="7" t="n">
        <f aca="false">AVERAGE(B4125:B4324)</f>
        <v>4463.1844</v>
      </c>
      <c r="E4324" s="7" t="n">
        <f aca="false">B4324/MAX(B4073:B4324)-1</f>
        <v>-0.109228345928215</v>
      </c>
      <c r="F4324" s="7" t="str">
        <f aca="false">IFERROR(INDEX(02_轉折點45個!B:B,MATCH(A4324,02_轉折點45個!A:A,0)),"")</f>
        <v/>
      </c>
      <c r="G4324" s="7" t="s">
        <v>1994</v>
      </c>
    </row>
    <row r="4325" customFormat="false" ht="15" hidden="false" customHeight="false" outlineLevel="0" collapsed="false">
      <c r="A4325" s="7" t="s">
        <v>5434</v>
      </c>
      <c r="B4325" s="7" t="n">
        <v>4270.39</v>
      </c>
      <c r="C4325" s="7" t="n">
        <f aca="false">AVERAGE(B4276:B4325)</f>
        <v>4201.3156</v>
      </c>
      <c r="D4325" s="7" t="n">
        <f aca="false">AVERAGE(B4126:B4325)</f>
        <v>4461.28885</v>
      </c>
      <c r="E4325" s="7" t="n">
        <f aca="false">B4325/MAX(B4074:B4325)-1</f>
        <v>-0.104328821828051</v>
      </c>
      <c r="F4325" s="7" t="str">
        <f aca="false">IFERROR(INDEX(02_轉折點45個!B:B,MATCH(A4325,02_轉折點45個!A:A,0)),"")</f>
        <v/>
      </c>
      <c r="G4325" s="7" t="s">
        <v>1994</v>
      </c>
    </row>
    <row r="4326" customFormat="false" ht="15" hidden="false" customHeight="false" outlineLevel="0" collapsed="false">
      <c r="A4326" s="7" t="s">
        <v>5435</v>
      </c>
      <c r="B4326" s="7" t="n">
        <v>4259.22</v>
      </c>
      <c r="C4326" s="7" t="n">
        <f aca="false">AVERAGE(B4277:B4326)</f>
        <v>4194.3938</v>
      </c>
      <c r="D4326" s="7" t="n">
        <f aca="false">AVERAGE(B4127:B4326)</f>
        <v>4459.59605</v>
      </c>
      <c r="E4326" s="7" t="n">
        <f aca="false">B4326/MAX(B4075:B4326)-1</f>
        <v>-0.106671616528343</v>
      </c>
      <c r="F4326" s="7" t="str">
        <f aca="false">IFERROR(INDEX(02_轉折點45個!B:B,MATCH(A4326,02_轉折點45個!A:A,0)),"")</f>
        <v/>
      </c>
      <c r="G4326" s="7" t="s">
        <v>1994</v>
      </c>
    </row>
    <row r="4327" customFormat="false" ht="15" hidden="false" customHeight="false" outlineLevel="0" collapsed="false">
      <c r="A4327" s="7" t="s">
        <v>5436</v>
      </c>
      <c r="B4327" s="7" t="n">
        <v>4338.07</v>
      </c>
      <c r="C4327" s="7" t="n">
        <f aca="false">AVERAGE(B4278:B4327)</f>
        <v>4187.8258</v>
      </c>
      <c r="D4327" s="7" t="n">
        <f aca="false">AVERAGE(B4128:B4327)</f>
        <v>4457.9602</v>
      </c>
      <c r="E4327" s="7" t="n">
        <f aca="false">B4327/MAX(B4076:B4327)-1</f>
        <v>-0.0901336252912764</v>
      </c>
      <c r="F4327" s="7" t="str">
        <f aca="false">IFERROR(INDEX(02_轉折點45個!B:B,MATCH(A4327,02_轉折點45個!A:A,0)),"")</f>
        <v/>
      </c>
      <c r="G4327" s="7" t="s">
        <v>1994</v>
      </c>
    </row>
    <row r="4328" customFormat="false" ht="15" hidden="false" customHeight="false" outlineLevel="0" collapsed="false">
      <c r="A4328" s="7" t="s">
        <v>5437</v>
      </c>
      <c r="B4328" s="7" t="n">
        <v>4339.73</v>
      </c>
      <c r="C4328" s="7" t="n">
        <f aca="false">AVERAGE(B4279:B4328)</f>
        <v>4182.06</v>
      </c>
      <c r="D4328" s="7" t="n">
        <f aca="false">AVERAGE(B4129:B4328)</f>
        <v>4456.372</v>
      </c>
      <c r="E4328" s="7" t="n">
        <f aca="false">B4328/MAX(B4077:B4328)-1</f>
        <v>-0.0897854570547066</v>
      </c>
      <c r="F4328" s="7" t="str">
        <f aca="false">IFERROR(INDEX(02_轉折點45個!B:B,MATCH(A4328,02_轉折點45個!A:A,0)),"")</f>
        <v/>
      </c>
      <c r="G4328" s="7" t="s">
        <v>1994</v>
      </c>
    </row>
    <row r="4329" customFormat="false" ht="15" hidden="false" customHeight="false" outlineLevel="0" collapsed="false">
      <c r="A4329" s="7" t="s">
        <v>1239</v>
      </c>
      <c r="B4329" s="7" t="n">
        <v>4319.98</v>
      </c>
      <c r="C4329" s="7" t="n">
        <f aca="false">AVERAGE(B4280:B4329)</f>
        <v>4176.967</v>
      </c>
      <c r="D4329" s="7" t="n">
        <f aca="false">AVERAGE(B4130:B4329)</f>
        <v>4454.8127</v>
      </c>
      <c r="E4329" s="7" t="n">
        <f aca="false">B4329/MAX(B4078:B4329)-1</f>
        <v>-0.0939278201102815</v>
      </c>
      <c r="F4329" s="7" t="str">
        <f aca="false">IFERROR(INDEX(02_轉折點45個!B:B,MATCH(A4329,02_轉折點45個!A:A,0)),"")</f>
        <v/>
      </c>
      <c r="G4329" s="7" t="s">
        <v>1994</v>
      </c>
    </row>
    <row r="4330" customFormat="false" ht="15" hidden="false" customHeight="false" outlineLevel="0" collapsed="false">
      <c r="A4330" s="7" t="s">
        <v>5438</v>
      </c>
      <c r="B4330" s="7" t="n">
        <v>4352.23</v>
      </c>
      <c r="C4330" s="7" t="n">
        <f aca="false">AVERAGE(B4281:B4330)</f>
        <v>4174.425</v>
      </c>
      <c r="D4330" s="7" t="n">
        <f aca="false">AVERAGE(B4131:B4330)</f>
        <v>4453.3557</v>
      </c>
      <c r="E4330" s="7" t="n">
        <f aca="false">B4330/MAX(B4079:B4330)-1</f>
        <v>-0.0871637082853555</v>
      </c>
      <c r="F4330" s="7" t="str">
        <f aca="false">IFERROR(INDEX(02_轉折點45個!B:B,MATCH(A4330,02_轉折點45個!A:A,0)),"")</f>
        <v/>
      </c>
      <c r="G4330" s="7" t="s">
        <v>1994</v>
      </c>
    </row>
    <row r="4331" customFormat="false" ht="15" hidden="false" customHeight="false" outlineLevel="0" collapsed="false">
      <c r="A4331" s="7" t="s">
        <v>5439</v>
      </c>
      <c r="B4331" s="7" t="n">
        <v>4362.3</v>
      </c>
      <c r="C4331" s="7" t="n">
        <f aca="false">AVERAGE(B4282:B4331)</f>
        <v>4172.2974</v>
      </c>
      <c r="D4331" s="7" t="n">
        <f aca="false">AVERAGE(B4132:B4331)</f>
        <v>4451.97835</v>
      </c>
      <c r="E4331" s="7" t="n">
        <f aca="false">B4331/MAX(B4080:B4331)-1</f>
        <v>-0.0850516274767661</v>
      </c>
      <c r="F4331" s="7" t="str">
        <f aca="false">IFERROR(INDEX(02_轉折點45個!B:B,MATCH(A4331,02_轉折點45個!A:A,0)),"")</f>
        <v/>
      </c>
      <c r="G4331" s="7" t="s">
        <v>1994</v>
      </c>
    </row>
    <row r="4332" customFormat="false" ht="15" hidden="false" customHeight="false" outlineLevel="0" collapsed="false">
      <c r="A4332" s="7" t="s">
        <v>1240</v>
      </c>
      <c r="B4332" s="7" t="n">
        <v>4381.17</v>
      </c>
      <c r="C4332" s="7" t="n">
        <f aca="false">AVERAGE(B4283:B4332)</f>
        <v>4171.5644</v>
      </c>
      <c r="D4332" s="7" t="n">
        <f aca="false">AVERAGE(B4133:B4332)</f>
        <v>4450.5916</v>
      </c>
      <c r="E4332" s="7" t="n">
        <f aca="false">B4332/MAX(B4081:B4332)-1</f>
        <v>-0.0810938355345536</v>
      </c>
      <c r="F4332" s="7" t="str">
        <f aca="false">IFERROR(INDEX(02_轉折點45個!B:B,MATCH(A4332,02_轉折點45個!A:A,0)),"")</f>
        <v/>
      </c>
      <c r="G4332" s="7" t="s">
        <v>1994</v>
      </c>
    </row>
    <row r="4333" customFormat="false" ht="15" hidden="false" customHeight="false" outlineLevel="0" collapsed="false">
      <c r="A4333" s="7" t="s">
        <v>5440</v>
      </c>
      <c r="B4333" s="7" t="n">
        <v>4393.25</v>
      </c>
      <c r="C4333" s="7" t="n">
        <f aca="false">AVERAGE(B4284:B4333)</f>
        <v>4173.7466</v>
      </c>
      <c r="D4333" s="7" t="n">
        <f aca="false">AVERAGE(B4134:B4333)</f>
        <v>4449.4485</v>
      </c>
      <c r="E4333" s="7" t="n">
        <f aca="false">B4333/MAX(B4082:B4333)-1</f>
        <v>-0.0785601775238527</v>
      </c>
      <c r="F4333" s="7" t="str">
        <f aca="false">IFERROR(INDEX(02_轉折點45個!B:B,MATCH(A4333,02_轉折點45個!A:A,0)),"")</f>
        <v/>
      </c>
      <c r="G4333" s="7" t="s">
        <v>1994</v>
      </c>
    </row>
    <row r="4334" customFormat="false" ht="15" hidden="false" customHeight="false" outlineLevel="0" collapsed="false">
      <c r="A4334" s="7" t="s">
        <v>5441</v>
      </c>
      <c r="B4334" s="7" t="n">
        <v>4404.94</v>
      </c>
      <c r="C4334" s="7" t="n">
        <f aca="false">AVERAGE(B4285:B4334)</f>
        <v>4176.9996</v>
      </c>
      <c r="D4334" s="7" t="n">
        <f aca="false">AVERAGE(B4135:B4334)</f>
        <v>4448.32115</v>
      </c>
      <c r="E4334" s="7" t="n">
        <f aca="false">B4334/MAX(B4083:B4334)-1</f>
        <v>-0.0761083180747557</v>
      </c>
      <c r="F4334" s="7" t="str">
        <f aca="false">IFERROR(INDEX(02_轉折點45個!B:B,MATCH(A4334,02_轉折點45個!A:A,0)),"")</f>
        <v/>
      </c>
      <c r="G4334" s="7" t="s">
        <v>1994</v>
      </c>
    </row>
    <row r="4335" customFormat="false" ht="15" hidden="false" customHeight="false" outlineLevel="0" collapsed="false">
      <c r="A4335" s="7" t="s">
        <v>5442</v>
      </c>
      <c r="B4335" s="7" t="n">
        <v>4356.7</v>
      </c>
      <c r="C4335" s="7" t="n">
        <f aca="false">AVERAGE(B4286:B4335)</f>
        <v>4179.3908</v>
      </c>
      <c r="D4335" s="7" t="n">
        <f aca="false">AVERAGE(B4136:B4335)</f>
        <v>4447.16655</v>
      </c>
      <c r="E4335" s="7" t="n">
        <f aca="false">B4335/MAX(B4084:B4335)-1</f>
        <v>-0.0862261709254355</v>
      </c>
      <c r="F4335" s="7" t="str">
        <f aca="false">IFERROR(INDEX(02_轉折點45個!B:B,MATCH(A4335,02_轉折點45個!A:A,0)),"")</f>
        <v/>
      </c>
      <c r="G4335" s="7" t="s">
        <v>1994</v>
      </c>
    </row>
    <row r="4336" customFormat="false" ht="15" hidden="false" customHeight="false" outlineLevel="0" collapsed="false">
      <c r="A4336" s="7" t="s">
        <v>5443</v>
      </c>
      <c r="B4336" s="7" t="n">
        <v>4360.94</v>
      </c>
      <c r="C4336" s="7" t="n">
        <f aca="false">AVERAGE(B4287:B4336)</f>
        <v>4180.991</v>
      </c>
      <c r="D4336" s="7" t="n">
        <f aca="false">AVERAGE(B4137:B4336)</f>
        <v>4446.0686</v>
      </c>
      <c r="E4336" s="7" t="n">
        <f aca="false">B4336/MAX(B4085:B4336)-1</f>
        <v>-0.0853368737428716</v>
      </c>
      <c r="F4336" s="7" t="str">
        <f aca="false">IFERROR(INDEX(02_轉折點45個!B:B,MATCH(A4336,02_轉折點45個!A:A,0)),"")</f>
        <v/>
      </c>
      <c r="G4336" s="7" t="s">
        <v>1994</v>
      </c>
    </row>
    <row r="4337" customFormat="false" ht="15" hidden="false" customHeight="false" outlineLevel="0" collapsed="false">
      <c r="A4337" s="7" t="s">
        <v>5444</v>
      </c>
      <c r="B4337" s="7" t="n">
        <v>4354.81</v>
      </c>
      <c r="C4337" s="7" t="n">
        <f aca="false">AVERAGE(B4288:B4337)</f>
        <v>4185.3896</v>
      </c>
      <c r="D4337" s="7" t="n">
        <f aca="false">AVERAGE(B4138:B4337)</f>
        <v>4444.65305</v>
      </c>
      <c r="E4337" s="7" t="n">
        <f aca="false">B4337/MAX(B4086:B4337)-1</f>
        <v>-0.0866225793393612</v>
      </c>
      <c r="F4337" s="7" t="str">
        <f aca="false">IFERROR(INDEX(02_轉折點45個!B:B,MATCH(A4337,02_轉折點45個!A:A,0)),"")</f>
        <v/>
      </c>
      <c r="G4337" s="7" t="s">
        <v>1994</v>
      </c>
    </row>
    <row r="4338" customFormat="false" ht="15" hidden="false" customHeight="false" outlineLevel="0" collapsed="false">
      <c r="A4338" s="7" t="s">
        <v>5445</v>
      </c>
      <c r="B4338" s="7" t="n">
        <v>4427.74</v>
      </c>
      <c r="C4338" s="7" t="n">
        <f aca="false">AVERAGE(B4289:B4338)</f>
        <v>4189.6216</v>
      </c>
      <c r="D4338" s="7" t="n">
        <f aca="false">AVERAGE(B4139:B4338)</f>
        <v>4443.57555</v>
      </c>
      <c r="E4338" s="7" t="n">
        <f aca="false">B4338/MAX(B4087:B4338)-1</f>
        <v>-0.0713262483194592</v>
      </c>
      <c r="F4338" s="7" t="str">
        <f aca="false">IFERROR(INDEX(02_轉折點45個!B:B,MATCH(A4338,02_轉折點45個!A:A,0)),"")</f>
        <v/>
      </c>
      <c r="G4338" s="7" t="s">
        <v>1994</v>
      </c>
    </row>
    <row r="4339" customFormat="false" ht="15" hidden="false" customHeight="false" outlineLevel="0" collapsed="false">
      <c r="A4339" s="7" t="s">
        <v>1241</v>
      </c>
      <c r="B4339" s="7" t="n">
        <v>4448.45</v>
      </c>
      <c r="C4339" s="7" t="n">
        <f aca="false">AVERAGE(B4290:B4339)</f>
        <v>4196.5806</v>
      </c>
      <c r="D4339" s="7" t="n">
        <f aca="false">AVERAGE(B4140:B4339)</f>
        <v>4442.74505</v>
      </c>
      <c r="E4339" s="7" t="n">
        <f aca="false">B4339/MAX(B4088:B4339)-1</f>
        <v>-0.0669825349583982</v>
      </c>
      <c r="F4339" s="7" t="str">
        <f aca="false">IFERROR(INDEX(02_轉折點45個!B:B,MATCH(A4339,02_轉折點45個!A:A,0)),"")</f>
        <v/>
      </c>
      <c r="G4339" s="7" t="s">
        <v>1994</v>
      </c>
    </row>
    <row r="4340" customFormat="false" ht="15" hidden="false" customHeight="false" outlineLevel="0" collapsed="false">
      <c r="A4340" s="7" t="s">
        <v>1242</v>
      </c>
      <c r="B4340" s="7" t="n">
        <v>4448.96</v>
      </c>
      <c r="C4340" s="7" t="n">
        <f aca="false">AVERAGE(B4291:B4340)</f>
        <v>4203.7594</v>
      </c>
      <c r="D4340" s="7" t="n">
        <f aca="false">AVERAGE(B4141:B4340)</f>
        <v>4442.01365</v>
      </c>
      <c r="E4340" s="7" t="n">
        <f aca="false">B4340/MAX(B4089:B4340)-1</f>
        <v>-0.0668755676086087</v>
      </c>
      <c r="F4340" s="7" t="str">
        <f aca="false">IFERROR(INDEX(02_轉折點45個!B:B,MATCH(A4340,02_轉折點45個!A:A,0)),"")</f>
        <v/>
      </c>
      <c r="G4340" s="7" t="s">
        <v>1994</v>
      </c>
    </row>
    <row r="4341" customFormat="false" ht="15" hidden="false" customHeight="false" outlineLevel="0" collapsed="false">
      <c r="A4341" s="7" t="s">
        <v>5446</v>
      </c>
      <c r="B4341" s="7" t="n">
        <v>4489.79</v>
      </c>
      <c r="C4341" s="7" t="n">
        <f aca="false">AVERAGE(B4292:B4341)</f>
        <v>4211.851</v>
      </c>
      <c r="D4341" s="7" t="n">
        <f aca="false">AVERAGE(B4142:B4341)</f>
        <v>4441.36955</v>
      </c>
      <c r="E4341" s="7" t="n">
        <f aca="false">B4341/MAX(B4090:B4341)-1</f>
        <v>-0.0583118874284001</v>
      </c>
      <c r="F4341" s="7" t="str">
        <f aca="false">IFERROR(INDEX(02_轉折點45個!B:B,MATCH(A4341,02_轉折點45個!A:A,0)),"")</f>
        <v/>
      </c>
      <c r="G4341" s="7" t="s">
        <v>1994</v>
      </c>
    </row>
    <row r="4342" customFormat="false" ht="15" hidden="false" customHeight="false" outlineLevel="0" collapsed="false">
      <c r="A4342" s="7" t="s">
        <v>1243</v>
      </c>
      <c r="B4342" s="7" t="n">
        <v>4469.01</v>
      </c>
      <c r="C4342" s="7" t="n">
        <f aca="false">AVERAGE(B4293:B4342)</f>
        <v>4219.5202</v>
      </c>
      <c r="D4342" s="7" t="n">
        <f aca="false">AVERAGE(B4143:B4342)</f>
        <v>4440.5789</v>
      </c>
      <c r="E4342" s="7" t="n">
        <f aca="false">B4342/MAX(B4091:B4342)-1</f>
        <v>-0.0626702825825694</v>
      </c>
      <c r="F4342" s="7" t="str">
        <f aca="false">IFERROR(INDEX(02_轉折點45個!B:B,MATCH(A4342,02_轉折點45個!A:A,0)),"")</f>
        <v/>
      </c>
      <c r="G4342" s="7" t="s">
        <v>1994</v>
      </c>
    </row>
    <row r="4343" customFormat="false" ht="15" hidden="false" customHeight="false" outlineLevel="0" collapsed="false">
      <c r="A4343" s="7" t="s">
        <v>1244</v>
      </c>
      <c r="B4343" s="7" t="n">
        <v>4425.28</v>
      </c>
      <c r="C4343" s="7" t="n">
        <f aca="false">AVERAGE(B4294:B4343)</f>
        <v>4224.1382</v>
      </c>
      <c r="D4343" s="7" t="n">
        <f aca="false">AVERAGE(B4144:B4343)</f>
        <v>4439.2587</v>
      </c>
      <c r="E4343" s="7" t="n">
        <f aca="false">B4343/MAX(B4092:B4343)-1</f>
        <v>-0.0718422084772675</v>
      </c>
      <c r="F4343" s="7" t="str">
        <f aca="false">IFERROR(INDEX(02_轉折點45個!B:B,MATCH(A4343,02_轉折點45個!A:A,0)),"")</f>
        <v/>
      </c>
      <c r="G4343" s="7" t="s">
        <v>1994</v>
      </c>
    </row>
    <row r="4344" customFormat="false" ht="15" hidden="false" customHeight="false" outlineLevel="0" collapsed="false">
      <c r="A4344" s="7" t="s">
        <v>1245</v>
      </c>
      <c r="B4344" s="7" t="n">
        <v>4495.44</v>
      </c>
      <c r="C4344" s="7" t="n">
        <f aca="false">AVERAGE(B4295:B4344)</f>
        <v>4231.4876</v>
      </c>
      <c r="D4344" s="7" t="n">
        <f aca="false">AVERAGE(B4145:B4344)</f>
        <v>4438.36215</v>
      </c>
      <c r="E4344" s="7" t="n">
        <f aca="false">B4344/MAX(B4093:B4344)-1</f>
        <v>-0.0571268569846535</v>
      </c>
      <c r="F4344" s="7" t="str">
        <f aca="false">IFERROR(INDEX(02_轉折點45個!B:B,MATCH(A4344,02_轉折點45個!A:A,0)),"")</f>
        <v/>
      </c>
      <c r="G4344" s="7" t="s">
        <v>1994</v>
      </c>
    </row>
    <row r="4345" customFormat="false" ht="15" hidden="false" customHeight="false" outlineLevel="0" collapsed="false">
      <c r="A4345" s="7" t="s">
        <v>1246</v>
      </c>
      <c r="B4345" s="7" t="n">
        <v>4429.34</v>
      </c>
      <c r="C4345" s="7" t="n">
        <f aca="false">AVERAGE(B4296:B4345)</f>
        <v>4236.6164</v>
      </c>
      <c r="D4345" s="7" t="n">
        <f aca="false">AVERAGE(B4146:B4345)</f>
        <v>4436.9662</v>
      </c>
      <c r="E4345" s="7" t="n">
        <f aca="false">B4345/MAX(B4094:B4345)-1</f>
        <v>-0.0709906644769821</v>
      </c>
      <c r="F4345" s="7" t="str">
        <f aca="false">IFERROR(INDEX(02_轉折點45個!B:B,MATCH(A4345,02_轉折點45個!A:A,0)),"")</f>
        <v/>
      </c>
      <c r="G4345" s="7" t="s">
        <v>1994</v>
      </c>
    </row>
    <row r="4346" customFormat="false" ht="15" hidden="false" customHeight="false" outlineLevel="0" collapsed="false">
      <c r="A4346" s="7" t="s">
        <v>5447</v>
      </c>
      <c r="B4346" s="7" t="n">
        <v>4431.46</v>
      </c>
      <c r="C4346" s="7" t="n">
        <f aca="false">AVERAGE(B4297:B4346)</f>
        <v>4243.6056</v>
      </c>
      <c r="D4346" s="7" t="n">
        <f aca="false">AVERAGE(B4147:B4346)</f>
        <v>4435.5529</v>
      </c>
      <c r="E4346" s="7" t="n">
        <f aca="false">B4346/MAX(B4095:B4346)-1</f>
        <v>-0.0705460158857002</v>
      </c>
      <c r="F4346" s="7" t="str">
        <f aca="false">IFERROR(INDEX(02_轉折點45個!B:B,MATCH(A4346,02_轉折點45個!A:A,0)),"")</f>
        <v/>
      </c>
      <c r="G4346" s="7" t="s">
        <v>1994</v>
      </c>
    </row>
    <row r="4347" customFormat="false" ht="15" hidden="false" customHeight="false" outlineLevel="0" collapsed="false">
      <c r="A4347" s="7" t="s">
        <v>5448</v>
      </c>
      <c r="B4347" s="7" t="n">
        <v>4415.66</v>
      </c>
      <c r="C4347" s="7" t="n">
        <f aca="false">AVERAGE(B4298:B4347)</f>
        <v>4249.5752</v>
      </c>
      <c r="D4347" s="7" t="n">
        <f aca="false">AVERAGE(B4148:B4347)</f>
        <v>4434.23275</v>
      </c>
      <c r="E4347" s="7" t="n">
        <f aca="false">B4347/MAX(B4096:B4347)-1</f>
        <v>-0.07385990633016</v>
      </c>
      <c r="F4347" s="7" t="str">
        <f aca="false">IFERROR(INDEX(02_轉折點45個!B:B,MATCH(A4347,02_轉折點45個!A:A,0)),"")</f>
        <v/>
      </c>
      <c r="G4347" s="7" t="s">
        <v>1994</v>
      </c>
    </row>
    <row r="4348" customFormat="false" ht="15" hidden="false" customHeight="false" outlineLevel="0" collapsed="false">
      <c r="A4348" s="7" t="s">
        <v>1247</v>
      </c>
      <c r="B4348" s="7" t="n">
        <v>4451.01</v>
      </c>
      <c r="C4348" s="7" t="n">
        <f aca="false">AVERAGE(B4299:B4348)</f>
        <v>4254.2918</v>
      </c>
      <c r="D4348" s="7" t="n">
        <f aca="false">AVERAGE(B4149:B4348)</f>
        <v>4433.136</v>
      </c>
      <c r="E4348" s="7" t="n">
        <f aca="false">B4348/MAX(B4097:B4348)-1</f>
        <v>-0.0664456008104351</v>
      </c>
      <c r="F4348" s="7" t="str">
        <f aca="false">IFERROR(INDEX(02_轉折點45個!B:B,MATCH(A4348,02_轉折點45個!A:A,0)),"")</f>
        <v/>
      </c>
      <c r="G4348" s="7" t="s">
        <v>1994</v>
      </c>
    </row>
    <row r="4349" customFormat="false" ht="15" hidden="false" customHeight="false" outlineLevel="0" collapsed="false">
      <c r="A4349" s="7" t="s">
        <v>5449</v>
      </c>
      <c r="B4349" s="7" t="n">
        <v>4519.83</v>
      </c>
      <c r="C4349" s="7" t="n">
        <f aca="false">AVERAGE(B4300:B4349)</f>
        <v>4260.2676</v>
      </c>
      <c r="D4349" s="7" t="n">
        <f aca="false">AVERAGE(B4150:B4349)</f>
        <v>4432.5281</v>
      </c>
      <c r="E4349" s="7" t="n">
        <f aca="false">B4349/MAX(B4098:B4349)-1</f>
        <v>-0.0520113007858956</v>
      </c>
      <c r="F4349" s="7" t="str">
        <f aca="false">IFERROR(INDEX(02_轉折點45個!B:B,MATCH(A4349,02_轉折點45個!A:A,0)),"")</f>
        <v/>
      </c>
      <c r="G4349" s="7" t="s">
        <v>1994</v>
      </c>
    </row>
    <row r="4350" customFormat="false" ht="15" hidden="false" customHeight="false" outlineLevel="0" collapsed="false">
      <c r="A4350" s="7" t="s">
        <v>5450</v>
      </c>
      <c r="B4350" s="7" t="n">
        <v>4518.43</v>
      </c>
      <c r="C4350" s="7" t="n">
        <f aca="false">AVERAGE(B4301:B4350)</f>
        <v>4268.105</v>
      </c>
      <c r="D4350" s="7" t="n">
        <f aca="false">AVERAGE(B4151:B4350)</f>
        <v>4432.47065</v>
      </c>
      <c r="E4350" s="7" t="n">
        <f aca="false">B4350/MAX(B4099:B4350)-1</f>
        <v>-0.0523049366480628</v>
      </c>
      <c r="F4350" s="7" t="str">
        <f aca="false">IFERROR(INDEX(02_轉折點45個!B:B,MATCH(A4350,02_轉折點45個!A:A,0)),"")</f>
        <v/>
      </c>
      <c r="G4350" s="7" t="s">
        <v>1994</v>
      </c>
    </row>
    <row r="4351" customFormat="false" ht="15" hidden="false" customHeight="false" outlineLevel="0" collapsed="false">
      <c r="A4351" s="7" t="s">
        <v>5451</v>
      </c>
      <c r="B4351" s="7" t="n">
        <v>4511.42</v>
      </c>
      <c r="C4351" s="7" t="n">
        <f aca="false">AVERAGE(B4302:B4351)</f>
        <v>4276.0344</v>
      </c>
      <c r="D4351" s="7" t="n">
        <f aca="false">AVERAGE(B4152:B4351)</f>
        <v>4432.2484</v>
      </c>
      <c r="E4351" s="7" t="n">
        <f aca="false">B4351/MAX(B4100:B4351)-1</f>
        <v>-0.0537752133579149</v>
      </c>
      <c r="F4351" s="7" t="str">
        <f aca="false">IFERROR(INDEX(02_轉折點45個!B:B,MATCH(A4351,02_轉折點45個!A:A,0)),"")</f>
        <v/>
      </c>
      <c r="G4351" s="7" t="s">
        <v>1994</v>
      </c>
    </row>
    <row r="4352" customFormat="false" ht="15" hidden="false" customHeight="false" outlineLevel="0" collapsed="false">
      <c r="A4352" s="7" t="s">
        <v>5452</v>
      </c>
      <c r="B4352" s="7" t="n">
        <v>4531.34</v>
      </c>
      <c r="C4352" s="7" t="n">
        <f aca="false">AVERAGE(B4303:B4352)</f>
        <v>4284.265</v>
      </c>
      <c r="D4352" s="7" t="n">
        <f aca="false">AVERAGE(B4153:B4352)</f>
        <v>4432.00585</v>
      </c>
      <c r="E4352" s="7" t="n">
        <f aca="false">B4352/MAX(B4101:B4352)-1</f>
        <v>-0.049597194519077</v>
      </c>
      <c r="F4352" s="7" t="str">
        <f aca="false">IFERROR(INDEX(02_轉折點45個!B:B,MATCH(A4352,02_轉折點45個!A:A,0)),"")</f>
        <v/>
      </c>
      <c r="G4352" s="7" t="s">
        <v>1994</v>
      </c>
    </row>
    <row r="4353" customFormat="false" ht="15" hidden="false" customHeight="false" outlineLevel="0" collapsed="false">
      <c r="A4353" s="7" t="s">
        <v>5453</v>
      </c>
      <c r="B4353" s="7" t="n">
        <v>4513.35</v>
      </c>
      <c r="C4353" s="7" t="n">
        <f aca="false">AVERAGE(B4304:B4353)</f>
        <v>4294.811</v>
      </c>
      <c r="D4353" s="7" t="n">
        <f aca="false">AVERAGE(B4154:B4353)</f>
        <v>4431.6912</v>
      </c>
      <c r="E4353" s="7" t="n">
        <f aca="false">B4353/MAX(B4102:B4353)-1</f>
        <v>-0.0533704153479271</v>
      </c>
      <c r="F4353" s="7" t="str">
        <f aca="false">IFERROR(INDEX(02_轉折點45個!B:B,MATCH(A4353,02_轉折點45個!A:A,0)),"")</f>
        <v/>
      </c>
      <c r="G4353" s="7" t="s">
        <v>1994</v>
      </c>
    </row>
    <row r="4354" customFormat="false" ht="15" hidden="false" customHeight="false" outlineLevel="0" collapsed="false">
      <c r="A4354" s="7" t="s">
        <v>5454</v>
      </c>
      <c r="B4354" s="7" t="n">
        <v>4520.48</v>
      </c>
      <c r="C4354" s="7" t="n">
        <f aca="false">AVERAGE(B4305:B4354)</f>
        <v>4306.9502</v>
      </c>
      <c r="D4354" s="7" t="n">
        <f aca="false">AVERAGE(B4155:B4354)</f>
        <v>4431.4911</v>
      </c>
      <c r="E4354" s="7" t="n">
        <f aca="false">B4354/MAX(B4103:B4354)-1</f>
        <v>-0.0518749698498894</v>
      </c>
      <c r="F4354" s="7" t="str">
        <f aca="false">IFERROR(INDEX(02_轉折點45個!B:B,MATCH(A4354,02_轉折點45個!A:A,0)),"")</f>
        <v/>
      </c>
      <c r="G4354" s="7" t="s">
        <v>1994</v>
      </c>
    </row>
    <row r="4355" customFormat="false" ht="15" hidden="false" customHeight="false" outlineLevel="0" collapsed="false">
      <c r="A4355" s="7" t="s">
        <v>5455</v>
      </c>
      <c r="B4355" s="7" t="n">
        <v>4518.43</v>
      </c>
      <c r="C4355" s="7" t="n">
        <f aca="false">AVERAGE(B4306:B4355)</f>
        <v>4319.3224</v>
      </c>
      <c r="D4355" s="7" t="n">
        <f aca="false">AVERAGE(B4156:B4355)</f>
        <v>4431.25555</v>
      </c>
      <c r="E4355" s="7" t="n">
        <f aca="false">B4355/MAX(B4104:B4355)-1</f>
        <v>-0.0523049366480628</v>
      </c>
      <c r="F4355" s="7" t="str">
        <f aca="false">IFERROR(INDEX(02_轉折點45個!B:B,MATCH(A4355,02_轉折點45個!A:A,0)),"")</f>
        <v/>
      </c>
      <c r="G4355" s="7" t="s">
        <v>1994</v>
      </c>
    </row>
    <row r="4356" customFormat="false" ht="15" hidden="false" customHeight="false" outlineLevel="0" collapsed="false">
      <c r="A4356" s="7" t="s">
        <v>5456</v>
      </c>
      <c r="B4356" s="7" t="n">
        <v>4482.2</v>
      </c>
      <c r="C4356" s="7" t="n">
        <f aca="false">AVERAGE(B4307:B4356)</f>
        <v>4330.699</v>
      </c>
      <c r="D4356" s="7" t="n">
        <f aca="false">AVERAGE(B4157:B4356)</f>
        <v>4431.23945</v>
      </c>
      <c r="E4356" s="7" t="n">
        <f aca="false">B4356/MAX(B4105:B4356)-1</f>
        <v>-0.0599038132811501</v>
      </c>
      <c r="F4356" s="7" t="str">
        <f aca="false">IFERROR(INDEX(02_轉折點45個!B:B,MATCH(A4356,02_轉折點45個!A:A,0)),"")</f>
        <v/>
      </c>
      <c r="G4356" s="7" t="s">
        <v>1994</v>
      </c>
    </row>
    <row r="4357" customFormat="false" ht="15" hidden="false" customHeight="false" outlineLevel="0" collapsed="false">
      <c r="A4357" s="7" t="s">
        <v>1248</v>
      </c>
      <c r="B4357" s="7" t="n">
        <v>4472.66</v>
      </c>
      <c r="C4357" s="7" t="n">
        <f aca="false">AVERAGE(B4308:B4357)</f>
        <v>4342.1908</v>
      </c>
      <c r="D4357" s="7" t="n">
        <f aca="false">AVERAGE(B4158:B4357)</f>
        <v>4431.1179</v>
      </c>
      <c r="E4357" s="7" t="n">
        <f aca="false">B4357/MAX(B4106:B4357)-1</f>
        <v>-0.0619047319419189</v>
      </c>
      <c r="F4357" s="7" t="str">
        <f aca="false">IFERROR(INDEX(02_轉折點45個!B:B,MATCH(A4357,02_轉折點45個!A:A,0)),"")</f>
        <v/>
      </c>
      <c r="G4357" s="7" t="s">
        <v>1994</v>
      </c>
    </row>
    <row r="4358" customFormat="false" ht="15" hidden="false" customHeight="false" outlineLevel="0" collapsed="false">
      <c r="A4358" s="7" t="s">
        <v>5457</v>
      </c>
      <c r="B4358" s="7" t="n">
        <v>4465.8</v>
      </c>
      <c r="C4358" s="7" t="n">
        <f aca="false">AVERAGE(B4309:B4358)</f>
        <v>4352.2542</v>
      </c>
      <c r="D4358" s="7" t="n">
        <f aca="false">AVERAGE(B4159:B4358)</f>
        <v>4430.6181</v>
      </c>
      <c r="E4358" s="7" t="n">
        <f aca="false">B4358/MAX(B4107:B4358)-1</f>
        <v>-0.0633435476665387</v>
      </c>
      <c r="F4358" s="7" t="str">
        <f aca="false">IFERROR(INDEX(02_轉折點45個!B:B,MATCH(A4358,02_轉折點45個!A:A,0)),"")</f>
        <v/>
      </c>
      <c r="G4358" s="7" t="s">
        <v>1994</v>
      </c>
    </row>
    <row r="4359" customFormat="false" ht="15" hidden="false" customHeight="false" outlineLevel="0" collapsed="false">
      <c r="A4359" s="7" t="s">
        <v>1249</v>
      </c>
      <c r="B4359" s="7" t="n">
        <v>4442.83</v>
      </c>
      <c r="C4359" s="7" t="n">
        <f aca="false">AVERAGE(B4310:B4359)</f>
        <v>4360.0594</v>
      </c>
      <c r="D4359" s="7" t="n">
        <f aca="false">AVERAGE(B4160:B4359)</f>
        <v>4429.6663</v>
      </c>
      <c r="E4359" s="7" t="n">
        <f aca="false">B4359/MAX(B4108:B4359)-1</f>
        <v>-0.0681612732050985</v>
      </c>
      <c r="F4359" s="7" t="str">
        <f aca="false">IFERROR(INDEX(02_轉折點45個!B:B,MATCH(A4359,02_轉折點45個!A:A,0)),"")</f>
        <v/>
      </c>
      <c r="G4359" s="7" t="s">
        <v>1994</v>
      </c>
    </row>
    <row r="4360" customFormat="false" ht="15" hidden="false" customHeight="false" outlineLevel="0" collapsed="false">
      <c r="A4360" s="7" t="s">
        <v>1250</v>
      </c>
      <c r="B4360" s="7" t="n">
        <v>4389.98</v>
      </c>
      <c r="C4360" s="7" t="n">
        <f aca="false">AVERAGE(B4311:B4360)</f>
        <v>4365.0152</v>
      </c>
      <c r="D4360" s="7" t="n">
        <f aca="false">AVERAGE(B4161:B4360)</f>
        <v>4428.29775</v>
      </c>
      <c r="E4360" s="7" t="n">
        <f aca="false">B4360/MAX(B4109:B4360)-1</f>
        <v>-0.0792460270019151</v>
      </c>
      <c r="F4360" s="7" t="str">
        <f aca="false">IFERROR(INDEX(02_轉折點45個!B:B,MATCH(A4360,02_轉折點45個!A:A,0)),"")</f>
        <v/>
      </c>
      <c r="G4360" s="7" t="s">
        <v>1994</v>
      </c>
    </row>
    <row r="4361" customFormat="false" ht="15" hidden="false" customHeight="false" outlineLevel="0" collapsed="false">
      <c r="A4361" s="7" t="s">
        <v>5458</v>
      </c>
      <c r="B4361" s="7" t="n">
        <v>4362.64</v>
      </c>
      <c r="C4361" s="7" t="n">
        <f aca="false">AVERAGE(B4312:B4361)</f>
        <v>4370.2742</v>
      </c>
      <c r="D4361" s="7" t="n">
        <f aca="false">AVERAGE(B4162:B4361)</f>
        <v>4426.8197</v>
      </c>
      <c r="E4361" s="7" t="n">
        <f aca="false">B4361/MAX(B4110:B4361)-1</f>
        <v>-0.0849803159102397</v>
      </c>
      <c r="F4361" s="7" t="str">
        <f aca="false">IFERROR(INDEX(02_轉折點45個!B:B,MATCH(A4361,02_轉折點45個!A:A,0)),"")</f>
        <v/>
      </c>
      <c r="G4361" s="7" t="s">
        <v>1994</v>
      </c>
    </row>
    <row r="4362" customFormat="false" ht="15" hidden="false" customHeight="false" outlineLevel="0" collapsed="false">
      <c r="A4362" s="7" t="s">
        <v>1251</v>
      </c>
      <c r="B4362" s="7" t="n">
        <v>4401.22</v>
      </c>
      <c r="C4362" s="7" t="n">
        <f aca="false">AVERAGE(B4313:B4362)</f>
        <v>4375.9962</v>
      </c>
      <c r="D4362" s="7" t="n">
        <f aca="false">AVERAGE(B4163:B4362)</f>
        <v>4425.2411</v>
      </c>
      <c r="E4362" s="7" t="n">
        <f aca="false">B4362/MAX(B4111:B4362)-1</f>
        <v>-0.0768885505085144</v>
      </c>
      <c r="F4362" s="7" t="str">
        <f aca="false">IFERROR(INDEX(02_轉折點45個!B:B,MATCH(A4362,02_轉折點45個!A:A,0)),"")</f>
        <v/>
      </c>
      <c r="G4362" s="7" t="s">
        <v>1994</v>
      </c>
    </row>
    <row r="4363" customFormat="false" ht="15" hidden="false" customHeight="false" outlineLevel="0" collapsed="false">
      <c r="A4363" s="7" t="s">
        <v>5459</v>
      </c>
      <c r="B4363" s="7" t="n">
        <v>4351.55</v>
      </c>
      <c r="C4363" s="7" t="n">
        <f aca="false">AVERAGE(B4314:B4363)</f>
        <v>4379.5156</v>
      </c>
      <c r="D4363" s="7" t="n">
        <f aca="false">AVERAGE(B4164:B4363)</f>
        <v>4423.19965</v>
      </c>
      <c r="E4363" s="7" t="n">
        <f aca="false">B4363/MAX(B4112:B4363)-1</f>
        <v>-0.0873063314184081</v>
      </c>
      <c r="F4363" s="7" t="str">
        <f aca="false">IFERROR(INDEX(02_轉折點45個!B:B,MATCH(A4363,02_轉折點45個!A:A,0)),"")</f>
        <v/>
      </c>
      <c r="G4363" s="7" t="s">
        <v>1994</v>
      </c>
    </row>
    <row r="4364" customFormat="false" ht="15" hidden="false" customHeight="false" outlineLevel="0" collapsed="false">
      <c r="A4364" s="7" t="s">
        <v>5460</v>
      </c>
      <c r="B4364" s="7" t="n">
        <v>4317.22</v>
      </c>
      <c r="C4364" s="7" t="n">
        <f aca="false">AVERAGE(B4315:B4364)</f>
        <v>4383.573</v>
      </c>
      <c r="D4364" s="7" t="n">
        <f aca="false">AVERAGE(B4165:B4364)</f>
        <v>4420.9467</v>
      </c>
      <c r="E4364" s="7" t="n">
        <f aca="false">B4364/MAX(B4113:B4364)-1</f>
        <v>-0.094506702238554</v>
      </c>
      <c r="F4364" s="7" t="str">
        <f aca="false">IFERROR(INDEX(02_轉折點45個!B:B,MATCH(A4364,02_轉折點45個!A:A,0)),"")</f>
        <v/>
      </c>
      <c r="G4364" s="7" t="s">
        <v>1994</v>
      </c>
    </row>
    <row r="4365" customFormat="false" ht="15" hidden="false" customHeight="false" outlineLevel="0" collapsed="false">
      <c r="A4365" s="7" t="s">
        <v>5461</v>
      </c>
      <c r="B4365" s="7" t="n">
        <v>4309.4</v>
      </c>
      <c r="C4365" s="7" t="n">
        <f aca="false">AVERAGE(B4316:B4365)</f>
        <v>4386.761</v>
      </c>
      <c r="D4365" s="7" t="n">
        <f aca="false">AVERAGE(B4166:B4365)</f>
        <v>4418.7037</v>
      </c>
      <c r="E4365" s="7" t="n">
        <f aca="false">B4365/MAX(B4114:B4365)-1</f>
        <v>-0.0961468682686602</v>
      </c>
      <c r="F4365" s="7" t="str">
        <f aca="false">IFERROR(INDEX(02_轉折點45個!B:B,MATCH(A4365,02_轉折點45個!A:A,0)),"")</f>
        <v/>
      </c>
      <c r="G4365" s="7" t="s">
        <v>1994</v>
      </c>
    </row>
    <row r="4366" customFormat="false" ht="15" hidden="false" customHeight="false" outlineLevel="0" collapsed="false">
      <c r="A4366" s="7" t="s">
        <v>5462</v>
      </c>
      <c r="B4366" s="7" t="n">
        <v>4326.83</v>
      </c>
      <c r="C4366" s="7" t="n">
        <f aca="false">AVERAGE(B4317:B4366)</f>
        <v>4389.5742</v>
      </c>
      <c r="D4366" s="7" t="n">
        <f aca="false">AVERAGE(B4167:B4366)</f>
        <v>4416.7139</v>
      </c>
      <c r="E4366" s="7" t="n">
        <f aca="false">B4366/MAX(B4115:B4366)-1</f>
        <v>-0.0924911017846769</v>
      </c>
      <c r="F4366" s="7" t="str">
        <f aca="false">IFERROR(INDEX(02_轉折點45個!B:B,MATCH(A4366,02_轉折點45個!A:A,0)),"")</f>
        <v/>
      </c>
      <c r="G4366" s="7" t="s">
        <v>1994</v>
      </c>
    </row>
    <row r="4367" customFormat="false" ht="15" hidden="false" customHeight="false" outlineLevel="0" collapsed="false">
      <c r="A4367" s="7" t="s">
        <v>5463</v>
      </c>
      <c r="B4367" s="7" t="n">
        <v>4339.66</v>
      </c>
      <c r="C4367" s="7" t="n">
        <f aca="false">AVERAGE(B4318:B4367)</f>
        <v>4392.4928</v>
      </c>
      <c r="D4367" s="7" t="n">
        <f aca="false">AVERAGE(B4168:B4367)</f>
        <v>4414.9041</v>
      </c>
      <c r="E4367" s="7" t="n">
        <f aca="false">B4367/MAX(B4116:B4367)-1</f>
        <v>-0.0898001388478149</v>
      </c>
      <c r="F4367" s="7" t="str">
        <f aca="false">IFERROR(INDEX(02_轉折點45個!B:B,MATCH(A4367,02_轉折點45個!A:A,0)),"")</f>
        <v/>
      </c>
      <c r="G4367" s="7" t="s">
        <v>1994</v>
      </c>
    </row>
    <row r="4368" customFormat="false" ht="15" hidden="false" customHeight="false" outlineLevel="0" collapsed="false">
      <c r="A4368" s="7" t="s">
        <v>1252</v>
      </c>
      <c r="B4368" s="7" t="n">
        <v>4394.17</v>
      </c>
      <c r="C4368" s="7" t="n">
        <f aca="false">AVERAGE(B4319:B4368)</f>
        <v>4397.0958</v>
      </c>
      <c r="D4368" s="7" t="n">
        <f aca="false">AVERAGE(B4169:B4368)</f>
        <v>4413.6308</v>
      </c>
      <c r="E4368" s="7" t="n">
        <f aca="false">B4368/MAX(B4117:B4368)-1</f>
        <v>-0.0783672168144285</v>
      </c>
      <c r="F4368" s="7" t="str">
        <f aca="false">IFERROR(INDEX(02_轉折點45個!B:B,MATCH(A4368,02_轉折點45個!A:A,0)),"")</f>
        <v/>
      </c>
      <c r="G4368" s="7" t="s">
        <v>1994</v>
      </c>
    </row>
    <row r="4369" customFormat="false" ht="15" hidden="false" customHeight="false" outlineLevel="0" collapsed="false">
      <c r="A4369" s="7" t="s">
        <v>5464</v>
      </c>
      <c r="B4369" s="7" t="n">
        <v>4349.24</v>
      </c>
      <c r="C4369" s="7" t="n">
        <f aca="false">AVERAGE(B4320:B4369)</f>
        <v>4398.3948</v>
      </c>
      <c r="D4369" s="7" t="n">
        <f aca="false">AVERAGE(B4170:B4369)</f>
        <v>4412.356</v>
      </c>
      <c r="E4369" s="7" t="n">
        <f aca="false">B4369/MAX(B4118:B4369)-1</f>
        <v>-0.0877908305909843</v>
      </c>
      <c r="F4369" s="7" t="str">
        <f aca="false">IFERROR(INDEX(02_轉折點45個!B:B,MATCH(A4369,02_轉折點45個!A:A,0)),"")</f>
        <v/>
      </c>
      <c r="G4369" s="7" t="s">
        <v>1994</v>
      </c>
    </row>
    <row r="4370" customFormat="false" ht="15" hidden="false" customHeight="false" outlineLevel="0" collapsed="false">
      <c r="A4370" s="7" t="s">
        <v>5465</v>
      </c>
      <c r="B4370" s="7" t="n">
        <v>4327.9</v>
      </c>
      <c r="C4370" s="7" t="n">
        <f aca="false">AVERAGE(B4321:B4370)</f>
        <v>4399.0144</v>
      </c>
      <c r="D4370" s="7" t="n">
        <f aca="false">AVERAGE(B4171:B4370)</f>
        <v>4410.7487</v>
      </c>
      <c r="E4370" s="7" t="n">
        <f aca="false">B4370/MAX(B4119:B4370)-1</f>
        <v>-0.0922666800900205</v>
      </c>
      <c r="F4370" s="7" t="str">
        <f aca="false">IFERROR(INDEX(02_轉折點45個!B:B,MATCH(A4370,02_轉折點45個!A:A,0)),"")</f>
        <v/>
      </c>
      <c r="G4370" s="7" t="s">
        <v>1994</v>
      </c>
    </row>
    <row r="4371" customFormat="false" ht="15" hidden="false" customHeight="false" outlineLevel="0" collapsed="false">
      <c r="A4371" s="7" t="s">
        <v>1253</v>
      </c>
      <c r="B4371" s="7" t="n">
        <v>4309.94</v>
      </c>
      <c r="C4371" s="7" t="n">
        <f aca="false">AVERAGE(B4322:B4371)</f>
        <v>4399.2018</v>
      </c>
      <c r="D4371" s="7" t="n">
        <f aca="false">AVERAGE(B4172:B4371)</f>
        <v>4408.9487</v>
      </c>
      <c r="E4371" s="7" t="n">
        <f aca="false">B4371/MAX(B4120:B4371)-1</f>
        <v>-0.0960336087218242</v>
      </c>
      <c r="F4371" s="7" t="str">
        <f aca="false">IFERROR(INDEX(02_轉折點45個!B:B,MATCH(A4371,02_轉折點45個!A:A,0)),"")</f>
        <v/>
      </c>
      <c r="G4371" s="7" t="s">
        <v>1994</v>
      </c>
    </row>
    <row r="4372" customFormat="false" ht="15" hidden="false" customHeight="false" outlineLevel="0" collapsed="false">
      <c r="A4372" s="7" t="s">
        <v>5466</v>
      </c>
      <c r="B4372" s="7" t="n">
        <v>4362.73</v>
      </c>
      <c r="C4372" s="7" t="n">
        <f aca="false">AVERAGE(B4323:B4372)</f>
        <v>4400.2696</v>
      </c>
      <c r="D4372" s="7" t="n">
        <f aca="false">AVERAGE(B4173:B4372)</f>
        <v>4407.3348</v>
      </c>
      <c r="E4372" s="7" t="n">
        <f aca="false">B4372/MAX(B4121:B4372)-1</f>
        <v>-0.0849614393191006</v>
      </c>
      <c r="F4372" s="7" t="str">
        <f aca="false">IFERROR(INDEX(02_轉折點45個!B:B,MATCH(A4372,02_轉折點45個!A:A,0)),"")</f>
        <v/>
      </c>
      <c r="G4372" s="7" t="s">
        <v>1994</v>
      </c>
    </row>
    <row r="4373" customFormat="false" ht="15" hidden="false" customHeight="false" outlineLevel="0" collapsed="false">
      <c r="A4373" s="7" t="s">
        <v>5467</v>
      </c>
      <c r="B4373" s="7" t="n">
        <v>4308.16</v>
      </c>
      <c r="C4373" s="7" t="n">
        <f aca="false">AVERAGE(B4324:B4373)</f>
        <v>4400.4062</v>
      </c>
      <c r="D4373" s="7" t="n">
        <f aca="false">AVERAGE(B4174:B4373)</f>
        <v>4405.4503</v>
      </c>
      <c r="E4373" s="7" t="n">
        <f aca="false">B4373/MAX(B4122:B4373)-1</f>
        <v>-0.0964069457465798</v>
      </c>
      <c r="F4373" s="7" t="str">
        <f aca="false">IFERROR(INDEX(02_轉折點45個!B:B,MATCH(A4373,02_轉折點45個!A:A,0)),"")</f>
        <v/>
      </c>
      <c r="G4373" s="7" t="s">
        <v>1994</v>
      </c>
    </row>
    <row r="4374" customFormat="false" ht="15" hidden="false" customHeight="false" outlineLevel="0" collapsed="false">
      <c r="A4374" s="7" t="s">
        <v>5468</v>
      </c>
      <c r="B4374" s="7" t="n">
        <v>4329.53</v>
      </c>
      <c r="C4374" s="7" t="n">
        <f aca="false">AVERAGE(B4325:B4374)</f>
        <v>4402.0562</v>
      </c>
      <c r="D4374" s="7" t="n">
        <f aca="false">AVERAGE(B4175:B4374)</f>
        <v>4403.7316</v>
      </c>
      <c r="E4374" s="7" t="n">
        <f aca="false">B4374/MAX(B4123:B4374)-1</f>
        <v>-0.0919248040504971</v>
      </c>
      <c r="F4374" s="7" t="str">
        <f aca="false">IFERROR(INDEX(02_轉折點45個!B:B,MATCH(A4374,02_轉折點45個!A:A,0)),"")</f>
        <v/>
      </c>
      <c r="G4374" s="7" t="s">
        <v>1994</v>
      </c>
    </row>
    <row r="4375" customFormat="false" ht="15" hidden="false" customHeight="false" outlineLevel="0" collapsed="false">
      <c r="A4375" s="7" t="s">
        <v>5469</v>
      </c>
      <c r="B4375" s="7" t="n">
        <v>4305.24</v>
      </c>
      <c r="C4375" s="7" t="n">
        <f aca="false">AVERAGE(B4326:B4375)</f>
        <v>4402.7532</v>
      </c>
      <c r="D4375" s="7" t="n">
        <f aca="false">AVERAGE(B4176:B4375)</f>
        <v>4401.93635</v>
      </c>
      <c r="E4375" s="7" t="n">
        <f aca="false">B4375/MAX(B4124:B4375)-1</f>
        <v>-0.0970193862591002</v>
      </c>
      <c r="F4375" s="7" t="str">
        <f aca="false">IFERROR(INDEX(02_轉折點45個!B:B,MATCH(A4375,02_轉折點45個!A:A,0)),"")</f>
        <v/>
      </c>
      <c r="G4375" s="7" t="s">
        <v>1994</v>
      </c>
    </row>
    <row r="4376" customFormat="false" ht="15" hidden="false" customHeight="false" outlineLevel="0" collapsed="false">
      <c r="A4376" s="7" t="s">
        <v>5470</v>
      </c>
      <c r="B4376" s="7" t="n">
        <v>4357.34</v>
      </c>
      <c r="C4376" s="7" t="n">
        <f aca="false">AVERAGE(B4327:B4376)</f>
        <v>4404.7156</v>
      </c>
      <c r="D4376" s="7" t="n">
        <f aca="false">AVERAGE(B4177:B4376)</f>
        <v>4400.2445</v>
      </c>
      <c r="E4376" s="7" t="n">
        <f aca="false">B4376/MAX(B4125:B4376)-1</f>
        <v>-0.0860919373884447</v>
      </c>
      <c r="F4376" s="7" t="str">
        <f aca="false">IFERROR(INDEX(02_轉折點45個!B:B,MATCH(A4376,02_轉折點45個!A:A,0)),"")</f>
        <v/>
      </c>
      <c r="G4376" s="7" t="s">
        <v>1994</v>
      </c>
    </row>
    <row r="4377" customFormat="false" ht="15" hidden="false" customHeight="false" outlineLevel="0" collapsed="false">
      <c r="A4377" s="7" t="s">
        <v>5471</v>
      </c>
      <c r="B4377" s="7" t="n">
        <v>4353.89</v>
      </c>
      <c r="C4377" s="7" t="n">
        <f aca="false">AVERAGE(B4328:B4377)</f>
        <v>4405.032</v>
      </c>
      <c r="D4377" s="7" t="n">
        <f aca="false">AVERAGE(B4178:B4377)</f>
        <v>4398.9168</v>
      </c>
      <c r="E4377" s="7" t="n">
        <f aca="false">B4377/MAX(B4126:B4377)-1</f>
        <v>-0.0868155400487856</v>
      </c>
      <c r="F4377" s="7" t="str">
        <f aca="false">IFERROR(INDEX(02_轉折點45個!B:B,MATCH(A4377,02_轉折點45個!A:A,0)),"")</f>
        <v/>
      </c>
      <c r="G4377" s="7" t="s">
        <v>1994</v>
      </c>
    </row>
    <row r="4378" customFormat="false" ht="15" hidden="false" customHeight="false" outlineLevel="0" collapsed="false">
      <c r="A4378" s="7" t="s">
        <v>1254</v>
      </c>
      <c r="B4378" s="7" t="n">
        <v>4440.93</v>
      </c>
      <c r="C4378" s="7" t="n">
        <f aca="false">AVERAGE(B4329:B4378)</f>
        <v>4407.056</v>
      </c>
      <c r="D4378" s="7" t="n">
        <f aca="false">AVERAGE(B4179:B4378)</f>
        <v>4398.08325</v>
      </c>
      <c r="E4378" s="7" t="n">
        <f aca="false">B4378/MAX(B4127:B4378)-1</f>
        <v>-0.0685597790180398</v>
      </c>
      <c r="F4378" s="7" t="str">
        <f aca="false">IFERROR(INDEX(02_轉折點45個!B:B,MATCH(A4378,02_轉折點45個!A:A,0)),"")</f>
        <v/>
      </c>
      <c r="G4378" s="7" t="s">
        <v>1994</v>
      </c>
    </row>
    <row r="4379" customFormat="false" ht="15" hidden="false" customHeight="false" outlineLevel="0" collapsed="false">
      <c r="A4379" s="7" t="s">
        <v>5472</v>
      </c>
      <c r="B4379" s="7" t="n">
        <v>4471.84</v>
      </c>
      <c r="C4379" s="7" t="n">
        <f aca="false">AVERAGE(B4330:B4379)</f>
        <v>4410.0932</v>
      </c>
      <c r="D4379" s="7" t="n">
        <f aca="false">AVERAGE(B4180:B4379)</f>
        <v>4397.13815</v>
      </c>
      <c r="E4379" s="7" t="n">
        <f aca="false">B4379/MAX(B4128:B4379)-1</f>
        <v>-0.0620767186611884</v>
      </c>
      <c r="F4379" s="7" t="str">
        <f aca="false">IFERROR(INDEX(02_轉折點45個!B:B,MATCH(A4379,02_轉折點45個!A:A,0)),"")</f>
        <v/>
      </c>
      <c r="G4379" s="7" t="s">
        <v>1994</v>
      </c>
    </row>
    <row r="4380" customFormat="false" ht="15" hidden="false" customHeight="false" outlineLevel="0" collapsed="false">
      <c r="A4380" s="7" t="s">
        <v>5473</v>
      </c>
      <c r="B4380" s="7" t="n">
        <v>4478.12</v>
      </c>
      <c r="C4380" s="7" t="n">
        <f aca="false">AVERAGE(B4331:B4380)</f>
        <v>4412.611</v>
      </c>
      <c r="D4380" s="7" t="n">
        <f aca="false">AVERAGE(B4181:B4380)</f>
        <v>4396.5214</v>
      </c>
      <c r="E4380" s="7" t="n">
        <f aca="false">B4380/MAX(B4129:B4380)-1</f>
        <v>-0.0607595520794664</v>
      </c>
      <c r="F4380" s="7" t="str">
        <f aca="false">IFERROR(INDEX(02_轉折點45個!B:B,MATCH(A4380,02_轉折點45個!A:A,0)),"")</f>
        <v/>
      </c>
      <c r="G4380" s="7" t="s">
        <v>1994</v>
      </c>
    </row>
    <row r="4381" customFormat="false" ht="15" hidden="false" customHeight="false" outlineLevel="0" collapsed="false">
      <c r="A4381" s="7" t="s">
        <v>5474</v>
      </c>
      <c r="B4381" s="7" t="n">
        <v>4507.11</v>
      </c>
      <c r="C4381" s="7" t="n">
        <f aca="false">AVERAGE(B4332:B4381)</f>
        <v>4415.5072</v>
      </c>
      <c r="D4381" s="7" t="n">
        <f aca="false">AVERAGE(B4182:B4381)</f>
        <v>4396.01485</v>
      </c>
      <c r="E4381" s="7" t="n">
        <f aca="false">B4381/MAX(B4130:B4381)-1</f>
        <v>-0.0546791923335873</v>
      </c>
      <c r="F4381" s="7" t="str">
        <f aca="false">IFERROR(INDEX(02_轉折點45個!B:B,MATCH(A4381,02_轉折點45個!A:A,0)),"")</f>
        <v/>
      </c>
      <c r="G4381" s="7" t="s">
        <v>1994</v>
      </c>
    </row>
    <row r="4382" customFormat="false" ht="15" hidden="false" customHeight="false" outlineLevel="0" collapsed="false">
      <c r="A4382" s="7" t="s">
        <v>5475</v>
      </c>
      <c r="B4382" s="7" t="n">
        <v>4520.4</v>
      </c>
      <c r="C4382" s="7" t="n">
        <f aca="false">AVERAGE(B4333:B4382)</f>
        <v>4418.2918</v>
      </c>
      <c r="D4382" s="7" t="n">
        <f aca="false">AVERAGE(B4183:B4382)</f>
        <v>4395.62425</v>
      </c>
      <c r="E4382" s="7" t="n">
        <f aca="false">B4382/MAX(B4131:B4382)-1</f>
        <v>-0.0518917490420131</v>
      </c>
      <c r="F4382" s="7" t="str">
        <f aca="false">IFERROR(INDEX(02_轉折點45個!B:B,MATCH(A4382,02_轉折點45個!A:A,0)),"")</f>
        <v/>
      </c>
      <c r="G4382" s="7" t="s">
        <v>1994</v>
      </c>
    </row>
    <row r="4383" customFormat="false" ht="15" hidden="false" customHeight="false" outlineLevel="0" collapsed="false">
      <c r="A4383" s="7" t="s">
        <v>5476</v>
      </c>
      <c r="B4383" s="7" t="n">
        <v>4524.24</v>
      </c>
      <c r="C4383" s="7" t="n">
        <f aca="false">AVERAGE(B4334:B4383)</f>
        <v>4420.9116</v>
      </c>
      <c r="D4383" s="7" t="n">
        <f aca="false">AVERAGE(B4184:B4383)</f>
        <v>4395.1858</v>
      </c>
      <c r="E4383" s="7" t="n">
        <f aca="false">B4383/MAX(B4132:B4383)-1</f>
        <v>-0.0510863478200685</v>
      </c>
      <c r="F4383" s="7" t="str">
        <f aca="false">IFERROR(INDEX(02_轉折點45個!B:B,MATCH(A4383,02_轉折點45個!A:A,0)),"")</f>
        <v/>
      </c>
      <c r="G4383" s="7" t="s">
        <v>1994</v>
      </c>
    </row>
    <row r="4384" customFormat="false" ht="15" hidden="false" customHeight="false" outlineLevel="0" collapsed="false">
      <c r="A4384" s="7" t="s">
        <v>1255</v>
      </c>
      <c r="B4384" s="7" t="n">
        <v>4541.7</v>
      </c>
      <c r="C4384" s="7" t="n">
        <f aca="false">AVERAGE(B4335:B4384)</f>
        <v>4423.6468</v>
      </c>
      <c r="D4384" s="7" t="n">
        <f aca="false">AVERAGE(B4185:B4384)</f>
        <v>4394.6361</v>
      </c>
      <c r="E4384" s="7" t="n">
        <f aca="false">B4384/MAX(B4133:B4384)-1</f>
        <v>-0.0474242891390388</v>
      </c>
      <c r="F4384" s="7" t="str">
        <f aca="false">IFERROR(INDEX(02_轉折點45個!B:B,MATCH(A4384,02_轉折點45個!A:A,0)),"")</f>
        <v/>
      </c>
      <c r="G4384" s="7" t="s">
        <v>1994</v>
      </c>
    </row>
    <row r="4385" customFormat="false" ht="15" hidden="false" customHeight="false" outlineLevel="0" collapsed="false">
      <c r="A4385" s="7" t="s">
        <v>5477</v>
      </c>
      <c r="B4385" s="7" t="n">
        <v>4515.35</v>
      </c>
      <c r="C4385" s="7" t="n">
        <f aca="false">AVERAGE(B4336:B4385)</f>
        <v>4426.8198</v>
      </c>
      <c r="D4385" s="7" t="n">
        <f aca="false">AVERAGE(B4186:B4385)</f>
        <v>4394.10245</v>
      </c>
      <c r="E4385" s="7" t="n">
        <f aca="false">B4385/MAX(B4134:B4385)-1</f>
        <v>-0.0529509355448309</v>
      </c>
      <c r="F4385" s="7" t="str">
        <f aca="false">IFERROR(INDEX(02_轉折點45個!B:B,MATCH(A4385,02_轉折點45個!A:A,0)),"")</f>
        <v/>
      </c>
      <c r="G4385" s="7" t="s">
        <v>1994</v>
      </c>
    </row>
    <row r="4386" customFormat="false" ht="15" hidden="false" customHeight="false" outlineLevel="0" collapsed="false">
      <c r="A4386" s="7" t="s">
        <v>1256</v>
      </c>
      <c r="B4386" s="7" t="n">
        <v>4539.28</v>
      </c>
      <c r="C4386" s="7" t="n">
        <f aca="false">AVERAGE(B4337:B4386)</f>
        <v>4430.3866</v>
      </c>
      <c r="D4386" s="7" t="n">
        <f aca="false">AVERAGE(B4187:B4386)</f>
        <v>4393.8725</v>
      </c>
      <c r="E4386" s="7" t="n">
        <f aca="false">B4386/MAX(B4135:B4386)-1</f>
        <v>-0.0479318597007852</v>
      </c>
      <c r="F4386" s="7" t="str">
        <f aca="false">IFERROR(INDEX(02_轉折點45個!B:B,MATCH(A4386,02_轉折點45個!A:A,0)),"")</f>
        <v/>
      </c>
      <c r="G4386" s="7" t="s">
        <v>1994</v>
      </c>
    </row>
    <row r="4387" customFormat="false" ht="15" hidden="false" customHeight="false" outlineLevel="0" collapsed="false">
      <c r="A4387" s="7" t="s">
        <v>5478</v>
      </c>
      <c r="B4387" s="7" t="n">
        <v>4532.92</v>
      </c>
      <c r="C4387" s="7" t="n">
        <f aca="false">AVERAGE(B4338:B4387)</f>
        <v>4433.9488</v>
      </c>
      <c r="D4387" s="7" t="n">
        <f aca="false">AVERAGE(B4188:B4387)</f>
        <v>4394.2574</v>
      </c>
      <c r="E4387" s="7" t="n">
        <f aca="false">B4387/MAX(B4136:B4387)-1</f>
        <v>-0.049265805474631</v>
      </c>
      <c r="F4387" s="7" t="str">
        <f aca="false">IFERROR(INDEX(02_轉折點45個!B:B,MATCH(A4387,02_轉折點45個!A:A,0)),"")</f>
        <v/>
      </c>
      <c r="G4387" s="7" t="s">
        <v>1994</v>
      </c>
    </row>
    <row r="4388" customFormat="false" ht="15" hidden="false" customHeight="false" outlineLevel="0" collapsed="false">
      <c r="A4388" s="7" t="s">
        <v>5479</v>
      </c>
      <c r="B4388" s="7" t="n">
        <v>4544.7</v>
      </c>
      <c r="C4388" s="7" t="n">
        <f aca="false">AVERAGE(B4339:B4388)</f>
        <v>4436.288</v>
      </c>
      <c r="D4388" s="7" t="n">
        <f aca="false">AVERAGE(B4189:B4388)</f>
        <v>4395.48435</v>
      </c>
      <c r="E4388" s="7" t="n">
        <f aca="false">B4388/MAX(B4137:B4388)-1</f>
        <v>-0.0467950694343945</v>
      </c>
      <c r="F4388" s="7" t="str">
        <f aca="false">IFERROR(INDEX(02_轉折點45個!B:B,MATCH(A4388,02_轉折點45個!A:A,0)),"")</f>
        <v/>
      </c>
      <c r="G4388" s="7" t="s">
        <v>1994</v>
      </c>
    </row>
    <row r="4389" customFormat="false" ht="15" hidden="false" customHeight="false" outlineLevel="0" collapsed="false">
      <c r="A4389" s="7" t="s">
        <v>5480</v>
      </c>
      <c r="B4389" s="7" t="n">
        <v>4530.06</v>
      </c>
      <c r="C4389" s="7" t="n">
        <f aca="false">AVERAGE(B4340:B4389)</f>
        <v>4437.9202</v>
      </c>
      <c r="D4389" s="7" t="n">
        <f aca="false">AVERAGE(B4190:B4389)</f>
        <v>4397.45935</v>
      </c>
      <c r="E4389" s="7" t="n">
        <f aca="false">B4389/MAX(B4138:B4389)-1</f>
        <v>-0.0498656615930585</v>
      </c>
      <c r="F4389" s="7" t="str">
        <f aca="false">IFERROR(INDEX(02_轉折點45個!B:B,MATCH(A4389,02_轉折點45個!A:A,0)),"")</f>
        <v/>
      </c>
      <c r="G4389" s="7" t="s">
        <v>1994</v>
      </c>
    </row>
    <row r="4390" customFormat="false" ht="15" hidden="false" customHeight="false" outlineLevel="0" collapsed="false">
      <c r="A4390" s="7" t="s">
        <v>1257</v>
      </c>
      <c r="B4390" s="7" t="n">
        <v>4471.53</v>
      </c>
      <c r="C4390" s="7" t="n">
        <f aca="false">AVERAGE(B4341:B4390)</f>
        <v>4438.3716</v>
      </c>
      <c r="D4390" s="7" t="n">
        <f aca="false">AVERAGE(B4191:B4390)</f>
        <v>4399.23195</v>
      </c>
      <c r="E4390" s="7" t="n">
        <f aca="false">B4390/MAX(B4139:B4390)-1</f>
        <v>-0.0621417380306683</v>
      </c>
      <c r="F4390" s="7" t="str">
        <f aca="false">IFERROR(INDEX(02_轉折點45個!B:B,MATCH(A4390,02_轉折點45個!A:A,0)),"")</f>
        <v/>
      </c>
      <c r="G4390" s="7" t="s">
        <v>1994</v>
      </c>
    </row>
    <row r="4391" customFormat="false" ht="15" hidden="false" customHeight="false" outlineLevel="0" collapsed="false">
      <c r="A4391" s="7" t="s">
        <v>5481</v>
      </c>
      <c r="B4391" s="7" t="n">
        <v>4429.4</v>
      </c>
      <c r="C4391" s="7" t="n">
        <f aca="false">AVERAGE(B4342:B4391)</f>
        <v>4437.1638</v>
      </c>
      <c r="D4391" s="7" t="n">
        <f aca="false">AVERAGE(B4192:B4391)</f>
        <v>4399.92125</v>
      </c>
      <c r="E4391" s="7" t="n">
        <f aca="false">B4391/MAX(B4140:B4391)-1</f>
        <v>-0.0709780800828894</v>
      </c>
      <c r="F4391" s="7" t="str">
        <f aca="false">IFERROR(INDEX(02_轉折點45個!B:B,MATCH(A4391,02_轉折點45個!A:A,0)),"")</f>
        <v/>
      </c>
      <c r="G4391" s="7" t="s">
        <v>1994</v>
      </c>
    </row>
    <row r="4392" customFormat="false" ht="15" hidden="false" customHeight="false" outlineLevel="0" collapsed="false">
      <c r="A4392" s="7" t="s">
        <v>5482</v>
      </c>
      <c r="B4392" s="7" t="n">
        <v>4424.93</v>
      </c>
      <c r="C4392" s="7" t="n">
        <f aca="false">AVERAGE(B4343:B4392)</f>
        <v>4436.2822</v>
      </c>
      <c r="D4392" s="7" t="n">
        <f aca="false">AVERAGE(B4193:B4392)</f>
        <v>4400.0621</v>
      </c>
      <c r="E4392" s="7" t="n">
        <f aca="false">B4392/MAX(B4141:B4392)-1</f>
        <v>-0.0719156174428092</v>
      </c>
      <c r="F4392" s="7" t="str">
        <f aca="false">IFERROR(INDEX(02_轉折點45個!B:B,MATCH(A4392,02_轉折點45個!A:A,0)),"")</f>
        <v/>
      </c>
      <c r="G4392" s="7" t="s">
        <v>1994</v>
      </c>
    </row>
    <row r="4393" customFormat="false" ht="15" hidden="false" customHeight="false" outlineLevel="0" collapsed="false">
      <c r="A4393" s="7" t="s">
        <v>5483</v>
      </c>
      <c r="B4393" s="7" t="n">
        <v>4417.06</v>
      </c>
      <c r="C4393" s="7" t="n">
        <f aca="false">AVERAGE(B4344:B4393)</f>
        <v>4436.1178</v>
      </c>
      <c r="D4393" s="7" t="n">
        <f aca="false">AVERAGE(B4194:B4393)</f>
        <v>4400.0923</v>
      </c>
      <c r="E4393" s="7" t="n">
        <f aca="false">B4393/MAX(B4142:B4393)-1</f>
        <v>-0.0735662704679927</v>
      </c>
      <c r="F4393" s="7" t="str">
        <f aca="false">IFERROR(INDEX(02_轉折點45個!B:B,MATCH(A4393,02_轉折點45個!A:A,0)),"")</f>
        <v/>
      </c>
      <c r="G4393" s="7" t="s">
        <v>1994</v>
      </c>
    </row>
    <row r="4394" customFormat="false" ht="15" hidden="false" customHeight="false" outlineLevel="0" collapsed="false">
      <c r="A4394" s="7" t="s">
        <v>5484</v>
      </c>
      <c r="B4394" s="7" t="n">
        <v>4426.19</v>
      </c>
      <c r="C4394" s="7" t="n">
        <f aca="false">AVERAGE(B4345:B4394)</f>
        <v>4434.7328</v>
      </c>
      <c r="D4394" s="7" t="n">
        <f aca="false">AVERAGE(B4195:B4394)</f>
        <v>4400.4048</v>
      </c>
      <c r="E4394" s="7" t="n">
        <f aca="false">B4394/MAX(B4143:B4394)-1</f>
        <v>-0.0716513451668588</v>
      </c>
      <c r="F4394" s="7" t="str">
        <f aca="false">IFERROR(INDEX(02_轉折點45個!B:B,MATCH(A4394,02_轉折點45個!A:A,0)),"")</f>
        <v/>
      </c>
      <c r="G4394" s="7" t="s">
        <v>1994</v>
      </c>
    </row>
    <row r="4395" customFormat="false" ht="15" hidden="false" customHeight="false" outlineLevel="0" collapsed="false">
      <c r="A4395" s="7" t="s">
        <v>1258</v>
      </c>
      <c r="B4395" s="7" t="n">
        <v>4385.46</v>
      </c>
      <c r="C4395" s="7" t="n">
        <f aca="false">AVERAGE(B4346:B4395)</f>
        <v>4433.8552</v>
      </c>
      <c r="D4395" s="7" t="n">
        <f aca="false">AVERAGE(B4196:B4395)</f>
        <v>4401.15505</v>
      </c>
      <c r="E4395" s="7" t="n">
        <f aca="false">B4395/MAX(B4144:B4395)-1</f>
        <v>-0.0801940513569124</v>
      </c>
      <c r="F4395" s="7" t="str">
        <f aca="false">IFERROR(INDEX(02_轉折點45個!B:B,MATCH(A4395,02_轉折點45個!A:A,0)),"")</f>
        <v/>
      </c>
      <c r="G4395" s="7" t="s">
        <v>1994</v>
      </c>
    </row>
    <row r="4396" customFormat="false" ht="15" hidden="false" customHeight="false" outlineLevel="0" collapsed="false">
      <c r="A4396" s="7" t="s">
        <v>1259</v>
      </c>
      <c r="B4396" s="7" t="n">
        <v>4419.14</v>
      </c>
      <c r="C4396" s="7" t="n">
        <f aca="false">AVERAGE(B4347:B4396)</f>
        <v>4433.6088</v>
      </c>
      <c r="D4396" s="7" t="n">
        <f aca="false">AVERAGE(B4197:B4396)</f>
        <v>4401.5535</v>
      </c>
      <c r="E4396" s="7" t="n">
        <f aca="false">B4396/MAX(B4145:B4396)-1</f>
        <v>-0.0731300114727727</v>
      </c>
      <c r="F4396" s="7" t="str">
        <f aca="false">IFERROR(INDEX(02_轉折點45個!B:B,MATCH(A4396,02_轉折點45個!A:A,0)),"")</f>
        <v/>
      </c>
      <c r="G4396" s="7" t="s">
        <v>1994</v>
      </c>
    </row>
    <row r="4397" customFormat="false" ht="15" hidden="false" customHeight="false" outlineLevel="0" collapsed="false">
      <c r="A4397" s="7" t="s">
        <v>5485</v>
      </c>
      <c r="B4397" s="7" t="n">
        <v>4425.13</v>
      </c>
      <c r="C4397" s="7" t="n">
        <f aca="false">AVERAGE(B4348:B4397)</f>
        <v>4433.7982</v>
      </c>
      <c r="D4397" s="7" t="n">
        <f aca="false">AVERAGE(B4198:B4397)</f>
        <v>4402.05715</v>
      </c>
      <c r="E4397" s="7" t="n">
        <f aca="false">B4397/MAX(B4146:B4397)-1</f>
        <v>-0.0718736694624996</v>
      </c>
      <c r="F4397" s="7" t="str">
        <f aca="false">IFERROR(INDEX(02_轉折點45個!B:B,MATCH(A4397,02_轉折點45個!A:A,0)),"")</f>
        <v/>
      </c>
      <c r="G4397" s="7" t="s">
        <v>1994</v>
      </c>
    </row>
    <row r="4398" customFormat="false" ht="15" hidden="false" customHeight="false" outlineLevel="0" collapsed="false">
      <c r="A4398" s="7" t="s">
        <v>5486</v>
      </c>
      <c r="B4398" s="7" t="n">
        <v>4415.59</v>
      </c>
      <c r="C4398" s="7" t="n">
        <f aca="false">AVERAGE(B4349:B4398)</f>
        <v>4433.0898</v>
      </c>
      <c r="D4398" s="7" t="n">
        <f aca="false">AVERAGE(B4199:B4398)</f>
        <v>4402.7396</v>
      </c>
      <c r="E4398" s="7" t="n">
        <f aca="false">B4398/MAX(B4147:B4398)-1</f>
        <v>-0.0738745881232684</v>
      </c>
      <c r="F4398" s="7" t="str">
        <f aca="false">IFERROR(INDEX(02_轉折點45個!B:B,MATCH(A4398,02_轉折點45個!A:A,0)),"")</f>
        <v/>
      </c>
      <c r="G4398" s="7" t="s">
        <v>1994</v>
      </c>
    </row>
    <row r="4399" customFormat="false" ht="15" hidden="false" customHeight="false" outlineLevel="0" collapsed="false">
      <c r="A4399" s="7" t="s">
        <v>5487</v>
      </c>
      <c r="B4399" s="7" t="n">
        <v>4485.68</v>
      </c>
      <c r="C4399" s="7" t="n">
        <f aca="false">AVERAGE(B4350:B4399)</f>
        <v>4432.4068</v>
      </c>
      <c r="D4399" s="7" t="n">
        <f aca="false">AVERAGE(B4200:B4399)</f>
        <v>4403.18775</v>
      </c>
      <c r="E4399" s="7" t="n">
        <f aca="false">B4399/MAX(B4148:B4399)-1</f>
        <v>-0.0591739184237627</v>
      </c>
      <c r="F4399" s="7" t="str">
        <f aca="false">IFERROR(INDEX(02_轉折點45個!B:B,MATCH(A4399,02_轉折點45個!A:A,0)),"")</f>
        <v/>
      </c>
      <c r="G4399" s="7" t="s">
        <v>1994</v>
      </c>
    </row>
    <row r="4400" customFormat="false" ht="15" hidden="false" customHeight="false" outlineLevel="0" collapsed="false">
      <c r="A4400" s="7" t="s">
        <v>1260</v>
      </c>
      <c r="B4400" s="7" t="n">
        <v>4301.08</v>
      </c>
      <c r="C4400" s="7" t="n">
        <f aca="false">AVERAGE(B4351:B4400)</f>
        <v>4428.0598</v>
      </c>
      <c r="D4400" s="7" t="n">
        <f aca="false">AVERAGE(B4201:B4400)</f>
        <v>4402.96595</v>
      </c>
      <c r="E4400" s="7" t="n">
        <f aca="false">B4400/MAX(B4149:B4400)-1</f>
        <v>-0.0978919042495402</v>
      </c>
      <c r="F4400" s="7" t="str">
        <f aca="false">IFERROR(INDEX(02_轉折點45個!B:B,MATCH(A4400,02_轉折點45個!A:A,0)),"")</f>
        <v/>
      </c>
      <c r="G4400" s="7" t="s">
        <v>1994</v>
      </c>
    </row>
    <row r="4401" customFormat="false" ht="15" hidden="false" customHeight="false" outlineLevel="0" collapsed="false">
      <c r="A4401" s="7" t="s">
        <v>5488</v>
      </c>
      <c r="B4401" s="7" t="n">
        <v>4197.35</v>
      </c>
      <c r="C4401" s="7" t="n">
        <f aca="false">AVERAGE(B4352:B4401)</f>
        <v>4421.7784</v>
      </c>
      <c r="D4401" s="7" t="n">
        <f aca="false">AVERAGE(B4202:B4401)</f>
        <v>4402.0441</v>
      </c>
      <c r="E4401" s="7" t="n">
        <f aca="false">B4401/MAX(B4150:B4401)-1</f>
        <v>-0.119648224237124</v>
      </c>
      <c r="F4401" s="7" t="str">
        <f aca="false">IFERROR(INDEX(02_轉折點45個!B:B,MATCH(A4401,02_轉折點45個!A:A,0)),"")</f>
        <v/>
      </c>
      <c r="G4401" s="7" t="s">
        <v>1994</v>
      </c>
    </row>
    <row r="4402" customFormat="false" ht="15" hidden="false" customHeight="false" outlineLevel="0" collapsed="false">
      <c r="A4402" s="7" t="s">
        <v>5489</v>
      </c>
      <c r="B4402" s="7" t="n">
        <v>4286.36</v>
      </c>
      <c r="C4402" s="7" t="n">
        <f aca="false">AVERAGE(B4353:B4402)</f>
        <v>4416.8788</v>
      </c>
      <c r="D4402" s="7" t="n">
        <f aca="false">AVERAGE(B4203:B4402)</f>
        <v>4401.4481</v>
      </c>
      <c r="E4402" s="7" t="n">
        <f aca="false">B4402/MAX(B4151:B4402)-1</f>
        <v>-0.100979275600328</v>
      </c>
      <c r="F4402" s="7" t="str">
        <f aca="false">IFERROR(INDEX(02_轉折點45個!B:B,MATCH(A4402,02_轉折點45個!A:A,0)),"")</f>
        <v/>
      </c>
      <c r="G4402" s="7" t="s">
        <v>1994</v>
      </c>
    </row>
    <row r="4403" customFormat="false" ht="15" hidden="false" customHeight="false" outlineLevel="0" collapsed="false">
      <c r="A4403" s="7" t="s">
        <v>5490</v>
      </c>
      <c r="B4403" s="7" t="n">
        <v>4366.19</v>
      </c>
      <c r="C4403" s="7" t="n">
        <f aca="false">AVERAGE(B4354:B4403)</f>
        <v>4413.9356</v>
      </c>
      <c r="D4403" s="7" t="n">
        <f aca="false">AVERAGE(B4204:B4403)</f>
        <v>4401.327</v>
      </c>
      <c r="E4403" s="7" t="n">
        <f aca="false">B4403/MAX(B4152:B4403)-1</f>
        <v>-0.0842357392597442</v>
      </c>
      <c r="F4403" s="7" t="str">
        <f aca="false">IFERROR(INDEX(02_轉折點45個!B:B,MATCH(A4403,02_轉折點45個!A:A,0)),"")</f>
        <v/>
      </c>
      <c r="G4403" s="7" t="s">
        <v>1994</v>
      </c>
    </row>
    <row r="4404" customFormat="false" ht="15" hidden="false" customHeight="false" outlineLevel="0" collapsed="false">
      <c r="A4404" s="7" t="s">
        <v>1261</v>
      </c>
      <c r="B4404" s="7" t="n">
        <v>4424.13</v>
      </c>
      <c r="C4404" s="7" t="n">
        <f aca="false">AVERAGE(B4355:B4404)</f>
        <v>4412.0086</v>
      </c>
      <c r="D4404" s="7" t="n">
        <f aca="false">AVERAGE(B4205:B4404)</f>
        <v>4401.24545</v>
      </c>
      <c r="E4404" s="7" t="n">
        <f aca="false">B4404/MAX(B4153:B4404)-1</f>
        <v>-0.0720834093640477</v>
      </c>
      <c r="F4404" s="7" t="str">
        <f aca="false">IFERROR(INDEX(02_轉折點45個!B:B,MATCH(A4404,02_轉折點45個!A:A,0)),"")</f>
        <v/>
      </c>
      <c r="G4404" s="7" t="s">
        <v>1994</v>
      </c>
    </row>
    <row r="4405" customFormat="false" ht="15" hidden="false" customHeight="false" outlineLevel="0" collapsed="false">
      <c r="A4405" s="7" t="s">
        <v>1262</v>
      </c>
      <c r="B4405" s="7" t="n">
        <v>4442.31</v>
      </c>
      <c r="C4405" s="7" t="n">
        <f aca="false">AVERAGE(B4356:B4405)</f>
        <v>4410.4862</v>
      </c>
      <c r="D4405" s="7" t="n">
        <f aca="false">AVERAGE(B4206:B4405)</f>
        <v>4401.1236</v>
      </c>
      <c r="E4405" s="7" t="n">
        <f aca="false">B4405/MAX(B4154:B4405)-1</f>
        <v>-0.0682703379539034</v>
      </c>
      <c r="F4405" s="7" t="str">
        <f aca="false">IFERROR(INDEX(02_轉折點45個!B:B,MATCH(A4405,02_轉折點45個!A:A,0)),"")</f>
        <v/>
      </c>
      <c r="G4405" s="7" t="s">
        <v>1994</v>
      </c>
    </row>
    <row r="4406" customFormat="false" ht="15" hidden="false" customHeight="false" outlineLevel="0" collapsed="false">
      <c r="A4406" s="7" t="s">
        <v>5491</v>
      </c>
      <c r="B4406" s="7" t="n">
        <v>4406.07</v>
      </c>
      <c r="C4406" s="7" t="n">
        <f aca="false">AVERAGE(B4357:B4406)</f>
        <v>4408.9636</v>
      </c>
      <c r="D4406" s="7" t="n">
        <f aca="false">AVERAGE(B4207:B4406)</f>
        <v>4400.79905</v>
      </c>
      <c r="E4406" s="7" t="n">
        <f aca="false">B4406/MAX(B4155:B4406)-1</f>
        <v>-0.0758713119860063</v>
      </c>
      <c r="F4406" s="7" t="str">
        <f aca="false">IFERROR(INDEX(02_轉折點45個!B:B,MATCH(A4406,02_轉折點45個!A:A,0)),"")</f>
        <v/>
      </c>
      <c r="G4406" s="7" t="s">
        <v>1994</v>
      </c>
    </row>
    <row r="4407" customFormat="false" ht="15" hidden="false" customHeight="false" outlineLevel="0" collapsed="false">
      <c r="A4407" s="7" t="s">
        <v>5492</v>
      </c>
      <c r="B4407" s="7" t="n">
        <v>4439.2</v>
      </c>
      <c r="C4407" s="7" t="n">
        <f aca="false">AVERAGE(B4358:B4407)</f>
        <v>4408.2944</v>
      </c>
      <c r="D4407" s="7" t="n">
        <f aca="false">AVERAGE(B4208:B4407)</f>
        <v>4400.9449</v>
      </c>
      <c r="E4407" s="7" t="n">
        <f aca="false">B4407/MAX(B4156:B4407)-1</f>
        <v>-0.0689226290477181</v>
      </c>
      <c r="F4407" s="7" t="str">
        <f aca="false">IFERROR(INDEX(02_轉折點45個!B:B,MATCH(A4407,02_轉折點45個!A:A,0)),"")</f>
        <v/>
      </c>
      <c r="G4407" s="7" t="s">
        <v>1994</v>
      </c>
    </row>
    <row r="4408" customFormat="false" ht="15" hidden="false" customHeight="false" outlineLevel="0" collapsed="false">
      <c r="A4408" s="7" t="s">
        <v>5493</v>
      </c>
      <c r="B4408" s="7" t="n">
        <v>4455.32</v>
      </c>
      <c r="C4408" s="7" t="n">
        <f aca="false">AVERAGE(B4359:B4408)</f>
        <v>4408.0848</v>
      </c>
      <c r="D4408" s="7" t="n">
        <f aca="false">AVERAGE(B4209:B4408)</f>
        <v>4401.1635</v>
      </c>
      <c r="E4408" s="7" t="n">
        <f aca="false">B4408/MAX(B4157:B4408)-1</f>
        <v>-0.0655416218347629</v>
      </c>
      <c r="F4408" s="7" t="str">
        <f aca="false">IFERROR(INDEX(02_轉折點45個!B:B,MATCH(A4408,02_轉折點45個!A:A,0)),"")</f>
        <v/>
      </c>
      <c r="G4408" s="7" t="s">
        <v>1994</v>
      </c>
    </row>
    <row r="4409" customFormat="false" ht="15" hidden="false" customHeight="false" outlineLevel="0" collapsed="false">
      <c r="A4409" s="7" t="s">
        <v>1263</v>
      </c>
      <c r="B4409" s="7" t="n">
        <v>4528.36</v>
      </c>
      <c r="C4409" s="7" t="n">
        <f aca="false">AVERAGE(B4360:B4409)</f>
        <v>4409.7954</v>
      </c>
      <c r="D4409" s="7" t="n">
        <f aca="false">AVERAGE(B4210:B4409)</f>
        <v>4402.07725</v>
      </c>
      <c r="E4409" s="7" t="n">
        <f aca="false">B4409/MAX(B4158:B4409)-1</f>
        <v>-0.0502222194256904</v>
      </c>
      <c r="F4409" s="7" t="str">
        <f aca="false">IFERROR(INDEX(02_轉折點45個!B:B,MATCH(A4409,02_轉折點45個!A:A,0)),"")</f>
        <v/>
      </c>
      <c r="G4409" s="7" t="s">
        <v>5494</v>
      </c>
    </row>
    <row r="4410" customFormat="false" ht="15" hidden="false" customHeight="false" outlineLevel="0" collapsed="false">
      <c r="A4410" s="7" t="s">
        <v>1264</v>
      </c>
      <c r="B4410" s="7" t="n">
        <v>4554.71</v>
      </c>
      <c r="C4410" s="7" t="n">
        <f aca="false">AVERAGE(B4361:B4410)</f>
        <v>4413.09</v>
      </c>
      <c r="D4410" s="7" t="n">
        <f aca="false">AVERAGE(B4211:B4410)</f>
        <v>4403.14095</v>
      </c>
      <c r="E4410" s="7" t="n">
        <f aca="false">B4410/MAX(B4159:B4410)-1</f>
        <v>-0.0446955730198981</v>
      </c>
      <c r="F4410" s="7" t="str">
        <f aca="false">IFERROR(INDEX(02_轉折點45個!B:B,MATCH(A4410,02_轉折點45個!A:A,0)),"")</f>
        <v/>
      </c>
      <c r="G4410" s="7" t="s">
        <v>5494</v>
      </c>
    </row>
    <row r="4411" customFormat="false" ht="15" hidden="false" customHeight="false" outlineLevel="0" collapsed="false">
      <c r="A4411" s="7" t="s">
        <v>1265</v>
      </c>
      <c r="B4411" s="7" t="n">
        <v>4577.61</v>
      </c>
      <c r="C4411" s="7" t="n">
        <f aca="false">AVERAGE(B4362:B4411)</f>
        <v>4417.3894</v>
      </c>
      <c r="D4411" s="7" t="n">
        <f aca="false">AVERAGE(B4212:B4411)</f>
        <v>4404.40255</v>
      </c>
      <c r="E4411" s="7" t="n">
        <f aca="false">B4411/MAX(B4160:B4411)-1</f>
        <v>-0.0398925292744469</v>
      </c>
      <c r="F4411" s="7" t="str">
        <f aca="false">IFERROR(INDEX(02_轉折點45個!B:B,MATCH(A4411,02_轉折點45個!A:A,0)),"")</f>
        <v/>
      </c>
      <c r="G4411" s="7" t="s">
        <v>5494</v>
      </c>
    </row>
    <row r="4412" customFormat="false" ht="15" hidden="false" customHeight="false" outlineLevel="0" collapsed="false">
      <c r="A4412" s="7" t="s">
        <v>5495</v>
      </c>
      <c r="B4412" s="7" t="n">
        <v>4565.77</v>
      </c>
      <c r="C4412" s="7" t="n">
        <f aca="false">AVERAGE(B4363:B4412)</f>
        <v>4420.6804</v>
      </c>
      <c r="D4412" s="7" t="n">
        <f aca="false">AVERAGE(B4213:B4412)</f>
        <v>4405.8241</v>
      </c>
      <c r="E4412" s="7" t="n">
        <f aca="false">B4412/MAX(B4161:B4412)-1</f>
        <v>-0.0423758497087762</v>
      </c>
      <c r="F4412" s="7" t="str">
        <f aca="false">IFERROR(INDEX(02_轉折點45個!B:B,MATCH(A4412,02_轉折點45個!A:A,0)),"")</f>
        <v/>
      </c>
      <c r="G4412" s="7" t="s">
        <v>5494</v>
      </c>
    </row>
    <row r="4413" customFormat="false" ht="15" hidden="false" customHeight="false" outlineLevel="0" collapsed="false">
      <c r="A4413" s="7" t="s">
        <v>5496</v>
      </c>
      <c r="B4413" s="7" t="n">
        <v>4596.49</v>
      </c>
      <c r="C4413" s="7" t="n">
        <f aca="false">AVERAGE(B4364:B4413)</f>
        <v>4425.5792</v>
      </c>
      <c r="D4413" s="7" t="n">
        <f aca="false">AVERAGE(B4214:B4413)</f>
        <v>4408.0503</v>
      </c>
      <c r="E4413" s="7" t="n">
        <f aca="false">B4413/MAX(B4162:B4413)-1</f>
        <v>-0.0359326399332189</v>
      </c>
      <c r="F4413" s="7" t="str">
        <f aca="false">IFERROR(INDEX(02_轉折點45個!B:B,MATCH(A4413,02_轉折點45個!A:A,0)),"")</f>
        <v/>
      </c>
      <c r="G4413" s="7" t="s">
        <v>5494</v>
      </c>
    </row>
    <row r="4414" customFormat="false" ht="15" hidden="false" customHeight="false" outlineLevel="0" collapsed="false">
      <c r="A4414" s="7" t="s">
        <v>5497</v>
      </c>
      <c r="B4414" s="7" t="n">
        <v>4589.83</v>
      </c>
      <c r="C4414" s="7" t="n">
        <f aca="false">AVERAGE(B4365:B4414)</f>
        <v>4431.0314</v>
      </c>
      <c r="D4414" s="7" t="n">
        <f aca="false">AVERAGE(B4215:B4414)</f>
        <v>4410.36495</v>
      </c>
      <c r="E4414" s="7" t="n">
        <f aca="false">B4414/MAX(B4163:B4414)-1</f>
        <v>-0.0373295076775292</v>
      </c>
      <c r="F4414" s="7" t="str">
        <f aca="false">IFERROR(INDEX(02_轉折點45個!B:B,MATCH(A4414,02_轉折點45個!A:A,0)),"")</f>
        <v/>
      </c>
      <c r="G4414" s="7" t="s">
        <v>5494</v>
      </c>
    </row>
    <row r="4415" customFormat="false" ht="15" hidden="false" customHeight="false" outlineLevel="0" collapsed="false">
      <c r="A4415" s="7" t="s">
        <v>5498</v>
      </c>
      <c r="B4415" s="7" t="n">
        <v>4619.68</v>
      </c>
      <c r="C4415" s="7" t="n">
        <f aca="false">AVERAGE(B4366:B4415)</f>
        <v>4437.237</v>
      </c>
      <c r="D4415" s="7" t="n">
        <f aca="false">AVERAGE(B4216:B4415)</f>
        <v>4412.3591</v>
      </c>
      <c r="E4415" s="7" t="n">
        <f aca="false">B4415/MAX(B4164:B4415)-1</f>
        <v>-0.0310687716163186</v>
      </c>
      <c r="F4415" s="7" t="str">
        <f aca="false">IFERROR(INDEX(02_轉折點45個!B:B,MATCH(A4415,02_轉折點45個!A:A,0)),"")</f>
        <v/>
      </c>
      <c r="G4415" s="7" t="s">
        <v>5494</v>
      </c>
    </row>
    <row r="4416" customFormat="false" ht="15" hidden="false" customHeight="false" outlineLevel="0" collapsed="false">
      <c r="A4416" s="7" t="s">
        <v>5499</v>
      </c>
      <c r="B4416" s="7" t="n">
        <v>4603.28</v>
      </c>
      <c r="C4416" s="7" t="n">
        <f aca="false">AVERAGE(B4367:B4416)</f>
        <v>4442.766</v>
      </c>
      <c r="D4416" s="7" t="n">
        <f aca="false">AVERAGE(B4217:B4416)</f>
        <v>4414.23965</v>
      </c>
      <c r="E4416" s="7" t="n">
        <f aca="false">B4416/MAX(B4165:B4416)-1</f>
        <v>-0.0325178646490123</v>
      </c>
      <c r="F4416" s="7" t="str">
        <f aca="false">IFERROR(INDEX(02_轉折點45個!B:B,MATCH(A4416,02_轉折點45個!A:A,0)),"")</f>
        <v/>
      </c>
      <c r="G4416" s="7" t="s">
        <v>5494</v>
      </c>
    </row>
    <row r="4417" customFormat="false" ht="15" hidden="false" customHeight="false" outlineLevel="0" collapsed="false">
      <c r="A4417" s="7" t="s">
        <v>5500</v>
      </c>
      <c r="B4417" s="7" t="n">
        <v>4657.2</v>
      </c>
      <c r="C4417" s="7" t="n">
        <f aca="false">AVERAGE(B4368:B4417)</f>
        <v>4449.1168</v>
      </c>
      <c r="D4417" s="7" t="n">
        <f aca="false">AVERAGE(B4218:B4417)</f>
        <v>4416.02115</v>
      </c>
      <c r="E4417" s="7" t="n">
        <f aca="false">B4417/MAX(B4166:B4417)-1</f>
        <v>-0.0143053977002153</v>
      </c>
      <c r="F4417" s="7" t="str">
        <f aca="false">IFERROR(INDEX(02_轉折點45個!B:B,MATCH(A4417,02_轉折點45個!A:A,0)),"")</f>
        <v/>
      </c>
      <c r="G4417" s="7" t="s">
        <v>5494</v>
      </c>
    </row>
    <row r="4418" customFormat="false" ht="15" hidden="false" customHeight="false" outlineLevel="0" collapsed="false">
      <c r="A4418" s="7" t="s">
        <v>5501</v>
      </c>
      <c r="B4418" s="7" t="n">
        <v>4647.02</v>
      </c>
      <c r="C4418" s="7" t="n">
        <f aca="false">AVERAGE(B4369:B4418)</f>
        <v>4454.1738</v>
      </c>
      <c r="D4418" s="7" t="n">
        <f aca="false">AVERAGE(B4219:B4418)</f>
        <v>4417.4161</v>
      </c>
      <c r="E4418" s="7" t="n">
        <f aca="false">B4418/MAX(B4167:B4418)-1</f>
        <v>-0.0135097841915993</v>
      </c>
      <c r="F4418" s="7" t="str">
        <f aca="false">IFERROR(INDEX(02_轉折點45個!B:B,MATCH(A4418,02_轉折點45個!A:A,0)),"")</f>
        <v/>
      </c>
      <c r="G4418" s="7" t="s">
        <v>5494</v>
      </c>
    </row>
    <row r="4419" customFormat="false" ht="15" hidden="false" customHeight="false" outlineLevel="0" collapsed="false">
      <c r="A4419" s="7" t="s">
        <v>5502</v>
      </c>
      <c r="B4419" s="7" t="n">
        <v>4666.07</v>
      </c>
      <c r="C4419" s="7" t="n">
        <f aca="false">AVERAGE(B4370:B4419)</f>
        <v>4460.5104</v>
      </c>
      <c r="D4419" s="7" t="n">
        <f aca="false">AVERAGE(B4220:B4419)</f>
        <v>4419.0566</v>
      </c>
      <c r="E4419" s="7" t="n">
        <f aca="false">B4419/MAX(B4168:B4419)-1</f>
        <v>-0.00946576488220341</v>
      </c>
      <c r="F4419" s="7" t="str">
        <f aca="false">IFERROR(INDEX(02_轉折點45個!B:B,MATCH(A4419,02_轉折點45個!A:A,0)),"")</f>
        <v/>
      </c>
      <c r="G4419" s="7" t="s">
        <v>5494</v>
      </c>
    </row>
    <row r="4420" customFormat="false" ht="15" hidden="false" customHeight="false" outlineLevel="0" collapsed="false">
      <c r="A4420" s="7" t="s">
        <v>5503</v>
      </c>
      <c r="B4420" s="7" t="n">
        <v>4665.93</v>
      </c>
      <c r="C4420" s="7" t="n">
        <f aca="false">AVERAGE(B4371:B4420)</f>
        <v>4467.271</v>
      </c>
      <c r="D4420" s="7" t="n">
        <f aca="false">AVERAGE(B4221:B4420)</f>
        <v>4420.50095</v>
      </c>
      <c r="E4420" s="7" t="n">
        <f aca="false">B4420/MAX(B4169:B4420)-1</f>
        <v>-0.00949548470914896</v>
      </c>
      <c r="F4420" s="7" t="str">
        <f aca="false">IFERROR(INDEX(02_轉折點45個!B:B,MATCH(A4420,02_轉折點45個!A:A,0)),"")</f>
        <v/>
      </c>
      <c r="G4420" s="7" t="s">
        <v>5494</v>
      </c>
    </row>
    <row r="4421" customFormat="false" ht="15" hidden="false" customHeight="false" outlineLevel="0" collapsed="false">
      <c r="A4421" s="7" t="s">
        <v>5504</v>
      </c>
      <c r="B4421" s="7" t="n">
        <v>4672.11</v>
      </c>
      <c r="C4421" s="7" t="n">
        <f aca="false">AVERAGE(B4372:B4421)</f>
        <v>4474.5144</v>
      </c>
      <c r="D4421" s="7" t="n">
        <f aca="false">AVERAGE(B4222:B4421)</f>
        <v>4421.88645</v>
      </c>
      <c r="E4421" s="7" t="n">
        <f aca="false">B4421/MAX(B4170:B4421)-1</f>
        <v>-0.0081835666339749</v>
      </c>
      <c r="F4421" s="7" t="str">
        <f aca="false">IFERROR(INDEX(02_轉折點45個!B:B,MATCH(A4421,02_轉折點45個!A:A,0)),"")</f>
        <v/>
      </c>
      <c r="G4421" s="7" t="s">
        <v>5494</v>
      </c>
    </row>
    <row r="4422" customFormat="false" ht="15" hidden="false" customHeight="false" outlineLevel="0" collapsed="false">
      <c r="A4422" s="7" t="s">
        <v>5505</v>
      </c>
      <c r="B4422" s="7" t="n">
        <v>4702.88</v>
      </c>
      <c r="C4422" s="7" t="n">
        <f aca="false">AVERAGE(B4373:B4422)</f>
        <v>4481.3174</v>
      </c>
      <c r="D4422" s="7" t="n">
        <f aca="false">AVERAGE(B4223:B4422)</f>
        <v>4423.3359</v>
      </c>
      <c r="E4422" s="7" t="n">
        <f aca="false">B4422/MAX(B4171:B4422)-1</f>
        <v>-0.00165157324026777</v>
      </c>
      <c r="F4422" s="7" t="str">
        <f aca="false">IFERROR(INDEX(02_轉折點45個!B:B,MATCH(A4422,02_轉折點45個!A:A,0)),"")</f>
        <v/>
      </c>
      <c r="G4422" s="7" t="s">
        <v>5494</v>
      </c>
    </row>
    <row r="4423" customFormat="false" ht="15" hidden="false" customHeight="false" outlineLevel="0" collapsed="false">
      <c r="A4423" s="7" t="s">
        <v>5506</v>
      </c>
      <c r="B4423" s="7" t="n">
        <v>4721.41</v>
      </c>
      <c r="C4423" s="7" t="n">
        <f aca="false">AVERAGE(B4374:B4423)</f>
        <v>4489.5824</v>
      </c>
      <c r="D4423" s="7" t="n">
        <f aca="false">AVERAGE(B4224:B4423)</f>
        <v>4424.8407</v>
      </c>
      <c r="E4423" s="7" t="n">
        <f aca="false">B4423/MAX(B4172:B4423)-1</f>
        <v>0</v>
      </c>
      <c r="F4423" s="7" t="str">
        <f aca="false">IFERROR(INDEX(02_轉折點45個!B:B,MATCH(A4423,02_轉折點45個!A:A,0)),"")</f>
        <v/>
      </c>
      <c r="G4423" s="7" t="s">
        <v>5494</v>
      </c>
    </row>
    <row r="4424" customFormat="false" ht="15" hidden="false" customHeight="false" outlineLevel="0" collapsed="false">
      <c r="A4424" s="7" t="s">
        <v>5507</v>
      </c>
      <c r="B4424" s="7" t="n">
        <v>4730.23</v>
      </c>
      <c r="C4424" s="7" t="n">
        <f aca="false">AVERAGE(B4375:B4424)</f>
        <v>4497.5964</v>
      </c>
      <c r="D4424" s="7" t="n">
        <f aca="false">AVERAGE(B4225:B4424)</f>
        <v>4426.5816</v>
      </c>
      <c r="E4424" s="7" t="n">
        <f aca="false">B4424/MAX(B4173:B4424)-1</f>
        <v>0</v>
      </c>
      <c r="F4424" s="7" t="str">
        <f aca="false">IFERROR(INDEX(02_轉折點45個!B:B,MATCH(A4424,02_轉折點45個!A:A,0)),"")</f>
        <v/>
      </c>
      <c r="G4424" s="7" t="s">
        <v>5494</v>
      </c>
    </row>
    <row r="4425" customFormat="false" ht="15" hidden="false" customHeight="false" outlineLevel="0" collapsed="false">
      <c r="A4425" s="7" t="s">
        <v>5508</v>
      </c>
      <c r="B4425" s="7" t="n">
        <v>4756.04</v>
      </c>
      <c r="C4425" s="7" t="n">
        <f aca="false">AVERAGE(B4376:B4425)</f>
        <v>4506.6124</v>
      </c>
      <c r="D4425" s="7" t="n">
        <f aca="false">AVERAGE(B4226:B4425)</f>
        <v>4428.5144</v>
      </c>
      <c r="E4425" s="7" t="n">
        <f aca="false">B4425/MAX(B4174:B4425)-1</f>
        <v>0</v>
      </c>
      <c r="F4425" s="7" t="str">
        <f aca="false">IFERROR(INDEX(02_轉折點45個!B:B,MATCH(A4425,02_轉折點45個!A:A,0)),"")</f>
        <v/>
      </c>
      <c r="G4425" s="7" t="s">
        <v>5494</v>
      </c>
    </row>
    <row r="4426" customFormat="false" ht="15" hidden="false" customHeight="false" outlineLevel="0" collapsed="false">
      <c r="A4426" s="7" t="s">
        <v>5509</v>
      </c>
      <c r="B4426" s="7" t="n">
        <v>4719.21</v>
      </c>
      <c r="C4426" s="7" t="n">
        <f aca="false">AVERAGE(B4377:B4426)</f>
        <v>4513.8498</v>
      </c>
      <c r="D4426" s="7" t="n">
        <f aca="false">AVERAGE(B4227:B4426)</f>
        <v>4429.8645</v>
      </c>
      <c r="E4426" s="7" t="n">
        <f aca="false">B4426/MAX(B4175:B4426)-1</f>
        <v>-0.00774383731003103</v>
      </c>
      <c r="F4426" s="7" t="str">
        <f aca="false">IFERROR(INDEX(02_轉折點45個!B:B,MATCH(A4426,02_轉折點45個!A:A,0)),"")</f>
        <v/>
      </c>
      <c r="G4426" s="7" t="s">
        <v>5494</v>
      </c>
    </row>
    <row r="4427" customFormat="false" ht="15" hidden="false" customHeight="false" outlineLevel="0" collapsed="false">
      <c r="A4427" s="7" t="s">
        <v>5510</v>
      </c>
      <c r="B4427" s="7" t="n">
        <v>4734.33</v>
      </c>
      <c r="C4427" s="7" t="n">
        <f aca="false">AVERAGE(B4378:B4427)</f>
        <v>4521.4586</v>
      </c>
      <c r="D4427" s="7" t="n">
        <f aca="false">AVERAGE(B4228:B4427)</f>
        <v>4431.2144</v>
      </c>
      <c r="E4427" s="7" t="n">
        <f aca="false">B4427/MAX(B4176:B4427)-1</f>
        <v>-0.00456472191150625</v>
      </c>
      <c r="F4427" s="7" t="str">
        <f aca="false">IFERROR(INDEX(02_轉折點45個!B:B,MATCH(A4427,02_轉折點45個!A:A,0)),"")</f>
        <v/>
      </c>
      <c r="G4427" s="7" t="s">
        <v>5494</v>
      </c>
    </row>
    <row r="4428" customFormat="false" ht="15" hidden="false" customHeight="false" outlineLevel="0" collapsed="false">
      <c r="A4428" s="7" t="s">
        <v>5511</v>
      </c>
      <c r="B4428" s="7" t="n">
        <v>4743.81</v>
      </c>
      <c r="C4428" s="7" t="n">
        <f aca="false">AVERAGE(B4379:B4428)</f>
        <v>4527.5162</v>
      </c>
      <c r="D4428" s="7" t="n">
        <f aca="false">AVERAGE(B4229:B4428)</f>
        <v>4432.52595</v>
      </c>
      <c r="E4428" s="7" t="n">
        <f aca="false">B4428/MAX(B4177:B4428)-1</f>
        <v>-0.00257146701878019</v>
      </c>
      <c r="F4428" s="7" t="str">
        <f aca="false">IFERROR(INDEX(02_轉折點45個!B:B,MATCH(A4428,02_轉折點45個!A:A,0)),"")</f>
        <v/>
      </c>
      <c r="G4428" s="7" t="s">
        <v>5494</v>
      </c>
    </row>
    <row r="4429" customFormat="false" ht="15" hidden="false" customHeight="false" outlineLevel="0" collapsed="false">
      <c r="A4429" s="7" t="s">
        <v>5512</v>
      </c>
      <c r="B4429" s="7" t="n">
        <v>4791.21</v>
      </c>
      <c r="C4429" s="7" t="n">
        <f aca="false">AVERAGE(B4380:B4429)</f>
        <v>4533.9036</v>
      </c>
      <c r="D4429" s="7" t="n">
        <f aca="false">AVERAGE(B4230:B4429)</f>
        <v>4434.1864</v>
      </c>
      <c r="E4429" s="7" t="n">
        <f aca="false">B4429/MAX(B4178:B4429)-1</f>
        <v>0</v>
      </c>
      <c r="F4429" s="7" t="str">
        <f aca="false">IFERROR(INDEX(02_轉折點45個!B:B,MATCH(A4429,02_轉折點45個!A:A,0)),"")</f>
        <v/>
      </c>
      <c r="G4429" s="7" t="s">
        <v>5494</v>
      </c>
    </row>
    <row r="4430" customFormat="false" ht="15" hidden="false" customHeight="false" outlineLevel="0" collapsed="false">
      <c r="A4430" s="7" t="s">
        <v>5513</v>
      </c>
      <c r="B4430" s="7" t="n">
        <v>4784.74</v>
      </c>
      <c r="C4430" s="7" t="n">
        <f aca="false">AVERAGE(B4381:B4430)</f>
        <v>4540.036</v>
      </c>
      <c r="D4430" s="7" t="n">
        <f aca="false">AVERAGE(B4231:B4430)</f>
        <v>4436.0011</v>
      </c>
      <c r="E4430" s="7" t="n">
        <f aca="false">B4430/MAX(B4179:B4430)-1</f>
        <v>-0.00135038956756228</v>
      </c>
      <c r="F4430" s="7" t="str">
        <f aca="false">IFERROR(INDEX(02_轉折點45個!B:B,MATCH(A4430,02_轉折點45個!A:A,0)),"")</f>
        <v/>
      </c>
      <c r="G4430" s="7" t="s">
        <v>5494</v>
      </c>
    </row>
    <row r="4431" customFormat="false" ht="15" hidden="false" customHeight="false" outlineLevel="0" collapsed="false">
      <c r="A4431" s="7" t="s">
        <v>5514</v>
      </c>
      <c r="B4431" s="7" t="n">
        <v>4795.75</v>
      </c>
      <c r="C4431" s="7" t="n">
        <f aca="false">AVERAGE(B4382:B4431)</f>
        <v>4545.8088</v>
      </c>
      <c r="D4431" s="7" t="n">
        <f aca="false">AVERAGE(B4232:B4431)</f>
        <v>4437.50575</v>
      </c>
      <c r="E4431" s="7" t="n">
        <f aca="false">B4431/MAX(B4180:B4431)-1</f>
        <v>0</v>
      </c>
      <c r="F4431" s="7" t="str">
        <f aca="false">IFERROR(INDEX(02_轉折點45個!B:B,MATCH(A4431,02_轉折點45個!A:A,0)),"")</f>
        <v/>
      </c>
      <c r="G4431" s="7" t="s">
        <v>5494</v>
      </c>
    </row>
    <row r="4432" customFormat="false" ht="15" hidden="false" customHeight="false" outlineLevel="0" collapsed="false">
      <c r="A4432" s="7" t="s">
        <v>5515</v>
      </c>
      <c r="B4432" s="7" t="n">
        <v>4783.39</v>
      </c>
      <c r="C4432" s="7" t="n">
        <f aca="false">AVERAGE(B4383:B4432)</f>
        <v>4551.0686</v>
      </c>
      <c r="D4432" s="7" t="n">
        <f aca="false">AVERAGE(B4233:B4432)</f>
        <v>4438.43785</v>
      </c>
      <c r="E4432" s="7" t="n">
        <f aca="false">B4432/MAX(B4181:B4432)-1</f>
        <v>-0.00257728196840945</v>
      </c>
      <c r="F4432" s="7" t="str">
        <f aca="false">IFERROR(INDEX(02_轉折點45個!B:B,MATCH(A4432,02_轉折點45個!A:A,0)),"")</f>
        <v/>
      </c>
      <c r="G4432" s="7" t="s">
        <v>5494</v>
      </c>
    </row>
    <row r="4433" customFormat="false" ht="15" hidden="false" customHeight="false" outlineLevel="0" collapsed="false">
      <c r="A4433" s="7" t="s">
        <v>5516</v>
      </c>
      <c r="B4433" s="7" t="n">
        <v>4803.31</v>
      </c>
      <c r="C4433" s="7" t="n">
        <f aca="false">AVERAGE(B4384:B4433)</f>
        <v>4556.65</v>
      </c>
      <c r="D4433" s="7" t="n">
        <f aca="false">AVERAGE(B4234:B4433)</f>
        <v>4439.4566</v>
      </c>
      <c r="E4433" s="7" t="n">
        <f aca="false">B4433/MAX(B4182:B4433)-1</f>
        <v>0</v>
      </c>
      <c r="F4433" s="7" t="str">
        <f aca="false">IFERROR(INDEX(02_轉折點45個!B:B,MATCH(A4433,02_轉折點45個!A:A,0)),"")</f>
        <v/>
      </c>
      <c r="G4433" s="7" t="s">
        <v>5494</v>
      </c>
    </row>
    <row r="4434" customFormat="false" ht="15" hidden="false" customHeight="false" outlineLevel="0" collapsed="false">
      <c r="A4434" s="7" t="s">
        <v>5517</v>
      </c>
      <c r="B4434" s="7" t="n">
        <v>4807.08</v>
      </c>
      <c r="C4434" s="7" t="n">
        <f aca="false">AVERAGE(B4385:B4434)</f>
        <v>4561.9576</v>
      </c>
      <c r="D4434" s="7" t="n">
        <f aca="false">AVERAGE(B4235:B4434)</f>
        <v>4440.51495</v>
      </c>
      <c r="E4434" s="7" t="n">
        <f aca="false">B4434/MAX(B4183:B4434)-1</f>
        <v>0</v>
      </c>
      <c r="F4434" s="7" t="str">
        <f aca="false">IFERROR(INDEX(02_轉折點45個!B:B,MATCH(A4434,02_轉折點45個!A:A,0)),"")</f>
        <v/>
      </c>
      <c r="G4434" s="7" t="s">
        <v>5494</v>
      </c>
    </row>
    <row r="4435" customFormat="false" ht="15" hidden="false" customHeight="false" outlineLevel="0" collapsed="false">
      <c r="A4435" s="7" t="s">
        <v>1266</v>
      </c>
      <c r="B4435" s="7" t="n">
        <v>4827.12</v>
      </c>
      <c r="C4435" s="7" t="n">
        <f aca="false">AVERAGE(B4386:B4435)</f>
        <v>4568.193</v>
      </c>
      <c r="D4435" s="7" t="n">
        <f aca="false">AVERAGE(B4236:B4435)</f>
        <v>4441.37415</v>
      </c>
      <c r="E4435" s="7" t="n">
        <f aca="false">B4435/MAX(B4184:B4435)-1</f>
        <v>0</v>
      </c>
      <c r="F4435" s="7" t="str">
        <f aca="false">IFERROR(INDEX(02_轉折點45個!B:B,MATCH(A4435,02_轉折點45個!A:A,0)),"")</f>
        <v/>
      </c>
      <c r="G4435" s="7" t="s">
        <v>5494</v>
      </c>
    </row>
    <row r="4436" customFormat="false" ht="15" hidden="false" customHeight="false" outlineLevel="0" collapsed="false">
      <c r="A4436" s="7" t="s">
        <v>5518</v>
      </c>
      <c r="B4436" s="7" t="n">
        <v>4797.19</v>
      </c>
      <c r="C4436" s="7" t="n">
        <f aca="false">AVERAGE(B4387:B4436)</f>
        <v>4573.3512</v>
      </c>
      <c r="D4436" s="7" t="n">
        <f aca="false">AVERAGE(B4237:B4436)</f>
        <v>4442.18155</v>
      </c>
      <c r="E4436" s="7" t="n">
        <f aca="false">B4436/MAX(B4185:B4436)-1</f>
        <v>-0.00620038449427407</v>
      </c>
      <c r="F4436" s="7" t="str">
        <f aca="false">IFERROR(INDEX(02_轉折點45個!B:B,MATCH(A4436,02_轉折點45個!A:A,0)),"")</f>
        <v/>
      </c>
      <c r="G4436" s="7" t="s">
        <v>5494</v>
      </c>
    </row>
    <row r="4437" customFormat="false" ht="15" hidden="false" customHeight="false" outlineLevel="0" collapsed="false">
      <c r="A4437" s="7" t="s">
        <v>5519</v>
      </c>
      <c r="B4437" s="7" t="n">
        <v>4805.45</v>
      </c>
      <c r="C4437" s="7" t="n">
        <f aca="false">AVERAGE(B4388:B4437)</f>
        <v>4578.8018</v>
      </c>
      <c r="D4437" s="7" t="n">
        <f aca="false">AVERAGE(B4238:B4437)</f>
        <v>4443.12395</v>
      </c>
      <c r="E4437" s="7" t="n">
        <f aca="false">B4437/MAX(B4186:B4437)-1</f>
        <v>-0.00448921924460133</v>
      </c>
      <c r="F4437" s="7" t="str">
        <f aca="false">IFERROR(INDEX(02_轉折點45個!B:B,MATCH(A4437,02_轉折點45個!A:A,0)),"")</f>
        <v/>
      </c>
      <c r="G4437" s="7" t="s">
        <v>5494</v>
      </c>
    </row>
    <row r="4438" customFormat="false" ht="15" hidden="false" customHeight="false" outlineLevel="0" collapsed="false">
      <c r="A4438" s="7" t="s">
        <v>5520</v>
      </c>
      <c r="B4438" s="7" t="n">
        <v>4808.68</v>
      </c>
      <c r="C4438" s="7" t="n">
        <f aca="false">AVERAGE(B4389:B4438)</f>
        <v>4584.0814</v>
      </c>
      <c r="D4438" s="7" t="n">
        <f aca="false">AVERAGE(B4239:B4438)</f>
        <v>4443.74725</v>
      </c>
      <c r="E4438" s="7" t="n">
        <f aca="false">B4438/MAX(B4187:B4438)-1</f>
        <v>-0.00382008319660576</v>
      </c>
      <c r="F4438" s="7" t="str">
        <f aca="false">IFERROR(INDEX(02_轉折點45個!B:B,MATCH(A4438,02_轉折點45個!A:A,0)),"")</f>
        <v/>
      </c>
      <c r="G4438" s="7" t="s">
        <v>5494</v>
      </c>
    </row>
    <row r="4439" customFormat="false" ht="15" hidden="false" customHeight="false" outlineLevel="0" collapsed="false">
      <c r="A4439" s="7" t="s">
        <v>5521</v>
      </c>
      <c r="B4439" s="7" t="n">
        <v>4806.14</v>
      </c>
      <c r="C4439" s="7" t="n">
        <f aca="false">AVERAGE(B4390:B4439)</f>
        <v>4589.603</v>
      </c>
      <c r="D4439" s="7" t="n">
        <f aca="false">AVERAGE(B4240:B4439)</f>
        <v>4444.2757</v>
      </c>
      <c r="E4439" s="7" t="n">
        <f aca="false">B4439/MAX(B4188:B4439)-1</f>
        <v>-0.00434627686902322</v>
      </c>
      <c r="F4439" s="7" t="str">
        <f aca="false">IFERROR(INDEX(02_轉折點45個!B:B,MATCH(A4439,02_轉折點45個!A:A,0)),"")</f>
        <v/>
      </c>
      <c r="G4439" s="7" t="s">
        <v>5494</v>
      </c>
    </row>
    <row r="4440" customFormat="false" ht="15" hidden="false" customHeight="false" outlineLevel="0" collapsed="false">
      <c r="A4440" s="7" t="s">
        <v>5522</v>
      </c>
      <c r="B4440" s="7" t="n">
        <v>4808.56</v>
      </c>
      <c r="C4440" s="7" t="n">
        <f aca="false">AVERAGE(B4391:B4440)</f>
        <v>4596.3436</v>
      </c>
      <c r="D4440" s="7" t="n">
        <f aca="false">AVERAGE(B4241:B4440)</f>
        <v>4444.82835</v>
      </c>
      <c r="E4440" s="7" t="n">
        <f aca="false">B4440/MAX(B4189:B4440)-1</f>
        <v>-0.00384494274018454</v>
      </c>
      <c r="F4440" s="7" t="str">
        <f aca="false">IFERROR(INDEX(02_轉折點45個!B:B,MATCH(A4440,02_轉折點45個!A:A,0)),"")</f>
        <v/>
      </c>
      <c r="G4440" s="7" t="s">
        <v>5494</v>
      </c>
    </row>
    <row r="4441" customFormat="false" ht="15" hidden="false" customHeight="false" outlineLevel="0" collapsed="false">
      <c r="A4441" s="7" t="s">
        <v>5523</v>
      </c>
      <c r="B4441" s="7" t="n">
        <v>4818.48</v>
      </c>
      <c r="C4441" s="7" t="n">
        <f aca="false">AVERAGE(B4392:B4441)</f>
        <v>4604.1252</v>
      </c>
      <c r="D4441" s="7" t="n">
        <f aca="false">AVERAGE(B4242:B4441)</f>
        <v>4445.49795</v>
      </c>
      <c r="E4441" s="7" t="n">
        <f aca="false">B4441/MAX(B4190:B4441)-1</f>
        <v>-0.00178988713767225</v>
      </c>
      <c r="F4441" s="7" t="str">
        <f aca="false">IFERROR(INDEX(02_轉折點45個!B:B,MATCH(A4441,02_轉折點45個!A:A,0)),"")</f>
        <v/>
      </c>
      <c r="G4441" s="7" t="s">
        <v>5494</v>
      </c>
    </row>
    <row r="4442" customFormat="false" ht="15" hidden="false" customHeight="false" outlineLevel="0" collapsed="false">
      <c r="A4442" s="7" t="s">
        <v>1267</v>
      </c>
      <c r="B4442" s="7" t="n">
        <v>4783.49</v>
      </c>
      <c r="C4442" s="7" t="n">
        <f aca="false">AVERAGE(B4393:B4442)</f>
        <v>4611.2964</v>
      </c>
      <c r="D4442" s="7" t="n">
        <f aca="false">AVERAGE(B4243:B4442)</f>
        <v>4445.90405</v>
      </c>
      <c r="E4442" s="7" t="n">
        <f aca="false">B4442/MAX(B4191:B4442)-1</f>
        <v>-0.00903851571951808</v>
      </c>
      <c r="F4442" s="7" t="str">
        <f aca="false">IFERROR(INDEX(02_轉折點45個!B:B,MATCH(A4442,02_轉折點45個!A:A,0)),"")</f>
        <v/>
      </c>
      <c r="G4442" s="7" t="s">
        <v>5494</v>
      </c>
    </row>
    <row r="4443" customFormat="false" ht="15" hidden="false" customHeight="false" outlineLevel="0" collapsed="false">
      <c r="A4443" s="7" t="s">
        <v>5524</v>
      </c>
      <c r="B4443" s="7" t="n">
        <v>4775.43</v>
      </c>
      <c r="C4443" s="7" t="n">
        <f aca="false">AVERAGE(B4394:B4443)</f>
        <v>4618.4638</v>
      </c>
      <c r="D4443" s="7" t="n">
        <f aca="false">AVERAGE(B4244:B4443)</f>
        <v>4446.50655</v>
      </c>
      <c r="E4443" s="7" t="n">
        <f aca="false">B4443/MAX(B4192:B4443)-1</f>
        <v>-0.0107082483965594</v>
      </c>
      <c r="F4443" s="7" t="str">
        <f aca="false">IFERROR(INDEX(02_轉折點45個!B:B,MATCH(A4443,02_轉折點45個!A:A,0)),"")</f>
        <v/>
      </c>
      <c r="G4443" s="7" t="s">
        <v>5494</v>
      </c>
    </row>
    <row r="4444" customFormat="false" ht="15" hidden="false" customHeight="false" outlineLevel="0" collapsed="false">
      <c r="A4444" s="7" t="s">
        <v>5525</v>
      </c>
      <c r="B4444" s="7" t="n">
        <v>4783.69</v>
      </c>
      <c r="C4444" s="7" t="n">
        <f aca="false">AVERAGE(B4395:B4444)</f>
        <v>4625.6138</v>
      </c>
      <c r="D4444" s="7" t="n">
        <f aca="false">AVERAGE(B4245:B4444)</f>
        <v>4447.20545</v>
      </c>
      <c r="E4444" s="7" t="n">
        <f aca="false">B4444/MAX(B4193:B4444)-1</f>
        <v>-0.00899708314688685</v>
      </c>
      <c r="F4444" s="7" t="str">
        <f aca="false">IFERROR(INDEX(02_轉折點45個!B:B,MATCH(A4444,02_轉折點45個!A:A,0)),"")</f>
        <v/>
      </c>
      <c r="G4444" s="7" t="s">
        <v>5494</v>
      </c>
    </row>
    <row r="4445" customFormat="false" ht="15" hidden="false" customHeight="false" outlineLevel="0" collapsed="false">
      <c r="A4445" s="7" t="s">
        <v>5526</v>
      </c>
      <c r="B4445" s="7" t="n">
        <v>4791.09</v>
      </c>
      <c r="C4445" s="7" t="n">
        <f aca="false">AVERAGE(B4396:B4445)</f>
        <v>4633.7264</v>
      </c>
      <c r="D4445" s="7" t="n">
        <f aca="false">AVERAGE(B4246:B4445)</f>
        <v>4448.01545</v>
      </c>
      <c r="E4445" s="7" t="n">
        <f aca="false">B4445/MAX(B4194:B4445)-1</f>
        <v>-0.00746407795952864</v>
      </c>
      <c r="F4445" s="7" t="str">
        <f aca="false">IFERROR(INDEX(02_轉折點45個!B:B,MATCH(A4445,02_轉折點45個!A:A,0)),"")</f>
        <v/>
      </c>
      <c r="G4445" s="7" t="s">
        <v>5494</v>
      </c>
    </row>
    <row r="4446" customFormat="false" ht="15" hidden="false" customHeight="false" outlineLevel="0" collapsed="false">
      <c r="A4446" s="7" t="s">
        <v>5527</v>
      </c>
      <c r="B4446" s="7" t="n">
        <v>4775.99</v>
      </c>
      <c r="C4446" s="7" t="n">
        <f aca="false">AVERAGE(B4397:B4446)</f>
        <v>4640.8634</v>
      </c>
      <c r="D4446" s="7" t="n">
        <f aca="false">AVERAGE(B4247:B4446)</f>
        <v>4449.0329</v>
      </c>
      <c r="E4446" s="7" t="n">
        <f aca="false">B4446/MAX(B4195:B4446)-1</f>
        <v>-0.0105922371931918</v>
      </c>
      <c r="F4446" s="7" t="str">
        <f aca="false">IFERROR(INDEX(02_轉折點45個!B:B,MATCH(A4446,02_轉折點45個!A:A,0)),"")</f>
        <v/>
      </c>
      <c r="G4446" s="7" t="s">
        <v>5494</v>
      </c>
    </row>
    <row r="4447" customFormat="false" ht="15" hidden="false" customHeight="false" outlineLevel="0" collapsed="false">
      <c r="A4447" s="7" t="s">
        <v>5528</v>
      </c>
      <c r="B4447" s="7" t="n">
        <v>4771.05</v>
      </c>
      <c r="C4447" s="7" t="n">
        <f aca="false">AVERAGE(B4398:B4447)</f>
        <v>4647.7818</v>
      </c>
      <c r="D4447" s="7" t="n">
        <f aca="false">AVERAGE(B4248:B4447)</f>
        <v>4450.37825</v>
      </c>
      <c r="E4447" s="7" t="n">
        <f aca="false">B4447/MAX(B4196:B4447)-1</f>
        <v>-0.0116156217371849</v>
      </c>
      <c r="F4447" s="7" t="str">
        <f aca="false">IFERROR(INDEX(02_轉折點45個!B:B,MATCH(A4447,02_轉折點45個!A:A,0)),"")</f>
        <v/>
      </c>
      <c r="G4447" s="7" t="s">
        <v>5494</v>
      </c>
    </row>
    <row r="4448" customFormat="false" ht="15" hidden="false" customHeight="false" outlineLevel="0" collapsed="false">
      <c r="A4448" s="7" t="s">
        <v>5529</v>
      </c>
      <c r="B4448" s="7" t="n">
        <v>4783.94</v>
      </c>
      <c r="C4448" s="7" t="n">
        <f aca="false">AVERAGE(B4399:B4448)</f>
        <v>4655.1488</v>
      </c>
      <c r="D4448" s="7" t="n">
        <f aca="false">AVERAGE(B4249:B4448)</f>
        <v>4451.5289</v>
      </c>
      <c r="E4448" s="7" t="n">
        <f aca="false">B4448/MAX(B4197:B4448)-1</f>
        <v>-0.00894529243109765</v>
      </c>
      <c r="F4448" s="7" t="str">
        <f aca="false">IFERROR(INDEX(02_轉折點45個!B:B,MATCH(A4448,02_轉折點45個!A:A,0)),"")</f>
        <v/>
      </c>
      <c r="G4448" s="7" t="s">
        <v>5494</v>
      </c>
    </row>
    <row r="4449" customFormat="false" ht="15" hidden="false" customHeight="false" outlineLevel="0" collapsed="false">
      <c r="A4449" s="7" t="s">
        <v>5530</v>
      </c>
      <c r="B4449" s="7" t="n">
        <v>4798.74</v>
      </c>
      <c r="C4449" s="7" t="n">
        <f aca="false">AVERAGE(B4400:B4449)</f>
        <v>4661.41</v>
      </c>
      <c r="D4449" s="7" t="n">
        <f aca="false">AVERAGE(B4250:B4449)</f>
        <v>4452.74715</v>
      </c>
      <c r="E4449" s="7" t="n">
        <f aca="false">B4449/MAX(B4198:B4449)-1</f>
        <v>-0.00587928205638144</v>
      </c>
      <c r="F4449" s="7" t="str">
        <f aca="false">IFERROR(INDEX(02_轉折點45個!B:B,MATCH(A4449,02_轉折點45個!A:A,0)),"")</f>
        <v/>
      </c>
      <c r="G4449" s="7" t="s">
        <v>5494</v>
      </c>
    </row>
    <row r="4450" customFormat="false" ht="15" hidden="false" customHeight="false" outlineLevel="0" collapsed="false">
      <c r="A4450" s="7" t="s">
        <v>1268</v>
      </c>
      <c r="B4450" s="7" t="n">
        <v>4829.51</v>
      </c>
      <c r="C4450" s="7" t="n">
        <f aca="false">AVERAGE(B4401:B4450)</f>
        <v>4671.9786</v>
      </c>
      <c r="D4450" s="7" t="n">
        <f aca="false">AVERAGE(B4251:B4450)</f>
        <v>4453.7119</v>
      </c>
      <c r="E4450" s="7" t="n">
        <f aca="false">B4450/MAX(B4199:B4450)-1</f>
        <v>0</v>
      </c>
      <c r="F4450" s="7" t="str">
        <f aca="false">IFERROR(INDEX(02_轉折點45個!B:B,MATCH(A4450,02_轉折點45個!A:A,0)),"")</f>
        <v/>
      </c>
      <c r="G4450" s="7" t="s">
        <v>5494</v>
      </c>
    </row>
    <row r="4451" customFormat="false" ht="15" hidden="false" customHeight="false" outlineLevel="0" collapsed="false">
      <c r="A4451" s="7" t="s">
        <v>1269</v>
      </c>
      <c r="B4451" s="7" t="n">
        <v>4831.86</v>
      </c>
      <c r="C4451" s="7" t="n">
        <f aca="false">AVERAGE(B4402:B4451)</f>
        <v>4684.6688</v>
      </c>
      <c r="D4451" s="7" t="n">
        <f aca="false">AVERAGE(B4252:B4451)</f>
        <v>4454.6955</v>
      </c>
      <c r="E4451" s="7" t="n">
        <f aca="false">B4451/MAX(B4200:B4451)-1</f>
        <v>0</v>
      </c>
      <c r="F4451" s="7" t="str">
        <f aca="false">IFERROR(INDEX(02_轉折點45個!B:B,MATCH(A4451,02_轉折點45個!A:A,0)),"")</f>
        <v/>
      </c>
      <c r="G4451" s="7" t="s">
        <v>5494</v>
      </c>
    </row>
    <row r="4452" customFormat="false" ht="15" hidden="false" customHeight="false" outlineLevel="0" collapsed="false">
      <c r="A4452" s="7" t="s">
        <v>5531</v>
      </c>
      <c r="B4452" s="7" t="n">
        <v>4804</v>
      </c>
      <c r="C4452" s="7" t="n">
        <f aca="false">AVERAGE(B4403:B4452)</f>
        <v>4695.0216</v>
      </c>
      <c r="D4452" s="7" t="n">
        <f aca="false">AVERAGE(B4253:B4452)</f>
        <v>4455.3969</v>
      </c>
      <c r="E4452" s="7" t="n">
        <f aca="false">B4452/MAX(B4201:B4452)-1</f>
        <v>-0.00576589553505269</v>
      </c>
      <c r="F4452" s="7" t="str">
        <f aca="false">IFERROR(INDEX(02_轉折點45個!B:B,MATCH(A4452,02_轉折點45個!A:A,0)),"")</f>
        <v/>
      </c>
      <c r="G4452" s="7" t="s">
        <v>5494</v>
      </c>
    </row>
    <row r="4453" customFormat="false" ht="15" hidden="false" customHeight="false" outlineLevel="0" collapsed="false">
      <c r="A4453" s="7" t="s">
        <v>1270</v>
      </c>
      <c r="B4453" s="7" t="n">
        <v>4681.54</v>
      </c>
      <c r="C4453" s="7" t="n">
        <f aca="false">AVERAGE(B4404:B4453)</f>
        <v>4701.3286</v>
      </c>
      <c r="D4453" s="7" t="n">
        <f aca="false">AVERAGE(B4254:B4453)</f>
        <v>4455.49715</v>
      </c>
      <c r="E4453" s="7" t="n">
        <f aca="false">B4453/MAX(B4202:B4453)-1</f>
        <v>-0.0311101728940821</v>
      </c>
      <c r="F4453" s="7" t="str">
        <f aca="false">IFERROR(INDEX(02_轉折點45個!B:B,MATCH(A4453,02_轉折點45個!A:A,0)),"")</f>
        <v/>
      </c>
      <c r="G4453" s="7" t="s">
        <v>5494</v>
      </c>
    </row>
    <row r="4454" customFormat="false" ht="15" hidden="false" customHeight="false" outlineLevel="0" collapsed="false">
      <c r="A4454" s="7" t="s">
        <v>1271</v>
      </c>
      <c r="B4454" s="7" t="n">
        <v>4764.65</v>
      </c>
      <c r="C4454" s="7" t="n">
        <f aca="false">AVERAGE(B4405:B4454)</f>
        <v>4708.139</v>
      </c>
      <c r="D4454" s="7" t="n">
        <f aca="false">AVERAGE(B4255:B4454)</f>
        <v>4456.01145</v>
      </c>
      <c r="E4454" s="7" t="n">
        <f aca="false">B4454/MAX(B4203:B4454)-1</f>
        <v>-0.0139097573191276</v>
      </c>
      <c r="F4454" s="7" t="str">
        <f aca="false">IFERROR(INDEX(02_轉折點45個!B:B,MATCH(A4454,02_轉折點45個!A:A,0)),"")</f>
        <v/>
      </c>
      <c r="G4454" s="7" t="s">
        <v>5494</v>
      </c>
    </row>
    <row r="4455" customFormat="false" ht="15" hidden="false" customHeight="false" outlineLevel="0" collapsed="false">
      <c r="A4455" s="7" t="s">
        <v>1272</v>
      </c>
      <c r="B4455" s="7" t="n">
        <v>4722.85</v>
      </c>
      <c r="C4455" s="7" t="n">
        <f aca="false">AVERAGE(B4406:B4455)</f>
        <v>4713.7498</v>
      </c>
      <c r="D4455" s="7" t="n">
        <f aca="false">AVERAGE(B4256:B4455)</f>
        <v>4456.25585</v>
      </c>
      <c r="E4455" s="7" t="n">
        <f aca="false">B4455/MAX(B4204:B4455)-1</f>
        <v>-0.0225606702180939</v>
      </c>
      <c r="F4455" s="7" t="str">
        <f aca="false">IFERROR(INDEX(02_轉折點45個!B:B,MATCH(A4455,02_轉折點45個!A:A,0)),"")</f>
        <v/>
      </c>
      <c r="G4455" s="7" t="s">
        <v>5494</v>
      </c>
    </row>
    <row r="4456" customFormat="false" ht="15" hidden="false" customHeight="false" outlineLevel="0" collapsed="false">
      <c r="A4456" s="7" t="s">
        <v>5532</v>
      </c>
      <c r="B4456" s="7" t="n">
        <v>4746.06</v>
      </c>
      <c r="C4456" s="7" t="n">
        <f aca="false">AVERAGE(B4407:B4456)</f>
        <v>4720.5496</v>
      </c>
      <c r="D4456" s="7" t="n">
        <f aca="false">AVERAGE(B4257:B4456)</f>
        <v>4456.56435</v>
      </c>
      <c r="E4456" s="7" t="n">
        <f aca="false">B4456/MAX(B4205:B4456)-1</f>
        <v>-0.0177571370031415</v>
      </c>
      <c r="F4456" s="7" t="str">
        <f aca="false">IFERROR(INDEX(02_轉折點45個!B:B,MATCH(A4456,02_轉折點45個!A:A,0)),"")</f>
        <v/>
      </c>
      <c r="G4456" s="7" t="s">
        <v>5494</v>
      </c>
    </row>
    <row r="4457" customFormat="false" ht="15" hidden="false" customHeight="false" outlineLevel="0" collapsed="false">
      <c r="A4457" s="7" t="s">
        <v>5533</v>
      </c>
      <c r="B4457" s="7" t="n">
        <v>4819.9</v>
      </c>
      <c r="C4457" s="7" t="n">
        <f aca="false">AVERAGE(B4408:B4457)</f>
        <v>4728.1636</v>
      </c>
      <c r="D4457" s="7" t="n">
        <f aca="false">AVERAGE(B4258:B4457)</f>
        <v>4457.32815</v>
      </c>
      <c r="E4457" s="7" t="n">
        <f aca="false">B4457/MAX(B4206:B4457)-1</f>
        <v>-0.00247523727922583</v>
      </c>
      <c r="F4457" s="7" t="str">
        <f aca="false">IFERROR(INDEX(02_轉折點45個!B:B,MATCH(A4457,02_轉折點45個!A:A,0)),"")</f>
        <v/>
      </c>
      <c r="G4457" s="7" t="s">
        <v>5494</v>
      </c>
    </row>
    <row r="4458" customFormat="false" ht="15" hidden="false" customHeight="false" outlineLevel="0" collapsed="false">
      <c r="A4458" s="7" t="s">
        <v>5534</v>
      </c>
      <c r="B4458" s="7" t="n">
        <v>4818.05</v>
      </c>
      <c r="C4458" s="7" t="n">
        <f aca="false">AVERAGE(B4409:B4458)</f>
        <v>4735.4182</v>
      </c>
      <c r="D4458" s="7" t="n">
        <f aca="false">AVERAGE(B4259:B4458)</f>
        <v>4457.8651</v>
      </c>
      <c r="E4458" s="7" t="n">
        <f aca="false">B4458/MAX(B4207:B4458)-1</f>
        <v>-0.00285811261087854</v>
      </c>
      <c r="F4458" s="7" t="str">
        <f aca="false">IFERROR(INDEX(02_轉折點45個!B:B,MATCH(A4458,02_轉折點45個!A:A,0)),"")</f>
        <v/>
      </c>
      <c r="G4458" s="7" t="s">
        <v>5494</v>
      </c>
    </row>
    <row r="4459" customFormat="false" ht="15" hidden="false" customHeight="false" outlineLevel="0" collapsed="false">
      <c r="A4459" s="7" t="s">
        <v>5535</v>
      </c>
      <c r="B4459" s="7" t="n">
        <v>4796.07</v>
      </c>
      <c r="C4459" s="7" t="n">
        <f aca="false">AVERAGE(B4410:B4459)</f>
        <v>4740.7724</v>
      </c>
      <c r="D4459" s="7" t="n">
        <f aca="false">AVERAGE(B4260:B4459)</f>
        <v>4458.4433</v>
      </c>
      <c r="E4459" s="7" t="n">
        <f aca="false">B4459/MAX(B4208:B4459)-1</f>
        <v>-0.00740708547019164</v>
      </c>
      <c r="F4459" s="7" t="str">
        <f aca="false">IFERROR(INDEX(02_轉折點45個!B:B,MATCH(A4459,02_轉折點45個!A:A,0)),"")</f>
        <v/>
      </c>
      <c r="G4459" s="7" t="s">
        <v>5494</v>
      </c>
    </row>
    <row r="4460" customFormat="false" ht="15" hidden="false" customHeight="false" outlineLevel="0" collapsed="false">
      <c r="A4460" s="7" t="s">
        <v>5536</v>
      </c>
      <c r="B4460" s="7" t="n">
        <v>4805.22</v>
      </c>
      <c r="C4460" s="7" t="n">
        <f aca="false">AVERAGE(B4411:B4460)</f>
        <v>4745.7826</v>
      </c>
      <c r="D4460" s="7" t="n">
        <f aca="false">AVERAGE(B4261:B4460)</f>
        <v>4459.45865</v>
      </c>
      <c r="E4460" s="7" t="n">
        <f aca="false">B4460/MAX(B4209:B4460)-1</f>
        <v>-0.00551340477580053</v>
      </c>
      <c r="F4460" s="7" t="str">
        <f aca="false">IFERROR(INDEX(02_轉折點45個!B:B,MATCH(A4460,02_轉折點45個!A:A,0)),"")</f>
        <v/>
      </c>
      <c r="G4460" s="7" t="s">
        <v>5494</v>
      </c>
    </row>
    <row r="4461" customFormat="false" ht="15" hidden="false" customHeight="false" outlineLevel="0" collapsed="false">
      <c r="A4461" s="7" t="s">
        <v>1273</v>
      </c>
      <c r="B4461" s="7" t="n">
        <v>4853.75</v>
      </c>
      <c r="C4461" s="7" t="n">
        <f aca="false">AVERAGE(B4412:B4461)</f>
        <v>4751.3054</v>
      </c>
      <c r="D4461" s="7" t="n">
        <f aca="false">AVERAGE(B4262:B4461)</f>
        <v>4460.2382</v>
      </c>
      <c r="E4461" s="7" t="n">
        <f aca="false">B4461/MAX(B4210:B4461)-1</f>
        <v>0</v>
      </c>
      <c r="F4461" s="7" t="str">
        <f aca="false">IFERROR(INDEX(02_轉折點45個!B:B,MATCH(A4461,02_轉折點45個!A:A,0)),"")</f>
        <v/>
      </c>
      <c r="G4461" s="7" t="s">
        <v>5494</v>
      </c>
    </row>
    <row r="4462" customFormat="false" ht="15" hidden="false" customHeight="false" outlineLevel="0" collapsed="false">
      <c r="A4462" s="7" t="s">
        <v>1274</v>
      </c>
      <c r="B4462" s="7" t="n">
        <v>4891.36</v>
      </c>
      <c r="C4462" s="7" t="n">
        <f aca="false">AVERAGE(B4413:B4462)</f>
        <v>4757.8172</v>
      </c>
      <c r="D4462" s="7" t="n">
        <f aca="false">AVERAGE(B4263:B4462)</f>
        <v>4461.39065</v>
      </c>
      <c r="E4462" s="7" t="n">
        <f aca="false">B4462/MAX(B4211:B4462)-1</f>
        <v>0</v>
      </c>
      <c r="F4462" s="7" t="str">
        <f aca="false">IFERROR(INDEX(02_轉折點45個!B:B,MATCH(A4462,02_轉折點45個!A:A,0)),"")</f>
        <v/>
      </c>
      <c r="G4462" s="7" t="s">
        <v>5494</v>
      </c>
    </row>
    <row r="4463" customFormat="false" ht="15" hidden="false" customHeight="false" outlineLevel="0" collapsed="false">
      <c r="A4463" s="7" t="s">
        <v>5537</v>
      </c>
      <c r="B4463" s="7" t="n">
        <v>4858.91</v>
      </c>
      <c r="C4463" s="7" t="n">
        <f aca="false">AVERAGE(B4414:B4463)</f>
        <v>4763.0656</v>
      </c>
      <c r="D4463" s="7" t="n">
        <f aca="false">AVERAGE(B4264:B4463)</f>
        <v>4462.39715</v>
      </c>
      <c r="E4463" s="7" t="n">
        <f aca="false">B4463/MAX(B4212:B4463)-1</f>
        <v>-0.00663414674037488</v>
      </c>
      <c r="F4463" s="7" t="str">
        <f aca="false">IFERROR(INDEX(02_轉折點45個!B:B,MATCH(A4463,02_轉折點45個!A:A,0)),"")</f>
        <v/>
      </c>
      <c r="G4463" s="7" t="s">
        <v>5494</v>
      </c>
    </row>
    <row r="4464" customFormat="false" ht="15" hidden="false" customHeight="false" outlineLevel="0" collapsed="false">
      <c r="A4464" s="7" t="s">
        <v>5538</v>
      </c>
      <c r="B4464" s="7" t="n">
        <v>4817.17</v>
      </c>
      <c r="C4464" s="7" t="n">
        <f aca="false">AVERAGE(B4415:B4464)</f>
        <v>4767.6124</v>
      </c>
      <c r="D4464" s="7" t="n">
        <f aca="false">AVERAGE(B4265:B4464)</f>
        <v>4463.5392</v>
      </c>
      <c r="E4464" s="7" t="n">
        <f aca="false">B4464/MAX(B4213:B4464)-1</f>
        <v>-0.0151675607601975</v>
      </c>
      <c r="F4464" s="7" t="str">
        <f aca="false">IFERROR(INDEX(02_轉折點45個!B:B,MATCH(A4464,02_轉折點45個!A:A,0)),"")</f>
        <v/>
      </c>
      <c r="G4464" s="7" t="s">
        <v>5494</v>
      </c>
    </row>
    <row r="4465" customFormat="false" ht="15" hidden="false" customHeight="false" outlineLevel="0" collapsed="false">
      <c r="A4465" s="7" t="s">
        <v>5539</v>
      </c>
      <c r="B4465" s="7" t="n">
        <v>4866.71</v>
      </c>
      <c r="C4465" s="7" t="n">
        <f aca="false">AVERAGE(B4416:B4465)</f>
        <v>4772.553</v>
      </c>
      <c r="D4465" s="7" t="n">
        <f aca="false">AVERAGE(B4266:B4465)</f>
        <v>4464.8271</v>
      </c>
      <c r="E4465" s="7" t="n">
        <f aca="false">B4465/MAX(B4214:B4465)-1</f>
        <v>-0.00503949821726468</v>
      </c>
      <c r="F4465" s="7" t="str">
        <f aca="false">IFERROR(INDEX(02_轉折點45個!B:B,MATCH(A4465,02_轉折點45個!A:A,0)),"")</f>
        <v/>
      </c>
      <c r="G4465" s="7" t="s">
        <v>5494</v>
      </c>
    </row>
    <row r="4466" customFormat="false" ht="15" hidden="false" customHeight="false" outlineLevel="0" collapsed="false">
      <c r="A4466" s="7" t="s">
        <v>5540</v>
      </c>
      <c r="B4466" s="7" t="n">
        <v>4875.27</v>
      </c>
      <c r="C4466" s="7" t="n">
        <f aca="false">AVERAGE(B4417:B4466)</f>
        <v>4777.9928</v>
      </c>
      <c r="D4466" s="7" t="n">
        <f aca="false">AVERAGE(B4267:B4466)</f>
        <v>4466.66805</v>
      </c>
      <c r="E4466" s="7" t="n">
        <f aca="false">B4466/MAX(B4215:B4466)-1</f>
        <v>-0.0032894736842104</v>
      </c>
      <c r="F4466" s="7" t="str">
        <f aca="false">IFERROR(INDEX(02_轉折點45個!B:B,MATCH(A4466,02_轉折點45個!A:A,0)),"")</f>
        <v/>
      </c>
      <c r="G4466" s="7" t="s">
        <v>5494</v>
      </c>
    </row>
    <row r="4467" customFormat="false" ht="15" hidden="false" customHeight="false" outlineLevel="0" collapsed="false">
      <c r="A4467" s="7" t="s">
        <v>5541</v>
      </c>
      <c r="B4467" s="7" t="n">
        <v>4838.3</v>
      </c>
      <c r="C4467" s="7" t="n">
        <f aca="false">AVERAGE(B4418:B4467)</f>
        <v>4781.6148</v>
      </c>
      <c r="D4467" s="7" t="n">
        <f aca="false">AVERAGE(B4268:B4467)</f>
        <v>4468.23845</v>
      </c>
      <c r="E4467" s="7" t="n">
        <f aca="false">B4467/MAX(B4216:B4467)-1</f>
        <v>-0.0108476987995157</v>
      </c>
      <c r="F4467" s="7" t="str">
        <f aca="false">IFERROR(INDEX(02_轉折點45個!B:B,MATCH(A4467,02_轉折點45個!A:A,0)),"")</f>
        <v/>
      </c>
      <c r="G4467" s="7" t="s">
        <v>5494</v>
      </c>
    </row>
    <row r="4468" customFormat="false" ht="15" hidden="false" customHeight="false" outlineLevel="0" collapsed="false">
      <c r="A4468" s="7" t="s">
        <v>5542</v>
      </c>
      <c r="B4468" s="7" t="n">
        <v>4875.7</v>
      </c>
      <c r="C4468" s="7" t="n">
        <f aca="false">AVERAGE(B4419:B4468)</f>
        <v>4786.1884</v>
      </c>
      <c r="D4468" s="7" t="n">
        <f aca="false">AVERAGE(B4269:B4468)</f>
        <v>4469.79885</v>
      </c>
      <c r="E4468" s="7" t="n">
        <f aca="false">B4468/MAX(B4217:B4468)-1</f>
        <v>-0.00320156357332113</v>
      </c>
      <c r="F4468" s="7" t="str">
        <f aca="false">IFERROR(INDEX(02_轉折點45個!B:B,MATCH(A4468,02_轉折點45個!A:A,0)),"")</f>
        <v/>
      </c>
      <c r="G4468" s="7" t="s">
        <v>5494</v>
      </c>
    </row>
    <row r="4469" customFormat="false" ht="15" hidden="false" customHeight="false" outlineLevel="0" collapsed="false">
      <c r="A4469" s="7" t="s">
        <v>5543</v>
      </c>
      <c r="B4469" s="7" t="n">
        <v>4866.63</v>
      </c>
      <c r="C4469" s="7" t="n">
        <f aca="false">AVERAGE(B4420:B4469)</f>
        <v>4790.1996</v>
      </c>
      <c r="D4469" s="7" t="n">
        <f aca="false">AVERAGE(B4270:B4469)</f>
        <v>4470.96775</v>
      </c>
      <c r="E4469" s="7" t="n">
        <f aca="false">B4469/MAX(B4218:B4469)-1</f>
        <v>-0.00505585358673244</v>
      </c>
      <c r="F4469" s="7" t="str">
        <f aca="false">IFERROR(INDEX(02_轉折點45個!B:B,MATCH(A4469,02_轉折點45個!A:A,0)),"")</f>
        <v/>
      </c>
      <c r="G4469" s="7" t="s">
        <v>5494</v>
      </c>
    </row>
    <row r="4470" customFormat="false" ht="15" hidden="false" customHeight="false" outlineLevel="0" collapsed="false">
      <c r="A4470" s="7" t="s">
        <v>5544</v>
      </c>
      <c r="B4470" s="7" t="n">
        <v>4859.47</v>
      </c>
      <c r="C4470" s="7" t="n">
        <f aca="false">AVERAGE(B4421:B4470)</f>
        <v>4794.0704</v>
      </c>
      <c r="D4470" s="7" t="n">
        <f aca="false">AVERAGE(B4271:B4470)</f>
        <v>4472.41415</v>
      </c>
      <c r="E4470" s="7" t="n">
        <f aca="false">B4470/MAX(B4219:B4470)-1</f>
        <v>-0.00651965915410013</v>
      </c>
      <c r="F4470" s="7" t="str">
        <f aca="false">IFERROR(INDEX(02_轉折點45個!B:B,MATCH(A4470,02_轉折點45個!A:A,0)),"")</f>
        <v/>
      </c>
      <c r="G4470" s="7" t="s">
        <v>5494</v>
      </c>
    </row>
    <row r="4471" customFormat="false" ht="15" hidden="false" customHeight="false" outlineLevel="0" collapsed="false">
      <c r="A4471" s="7" t="s">
        <v>1275</v>
      </c>
      <c r="B4471" s="7" t="n">
        <v>4877.75</v>
      </c>
      <c r="C4471" s="7" t="n">
        <f aca="false">AVERAGE(B4422:B4471)</f>
        <v>4798.1832</v>
      </c>
      <c r="D4471" s="7" t="n">
        <f aca="false">AVERAGE(B4272:B4471)</f>
        <v>4474.31495</v>
      </c>
      <c r="E4471" s="7" t="n">
        <f aca="false">B4471/MAX(B4220:B4471)-1</f>
        <v>-0.0027824572307088</v>
      </c>
      <c r="F4471" s="7" t="str">
        <f aca="false">IFERROR(INDEX(02_轉折點45個!B:B,MATCH(A4471,02_轉折點45個!A:A,0)),"")</f>
        <v/>
      </c>
      <c r="G4471" s="7" t="s">
        <v>5494</v>
      </c>
    </row>
    <row r="4472" customFormat="false" ht="15" hidden="false" customHeight="false" outlineLevel="0" collapsed="false">
      <c r="A4472" s="7" t="s">
        <v>5545</v>
      </c>
      <c r="B4472" s="7" t="n">
        <v>4873.92</v>
      </c>
      <c r="C4472" s="7" t="n">
        <f aca="false">AVERAGE(B4423:B4472)</f>
        <v>4801.604</v>
      </c>
      <c r="D4472" s="7" t="n">
        <f aca="false">AVERAGE(B4273:B4472)</f>
        <v>4475.9872</v>
      </c>
      <c r="E4472" s="7" t="n">
        <f aca="false">B4472/MAX(B4221:B4472)-1</f>
        <v>-0.00356547054397949</v>
      </c>
      <c r="F4472" s="7" t="str">
        <f aca="false">IFERROR(INDEX(02_轉折點45個!B:B,MATCH(A4472,02_轉折點45個!A:A,0)),"")</f>
        <v/>
      </c>
      <c r="G4472" s="7" t="s">
        <v>5494</v>
      </c>
    </row>
    <row r="4473" customFormat="false" ht="15" hidden="false" customHeight="false" outlineLevel="0" collapsed="false">
      <c r="A4473" s="7" t="s">
        <v>5546</v>
      </c>
      <c r="B4473" s="7" t="n">
        <v>4864.52</v>
      </c>
      <c r="C4473" s="7" t="n">
        <f aca="false">AVERAGE(B4424:B4473)</f>
        <v>4804.4662</v>
      </c>
      <c r="D4473" s="7" t="n">
        <f aca="false">AVERAGE(B4274:B4473)</f>
        <v>4477.4654</v>
      </c>
      <c r="E4473" s="7" t="n">
        <f aca="false">B4473/MAX(B4222:B4473)-1</f>
        <v>-0.0054872264564455</v>
      </c>
      <c r="F4473" s="7" t="str">
        <f aca="false">IFERROR(INDEX(02_轉折點45個!B:B,MATCH(A4473,02_轉折點45個!A:A,0)),"")</f>
        <v/>
      </c>
      <c r="G4473" s="7" t="s">
        <v>5494</v>
      </c>
    </row>
    <row r="4474" customFormat="false" ht="15" hidden="false" customHeight="false" outlineLevel="0" collapsed="false">
      <c r="A4474" s="7" t="s">
        <v>1276</v>
      </c>
      <c r="B4474" s="7" t="n">
        <v>4893.77</v>
      </c>
      <c r="C4474" s="7" t="n">
        <f aca="false">AVERAGE(B4425:B4474)</f>
        <v>4807.737</v>
      </c>
      <c r="D4474" s="7" t="n">
        <f aca="false">AVERAGE(B4275:B4474)</f>
        <v>4478.88515</v>
      </c>
      <c r="E4474" s="7" t="n">
        <f aca="false">B4474/MAX(B4223:B4474)-1</f>
        <v>0</v>
      </c>
      <c r="F4474" s="7" t="str">
        <f aca="false">IFERROR(INDEX(02_轉折點45個!B:B,MATCH(A4474,02_轉折點45個!A:A,0)),"")</f>
        <v/>
      </c>
      <c r="G4474" s="7" t="s">
        <v>5494</v>
      </c>
    </row>
    <row r="4475" customFormat="false" ht="15" hidden="false" customHeight="false" outlineLevel="0" collapsed="false">
      <c r="A4475" s="7" t="s">
        <v>5547</v>
      </c>
      <c r="B4475" s="7" t="n">
        <v>4821.91</v>
      </c>
      <c r="C4475" s="7" t="n">
        <f aca="false">AVERAGE(B4426:B4475)</f>
        <v>4809.0544</v>
      </c>
      <c r="D4475" s="7" t="n">
        <f aca="false">AVERAGE(B4276:B4475)</f>
        <v>4479.9339</v>
      </c>
      <c r="E4475" s="7" t="n">
        <f aca="false">B4475/MAX(B4224:B4475)-1</f>
        <v>-0.0146839757487582</v>
      </c>
      <c r="F4475" s="7" t="str">
        <f aca="false">IFERROR(INDEX(02_轉折點45個!B:B,MATCH(A4475,02_轉折點45個!A:A,0)),"")</f>
        <v/>
      </c>
      <c r="G4475" s="7" t="s">
        <v>5494</v>
      </c>
    </row>
    <row r="4476" customFormat="false" ht="15" hidden="false" customHeight="false" outlineLevel="0" collapsed="false">
      <c r="A4476" s="7" t="s">
        <v>1277</v>
      </c>
      <c r="B4476" s="7" t="n">
        <v>4819.64</v>
      </c>
      <c r="C4476" s="7" t="n">
        <f aca="false">AVERAGE(B4427:B4476)</f>
        <v>4811.063</v>
      </c>
      <c r="D4476" s="7" t="n">
        <f aca="false">AVERAGE(B4277:B4476)</f>
        <v>4481.00555</v>
      </c>
      <c r="E4476" s="7" t="n">
        <f aca="false">B4476/MAX(B4225:B4476)-1</f>
        <v>-0.0151478308134628</v>
      </c>
      <c r="F4476" s="7" t="str">
        <f aca="false">IFERROR(INDEX(02_轉折點45個!B:B,MATCH(A4476,02_轉折點45個!A:A,0)),"")</f>
        <v/>
      </c>
      <c r="G4476" s="7" t="s">
        <v>5494</v>
      </c>
    </row>
    <row r="4477" customFormat="false" ht="15" hidden="false" customHeight="false" outlineLevel="0" collapsed="false">
      <c r="A4477" s="7" t="s">
        <v>1278</v>
      </c>
      <c r="B4477" s="7" t="n">
        <v>4803.1</v>
      </c>
      <c r="C4477" s="7" t="n">
        <f aca="false">AVERAGE(B4428:B4477)</f>
        <v>4812.4384</v>
      </c>
      <c r="D4477" s="7" t="n">
        <f aca="false">AVERAGE(B4278:B4477)</f>
        <v>4481.6887</v>
      </c>
      <c r="E4477" s="7" t="n">
        <f aca="false">B4477/MAX(B4226:B4477)-1</f>
        <v>-0.0185276382012232</v>
      </c>
      <c r="F4477" s="7" t="str">
        <f aca="false">IFERROR(INDEX(02_轉折點45個!B:B,MATCH(A4477,02_轉折點45個!A:A,0)),"")</f>
        <v/>
      </c>
      <c r="G4477" s="7" t="s">
        <v>5494</v>
      </c>
    </row>
    <row r="4478" customFormat="false" ht="15" hidden="false" customHeight="false" outlineLevel="0" collapsed="false">
      <c r="A4478" s="7" t="s">
        <v>5548</v>
      </c>
      <c r="B4478" s="7" t="n">
        <v>4808.48</v>
      </c>
      <c r="C4478" s="7" t="n">
        <f aca="false">AVERAGE(B4429:B4478)</f>
        <v>4813.7318</v>
      </c>
      <c r="D4478" s="7" t="n">
        <f aca="false">AVERAGE(B4279:B4478)</f>
        <v>4482.591</v>
      </c>
      <c r="E4478" s="7" t="n">
        <f aca="false">B4478/MAX(B4227:B4478)-1</f>
        <v>-0.0174282812637294</v>
      </c>
      <c r="F4478" s="7" t="str">
        <f aca="false">IFERROR(INDEX(02_轉折點45個!B:B,MATCH(A4478,02_轉折點45個!A:A,0)),"")</f>
        <v/>
      </c>
      <c r="G4478" s="7" t="s">
        <v>5494</v>
      </c>
    </row>
    <row r="4479" customFormat="false" ht="15" hidden="false" customHeight="false" outlineLevel="0" collapsed="false">
      <c r="A4479" s="7" t="s">
        <v>5549</v>
      </c>
      <c r="B4479" s="7" t="n">
        <v>4796.17</v>
      </c>
      <c r="C4479" s="7" t="n">
        <f aca="false">AVERAGE(B4430:B4479)</f>
        <v>4813.831</v>
      </c>
      <c r="D4479" s="7" t="n">
        <f aca="false">AVERAGE(B4280:B4479)</f>
        <v>4483.6987</v>
      </c>
      <c r="E4479" s="7" t="n">
        <f aca="false">B4479/MAX(B4228:B4479)-1</f>
        <v>-0.0199437243679209</v>
      </c>
      <c r="F4479" s="7" t="str">
        <f aca="false">IFERROR(INDEX(02_轉折點45個!B:B,MATCH(A4479,02_轉折點45個!A:A,0)),"")</f>
        <v/>
      </c>
      <c r="G4479" s="7" t="s">
        <v>5494</v>
      </c>
    </row>
    <row r="4480" customFormat="false" ht="15" hidden="false" customHeight="false" outlineLevel="0" collapsed="false">
      <c r="A4480" s="7" t="s">
        <v>5550</v>
      </c>
      <c r="B4480" s="7" t="n">
        <v>4839.72</v>
      </c>
      <c r="C4480" s="7" t="n">
        <f aca="false">AVERAGE(B4431:B4480)</f>
        <v>4814.9306</v>
      </c>
      <c r="D4480" s="7" t="n">
        <f aca="false">AVERAGE(B4281:B4480)</f>
        <v>4485.50065</v>
      </c>
      <c r="E4480" s="7" t="n">
        <f aca="false">B4480/MAX(B4229:B4480)-1</f>
        <v>-0.011044654734489</v>
      </c>
      <c r="F4480" s="7" t="str">
        <f aca="false">IFERROR(INDEX(02_轉折點45個!B:B,MATCH(A4480,02_轉折點45個!A:A,0)),"")</f>
        <v/>
      </c>
      <c r="G4480" s="7" t="s">
        <v>5494</v>
      </c>
    </row>
    <row r="4481" customFormat="false" ht="15" hidden="false" customHeight="false" outlineLevel="0" collapsed="false">
      <c r="A4481" s="7" t="s">
        <v>5551</v>
      </c>
      <c r="B4481" s="7" t="n">
        <v>4836.61</v>
      </c>
      <c r="C4481" s="7" t="n">
        <f aca="false">AVERAGE(B4432:B4481)</f>
        <v>4815.7478</v>
      </c>
      <c r="D4481" s="7" t="n">
        <f aca="false">AVERAGE(B4282:B4481)</f>
        <v>4487.3403</v>
      </c>
      <c r="E4481" s="7" t="n">
        <f aca="false">B4481/MAX(B4230:B4481)-1</f>
        <v>-0.0116801566072784</v>
      </c>
      <c r="F4481" s="7" t="str">
        <f aca="false">IFERROR(INDEX(02_轉折點45個!B:B,MATCH(A4481,02_轉折點45個!A:A,0)),"")</f>
        <v/>
      </c>
      <c r="G4481" s="7" t="s">
        <v>5494</v>
      </c>
    </row>
    <row r="4482" customFormat="false" ht="15" hidden="false" customHeight="false" outlineLevel="0" collapsed="false">
      <c r="A4482" s="7" t="s">
        <v>5552</v>
      </c>
      <c r="B4482" s="7" t="n">
        <v>4832.71</v>
      </c>
      <c r="C4482" s="7" t="n">
        <f aca="false">AVERAGE(B4433:B4482)</f>
        <v>4816.7342</v>
      </c>
      <c r="D4482" s="7" t="n">
        <f aca="false">AVERAGE(B4283:B4482)</f>
        <v>4489.41475</v>
      </c>
      <c r="E4482" s="7" t="n">
        <f aca="false">B4482/MAX(B4231:B4482)-1</f>
        <v>-0.0124770882162424</v>
      </c>
      <c r="F4482" s="7" t="str">
        <f aca="false">IFERROR(INDEX(02_轉折點45個!B:B,MATCH(A4482,02_轉折點45個!A:A,0)),"")</f>
        <v/>
      </c>
      <c r="G4482" s="7" t="s">
        <v>5494</v>
      </c>
    </row>
    <row r="4483" customFormat="false" ht="15" hidden="false" customHeight="false" outlineLevel="0" collapsed="false">
      <c r="A4483" s="7" t="s">
        <v>5553</v>
      </c>
      <c r="B4483" s="7" t="n">
        <v>4851.86</v>
      </c>
      <c r="C4483" s="7" t="n">
        <f aca="false">AVERAGE(B4434:B4483)</f>
        <v>4817.7052</v>
      </c>
      <c r="D4483" s="7" t="n">
        <f aca="false">AVERAGE(B4284:B4483)</f>
        <v>4492.25335</v>
      </c>
      <c r="E4483" s="7" t="n">
        <f aca="false">B4483/MAX(B4232:B4483)-1</f>
        <v>-0.00856394967479079</v>
      </c>
      <c r="F4483" s="7" t="str">
        <f aca="false">IFERROR(INDEX(02_轉折點45個!B:B,MATCH(A4483,02_轉折點45個!A:A,0)),"")</f>
        <v/>
      </c>
      <c r="G4483" s="7" t="s">
        <v>5494</v>
      </c>
    </row>
    <row r="4484" customFormat="false" ht="15" hidden="false" customHeight="false" outlineLevel="0" collapsed="false">
      <c r="A4484" s="7" t="s">
        <v>5554</v>
      </c>
      <c r="B4484" s="7" t="n">
        <v>4909.97</v>
      </c>
      <c r="C4484" s="7" t="n">
        <f aca="false">AVERAGE(B4435:B4484)</f>
        <v>4819.763</v>
      </c>
      <c r="D4484" s="7" t="n">
        <f aca="false">AVERAGE(B4285:B4484)</f>
        <v>4495.59175</v>
      </c>
      <c r="E4484" s="7" t="n">
        <f aca="false">B4484/MAX(B4233:B4484)-1</f>
        <v>0</v>
      </c>
      <c r="F4484" s="7" t="str">
        <f aca="false">IFERROR(INDEX(02_轉折點45個!B:B,MATCH(A4484,02_轉折點45個!A:A,0)),"")</f>
        <v/>
      </c>
      <c r="G4484" s="7" t="s">
        <v>5494</v>
      </c>
    </row>
    <row r="4485" customFormat="false" ht="15" hidden="false" customHeight="false" outlineLevel="0" collapsed="false">
      <c r="A4485" s="7" t="s">
        <v>5555</v>
      </c>
      <c r="B4485" s="7" t="n">
        <v>4891.45</v>
      </c>
      <c r="C4485" s="7" t="n">
        <f aca="false">AVERAGE(B4436:B4485)</f>
        <v>4821.0496</v>
      </c>
      <c r="D4485" s="7" t="n">
        <f aca="false">AVERAGE(B4286:B4485)</f>
        <v>4498.8633</v>
      </c>
      <c r="E4485" s="7" t="n">
        <f aca="false">B4485/MAX(B4234:B4485)-1</f>
        <v>-0.00377191714002334</v>
      </c>
      <c r="F4485" s="7" t="str">
        <f aca="false">IFERROR(INDEX(02_轉折點45個!B:B,MATCH(A4485,02_轉折點45個!A:A,0)),"")</f>
        <v/>
      </c>
      <c r="G4485" s="7" t="s">
        <v>5494</v>
      </c>
    </row>
    <row r="4486" customFormat="false" ht="15" hidden="false" customHeight="false" outlineLevel="0" collapsed="false">
      <c r="A4486" s="7" t="s">
        <v>5556</v>
      </c>
      <c r="B4486" s="7" t="n">
        <v>4860.59</v>
      </c>
      <c r="C4486" s="7" t="n">
        <f aca="false">AVERAGE(B4437:B4486)</f>
        <v>4822.3176</v>
      </c>
      <c r="D4486" s="7" t="n">
        <f aca="false">AVERAGE(B4287:B4486)</f>
        <v>4501.7616</v>
      </c>
      <c r="E4486" s="7" t="n">
        <f aca="false">B4486/MAX(B4235:B4486)-1</f>
        <v>-0.0100570879251808</v>
      </c>
      <c r="F4486" s="7" t="str">
        <f aca="false">IFERROR(INDEX(02_轉折點45個!B:B,MATCH(A4486,02_轉折點45個!A:A,0)),"")</f>
        <v/>
      </c>
      <c r="G4486" s="7" t="s">
        <v>5494</v>
      </c>
    </row>
    <row r="4487" customFormat="false" ht="15" hidden="false" customHeight="false" outlineLevel="0" collapsed="false">
      <c r="A4487" s="7" t="s">
        <v>5557</v>
      </c>
      <c r="B4487" s="7" t="n">
        <v>4836.45</v>
      </c>
      <c r="C4487" s="7" t="n">
        <f aca="false">AVERAGE(B4438:B4487)</f>
        <v>4822.9376</v>
      </c>
      <c r="D4487" s="7" t="n">
        <f aca="false">AVERAGE(B4288:B4487)</f>
        <v>4505.26945</v>
      </c>
      <c r="E4487" s="7" t="n">
        <f aca="false">B4487/MAX(B4236:B4487)-1</f>
        <v>-0.0149736149100709</v>
      </c>
      <c r="F4487" s="7" t="str">
        <f aca="false">IFERROR(INDEX(02_轉折點45個!B:B,MATCH(A4487,02_轉折點45個!A:A,0)),"")</f>
        <v/>
      </c>
      <c r="G4487" s="7" t="s">
        <v>5494</v>
      </c>
    </row>
    <row r="4488" customFormat="false" ht="15" hidden="false" customHeight="false" outlineLevel="0" collapsed="false">
      <c r="A4488" s="7" t="s">
        <v>1279</v>
      </c>
      <c r="B4488" s="7" t="n">
        <v>4805.59</v>
      </c>
      <c r="C4488" s="7" t="n">
        <f aca="false">AVERAGE(B4439:B4488)</f>
        <v>4822.8758</v>
      </c>
      <c r="D4488" s="7" t="n">
        <f aca="false">AVERAGE(B4289:B4488)</f>
        <v>4508.2167</v>
      </c>
      <c r="E4488" s="7" t="n">
        <f aca="false">B4488/MAX(B4237:B4488)-1</f>
        <v>-0.0212587856952283</v>
      </c>
      <c r="F4488" s="7" t="str">
        <f aca="false">IFERROR(INDEX(02_轉折點45個!B:B,MATCH(A4488,02_轉折點45個!A:A,0)),"")</f>
        <v/>
      </c>
      <c r="G4488" s="7" t="s">
        <v>5494</v>
      </c>
    </row>
    <row r="4489" customFormat="false" ht="15" hidden="false" customHeight="false" outlineLevel="0" collapsed="false">
      <c r="A4489" s="7" t="s">
        <v>1280</v>
      </c>
      <c r="B4489" s="7" t="n">
        <v>4801.27</v>
      </c>
      <c r="C4489" s="7" t="n">
        <f aca="false">AVERAGE(B4440:B4489)</f>
        <v>4822.7784</v>
      </c>
      <c r="D4489" s="7" t="n">
        <f aca="false">AVERAGE(B4290:B4489)</f>
        <v>4511.72055</v>
      </c>
      <c r="E4489" s="7" t="n">
        <f aca="false">B4489/MAX(B4238:B4489)-1</f>
        <v>-0.0221386281382574</v>
      </c>
      <c r="F4489" s="7" t="str">
        <f aca="false">IFERROR(INDEX(02_轉折點45個!B:B,MATCH(A4489,02_轉折點45個!A:A,0)),"")</f>
        <v/>
      </c>
      <c r="G4489" s="7" t="s">
        <v>5494</v>
      </c>
    </row>
    <row r="4490" customFormat="false" ht="15" hidden="false" customHeight="false" outlineLevel="0" collapsed="false">
      <c r="A4490" s="7" t="s">
        <v>1281</v>
      </c>
      <c r="B4490" s="7" t="n">
        <v>4766.94</v>
      </c>
      <c r="C4490" s="7" t="n">
        <f aca="false">AVERAGE(B4441:B4490)</f>
        <v>4821.946</v>
      </c>
      <c r="D4490" s="7" t="n">
        <f aca="false">AVERAGE(B4291:B4490)</f>
        <v>4515.10515</v>
      </c>
      <c r="E4490" s="7" t="n">
        <f aca="false">B4490/MAX(B4239:B4490)-1</f>
        <v>-0.029130524219089</v>
      </c>
      <c r="F4490" s="7" t="str">
        <f aca="false">IFERROR(INDEX(02_轉折點45個!B:B,MATCH(A4490,02_轉折點45個!A:A,0)),"")</f>
        <v/>
      </c>
      <c r="G4490" s="7" t="s">
        <v>5494</v>
      </c>
    </row>
    <row r="4491" customFormat="false" ht="15" hidden="false" customHeight="false" outlineLevel="0" collapsed="false">
      <c r="A4491" s="7" t="s">
        <v>1282</v>
      </c>
      <c r="B4491" s="7" t="n">
        <v>4726.91</v>
      </c>
      <c r="C4491" s="7" t="n">
        <f aca="false">AVERAGE(B4442:B4491)</f>
        <v>4820.1146</v>
      </c>
      <c r="D4491" s="7" t="n">
        <f aca="false">AVERAGE(B4292:B4491)</f>
        <v>4518.31365</v>
      </c>
      <c r="E4491" s="7" t="n">
        <f aca="false">B4491/MAX(B4240:B4491)-1</f>
        <v>-0.0372833235233617</v>
      </c>
      <c r="F4491" s="7" t="str">
        <f aca="false">IFERROR(INDEX(02_轉折點45個!B:B,MATCH(A4491,02_轉折點45個!A:A,0)),"")</f>
        <v/>
      </c>
      <c r="G4491" s="7" t="s">
        <v>5494</v>
      </c>
    </row>
    <row r="4492" customFormat="false" ht="15" hidden="false" customHeight="false" outlineLevel="0" collapsed="false">
      <c r="A4492" s="7" t="s">
        <v>5558</v>
      </c>
      <c r="B4492" s="7" t="n">
        <v>4679.1</v>
      </c>
      <c r="C4492" s="7" t="n">
        <f aca="false">AVERAGE(B4443:B4492)</f>
        <v>4818.0268</v>
      </c>
      <c r="D4492" s="7" t="n">
        <f aca="false">AVERAGE(B4293:B4492)</f>
        <v>4521.2814</v>
      </c>
      <c r="E4492" s="7" t="n">
        <f aca="false">B4492/MAX(B4241:B4492)-1</f>
        <v>-0.0470206538940157</v>
      </c>
      <c r="F4492" s="7" t="str">
        <f aca="false">IFERROR(INDEX(02_轉折點45個!B:B,MATCH(A4492,02_轉折點45個!A:A,0)),"")</f>
        <v/>
      </c>
      <c r="G4492" s="7" t="s">
        <v>5494</v>
      </c>
    </row>
    <row r="4493" customFormat="false" ht="15" hidden="false" customHeight="false" outlineLevel="0" collapsed="false">
      <c r="A4493" s="7" t="s">
        <v>5559</v>
      </c>
      <c r="B4493" s="7" t="n">
        <v>4660.46</v>
      </c>
      <c r="C4493" s="7" t="n">
        <f aca="false">AVERAGE(B4444:B4493)</f>
        <v>4815.7274</v>
      </c>
      <c r="D4493" s="7" t="n">
        <f aca="false">AVERAGE(B4294:B4493)</f>
        <v>4523.6118</v>
      </c>
      <c r="E4493" s="7" t="n">
        <f aca="false">B4493/MAX(B4242:B4493)-1</f>
        <v>-0.0508170111019008</v>
      </c>
      <c r="F4493" s="7" t="str">
        <f aca="false">IFERROR(INDEX(02_轉折點45個!B:B,MATCH(A4493,02_轉折點45個!A:A,0)),"")</f>
        <v/>
      </c>
      <c r="G4493" s="7" t="s">
        <v>5494</v>
      </c>
    </row>
    <row r="4494" customFormat="false" ht="15" hidden="false" customHeight="false" outlineLevel="0" collapsed="false">
      <c r="A4494" s="7" t="s">
        <v>1283</v>
      </c>
      <c r="B4494" s="7" t="n">
        <v>4773.73</v>
      </c>
      <c r="C4494" s="7" t="n">
        <f aca="false">AVERAGE(B4445:B4494)</f>
        <v>4815.5282</v>
      </c>
      <c r="D4494" s="7" t="n">
        <f aca="false">AVERAGE(B4295:B4494)</f>
        <v>4526.8406</v>
      </c>
      <c r="E4494" s="7" t="n">
        <f aca="false">B4494/MAX(B4243:B4494)-1</f>
        <v>-0.0277476237125687</v>
      </c>
      <c r="F4494" s="7" t="str">
        <f aca="false">IFERROR(INDEX(02_轉折點45個!B:B,MATCH(A4494,02_轉折點45個!A:A,0)),"")</f>
        <v/>
      </c>
      <c r="G4494" s="7" t="s">
        <v>5494</v>
      </c>
    </row>
    <row r="4495" customFormat="false" ht="15" hidden="false" customHeight="false" outlineLevel="0" collapsed="false">
      <c r="A4495" s="7" t="s">
        <v>5560</v>
      </c>
      <c r="B4495" s="7" t="n">
        <v>4804.92</v>
      </c>
      <c r="C4495" s="7" t="n">
        <f aca="false">AVERAGE(B4446:B4495)</f>
        <v>4815.8048</v>
      </c>
      <c r="D4495" s="7" t="n">
        <f aca="false">AVERAGE(B4296:B4495)</f>
        <v>4530.0007</v>
      </c>
      <c r="E4495" s="7" t="n">
        <f aca="false">B4495/MAX(B4244:B4495)-1</f>
        <v>-0.0213952427407907</v>
      </c>
      <c r="F4495" s="7" t="str">
        <f aca="false">IFERROR(INDEX(02_轉折點45個!B:B,MATCH(A4495,02_轉折點45個!A:A,0)),"")</f>
        <v/>
      </c>
      <c r="G4495" s="7" t="s">
        <v>5494</v>
      </c>
    </row>
    <row r="4496" customFormat="false" ht="15" hidden="false" customHeight="false" outlineLevel="0" collapsed="false">
      <c r="A4496" s="7" t="s">
        <v>5561</v>
      </c>
      <c r="B4496" s="7" t="n">
        <v>4825.18</v>
      </c>
      <c r="C4496" s="7" t="n">
        <f aca="false">AVERAGE(B4447:B4496)</f>
        <v>4816.7886</v>
      </c>
      <c r="D4496" s="7" t="n">
        <f aca="false">AVERAGE(B4297:B4496)</f>
        <v>4533.7166</v>
      </c>
      <c r="E4496" s="7" t="n">
        <f aca="false">B4496/MAX(B4245:B4496)-1</f>
        <v>-0.0172689446167695</v>
      </c>
      <c r="F4496" s="7" t="str">
        <f aca="false">IFERROR(INDEX(02_轉折點45個!B:B,MATCH(A4496,02_轉折點45個!A:A,0)),"")</f>
        <v/>
      </c>
      <c r="G4496" s="7" t="s">
        <v>5494</v>
      </c>
    </row>
    <row r="4497" customFormat="false" ht="15" hidden="false" customHeight="false" outlineLevel="0" collapsed="false">
      <c r="A4497" s="7" t="s">
        <v>5562</v>
      </c>
      <c r="B4497" s="7" t="n">
        <v>4747.03</v>
      </c>
      <c r="C4497" s="7" t="n">
        <f aca="false">AVERAGE(B4448:B4497)</f>
        <v>4816.3082</v>
      </c>
      <c r="D4497" s="7" t="n">
        <f aca="false">AVERAGE(B4298:B4497)</f>
        <v>4536.86585</v>
      </c>
      <c r="E4497" s="7" t="n">
        <f aca="false">B4497/MAX(B4246:B4497)-1</f>
        <v>-0.0331855388118462</v>
      </c>
      <c r="F4497" s="7" t="str">
        <f aca="false">IFERROR(INDEX(02_轉折點45個!B:B,MATCH(A4497,02_轉折點45個!A:A,0)),"")</f>
        <v/>
      </c>
      <c r="G4497" s="7" t="s">
        <v>5494</v>
      </c>
    </row>
    <row r="4498" customFormat="false" ht="15" hidden="false" customHeight="false" outlineLevel="0" collapsed="false">
      <c r="A4498" s="7" t="s">
        <v>5563</v>
      </c>
      <c r="B4498" s="7" t="n">
        <v>4751.95</v>
      </c>
      <c r="C4498" s="7" t="n">
        <f aca="false">AVERAGE(B4449:B4498)</f>
        <v>4815.6684</v>
      </c>
      <c r="D4498" s="7" t="n">
        <f aca="false">AVERAGE(B4299:B4498)</f>
        <v>4539.5497</v>
      </c>
      <c r="E4498" s="7" t="n">
        <f aca="false">B4498/MAX(B4247:B4498)-1</f>
        <v>-0.0321834960295074</v>
      </c>
      <c r="F4498" s="7" t="str">
        <f aca="false">IFERROR(INDEX(02_轉折點45個!B:B,MATCH(A4498,02_轉折點45個!A:A,0)),"")</f>
        <v/>
      </c>
      <c r="G4498" s="7" t="s">
        <v>5494</v>
      </c>
    </row>
    <row r="4499" customFormat="false" ht="15" hidden="false" customHeight="false" outlineLevel="0" collapsed="false">
      <c r="A4499" s="7" t="s">
        <v>5564</v>
      </c>
      <c r="B4499" s="7" t="n">
        <v>4702.04</v>
      </c>
      <c r="C4499" s="7" t="n">
        <f aca="false">AVERAGE(B4450:B4499)</f>
        <v>4813.7344</v>
      </c>
      <c r="D4499" s="7" t="n">
        <f aca="false">AVERAGE(B4300:B4499)</f>
        <v>4541.9547</v>
      </c>
      <c r="E4499" s="7" t="n">
        <f aca="false">B4499/MAX(B4248:B4499)-1</f>
        <v>-0.042348527587745</v>
      </c>
      <c r="F4499" s="7" t="str">
        <f aca="false">IFERROR(INDEX(02_轉折點45個!B:B,MATCH(A4499,02_轉折點45個!A:A,0)),"")</f>
        <v/>
      </c>
      <c r="G4499" s="7" t="s">
        <v>5494</v>
      </c>
    </row>
    <row r="4500" customFormat="false" ht="15" hidden="false" customHeight="false" outlineLevel="0" collapsed="false">
      <c r="A4500" s="7" t="s">
        <v>5565</v>
      </c>
      <c r="B4500" s="7" t="n">
        <v>4764.47</v>
      </c>
      <c r="C4500" s="7" t="n">
        <f aca="false">AVERAGE(B4451:B4500)</f>
        <v>4812.4336</v>
      </c>
      <c r="D4500" s="7" t="n">
        <f aca="false">AVERAGE(B4301:B4500)</f>
        <v>4545.14425</v>
      </c>
      <c r="E4500" s="7" t="n">
        <f aca="false">B4500/MAX(B4249:B4500)-1</f>
        <v>-0.0296335822825802</v>
      </c>
      <c r="F4500" s="7" t="str">
        <f aca="false">IFERROR(INDEX(02_轉折點45個!B:B,MATCH(A4500,02_轉折點45個!A:A,0)),"")</f>
        <v/>
      </c>
      <c r="G4500" s="7" t="s">
        <v>5494</v>
      </c>
    </row>
    <row r="4501" customFormat="false" ht="15" hidden="false" customHeight="false" outlineLevel="0" collapsed="false">
      <c r="A4501" s="7" t="s">
        <v>5566</v>
      </c>
      <c r="B4501" s="7" t="n">
        <v>4792.27</v>
      </c>
      <c r="C4501" s="7" t="n">
        <f aca="false">AVERAGE(B4452:B4501)</f>
        <v>4811.6418</v>
      </c>
      <c r="D4501" s="7" t="n">
        <f aca="false">AVERAGE(B4302:B4501)</f>
        <v>4548.53085</v>
      </c>
      <c r="E4501" s="7" t="n">
        <f aca="false">B4501/MAX(B4250:B4501)-1</f>
        <v>-0.0239716332279015</v>
      </c>
      <c r="F4501" s="7" t="str">
        <f aca="false">IFERROR(INDEX(02_轉折點45個!B:B,MATCH(A4501,02_轉折點45個!A:A,0)),"")</f>
        <v/>
      </c>
      <c r="G4501" s="7" t="s">
        <v>5494</v>
      </c>
    </row>
    <row r="4502" customFormat="false" ht="15" hidden="false" customHeight="false" outlineLevel="0" collapsed="false">
      <c r="A4502" s="7" t="s">
        <v>5567</v>
      </c>
      <c r="B4502" s="7" t="n">
        <v>4826.59</v>
      </c>
      <c r="C4502" s="7" t="n">
        <f aca="false">AVERAGE(B4453:B4502)</f>
        <v>4812.0936</v>
      </c>
      <c r="D4502" s="7" t="n">
        <f aca="false">AVERAGE(B4303:B4502)</f>
        <v>4552.06475</v>
      </c>
      <c r="E4502" s="7" t="n">
        <f aca="false">B4502/MAX(B4251:B4502)-1</f>
        <v>-0.016981773819392</v>
      </c>
      <c r="F4502" s="7" t="str">
        <f aca="false">IFERROR(INDEX(02_轉折點45個!B:B,MATCH(A4502,02_轉折點45個!A:A,0)),"")</f>
        <v/>
      </c>
      <c r="G4502" s="7" t="s">
        <v>5494</v>
      </c>
    </row>
    <row r="4503" customFormat="false" ht="15" hidden="false" customHeight="false" outlineLevel="0" collapsed="false">
      <c r="A4503" s="7" t="s">
        <v>1284</v>
      </c>
      <c r="B4503" s="7" t="n">
        <v>4808.04</v>
      </c>
      <c r="C4503" s="7" t="n">
        <f aca="false">AVERAGE(B4454:B4503)</f>
        <v>4814.6236</v>
      </c>
      <c r="D4503" s="7" t="n">
        <f aca="false">AVERAGE(B4304:B4503)</f>
        <v>4556.1747</v>
      </c>
      <c r="E4503" s="7" t="n">
        <f aca="false">B4503/MAX(B4252:B4503)-1</f>
        <v>-0.0207598009763808</v>
      </c>
      <c r="F4503" s="7" t="str">
        <f aca="false">IFERROR(INDEX(02_轉折點45個!B:B,MATCH(A4503,02_轉折點45個!A:A,0)),"")</f>
        <v/>
      </c>
      <c r="G4503" s="7" t="s">
        <v>5494</v>
      </c>
    </row>
    <row r="4504" customFormat="false" ht="15" hidden="false" customHeight="false" outlineLevel="0" collapsed="false">
      <c r="A4504" s="7" t="s">
        <v>1285</v>
      </c>
      <c r="B4504" s="7" t="n">
        <v>4859</v>
      </c>
      <c r="C4504" s="7" t="n">
        <f aca="false">AVERAGE(B4455:B4504)</f>
        <v>4816.5106</v>
      </c>
      <c r="D4504" s="7" t="n">
        <f aca="false">AVERAGE(B4305:B4504)</f>
        <v>4560.9021</v>
      </c>
      <c r="E4504" s="7" t="n">
        <f aca="false">B4504/MAX(B4253:B4504)-1</f>
        <v>-0.0103809188243513</v>
      </c>
      <c r="F4504" s="7" t="str">
        <f aca="false">IFERROR(INDEX(02_轉折點45個!B:B,MATCH(A4504,02_轉折點45個!A:A,0)),"")</f>
        <v/>
      </c>
      <c r="G4504" s="7" t="s">
        <v>5494</v>
      </c>
    </row>
    <row r="4505" customFormat="false" ht="15" hidden="false" customHeight="false" outlineLevel="0" collapsed="false">
      <c r="A4505" s="7" t="s">
        <v>5568</v>
      </c>
      <c r="B4505" s="7" t="n">
        <v>4873.84</v>
      </c>
      <c r="C4505" s="7" t="n">
        <f aca="false">AVERAGE(B4456:B4505)</f>
        <v>4819.5304</v>
      </c>
      <c r="D4505" s="7" t="n">
        <f aca="false">AVERAGE(B4306:B4505)</f>
        <v>4565.7722</v>
      </c>
      <c r="E4505" s="7" t="n">
        <f aca="false">B4505/MAX(B4254:B4505)-1</f>
        <v>-0.00735849709876035</v>
      </c>
      <c r="F4505" s="7" t="str">
        <f aca="false">IFERROR(INDEX(02_轉折點45個!B:B,MATCH(A4505,02_轉折點45個!A:A,0)),"")</f>
        <v/>
      </c>
      <c r="G4505" s="7" t="s">
        <v>5494</v>
      </c>
    </row>
    <row r="4506" customFormat="false" ht="15" hidden="false" customHeight="false" outlineLevel="0" collapsed="false">
      <c r="A4506" s="7" t="s">
        <v>5569</v>
      </c>
      <c r="B4506" s="7" t="n">
        <v>4853.86</v>
      </c>
      <c r="C4506" s="7" t="n">
        <f aca="false">AVERAGE(B4457:B4506)</f>
        <v>4821.6864</v>
      </c>
      <c r="D4506" s="7" t="n">
        <f aca="false">AVERAGE(B4307:B4506)</f>
        <v>4570.47465</v>
      </c>
      <c r="E4506" s="7" t="n">
        <f aca="false">B4506/MAX(B4255:B4506)-1</f>
        <v>-0.0114277683977704</v>
      </c>
      <c r="F4506" s="7" t="str">
        <f aca="false">IFERROR(INDEX(02_轉折點45個!B:B,MATCH(A4506,02_轉折點45個!A:A,0)),"")</f>
        <v/>
      </c>
      <c r="G4506" s="7" t="s">
        <v>5494</v>
      </c>
    </row>
    <row r="4507" customFormat="false" ht="15" hidden="false" customHeight="false" outlineLevel="0" collapsed="false">
      <c r="A4507" s="7" t="s">
        <v>5570</v>
      </c>
      <c r="B4507" s="7" t="n">
        <v>4870.02</v>
      </c>
      <c r="C4507" s="7" t="n">
        <f aca="false">AVERAGE(B4458:B4507)</f>
        <v>4822.6888</v>
      </c>
      <c r="D4507" s="7" t="n">
        <f aca="false">AVERAGE(B4308:B4507)</f>
        <v>4575.3344</v>
      </c>
      <c r="E4507" s="7" t="n">
        <f aca="false">B4507/MAX(B4256:B4507)-1</f>
        <v>-0.00813650592569803</v>
      </c>
      <c r="F4507" s="7" t="str">
        <f aca="false">IFERROR(INDEX(02_轉折點45個!B:B,MATCH(A4507,02_轉折點45個!A:A,0)),"")</f>
        <v/>
      </c>
      <c r="G4507" s="7" t="s">
        <v>5494</v>
      </c>
    </row>
    <row r="4508" customFormat="false" ht="15" hidden="false" customHeight="false" outlineLevel="0" collapsed="false">
      <c r="A4508" s="7" t="s">
        <v>5571</v>
      </c>
      <c r="B4508" s="7" t="n">
        <v>4857.02</v>
      </c>
      <c r="C4508" s="7" t="n">
        <f aca="false">AVERAGE(B4459:B4508)</f>
        <v>4823.4682</v>
      </c>
      <c r="D4508" s="7" t="n">
        <f aca="false">AVERAGE(B4309:B4508)</f>
        <v>4579.80635</v>
      </c>
      <c r="E4508" s="7" t="n">
        <f aca="false">B4508/MAX(B4257:B4508)-1</f>
        <v>-0.010784179944073</v>
      </c>
      <c r="F4508" s="7" t="str">
        <f aca="false">IFERROR(INDEX(02_轉折點45個!B:B,MATCH(A4508,02_轉折點45個!A:A,0)),"")</f>
        <v/>
      </c>
      <c r="G4508" s="7" t="s">
        <v>5494</v>
      </c>
    </row>
    <row r="4509" customFormat="false" ht="15" hidden="false" customHeight="false" outlineLevel="0" collapsed="false">
      <c r="A4509" s="7" t="s">
        <v>5572</v>
      </c>
      <c r="B4509" s="7" t="n">
        <v>4873.21</v>
      </c>
      <c r="C4509" s="7" t="n">
        <f aca="false">AVERAGE(B4460:B4509)</f>
        <v>4825.011</v>
      </c>
      <c r="D4509" s="7" t="n">
        <f aca="false">AVERAGE(B4310:B4509)</f>
        <v>4583.90955</v>
      </c>
      <c r="E4509" s="7" t="n">
        <f aca="false">B4509/MAX(B4258:B4509)-1</f>
        <v>-0.00748680745503538</v>
      </c>
      <c r="F4509" s="7" t="str">
        <f aca="false">IFERROR(INDEX(02_轉折點45個!B:B,MATCH(A4509,02_轉折點45個!A:A,0)),"")</f>
        <v/>
      </c>
      <c r="G4509" s="7" t="s">
        <v>5494</v>
      </c>
    </row>
    <row r="4510" customFormat="false" ht="15" hidden="false" customHeight="false" outlineLevel="0" collapsed="false">
      <c r="A4510" s="7" t="s">
        <v>5573</v>
      </c>
      <c r="B4510" s="7" t="n">
        <v>4810.81</v>
      </c>
      <c r="C4510" s="7" t="n">
        <f aca="false">AVERAGE(B4461:B4510)</f>
        <v>4825.1228</v>
      </c>
      <c r="D4510" s="7" t="n">
        <f aca="false">AVERAGE(B4311:B4510)</f>
        <v>4587.25265</v>
      </c>
      <c r="E4510" s="7" t="n">
        <f aca="false">B4510/MAX(B4259:B4510)-1</f>
        <v>-0.0201956427432346</v>
      </c>
      <c r="F4510" s="7" t="str">
        <f aca="false">IFERROR(INDEX(02_轉折點45個!B:B,MATCH(A4510,02_轉折點45個!A:A,0)),"")</f>
        <v/>
      </c>
      <c r="G4510" s="7" t="s">
        <v>5494</v>
      </c>
    </row>
    <row r="4511" customFormat="false" ht="15" hidden="false" customHeight="false" outlineLevel="0" collapsed="false">
      <c r="A4511" s="7" t="s">
        <v>1286</v>
      </c>
      <c r="B4511" s="7" t="n">
        <v>4734.1</v>
      </c>
      <c r="C4511" s="7" t="n">
        <f aca="false">AVERAGE(B4462:B4511)</f>
        <v>4822.7298</v>
      </c>
      <c r="D4511" s="7" t="n">
        <f aca="false">AVERAGE(B4312:B4511)</f>
        <v>4590.4247</v>
      </c>
      <c r="E4511" s="7" t="n">
        <f aca="false">B4511/MAX(B4260:B4511)-1</f>
        <v>-0.0358189561239681</v>
      </c>
      <c r="F4511" s="7" t="str">
        <f aca="false">IFERROR(INDEX(02_轉折點45個!B:B,MATCH(A4511,02_轉折點45個!A:A,0)),"")</f>
        <v/>
      </c>
      <c r="G4511" s="7" t="s">
        <v>5494</v>
      </c>
    </row>
    <row r="4512" customFormat="false" ht="15" hidden="false" customHeight="false" outlineLevel="0" collapsed="false">
      <c r="A4512" s="7" t="s">
        <v>5574</v>
      </c>
      <c r="B4512" s="7" t="n">
        <v>4739.37</v>
      </c>
      <c r="C4512" s="7" t="n">
        <f aca="false">AVERAGE(B4463:B4512)</f>
        <v>4819.69</v>
      </c>
      <c r="D4512" s="7" t="n">
        <f aca="false">AVERAGE(B4313:B4512)</f>
        <v>4593.54595</v>
      </c>
      <c r="E4512" s="7" t="n">
        <f aca="false">B4512/MAX(B4261:B4512)-1</f>
        <v>-0.0347456298103656</v>
      </c>
      <c r="F4512" s="7" t="str">
        <f aca="false">IFERROR(INDEX(02_轉折點45個!B:B,MATCH(A4512,02_轉折點45個!A:A,0)),"")</f>
        <v/>
      </c>
      <c r="G4512" s="7" t="s">
        <v>5494</v>
      </c>
    </row>
    <row r="4513" customFormat="false" ht="15" hidden="false" customHeight="false" outlineLevel="0" collapsed="false">
      <c r="A4513" s="7" t="s">
        <v>5575</v>
      </c>
      <c r="B4513" s="7" t="n">
        <v>4778.14</v>
      </c>
      <c r="C4513" s="7" t="n">
        <f aca="false">AVERAGE(B4464:B4513)</f>
        <v>4818.0746</v>
      </c>
      <c r="D4513" s="7" t="n">
        <f aca="false">AVERAGE(B4314:B4513)</f>
        <v>4596.55875</v>
      </c>
      <c r="E4513" s="7" t="n">
        <f aca="false">B4513/MAX(B4262:B4513)-1</f>
        <v>-0.0268494512186429</v>
      </c>
      <c r="F4513" s="7" t="str">
        <f aca="false">IFERROR(INDEX(02_轉折點45個!B:B,MATCH(A4513,02_轉折點45個!A:A,0)),"")</f>
        <v/>
      </c>
      <c r="G4513" s="7" t="s">
        <v>5494</v>
      </c>
    </row>
    <row r="4514" customFormat="false" ht="15" hidden="false" customHeight="false" outlineLevel="0" collapsed="false">
      <c r="A4514" s="7" t="s">
        <v>5576</v>
      </c>
      <c r="B4514" s="7" t="n">
        <v>4788.67</v>
      </c>
      <c r="C4514" s="7" t="n">
        <f aca="false">AVERAGE(B4465:B4514)</f>
        <v>4817.5046</v>
      </c>
      <c r="D4514" s="7" t="n">
        <f aca="false">AVERAGE(B4315:B4514)</f>
        <v>4599.93035</v>
      </c>
      <c r="E4514" s="7" t="n">
        <f aca="false">B4514/MAX(B4263:B4514)-1</f>
        <v>-0.0247048352637593</v>
      </c>
      <c r="F4514" s="7" t="str">
        <f aca="false">IFERROR(INDEX(02_轉折點45個!B:B,MATCH(A4514,02_轉折點45個!A:A,0)),"")</f>
        <v/>
      </c>
      <c r="G4514" s="7" t="s">
        <v>5494</v>
      </c>
    </row>
    <row r="4515" customFormat="false" ht="15" hidden="false" customHeight="false" outlineLevel="0" collapsed="false">
      <c r="A4515" s="7" t="s">
        <v>5577</v>
      </c>
      <c r="B4515" s="7" t="n">
        <v>4851.94</v>
      </c>
      <c r="C4515" s="7" t="n">
        <f aca="false">AVERAGE(B4466:B4515)</f>
        <v>4817.2092</v>
      </c>
      <c r="D4515" s="7" t="n">
        <f aca="false">AVERAGE(B4316:B4515)</f>
        <v>4603.44005</v>
      </c>
      <c r="E4515" s="7" t="n">
        <f aca="false">B4515/MAX(B4264:B4515)-1</f>
        <v>-0.0118188094835612</v>
      </c>
      <c r="F4515" s="7" t="str">
        <f aca="false">IFERROR(INDEX(02_轉折點45個!B:B,MATCH(A4515,02_轉折點45個!A:A,0)),"")</f>
        <v/>
      </c>
      <c r="G4515" s="7" t="s">
        <v>5494</v>
      </c>
    </row>
    <row r="4516" customFormat="false" ht="15" hidden="false" customHeight="false" outlineLevel="0" collapsed="false">
      <c r="A4516" s="7" t="s">
        <v>5578</v>
      </c>
      <c r="B4516" s="7" t="n">
        <v>4859.19</v>
      </c>
      <c r="C4516" s="7" t="n">
        <f aca="false">AVERAGE(B4467:B4516)</f>
        <v>4816.8876</v>
      </c>
      <c r="D4516" s="7" t="n">
        <f aca="false">AVERAGE(B4317:B4516)</f>
        <v>4606.80515</v>
      </c>
      <c r="E4516" s="7" t="n">
        <f aca="false">B4516/MAX(B4265:B4516)-1</f>
        <v>-0.0103422220502367</v>
      </c>
      <c r="F4516" s="7" t="str">
        <f aca="false">IFERROR(INDEX(02_轉折點45個!B:B,MATCH(A4516,02_轉折點45個!A:A,0)),"")</f>
        <v/>
      </c>
      <c r="G4516" s="7" t="s">
        <v>5494</v>
      </c>
    </row>
    <row r="4517" customFormat="false" ht="15" hidden="false" customHeight="false" outlineLevel="0" collapsed="false">
      <c r="A4517" s="7" t="s">
        <v>5579</v>
      </c>
      <c r="B4517" s="7" t="n">
        <v>4895.9</v>
      </c>
      <c r="C4517" s="7" t="n">
        <f aca="false">AVERAGE(B4468:B4517)</f>
        <v>4818.0396</v>
      </c>
      <c r="D4517" s="7" t="n">
        <f aca="false">AVERAGE(B4318:B4517)</f>
        <v>4610.316</v>
      </c>
      <c r="E4517" s="7" t="n">
        <f aca="false">B4517/MAX(B4266:B4517)-1</f>
        <v>-0.00286559795681041</v>
      </c>
      <c r="F4517" s="7" t="str">
        <f aca="false">IFERROR(INDEX(02_轉折點45個!B:B,MATCH(A4517,02_轉折點45個!A:A,0)),"")</f>
        <v/>
      </c>
      <c r="G4517" s="7" t="s">
        <v>5494</v>
      </c>
    </row>
    <row r="4518" customFormat="false" ht="15" hidden="false" customHeight="false" outlineLevel="0" collapsed="false">
      <c r="A4518" s="7" t="s">
        <v>5580</v>
      </c>
      <c r="B4518" s="7" t="n">
        <v>4874.3</v>
      </c>
      <c r="C4518" s="7" t="n">
        <f aca="false">AVERAGE(B4469:B4518)</f>
        <v>4818.0116</v>
      </c>
      <c r="D4518" s="7" t="n">
        <f aca="false">AVERAGE(B4319:B4518)</f>
        <v>4613.8674</v>
      </c>
      <c r="E4518" s="7" t="n">
        <f aca="false">B4518/MAX(B4267:B4518)-1</f>
        <v>-0.00726481017195624</v>
      </c>
      <c r="F4518" s="7" t="str">
        <f aca="false">IFERROR(INDEX(02_轉折點45個!B:B,MATCH(A4518,02_轉折點45個!A:A,0)),"")</f>
        <v/>
      </c>
      <c r="G4518" s="7" t="s">
        <v>5494</v>
      </c>
    </row>
    <row r="4519" customFormat="false" ht="15" hidden="false" customHeight="false" outlineLevel="0" collapsed="false">
      <c r="A4519" s="7" t="s">
        <v>5581</v>
      </c>
      <c r="B4519" s="7" t="n">
        <v>4935.84</v>
      </c>
      <c r="C4519" s="7" t="n">
        <f aca="false">AVERAGE(B4470:B4519)</f>
        <v>4819.3958</v>
      </c>
      <c r="D4519" s="7" t="n">
        <f aca="false">AVERAGE(B4320:B4519)</f>
        <v>4617.12515</v>
      </c>
      <c r="E4519" s="7" t="n">
        <f aca="false">B4519/MAX(B4268:B4519)-1</f>
        <v>0</v>
      </c>
      <c r="F4519" s="7" t="str">
        <f aca="false">IFERROR(INDEX(02_轉折點45個!B:B,MATCH(A4519,02_轉折點45個!A:A,0)),"")</f>
        <v/>
      </c>
      <c r="G4519" s="7" t="s">
        <v>5494</v>
      </c>
    </row>
    <row r="4520" customFormat="false" ht="15" hidden="false" customHeight="false" outlineLevel="0" collapsed="false">
      <c r="A4520" s="7" t="s">
        <v>5582</v>
      </c>
      <c r="B4520" s="7" t="n">
        <v>4921.22</v>
      </c>
      <c r="C4520" s="7" t="n">
        <f aca="false">AVERAGE(B4471:B4520)</f>
        <v>4820.6308</v>
      </c>
      <c r="D4520" s="7" t="n">
        <f aca="false">AVERAGE(B4321:B4520)</f>
        <v>4620.24665</v>
      </c>
      <c r="E4520" s="7" t="n">
        <f aca="false">B4520/MAX(B4269:B4520)-1</f>
        <v>-0.00296200849298189</v>
      </c>
      <c r="F4520" s="7" t="str">
        <f aca="false">IFERROR(INDEX(02_轉折點45個!B:B,MATCH(A4520,02_轉折點45個!A:A,0)),"")</f>
        <v/>
      </c>
      <c r="G4520" s="7" t="s">
        <v>5494</v>
      </c>
    </row>
    <row r="4521" customFormat="false" ht="15" hidden="false" customHeight="false" outlineLevel="0" collapsed="false">
      <c r="A4521" s="7" t="s">
        <v>5583</v>
      </c>
      <c r="B4521" s="7" t="n">
        <v>4933.41</v>
      </c>
      <c r="C4521" s="7" t="n">
        <f aca="false">AVERAGE(B4472:B4521)</f>
        <v>4821.744</v>
      </c>
      <c r="D4521" s="7" t="n">
        <f aca="false">AVERAGE(B4322:B4521)</f>
        <v>4623.41085</v>
      </c>
      <c r="E4521" s="7" t="n">
        <f aca="false">B4521/MAX(B4270:B4521)-1</f>
        <v>-0.000492317417096211</v>
      </c>
      <c r="F4521" s="7" t="str">
        <f aca="false">IFERROR(INDEX(02_轉折點45個!B:B,MATCH(A4521,02_轉折點45個!A:A,0)),"")</f>
        <v/>
      </c>
      <c r="G4521" s="7" t="s">
        <v>5494</v>
      </c>
    </row>
    <row r="4522" customFormat="false" ht="15" hidden="false" customHeight="false" outlineLevel="0" collapsed="false">
      <c r="A4522" s="7" t="s">
        <v>5584</v>
      </c>
      <c r="B4522" s="7" t="n">
        <v>4914.86</v>
      </c>
      <c r="C4522" s="7" t="n">
        <f aca="false">AVERAGE(B4473:B4522)</f>
        <v>4822.5628</v>
      </c>
      <c r="D4522" s="7" t="n">
        <f aca="false">AVERAGE(B4323:B4522)</f>
        <v>4626.43845</v>
      </c>
      <c r="E4522" s="7" t="n">
        <f aca="false">B4522/MAX(B4271:B4522)-1</f>
        <v>-0.00425054296735727</v>
      </c>
      <c r="F4522" s="7" t="str">
        <f aca="false">IFERROR(INDEX(02_轉折點45個!B:B,MATCH(A4522,02_轉折點45個!A:A,0)),"")</f>
        <v/>
      </c>
      <c r="G4522" s="7" t="s">
        <v>5494</v>
      </c>
    </row>
    <row r="4523" customFormat="false" ht="15" hidden="false" customHeight="false" outlineLevel="0" collapsed="false">
      <c r="A4523" s="7" t="s">
        <v>5585</v>
      </c>
      <c r="B4523" s="7" t="n">
        <v>4934.85</v>
      </c>
      <c r="C4523" s="7" t="n">
        <f aca="false">AVERAGE(B4474:B4523)</f>
        <v>4823.9694</v>
      </c>
      <c r="D4523" s="7" t="n">
        <f aca="false">AVERAGE(B4324:B4523)</f>
        <v>4629.60605</v>
      </c>
      <c r="E4523" s="7" t="n">
        <f aca="false">B4523/MAX(B4272:B4523)-1</f>
        <v>-0.000200573762520584</v>
      </c>
      <c r="F4523" s="7" t="str">
        <f aca="false">IFERROR(INDEX(02_轉折點45個!B:B,MATCH(A4523,02_轉折點45個!A:A,0)),"")</f>
        <v/>
      </c>
      <c r="G4523" s="7" t="s">
        <v>5494</v>
      </c>
    </row>
    <row r="4524" customFormat="false" ht="15" hidden="false" customHeight="false" outlineLevel="0" collapsed="false">
      <c r="A4524" s="7" t="s">
        <v>5586</v>
      </c>
      <c r="B4524" s="7" t="n">
        <v>4953.8</v>
      </c>
      <c r="C4524" s="7" t="n">
        <f aca="false">AVERAGE(B4475:B4524)</f>
        <v>4825.17</v>
      </c>
      <c r="D4524" s="7" t="n">
        <f aca="false">AVERAGE(B4325:B4524)</f>
        <v>4633.1399</v>
      </c>
      <c r="E4524" s="7" t="n">
        <f aca="false">B4524/MAX(B4273:B4524)-1</f>
        <v>0</v>
      </c>
      <c r="F4524" s="7" t="str">
        <f aca="false">IFERROR(INDEX(02_轉折點45個!B:B,MATCH(A4524,02_轉折點45個!A:A,0)),"")</f>
        <v/>
      </c>
      <c r="G4524" s="7" t="s">
        <v>5494</v>
      </c>
    </row>
    <row r="4525" customFormat="false" ht="15" hidden="false" customHeight="false" outlineLevel="0" collapsed="false">
      <c r="A4525" s="7" t="s">
        <v>5587</v>
      </c>
      <c r="B4525" s="7" t="n">
        <v>4948.91</v>
      </c>
      <c r="C4525" s="7" t="n">
        <f aca="false">AVERAGE(B4476:B4525)</f>
        <v>4827.71</v>
      </c>
      <c r="D4525" s="7" t="n">
        <f aca="false">AVERAGE(B4326:B4525)</f>
        <v>4636.5325</v>
      </c>
      <c r="E4525" s="7" t="n">
        <f aca="false">B4525/MAX(B4274:B4525)-1</f>
        <v>-0.000987120998021784</v>
      </c>
      <c r="F4525" s="7" t="str">
        <f aca="false">IFERROR(INDEX(02_轉折點45個!B:B,MATCH(A4525,02_轉折點45個!A:A,0)),"")</f>
        <v/>
      </c>
      <c r="G4525" s="7" t="s">
        <v>5494</v>
      </c>
    </row>
    <row r="4526" customFormat="false" ht="15" hidden="false" customHeight="false" outlineLevel="0" collapsed="false">
      <c r="A4526" s="7" t="s">
        <v>5588</v>
      </c>
      <c r="B4526" s="7" t="n">
        <v>4934.39</v>
      </c>
      <c r="C4526" s="7" t="n">
        <f aca="false">AVERAGE(B4477:B4526)</f>
        <v>4830.005</v>
      </c>
      <c r="D4526" s="7" t="n">
        <f aca="false">AVERAGE(B4327:B4526)</f>
        <v>4639.90835</v>
      </c>
      <c r="E4526" s="7" t="n">
        <f aca="false">B4526/MAX(B4275:B4526)-1</f>
        <v>-0.0039182042068715</v>
      </c>
      <c r="F4526" s="7" t="str">
        <f aca="false">IFERROR(INDEX(02_轉折點45個!B:B,MATCH(A4526,02_轉折點45個!A:A,0)),"")</f>
        <v/>
      </c>
      <c r="G4526" s="7" t="s">
        <v>5494</v>
      </c>
    </row>
    <row r="4527" customFormat="false" ht="15" hidden="false" customHeight="false" outlineLevel="0" collapsed="false">
      <c r="A4527" s="7" t="s">
        <v>5589</v>
      </c>
      <c r="B4527" s="7" t="n">
        <v>4940.02</v>
      </c>
      <c r="C4527" s="7" t="n">
        <f aca="false">AVERAGE(B4478:B4527)</f>
        <v>4832.7434</v>
      </c>
      <c r="D4527" s="7" t="n">
        <f aca="false">AVERAGE(B4328:B4527)</f>
        <v>4642.9181</v>
      </c>
      <c r="E4527" s="7" t="n">
        <f aca="false">B4527/MAX(B4276:B4527)-1</f>
        <v>-0.00278170293512048</v>
      </c>
      <c r="F4527" s="7" t="str">
        <f aca="false">IFERROR(INDEX(02_轉折點45個!B:B,MATCH(A4527,02_轉折點45個!A:A,0)),"")</f>
        <v/>
      </c>
      <c r="G4527" s="7" t="s">
        <v>5494</v>
      </c>
    </row>
    <row r="4528" customFormat="false" ht="15" hidden="false" customHeight="false" outlineLevel="0" collapsed="false">
      <c r="A4528" s="7" t="s">
        <v>5590</v>
      </c>
      <c r="B4528" s="7" t="n">
        <v>4965.81</v>
      </c>
      <c r="C4528" s="7" t="n">
        <f aca="false">AVERAGE(B4479:B4528)</f>
        <v>4835.89</v>
      </c>
      <c r="D4528" s="7" t="n">
        <f aca="false">AVERAGE(B4329:B4528)</f>
        <v>4646.0485</v>
      </c>
      <c r="E4528" s="7" t="n">
        <f aca="false">B4528/MAX(B4277:B4528)-1</f>
        <v>0</v>
      </c>
      <c r="F4528" s="7" t="str">
        <f aca="false">IFERROR(INDEX(02_轉折點45個!B:B,MATCH(A4528,02_轉折點45個!A:A,0)),"")</f>
        <v/>
      </c>
      <c r="G4528" s="7" t="s">
        <v>5494</v>
      </c>
    </row>
    <row r="4529" customFormat="false" ht="15" hidden="false" customHeight="false" outlineLevel="0" collapsed="false">
      <c r="A4529" s="7" t="s">
        <v>1287</v>
      </c>
      <c r="B4529" s="7" t="n">
        <v>4926.29</v>
      </c>
      <c r="C4529" s="7" t="n">
        <f aca="false">AVERAGE(B4480:B4529)</f>
        <v>4838.4924</v>
      </c>
      <c r="D4529" s="7" t="n">
        <f aca="false">AVERAGE(B4330:B4529)</f>
        <v>4649.08005</v>
      </c>
      <c r="E4529" s="7" t="n">
        <f aca="false">B4529/MAX(B4278:B4529)-1</f>
        <v>-0.00795841967372901</v>
      </c>
      <c r="F4529" s="7" t="str">
        <f aca="false">IFERROR(INDEX(02_轉折點45個!B:B,MATCH(A4529,02_轉折點45個!A:A,0)),"")</f>
        <v/>
      </c>
      <c r="G4529" s="7" t="s">
        <v>5494</v>
      </c>
    </row>
    <row r="4530" customFormat="false" ht="15" hidden="false" customHeight="false" outlineLevel="0" collapsed="false">
      <c r="A4530" s="7" t="s">
        <v>1288</v>
      </c>
      <c r="B4530" s="7" t="n">
        <v>4918.28</v>
      </c>
      <c r="C4530" s="7" t="n">
        <f aca="false">AVERAGE(B4481:B4530)</f>
        <v>4840.0636</v>
      </c>
      <c r="D4530" s="7" t="n">
        <f aca="false">AVERAGE(B4331:B4530)</f>
        <v>4651.9103</v>
      </c>
      <c r="E4530" s="7" t="n">
        <f aca="false">B4530/MAX(B4279:B4530)-1</f>
        <v>-0.00957144957217471</v>
      </c>
      <c r="F4530" s="7" t="str">
        <f aca="false">IFERROR(INDEX(02_轉折點45個!B:B,MATCH(A4530,02_轉折點45個!A:A,0)),"")</f>
        <v/>
      </c>
      <c r="G4530" s="7" t="s">
        <v>5494</v>
      </c>
    </row>
    <row r="4531" customFormat="false" ht="15" hidden="false" customHeight="false" outlineLevel="0" collapsed="false">
      <c r="A4531" s="7" t="s">
        <v>5591</v>
      </c>
      <c r="B4531" s="7" t="n">
        <v>4863.62</v>
      </c>
      <c r="C4531" s="7" t="n">
        <f aca="false">AVERAGE(B4482:B4531)</f>
        <v>4840.6038</v>
      </c>
      <c r="D4531" s="7" t="n">
        <f aca="false">AVERAGE(B4332:B4531)</f>
        <v>4654.4169</v>
      </c>
      <c r="E4531" s="7" t="n">
        <f aca="false">B4531/MAX(B4280:B4531)-1</f>
        <v>-0.0205787172686833</v>
      </c>
      <c r="F4531" s="7" t="str">
        <f aca="false">IFERROR(INDEX(02_轉折點45個!B:B,MATCH(A4531,02_轉折點45個!A:A,0)),"")</f>
        <v/>
      </c>
      <c r="G4531" s="7" t="s">
        <v>5494</v>
      </c>
    </row>
    <row r="4532" customFormat="false" ht="15" hidden="false" customHeight="false" outlineLevel="0" collapsed="false">
      <c r="A4532" s="7" t="s">
        <v>5592</v>
      </c>
      <c r="B4532" s="7" t="n">
        <v>4911.33</v>
      </c>
      <c r="C4532" s="7" t="n">
        <f aca="false">AVERAGE(B4483:B4532)</f>
        <v>4842.1762</v>
      </c>
      <c r="D4532" s="7" t="n">
        <f aca="false">AVERAGE(B4333:B4532)</f>
        <v>4657.0677</v>
      </c>
      <c r="E4532" s="7" t="n">
        <f aca="false">B4532/MAX(B4281:B4532)-1</f>
        <v>-0.0109710198336224</v>
      </c>
      <c r="F4532" s="7" t="str">
        <f aca="false">IFERROR(INDEX(02_轉折點45個!B:B,MATCH(A4532,02_轉折點45個!A:A,0)),"")</f>
        <v/>
      </c>
      <c r="G4532" s="7" t="s">
        <v>5494</v>
      </c>
    </row>
    <row r="4533" customFormat="false" ht="15" hidden="false" customHeight="false" outlineLevel="0" collapsed="false">
      <c r="A4533" s="7" t="s">
        <v>1290</v>
      </c>
      <c r="B4533" s="7" t="n">
        <v>4937.21</v>
      </c>
      <c r="C4533" s="7" t="n">
        <f aca="false">AVERAGE(B4484:B4533)</f>
        <v>4843.8832</v>
      </c>
      <c r="D4533" s="7" t="n">
        <f aca="false">AVERAGE(B4334:B4533)</f>
        <v>4659.7875</v>
      </c>
      <c r="E4533" s="7" t="n">
        <f aca="false">B4533/MAX(B4282:B4533)-1</f>
        <v>-0.00575938265861975</v>
      </c>
      <c r="F4533" s="7" t="str">
        <f aca="false">IFERROR(INDEX(02_轉折點45個!B:B,MATCH(A4533,02_轉折點45個!A:A,0)),"")</f>
        <v/>
      </c>
      <c r="G4533" s="7" t="s">
        <v>5494</v>
      </c>
    </row>
    <row r="4534" customFormat="false" ht="15" hidden="false" customHeight="false" outlineLevel="0" collapsed="false">
      <c r="A4534" s="7" t="s">
        <v>5593</v>
      </c>
      <c r="B4534" s="7" t="n">
        <v>4964.95</v>
      </c>
      <c r="C4534" s="7" t="n">
        <f aca="false">AVERAGE(B4485:B4534)</f>
        <v>4844.9828</v>
      </c>
      <c r="D4534" s="7" t="n">
        <f aca="false">AVERAGE(B4335:B4534)</f>
        <v>4662.58755</v>
      </c>
      <c r="E4534" s="7" t="n">
        <f aca="false">B4534/MAX(B4283:B4534)-1</f>
        <v>-0.000173184233790757</v>
      </c>
      <c r="F4534" s="7" t="str">
        <f aca="false">IFERROR(INDEX(02_轉折點45個!B:B,MATCH(A4534,02_轉折點45個!A:A,0)),"")</f>
        <v/>
      </c>
      <c r="G4534" s="7" t="s">
        <v>5494</v>
      </c>
    </row>
    <row r="4535" customFormat="false" ht="15" hidden="false" customHeight="false" outlineLevel="0" collapsed="false">
      <c r="A4535" s="7" t="s">
        <v>5594</v>
      </c>
      <c r="B4535" s="7" t="n">
        <v>5007.08</v>
      </c>
      <c r="C4535" s="7" t="n">
        <f aca="false">AVERAGE(B4486:B4535)</f>
        <v>4847.2954</v>
      </c>
      <c r="D4535" s="7" t="n">
        <f aca="false">AVERAGE(B4336:B4535)</f>
        <v>4665.83945</v>
      </c>
      <c r="E4535" s="7" t="n">
        <f aca="false">B4535/MAX(B4284:B4535)-1</f>
        <v>0</v>
      </c>
      <c r="F4535" s="7" t="str">
        <f aca="false">IFERROR(INDEX(02_轉折點45個!B:B,MATCH(A4535,02_轉折點45個!A:A,0)),"")</f>
        <v/>
      </c>
      <c r="G4535" s="7" t="s">
        <v>5494</v>
      </c>
    </row>
    <row r="4536" customFormat="false" ht="15" hidden="false" customHeight="false" outlineLevel="0" collapsed="false">
      <c r="A4536" s="7" t="s">
        <v>5595</v>
      </c>
      <c r="B4536" s="7" t="n">
        <v>5024.9</v>
      </c>
      <c r="C4536" s="7" t="n">
        <f aca="false">AVERAGE(B4487:B4536)</f>
        <v>4850.5816</v>
      </c>
      <c r="D4536" s="7" t="n">
        <f aca="false">AVERAGE(B4337:B4536)</f>
        <v>4669.15925</v>
      </c>
      <c r="E4536" s="7" t="n">
        <f aca="false">B4536/MAX(B4285:B4536)-1</f>
        <v>0</v>
      </c>
      <c r="F4536" s="7" t="str">
        <f aca="false">IFERROR(INDEX(02_轉折點45個!B:B,MATCH(A4536,02_轉折點45個!A:A,0)),"")</f>
        <v/>
      </c>
      <c r="G4536" s="7" t="s">
        <v>5494</v>
      </c>
    </row>
    <row r="4537" customFormat="false" ht="15" hidden="false" customHeight="false" outlineLevel="0" collapsed="false">
      <c r="A4537" s="7" t="s">
        <v>5596</v>
      </c>
      <c r="B4537" s="7" t="n">
        <v>5035.17</v>
      </c>
      <c r="C4537" s="7" t="n">
        <f aca="false">AVERAGE(B4488:B4537)</f>
        <v>4854.556</v>
      </c>
      <c r="D4537" s="7" t="n">
        <f aca="false">AVERAGE(B4338:B4537)</f>
        <v>4672.56105</v>
      </c>
      <c r="E4537" s="7" t="n">
        <f aca="false">B4537/MAX(B4286:B4537)-1</f>
        <v>0</v>
      </c>
      <c r="F4537" s="7" t="str">
        <f aca="false">IFERROR(INDEX(02_轉折點45個!B:B,MATCH(A4537,02_轉折點45個!A:A,0)),"")</f>
        <v/>
      </c>
      <c r="G4537" s="7" t="s">
        <v>5494</v>
      </c>
    </row>
    <row r="4538" customFormat="false" ht="15" hidden="false" customHeight="false" outlineLevel="0" collapsed="false">
      <c r="A4538" s="7" t="s">
        <v>5597</v>
      </c>
      <c r="B4538" s="7" t="n">
        <v>5050.21</v>
      </c>
      <c r="C4538" s="7" t="n">
        <f aca="false">AVERAGE(B4489:B4538)</f>
        <v>4859.4484</v>
      </c>
      <c r="D4538" s="7" t="n">
        <f aca="false">AVERAGE(B4339:B4538)</f>
        <v>4675.6734</v>
      </c>
      <c r="E4538" s="7" t="n">
        <f aca="false">B4538/MAX(B4287:B4538)-1</f>
        <v>0</v>
      </c>
      <c r="F4538" s="7" t="str">
        <f aca="false">IFERROR(INDEX(02_轉折點45個!B:B,MATCH(A4538,02_轉折點45個!A:A,0)),"")</f>
        <v/>
      </c>
      <c r="G4538" s="7" t="s">
        <v>5494</v>
      </c>
    </row>
    <row r="4539" customFormat="false" ht="15" hidden="false" customHeight="false" outlineLevel="0" collapsed="false">
      <c r="A4539" s="7" t="s">
        <v>5598</v>
      </c>
      <c r="B4539" s="7" t="n">
        <v>5041.43</v>
      </c>
      <c r="C4539" s="7" t="n">
        <f aca="false">AVERAGE(B4490:B4539)</f>
        <v>4864.2516</v>
      </c>
      <c r="D4539" s="7" t="n">
        <f aca="false">AVERAGE(B4340:B4539)</f>
        <v>4678.6383</v>
      </c>
      <c r="E4539" s="7" t="n">
        <f aca="false">B4539/MAX(B4288:B4539)-1</f>
        <v>-0.00173854156559816</v>
      </c>
      <c r="F4539" s="7" t="str">
        <f aca="false">IFERROR(INDEX(02_轉折點45個!B:B,MATCH(A4539,02_轉折點45個!A:A,0)),"")</f>
        <v/>
      </c>
      <c r="G4539" s="7" t="s">
        <v>5494</v>
      </c>
    </row>
    <row r="4540" customFormat="false" ht="15" hidden="false" customHeight="false" outlineLevel="0" collapsed="false">
      <c r="A4540" s="7" t="s">
        <v>5599</v>
      </c>
      <c r="B4540" s="7" t="n">
        <v>5059.51</v>
      </c>
      <c r="C4540" s="7" t="n">
        <f aca="false">AVERAGE(B4491:B4540)</f>
        <v>4870.103</v>
      </c>
      <c r="D4540" s="7" t="n">
        <f aca="false">AVERAGE(B4341:B4540)</f>
        <v>4681.69105</v>
      </c>
      <c r="E4540" s="7" t="n">
        <f aca="false">B4540/MAX(B4289:B4540)-1</f>
        <v>0</v>
      </c>
      <c r="F4540" s="7" t="str">
        <f aca="false">IFERROR(INDEX(02_轉折點45個!B:B,MATCH(A4540,02_轉折點45個!A:A,0)),"")</f>
        <v/>
      </c>
      <c r="G4540" s="7" t="s">
        <v>5494</v>
      </c>
    </row>
    <row r="4541" customFormat="false" ht="15" hidden="false" customHeight="false" outlineLevel="0" collapsed="false">
      <c r="A4541" s="7" t="s">
        <v>5600</v>
      </c>
      <c r="B4541" s="7" t="n">
        <v>5044.65</v>
      </c>
      <c r="C4541" s="7" t="n">
        <f aca="false">AVERAGE(B4492:B4541)</f>
        <v>4876.4578</v>
      </c>
      <c r="D4541" s="7" t="n">
        <f aca="false">AVERAGE(B4342:B4541)</f>
        <v>4684.46535</v>
      </c>
      <c r="E4541" s="7" t="n">
        <f aca="false">B4541/MAX(B4290:B4541)-1</f>
        <v>-0.00293704331051836</v>
      </c>
      <c r="F4541" s="7" t="str">
        <f aca="false">IFERROR(INDEX(02_轉折點45個!B:B,MATCH(A4541,02_轉折點45個!A:A,0)),"")</f>
        <v/>
      </c>
      <c r="G4541" s="7" t="s">
        <v>5494</v>
      </c>
    </row>
    <row r="4542" customFormat="false" ht="15" hidden="false" customHeight="false" outlineLevel="0" collapsed="false">
      <c r="A4542" s="7" t="s">
        <v>5601</v>
      </c>
      <c r="B4542" s="7" t="n">
        <v>5055.85</v>
      </c>
      <c r="C4542" s="7" t="n">
        <f aca="false">AVERAGE(B4493:B4542)</f>
        <v>4883.9928</v>
      </c>
      <c r="D4542" s="7" t="n">
        <f aca="false">AVERAGE(B4343:B4542)</f>
        <v>4687.39955</v>
      </c>
      <c r="E4542" s="7" t="n">
        <f aca="false">B4542/MAX(B4291:B4542)-1</f>
        <v>-0.000723390209723784</v>
      </c>
      <c r="F4542" s="7" t="str">
        <f aca="false">IFERROR(INDEX(02_轉折點45個!B:B,MATCH(A4542,02_轉折點45個!A:A,0)),"")</f>
        <v/>
      </c>
      <c r="G4542" s="7" t="s">
        <v>5494</v>
      </c>
    </row>
    <row r="4543" customFormat="false" ht="15" hidden="false" customHeight="false" outlineLevel="0" collapsed="false">
      <c r="A4543" s="7" t="s">
        <v>5602</v>
      </c>
      <c r="B4543" s="7" t="n">
        <v>5051.17</v>
      </c>
      <c r="C4543" s="7" t="n">
        <f aca="false">AVERAGE(B4494:B4543)</f>
        <v>4891.807</v>
      </c>
      <c r="D4543" s="7" t="n">
        <f aca="false">AVERAGE(B4344:B4543)</f>
        <v>4690.529</v>
      </c>
      <c r="E4543" s="7" t="n">
        <f aca="false">B4543/MAX(B4292:B4543)-1</f>
        <v>-0.00164838096969866</v>
      </c>
      <c r="F4543" s="7" t="str">
        <f aca="false">IFERROR(INDEX(02_轉折點45個!B:B,MATCH(A4543,02_轉折點45個!A:A,0)),"")</f>
        <v/>
      </c>
      <c r="G4543" s="7" t="s">
        <v>5494</v>
      </c>
    </row>
    <row r="4544" customFormat="false" ht="15" hidden="false" customHeight="false" outlineLevel="0" collapsed="false">
      <c r="A4544" s="7" t="s">
        <v>5603</v>
      </c>
      <c r="B4544" s="7" t="n">
        <v>5063.2</v>
      </c>
      <c r="C4544" s="7" t="n">
        <f aca="false">AVERAGE(B4495:B4544)</f>
        <v>4897.5964</v>
      </c>
      <c r="D4544" s="7" t="n">
        <f aca="false">AVERAGE(B4345:B4544)</f>
        <v>4693.3678</v>
      </c>
      <c r="E4544" s="7" t="n">
        <f aca="false">B4544/MAX(B4293:B4544)-1</f>
        <v>0</v>
      </c>
      <c r="F4544" s="7" t="str">
        <f aca="false">IFERROR(INDEX(02_轉折點45個!B:B,MATCH(A4544,02_轉折點45個!A:A,0)),"")</f>
        <v/>
      </c>
      <c r="G4544" s="7" t="s">
        <v>5494</v>
      </c>
    </row>
    <row r="4545" customFormat="false" ht="15" hidden="false" customHeight="false" outlineLevel="0" collapsed="false">
      <c r="A4545" s="7" t="s">
        <v>5604</v>
      </c>
      <c r="B4545" s="7" t="n">
        <v>5065.7</v>
      </c>
      <c r="C4545" s="7" t="n">
        <f aca="false">AVERAGE(B4496:B4545)</f>
        <v>4902.812</v>
      </c>
      <c r="D4545" s="7" t="n">
        <f aca="false">AVERAGE(B4346:B4545)</f>
        <v>4696.5496</v>
      </c>
      <c r="E4545" s="7" t="n">
        <f aca="false">B4545/MAX(B4294:B4545)-1</f>
        <v>0</v>
      </c>
      <c r="F4545" s="7" t="str">
        <f aca="false">IFERROR(INDEX(02_轉折點45個!B:B,MATCH(A4545,02_轉折點45個!A:A,0)),"")</f>
        <v/>
      </c>
      <c r="G4545" s="7" t="s">
        <v>5494</v>
      </c>
    </row>
    <row r="4546" customFormat="false" ht="15" hidden="false" customHeight="false" outlineLevel="0" collapsed="false">
      <c r="A4546" s="7" t="s">
        <v>5605</v>
      </c>
      <c r="B4546" s="7" t="n">
        <v>5101.06</v>
      </c>
      <c r="C4546" s="7" t="n">
        <f aca="false">AVERAGE(B4497:B4546)</f>
        <v>4908.3296</v>
      </c>
      <c r="D4546" s="7" t="n">
        <f aca="false">AVERAGE(B4347:B4546)</f>
        <v>4699.8976</v>
      </c>
      <c r="E4546" s="7" t="n">
        <f aca="false">B4546/MAX(B4295:B4546)-1</f>
        <v>0</v>
      </c>
      <c r="F4546" s="7" t="str">
        <f aca="false">IFERROR(INDEX(02_轉折點45個!B:B,MATCH(A4546,02_轉折點45個!A:A,0)),"")</f>
        <v/>
      </c>
      <c r="G4546" s="7" t="s">
        <v>5494</v>
      </c>
    </row>
    <row r="4547" customFormat="false" ht="15" hidden="false" customHeight="false" outlineLevel="0" collapsed="false">
      <c r="A4547" s="7" t="s">
        <v>5606</v>
      </c>
      <c r="B4547" s="7" t="n">
        <v>5151.47</v>
      </c>
      <c r="C4547" s="7" t="n">
        <f aca="false">AVERAGE(B4498:B4547)</f>
        <v>4916.4184</v>
      </c>
      <c r="D4547" s="7" t="n">
        <f aca="false">AVERAGE(B4348:B4547)</f>
        <v>4703.57665</v>
      </c>
      <c r="E4547" s="7" t="n">
        <f aca="false">B4547/MAX(B4296:B4547)-1</f>
        <v>0</v>
      </c>
      <c r="F4547" s="7" t="str">
        <f aca="false">IFERROR(INDEX(02_轉折點45個!B:B,MATCH(A4547,02_轉折點45個!A:A,0)),"")</f>
        <v/>
      </c>
      <c r="G4547" s="7" t="s">
        <v>5494</v>
      </c>
    </row>
    <row r="4548" customFormat="false" ht="15" hidden="false" customHeight="false" outlineLevel="0" collapsed="false">
      <c r="A4548" s="7" t="s">
        <v>5607</v>
      </c>
      <c r="B4548" s="7" t="n">
        <v>5156.92</v>
      </c>
      <c r="C4548" s="7" t="n">
        <f aca="false">AVERAGE(B4499:B4548)</f>
        <v>4924.5178</v>
      </c>
      <c r="D4548" s="7" t="n">
        <f aca="false">AVERAGE(B4349:B4548)</f>
        <v>4707.1062</v>
      </c>
      <c r="E4548" s="7" t="n">
        <f aca="false">B4548/MAX(B4297:B4548)-1</f>
        <v>0</v>
      </c>
      <c r="F4548" s="7" t="str">
        <f aca="false">IFERROR(INDEX(02_轉折點45個!B:B,MATCH(A4548,02_轉折點45個!A:A,0)),"")</f>
        <v/>
      </c>
      <c r="G4548" s="7" t="s">
        <v>5494</v>
      </c>
    </row>
    <row r="4549" customFormat="false" ht="15" hidden="false" customHeight="false" outlineLevel="0" collapsed="false">
      <c r="A4549" s="7" t="s">
        <v>5608</v>
      </c>
      <c r="B4549" s="7" t="n">
        <v>5168.06</v>
      </c>
      <c r="C4549" s="7" t="n">
        <f aca="false">AVERAGE(B4500:B4549)</f>
        <v>4933.8382</v>
      </c>
      <c r="D4549" s="7" t="n">
        <f aca="false">AVERAGE(B4350:B4549)</f>
        <v>4710.34735</v>
      </c>
      <c r="E4549" s="7" t="n">
        <f aca="false">B4549/MAX(B4298:B4549)-1</f>
        <v>0</v>
      </c>
      <c r="F4549" s="7" t="str">
        <f aca="false">IFERROR(INDEX(02_轉折點45個!B:B,MATCH(A4549,02_轉折點45個!A:A,0)),"")</f>
        <v/>
      </c>
      <c r="G4549" s="7" t="s">
        <v>5494</v>
      </c>
    </row>
    <row r="4550" customFormat="false" ht="15" hidden="false" customHeight="false" outlineLevel="0" collapsed="false">
      <c r="A4550" s="7" t="s">
        <v>5609</v>
      </c>
      <c r="B4550" s="7" t="n">
        <v>5129.33</v>
      </c>
      <c r="C4550" s="7" t="n">
        <f aca="false">AVERAGE(B4501:B4550)</f>
        <v>4941.1354</v>
      </c>
      <c r="D4550" s="7" t="n">
        <f aca="false">AVERAGE(B4351:B4550)</f>
        <v>4713.40185</v>
      </c>
      <c r="E4550" s="7" t="n">
        <f aca="false">B4550/MAX(B4299:B4550)-1</f>
        <v>-0.0074941080405414</v>
      </c>
      <c r="F4550" s="7" t="str">
        <f aca="false">IFERROR(INDEX(02_轉折點45個!B:B,MATCH(A4550,02_轉折點45個!A:A,0)),"")</f>
        <v/>
      </c>
      <c r="G4550" s="7" t="s">
        <v>5494</v>
      </c>
    </row>
    <row r="4551" customFormat="false" ht="15" hidden="false" customHeight="false" outlineLevel="0" collapsed="false">
      <c r="A4551" s="7" t="s">
        <v>5610</v>
      </c>
      <c r="B4551" s="7" t="n">
        <v>5116.77</v>
      </c>
      <c r="C4551" s="7" t="n">
        <f aca="false">AVERAGE(B4502:B4551)</f>
        <v>4947.6254</v>
      </c>
      <c r="D4551" s="7" t="n">
        <f aca="false">AVERAGE(B4352:B4551)</f>
        <v>4716.4286</v>
      </c>
      <c r="E4551" s="7" t="n">
        <f aca="false">B4551/MAX(B4300:B4551)-1</f>
        <v>-0.00992442038211627</v>
      </c>
      <c r="F4551" s="7" t="str">
        <f aca="false">IFERROR(INDEX(02_轉折點45個!B:B,MATCH(A4551,02_轉折點45個!A:A,0)),"")</f>
        <v/>
      </c>
      <c r="G4551" s="7" t="s">
        <v>5494</v>
      </c>
    </row>
    <row r="4552" customFormat="false" ht="15" hidden="false" customHeight="false" outlineLevel="0" collapsed="false">
      <c r="A4552" s="7" t="s">
        <v>5611</v>
      </c>
      <c r="B4552" s="7" t="n">
        <v>5152.69</v>
      </c>
      <c r="C4552" s="7" t="n">
        <f aca="false">AVERAGE(B4503:B4552)</f>
        <v>4954.1474</v>
      </c>
      <c r="D4552" s="7" t="n">
        <f aca="false">AVERAGE(B4353:B4552)</f>
        <v>4719.53535</v>
      </c>
      <c r="E4552" s="7" t="n">
        <f aca="false">B4552/MAX(B4301:B4552)-1</f>
        <v>-0.00297403667914087</v>
      </c>
      <c r="F4552" s="7" t="str">
        <f aca="false">IFERROR(INDEX(02_轉折點45個!B:B,MATCH(A4552,02_轉折點45個!A:A,0)),"")</f>
        <v/>
      </c>
      <c r="G4552" s="7" t="s">
        <v>5494</v>
      </c>
    </row>
    <row r="4553" customFormat="false" ht="15" hidden="false" customHeight="false" outlineLevel="0" collapsed="false">
      <c r="A4553" s="7" t="s">
        <v>5612</v>
      </c>
      <c r="B4553" s="7" t="n">
        <v>5147.7</v>
      </c>
      <c r="C4553" s="7" t="n">
        <f aca="false">AVERAGE(B4504:B4553)</f>
        <v>4960.9406</v>
      </c>
      <c r="D4553" s="7" t="n">
        <f aca="false">AVERAGE(B4354:B4553)</f>
        <v>4722.7071</v>
      </c>
      <c r="E4553" s="7" t="n">
        <f aca="false">B4553/MAX(B4302:B4553)-1</f>
        <v>-0.00393958274478246</v>
      </c>
      <c r="F4553" s="7" t="str">
        <f aca="false">IFERROR(INDEX(02_轉折點45個!B:B,MATCH(A4553,02_轉折點45個!A:A,0)),"")</f>
        <v/>
      </c>
      <c r="G4553" s="7" t="s">
        <v>5494</v>
      </c>
    </row>
    <row r="4554" customFormat="false" ht="15" hidden="false" customHeight="false" outlineLevel="0" collapsed="false">
      <c r="A4554" s="7" t="s">
        <v>5613</v>
      </c>
      <c r="B4554" s="7" t="n">
        <v>5161.6</v>
      </c>
      <c r="C4554" s="7" t="n">
        <f aca="false">AVERAGE(B4505:B4554)</f>
        <v>4966.9926</v>
      </c>
      <c r="D4554" s="7" t="n">
        <f aca="false">AVERAGE(B4355:B4554)</f>
        <v>4725.9127</v>
      </c>
      <c r="E4554" s="7" t="n">
        <f aca="false">B4554/MAX(B4303:B4554)-1</f>
        <v>-0.00124998548778454</v>
      </c>
      <c r="F4554" s="7" t="str">
        <f aca="false">IFERROR(INDEX(02_轉折點45個!B:B,MATCH(A4554,02_轉折點45個!A:A,0)),"")</f>
        <v/>
      </c>
      <c r="G4554" s="7" t="s">
        <v>5494</v>
      </c>
    </row>
    <row r="4555" customFormat="false" ht="15" hidden="false" customHeight="false" outlineLevel="0" collapsed="false">
      <c r="A4555" s="7" t="s">
        <v>5614</v>
      </c>
      <c r="B4555" s="7" t="n">
        <v>5167.96</v>
      </c>
      <c r="C4555" s="7" t="n">
        <f aca="false">AVERAGE(B4506:B4555)</f>
        <v>4972.875</v>
      </c>
      <c r="D4555" s="7" t="n">
        <f aca="false">AVERAGE(B4356:B4555)</f>
        <v>4729.16035</v>
      </c>
      <c r="E4555" s="7" t="n">
        <f aca="false">B4555/MAX(B4304:B4555)-1</f>
        <v>-1.93496205540544E-005</v>
      </c>
      <c r="F4555" s="7" t="str">
        <f aca="false">IFERROR(INDEX(02_轉折點45個!B:B,MATCH(A4555,02_轉折點45個!A:A,0)),"")</f>
        <v/>
      </c>
      <c r="G4555" s="7" t="s">
        <v>5494</v>
      </c>
    </row>
    <row r="4556" customFormat="false" ht="15" hidden="false" customHeight="false" outlineLevel="0" collapsed="false">
      <c r="A4556" s="7" t="s">
        <v>5615</v>
      </c>
      <c r="B4556" s="7" t="n">
        <v>5185.88</v>
      </c>
      <c r="C4556" s="7" t="n">
        <f aca="false">AVERAGE(B4507:B4556)</f>
        <v>4979.5154</v>
      </c>
      <c r="D4556" s="7" t="n">
        <f aca="false">AVERAGE(B4357:B4556)</f>
        <v>4732.67875</v>
      </c>
      <c r="E4556" s="7" t="n">
        <f aca="false">B4556/MAX(B4305:B4556)-1</f>
        <v>0</v>
      </c>
      <c r="F4556" s="7" t="str">
        <f aca="false">IFERROR(INDEX(02_轉折點45個!B:B,MATCH(A4556,02_轉折點45個!A:A,0)),"")</f>
        <v/>
      </c>
      <c r="G4556" s="7" t="s">
        <v>5494</v>
      </c>
    </row>
    <row r="4557" customFormat="false" ht="15" hidden="false" customHeight="false" outlineLevel="0" collapsed="false">
      <c r="A4557" s="7" t="s">
        <v>1291</v>
      </c>
      <c r="B4557" s="7" t="n">
        <v>5196.58</v>
      </c>
      <c r="C4557" s="7" t="n">
        <f aca="false">AVERAGE(B4508:B4557)</f>
        <v>4986.0466</v>
      </c>
      <c r="D4557" s="7" t="n">
        <f aca="false">AVERAGE(B4358:B4557)</f>
        <v>4736.29835</v>
      </c>
      <c r="E4557" s="7" t="n">
        <f aca="false">B4557/MAX(B4306:B4557)-1</f>
        <v>0</v>
      </c>
      <c r="F4557" s="7" t="str">
        <f aca="false">IFERROR(INDEX(02_轉折點45個!B:B,MATCH(A4557,02_轉折點45個!A:A,0)),"")</f>
        <v/>
      </c>
      <c r="G4557" s="7" t="s">
        <v>5494</v>
      </c>
    </row>
    <row r="4558" customFormat="false" ht="15" hidden="false" customHeight="false" outlineLevel="0" collapsed="false">
      <c r="A4558" s="7" t="s">
        <v>5616</v>
      </c>
      <c r="B4558" s="7" t="n">
        <v>5212.16</v>
      </c>
      <c r="C4558" s="7" t="n">
        <f aca="false">AVERAGE(B4509:B4558)</f>
        <v>4993.1494</v>
      </c>
      <c r="D4558" s="7" t="n">
        <f aca="false">AVERAGE(B4359:B4558)</f>
        <v>4740.03015</v>
      </c>
      <c r="E4558" s="7" t="n">
        <f aca="false">B4558/MAX(B4307:B4558)-1</f>
        <v>0</v>
      </c>
      <c r="F4558" s="7" t="str">
        <f aca="false">IFERROR(INDEX(02_轉折點45個!B:B,MATCH(A4558,02_轉折點45個!A:A,0)),"")</f>
        <v/>
      </c>
      <c r="G4558" s="7" t="s">
        <v>5494</v>
      </c>
    </row>
    <row r="4559" customFormat="false" ht="15" hidden="false" customHeight="false" outlineLevel="0" collapsed="false">
      <c r="A4559" s="7" t="s">
        <v>5617</v>
      </c>
      <c r="B4559" s="7" t="n">
        <v>5226.69</v>
      </c>
      <c r="C4559" s="7" t="n">
        <f aca="false">AVERAGE(B4510:B4559)</f>
        <v>5000.219</v>
      </c>
      <c r="D4559" s="7" t="n">
        <f aca="false">AVERAGE(B4360:B4559)</f>
        <v>4743.94945</v>
      </c>
      <c r="E4559" s="7" t="n">
        <f aca="false">B4559/MAX(B4308:B4559)-1</f>
        <v>0</v>
      </c>
      <c r="F4559" s="7" t="str">
        <f aca="false">IFERROR(INDEX(02_轉折點45個!B:B,MATCH(A4559,02_轉折點45個!A:A,0)),"")</f>
        <v/>
      </c>
      <c r="G4559" s="7" t="s">
        <v>5494</v>
      </c>
    </row>
    <row r="4560" customFormat="false" ht="15" hidden="false" customHeight="false" outlineLevel="0" collapsed="false">
      <c r="A4560" s="7" t="s">
        <v>5618</v>
      </c>
      <c r="B4560" s="7" t="n">
        <v>5256.82</v>
      </c>
      <c r="C4560" s="7" t="n">
        <f aca="false">AVERAGE(B4511:B4560)</f>
        <v>5009.1392</v>
      </c>
      <c r="D4560" s="7" t="n">
        <f aca="false">AVERAGE(B4361:B4560)</f>
        <v>4748.28365</v>
      </c>
      <c r="E4560" s="7" t="n">
        <f aca="false">B4560/MAX(B4309:B4560)-1</f>
        <v>0</v>
      </c>
      <c r="F4560" s="7" t="str">
        <f aca="false">IFERROR(INDEX(02_轉折點45個!B:B,MATCH(A4560,02_轉折點45個!A:A,0)),"")</f>
        <v/>
      </c>
      <c r="G4560" s="7" t="s">
        <v>5494</v>
      </c>
    </row>
    <row r="4561" customFormat="false" ht="15" hidden="false" customHeight="false" outlineLevel="0" collapsed="false">
      <c r="A4561" s="7" t="s">
        <v>5619</v>
      </c>
      <c r="B4561" s="7" t="n">
        <v>5271.07</v>
      </c>
      <c r="C4561" s="7" t="n">
        <f aca="false">AVERAGE(B4512:B4561)</f>
        <v>5019.8786</v>
      </c>
      <c r="D4561" s="7" t="n">
        <f aca="false">AVERAGE(B4362:B4561)</f>
        <v>4752.8258</v>
      </c>
      <c r="E4561" s="7" t="n">
        <f aca="false">B4561/MAX(B4310:B4561)-1</f>
        <v>0</v>
      </c>
      <c r="F4561" s="7" t="str">
        <f aca="false">IFERROR(INDEX(02_轉折點45個!B:B,MATCH(A4561,02_轉折點45個!A:A,0)),"")</f>
        <v/>
      </c>
      <c r="G4561" s="7" t="s">
        <v>5494</v>
      </c>
    </row>
    <row r="4562" customFormat="false" ht="15" hidden="false" customHeight="false" outlineLevel="0" collapsed="false">
      <c r="A4562" s="7" t="s">
        <v>5620</v>
      </c>
      <c r="B4562" s="7" t="n">
        <v>5302.39</v>
      </c>
      <c r="C4562" s="7" t="n">
        <f aca="false">AVERAGE(B4513:B4562)</f>
        <v>5031.139</v>
      </c>
      <c r="D4562" s="7" t="n">
        <f aca="false">AVERAGE(B4363:B4562)</f>
        <v>4757.33165</v>
      </c>
      <c r="E4562" s="7" t="n">
        <f aca="false">B4562/MAX(B4311:B4562)-1</f>
        <v>0</v>
      </c>
      <c r="F4562" s="7" t="str">
        <f aca="false">IFERROR(INDEX(02_轉折點45個!B:B,MATCH(A4562,02_轉折點45個!A:A,0)),"")</f>
        <v/>
      </c>
      <c r="G4562" s="7" t="s">
        <v>5494</v>
      </c>
    </row>
    <row r="4563" customFormat="false" ht="15" hidden="false" customHeight="false" outlineLevel="0" collapsed="false">
      <c r="A4563" s="7" t="s">
        <v>5621</v>
      </c>
      <c r="B4563" s="7" t="n">
        <v>5300.64</v>
      </c>
      <c r="C4563" s="7" t="n">
        <f aca="false">AVERAGE(B4514:B4563)</f>
        <v>5041.589</v>
      </c>
      <c r="D4563" s="7" t="n">
        <f aca="false">AVERAGE(B4364:B4563)</f>
        <v>4762.0771</v>
      </c>
      <c r="E4563" s="7" t="n">
        <f aca="false">B4563/MAX(B4312:B4563)-1</f>
        <v>-0.0003300398499545</v>
      </c>
      <c r="F4563" s="7" t="str">
        <f aca="false">IFERROR(INDEX(02_轉折點45個!B:B,MATCH(A4563,02_轉折點45個!A:A,0)),"")</f>
        <v/>
      </c>
      <c r="G4563" s="7" t="s">
        <v>5494</v>
      </c>
    </row>
    <row r="4564" customFormat="false" ht="15" hidden="false" customHeight="false" outlineLevel="0" collapsed="false">
      <c r="A4564" s="7" t="s">
        <v>5622</v>
      </c>
      <c r="B4564" s="7" t="n">
        <v>5324.72</v>
      </c>
      <c r="C4564" s="7" t="n">
        <f aca="false">AVERAGE(B4515:B4564)</f>
        <v>5052.31</v>
      </c>
      <c r="D4564" s="7" t="n">
        <f aca="false">AVERAGE(B4365:B4564)</f>
        <v>4767.1146</v>
      </c>
      <c r="E4564" s="7" t="n">
        <f aca="false">B4564/MAX(B4313:B4564)-1</f>
        <v>0</v>
      </c>
      <c r="F4564" s="7" t="str">
        <f aca="false">IFERROR(INDEX(02_轉折點45個!B:B,MATCH(A4564,02_轉折點45個!A:A,0)),"")</f>
        <v/>
      </c>
      <c r="G4564" s="7" t="s">
        <v>5494</v>
      </c>
    </row>
    <row r="4565" customFormat="false" ht="15" hidden="false" customHeight="false" outlineLevel="0" collapsed="false">
      <c r="A4565" s="7" t="s">
        <v>5623</v>
      </c>
      <c r="B4565" s="7" t="n">
        <v>5350.73</v>
      </c>
      <c r="C4565" s="7" t="n">
        <f aca="false">AVERAGE(B4516:B4565)</f>
        <v>5062.2858</v>
      </c>
      <c r="D4565" s="7" t="n">
        <f aca="false">AVERAGE(B4366:B4565)</f>
        <v>4772.32125</v>
      </c>
      <c r="E4565" s="7" t="n">
        <f aca="false">B4565/MAX(B4314:B4565)-1</f>
        <v>0</v>
      </c>
      <c r="F4565" s="7" t="str">
        <f aca="false">IFERROR(INDEX(02_轉折點45個!B:B,MATCH(A4565,02_轉折點45個!A:A,0)),"")</f>
        <v/>
      </c>
      <c r="G4565" s="7" t="s">
        <v>5494</v>
      </c>
    </row>
    <row r="4566" customFormat="false" ht="15" hidden="false" customHeight="false" outlineLevel="0" collapsed="false">
      <c r="A4566" s="7" t="s">
        <v>5624</v>
      </c>
      <c r="B4566" s="7" t="n">
        <v>5352.13</v>
      </c>
      <c r="C4566" s="7" t="n">
        <f aca="false">AVERAGE(B4517:B4566)</f>
        <v>5072.1446</v>
      </c>
      <c r="D4566" s="7" t="n">
        <f aca="false">AVERAGE(B4367:B4566)</f>
        <v>4777.44775</v>
      </c>
      <c r="E4566" s="7" t="n">
        <f aca="false">B4566/MAX(B4315:B4566)-1</f>
        <v>0</v>
      </c>
      <c r="F4566" s="7" t="str">
        <f aca="false">IFERROR(INDEX(02_轉折點45個!B:B,MATCH(A4566,02_轉折點45個!A:A,0)),"")</f>
        <v/>
      </c>
      <c r="G4566" s="7" t="s">
        <v>5494</v>
      </c>
    </row>
    <row r="4567" customFormat="false" ht="15" hidden="false" customHeight="false" outlineLevel="0" collapsed="false">
      <c r="A4567" s="7" t="s">
        <v>5625</v>
      </c>
      <c r="B4567" s="7" t="n">
        <v>5332.37</v>
      </c>
      <c r="C4567" s="7" t="n">
        <f aca="false">AVERAGE(B4518:B4567)</f>
        <v>5080.874</v>
      </c>
      <c r="D4567" s="7" t="n">
        <f aca="false">AVERAGE(B4368:B4567)</f>
        <v>4782.4113</v>
      </c>
      <c r="E4567" s="7" t="n">
        <f aca="false">B4567/MAX(B4316:B4567)-1</f>
        <v>-0.00369198804961768</v>
      </c>
      <c r="F4567" s="7" t="str">
        <f aca="false">IFERROR(INDEX(02_轉折點45個!B:B,MATCH(A4567,02_轉折點45個!A:A,0)),"")</f>
        <v/>
      </c>
      <c r="G4567" s="7" t="s">
        <v>5494</v>
      </c>
    </row>
    <row r="4568" customFormat="false" ht="15" hidden="false" customHeight="false" outlineLevel="0" collapsed="false">
      <c r="A4568" s="7" t="s">
        <v>5626</v>
      </c>
      <c r="B4568" s="7" t="n">
        <v>5343.31</v>
      </c>
      <c r="C4568" s="7" t="n">
        <f aca="false">AVERAGE(B4519:B4568)</f>
        <v>5090.2542</v>
      </c>
      <c r="D4568" s="7" t="n">
        <f aca="false">AVERAGE(B4369:B4568)</f>
        <v>4787.157</v>
      </c>
      <c r="E4568" s="7" t="n">
        <f aca="false">B4568/MAX(B4317:B4568)-1</f>
        <v>-0.00164794203429286</v>
      </c>
      <c r="F4568" s="7" t="str">
        <f aca="false">IFERROR(INDEX(02_轉折點45個!B:B,MATCH(A4568,02_轉折點45個!A:A,0)),"")</f>
        <v/>
      </c>
      <c r="G4568" s="7" t="s">
        <v>5494</v>
      </c>
    </row>
    <row r="4569" customFormat="false" ht="15" hidden="false" customHeight="false" outlineLevel="0" collapsed="false">
      <c r="A4569" s="7" t="s">
        <v>5627</v>
      </c>
      <c r="B4569" s="7" t="n">
        <v>5347.55</v>
      </c>
      <c r="C4569" s="7" t="n">
        <f aca="false">AVERAGE(B4520:B4569)</f>
        <v>5098.4884</v>
      </c>
      <c r="D4569" s="7" t="n">
        <f aca="false">AVERAGE(B4370:B4569)</f>
        <v>4792.14855</v>
      </c>
      <c r="E4569" s="7" t="n">
        <f aca="false">B4569/MAX(B4318:B4569)-1</f>
        <v>-0.000855734072229164</v>
      </c>
      <c r="F4569" s="7" t="str">
        <f aca="false">IFERROR(INDEX(02_轉折點45個!B:B,MATCH(A4569,02_轉折點45個!A:A,0)),"")</f>
        <v/>
      </c>
      <c r="G4569" s="7" t="s">
        <v>5494</v>
      </c>
    </row>
    <row r="4570" customFormat="false" ht="15" hidden="false" customHeight="false" outlineLevel="0" collapsed="false">
      <c r="A4570" s="7" t="s">
        <v>5628</v>
      </c>
      <c r="B4570" s="7" t="n">
        <v>5330.31</v>
      </c>
      <c r="C4570" s="7" t="n">
        <f aca="false">AVERAGE(B4521:B4570)</f>
        <v>5106.6702</v>
      </c>
      <c r="D4570" s="7" t="n">
        <f aca="false">AVERAGE(B4371:B4570)</f>
        <v>4797.1606</v>
      </c>
      <c r="E4570" s="7" t="n">
        <f aca="false">B4570/MAX(B4319:B4570)-1</f>
        <v>-0.00407688154062025</v>
      </c>
      <c r="F4570" s="7" t="str">
        <f aca="false">IFERROR(INDEX(02_轉折點45個!B:B,MATCH(A4570,02_轉折點45個!A:A,0)),"")</f>
        <v/>
      </c>
      <c r="G4570" s="7" t="s">
        <v>5494</v>
      </c>
    </row>
    <row r="4571" customFormat="false" ht="15" hidden="false" customHeight="false" outlineLevel="0" collapsed="false">
      <c r="A4571" s="7" t="s">
        <v>5629</v>
      </c>
      <c r="B4571" s="7" t="n">
        <v>5390.99</v>
      </c>
      <c r="C4571" s="7" t="n">
        <f aca="false">AVERAGE(B4522:B4571)</f>
        <v>5115.8218</v>
      </c>
      <c r="D4571" s="7" t="n">
        <f aca="false">AVERAGE(B4372:B4571)</f>
        <v>4802.56585</v>
      </c>
      <c r="E4571" s="7" t="n">
        <f aca="false">B4571/MAX(B4320:B4571)-1</f>
        <v>0</v>
      </c>
      <c r="F4571" s="7" t="str">
        <f aca="false">IFERROR(INDEX(02_轉折點45個!B:B,MATCH(A4571,02_轉折點45個!A:A,0)),"")</f>
        <v/>
      </c>
      <c r="G4571" s="7" t="s">
        <v>5494</v>
      </c>
    </row>
    <row r="4572" customFormat="false" ht="15" hidden="false" customHeight="false" outlineLevel="0" collapsed="false">
      <c r="A4572" s="7" t="s">
        <v>5630</v>
      </c>
      <c r="B4572" s="7" t="n">
        <v>5363.26</v>
      </c>
      <c r="C4572" s="7" t="n">
        <f aca="false">AVERAGE(B4523:B4572)</f>
        <v>5124.7898</v>
      </c>
      <c r="D4572" s="7" t="n">
        <f aca="false">AVERAGE(B4373:B4572)</f>
        <v>4807.5685</v>
      </c>
      <c r="E4572" s="7" t="n">
        <f aca="false">B4572/MAX(B4321:B4572)-1</f>
        <v>-0.00514376765677538</v>
      </c>
      <c r="F4572" s="7" t="str">
        <f aca="false">IFERROR(INDEX(02_轉折點45個!B:B,MATCH(A4572,02_轉折點45個!A:A,0)),"")</f>
        <v/>
      </c>
      <c r="G4572" s="7" t="s">
        <v>5494</v>
      </c>
    </row>
    <row r="4573" customFormat="false" ht="15" hidden="false" customHeight="false" outlineLevel="0" collapsed="false">
      <c r="A4573" s="7" t="s">
        <v>5631</v>
      </c>
      <c r="B4573" s="7" t="n">
        <v>5373.48</v>
      </c>
      <c r="C4573" s="7" t="n">
        <f aca="false">AVERAGE(B4524:B4573)</f>
        <v>5133.5624</v>
      </c>
      <c r="D4573" s="7" t="n">
        <f aca="false">AVERAGE(B4374:B4573)</f>
        <v>4812.8951</v>
      </c>
      <c r="E4573" s="7" t="n">
        <f aca="false">B4573/MAX(B4322:B4573)-1</f>
        <v>-0.00324801196069746</v>
      </c>
      <c r="F4573" s="7" t="str">
        <f aca="false">IFERROR(INDEX(02_轉折點45個!B:B,MATCH(A4573,02_轉折點45個!A:A,0)),"")</f>
        <v/>
      </c>
      <c r="G4573" s="7" t="s">
        <v>5494</v>
      </c>
    </row>
    <row r="4574" customFormat="false" ht="15" hidden="false" customHeight="false" outlineLevel="0" collapsed="false">
      <c r="A4574" s="7" t="s">
        <v>1292</v>
      </c>
      <c r="B4574" s="7" t="n">
        <v>5360.31</v>
      </c>
      <c r="C4574" s="7" t="n">
        <f aca="false">AVERAGE(B4525:B4574)</f>
        <v>5141.6926</v>
      </c>
      <c r="D4574" s="7" t="n">
        <f aca="false">AVERAGE(B4375:B4574)</f>
        <v>4818.049</v>
      </c>
      <c r="E4574" s="7" t="n">
        <f aca="false">B4574/MAX(B4323:B4574)-1</f>
        <v>-0.00569097698196419</v>
      </c>
      <c r="F4574" s="7" t="str">
        <f aca="false">IFERROR(INDEX(02_轉折點45個!B:B,MATCH(A4574,02_轉折點45個!A:A,0)),"")</f>
        <v/>
      </c>
      <c r="G4574" s="7" t="s">
        <v>5494</v>
      </c>
    </row>
    <row r="4575" customFormat="false" ht="15" hidden="false" customHeight="false" outlineLevel="0" collapsed="false">
      <c r="A4575" s="7" t="s">
        <v>5632</v>
      </c>
      <c r="B4575" s="7" t="n">
        <v>5351.28</v>
      </c>
      <c r="C4575" s="7" t="n">
        <f aca="false">AVERAGE(B4526:B4575)</f>
        <v>5149.74</v>
      </c>
      <c r="D4575" s="7" t="n">
        <f aca="false">AVERAGE(B4376:B4575)</f>
        <v>4823.2792</v>
      </c>
      <c r="E4575" s="7" t="n">
        <f aca="false">B4575/MAX(B4324:B4575)-1</f>
        <v>-0.00736599400110183</v>
      </c>
      <c r="F4575" s="7" t="str">
        <f aca="false">IFERROR(INDEX(02_轉折點45個!B:B,MATCH(A4575,02_轉折點45個!A:A,0)),"")</f>
        <v/>
      </c>
      <c r="G4575" s="7" t="s">
        <v>5494</v>
      </c>
    </row>
    <row r="4576" customFormat="false" ht="15" hidden="false" customHeight="false" outlineLevel="0" collapsed="false">
      <c r="A4576" s="7" t="s">
        <v>5633</v>
      </c>
      <c r="B4576" s="7" t="n">
        <v>5359.81</v>
      </c>
      <c r="C4576" s="7" t="n">
        <f aca="false">AVERAGE(B4527:B4576)</f>
        <v>5158.2484</v>
      </c>
      <c r="D4576" s="7" t="n">
        <f aca="false">AVERAGE(B4377:B4576)</f>
        <v>4828.29155</v>
      </c>
      <c r="E4576" s="7" t="n">
        <f aca="false">B4576/MAX(B4325:B4576)-1</f>
        <v>-0.00578372432521657</v>
      </c>
      <c r="F4576" s="7" t="str">
        <f aca="false">IFERROR(INDEX(02_轉折點45個!B:B,MATCH(A4576,02_轉折點45個!A:A,0)),"")</f>
        <v/>
      </c>
      <c r="G4576" s="7" t="s">
        <v>5494</v>
      </c>
    </row>
    <row r="4577" customFormat="false" ht="15" hidden="false" customHeight="false" outlineLevel="0" collapsed="false">
      <c r="A4577" s="7" t="s">
        <v>5634</v>
      </c>
      <c r="B4577" s="7" t="n">
        <v>5363.98</v>
      </c>
      <c r="C4577" s="7" t="n">
        <f aca="false">AVERAGE(B4528:B4577)</f>
        <v>5166.7276</v>
      </c>
      <c r="D4577" s="7" t="n">
        <f aca="false">AVERAGE(B4378:B4577)</f>
        <v>4833.342</v>
      </c>
      <c r="E4577" s="7" t="n">
        <f aca="false">B4577/MAX(B4326:B4577)-1</f>
        <v>-0.00501021148249214</v>
      </c>
      <c r="F4577" s="7" t="str">
        <f aca="false">IFERROR(INDEX(02_轉折點45個!B:B,MATCH(A4577,02_轉折點45個!A:A,0)),"")</f>
        <v/>
      </c>
      <c r="G4577" s="7" t="s">
        <v>5494</v>
      </c>
    </row>
    <row r="4578" customFormat="false" ht="15" hidden="false" customHeight="false" outlineLevel="0" collapsed="false">
      <c r="A4578" s="7" t="s">
        <v>5635</v>
      </c>
      <c r="B4578" s="7" t="n">
        <v>5385.9</v>
      </c>
      <c r="C4578" s="7" t="n">
        <f aca="false">AVERAGE(B4529:B4578)</f>
        <v>5175.1294</v>
      </c>
      <c r="D4578" s="7" t="n">
        <f aca="false">AVERAGE(B4379:B4578)</f>
        <v>4838.06685</v>
      </c>
      <c r="E4578" s="7" t="n">
        <f aca="false">B4578/MAX(B4327:B4578)-1</f>
        <v>-0.000944167954308961</v>
      </c>
      <c r="F4578" s="7" t="str">
        <f aca="false">IFERROR(INDEX(02_轉折點45個!B:B,MATCH(A4578,02_轉折點45個!A:A,0)),"")</f>
        <v/>
      </c>
      <c r="G4578" s="7" t="s">
        <v>5494</v>
      </c>
    </row>
    <row r="4579" customFormat="false" ht="15" hidden="false" customHeight="false" outlineLevel="0" collapsed="false">
      <c r="A4579" s="7" t="s">
        <v>1293</v>
      </c>
      <c r="B4579" s="7" t="n">
        <v>5394.57</v>
      </c>
      <c r="C4579" s="7" t="n">
        <f aca="false">AVERAGE(B4530:B4579)</f>
        <v>5184.495</v>
      </c>
      <c r="D4579" s="7" t="n">
        <f aca="false">AVERAGE(B4380:B4579)</f>
        <v>4842.6805</v>
      </c>
      <c r="E4579" s="7" t="n">
        <f aca="false">B4579/MAX(B4328:B4579)-1</f>
        <v>0</v>
      </c>
      <c r="F4579" s="7" t="str">
        <f aca="false">IFERROR(INDEX(02_轉折點45個!B:B,MATCH(A4579,02_轉折點45個!A:A,0)),"")</f>
        <v/>
      </c>
      <c r="G4579" s="7" t="s">
        <v>5494</v>
      </c>
    </row>
    <row r="4580" customFormat="false" ht="15" hidden="false" customHeight="false" outlineLevel="0" collapsed="false">
      <c r="A4580" s="7" t="s">
        <v>5636</v>
      </c>
      <c r="B4580" s="7" t="n">
        <v>5382.17</v>
      </c>
      <c r="C4580" s="7" t="n">
        <f aca="false">AVERAGE(B4531:B4580)</f>
        <v>5193.7728</v>
      </c>
      <c r="D4580" s="7" t="n">
        <f aca="false">AVERAGE(B4381:B4580)</f>
        <v>4847.20075</v>
      </c>
      <c r="E4580" s="7" t="n">
        <f aca="false">B4580/MAX(B4329:B4580)-1</f>
        <v>-0.00229860767401291</v>
      </c>
      <c r="F4580" s="7" t="str">
        <f aca="false">IFERROR(INDEX(02_轉折點45個!B:B,MATCH(A4580,02_轉折點45個!A:A,0)),"")</f>
        <v/>
      </c>
      <c r="G4580" s="7" t="s">
        <v>5494</v>
      </c>
    </row>
    <row r="4581" customFormat="false" ht="15" hidden="false" customHeight="false" outlineLevel="0" collapsed="false">
      <c r="A4581" s="7" t="s">
        <v>1294</v>
      </c>
      <c r="B4581" s="7" t="n">
        <v>5416.25</v>
      </c>
      <c r="C4581" s="7" t="n">
        <f aca="false">AVERAGE(B4532:B4581)</f>
        <v>5204.8254</v>
      </c>
      <c r="D4581" s="7" t="n">
        <f aca="false">AVERAGE(B4382:B4581)</f>
        <v>4851.74645</v>
      </c>
      <c r="E4581" s="7" t="n">
        <f aca="false">B4581/MAX(B4330:B4581)-1</f>
        <v>0</v>
      </c>
      <c r="F4581" s="7" t="str">
        <f aca="false">IFERROR(INDEX(02_轉折點45個!B:B,MATCH(A4581,02_轉折點45個!A:A,0)),"")</f>
        <v/>
      </c>
      <c r="G4581" s="7" t="s">
        <v>5494</v>
      </c>
    </row>
    <row r="4582" customFormat="false" ht="15" hidden="false" customHeight="false" outlineLevel="0" collapsed="false">
      <c r="A4582" s="7" t="s">
        <v>5637</v>
      </c>
      <c r="B4582" s="7" t="n">
        <v>5412.08</v>
      </c>
      <c r="C4582" s="7" t="n">
        <f aca="false">AVERAGE(B4533:B4582)</f>
        <v>5214.8404</v>
      </c>
      <c r="D4582" s="7" t="n">
        <f aca="false">AVERAGE(B4383:B4582)</f>
        <v>4856.20485</v>
      </c>
      <c r="E4582" s="7" t="n">
        <f aca="false">B4582/MAX(B4331:B4582)-1</f>
        <v>-0.000769905377336677</v>
      </c>
      <c r="F4582" s="7" t="str">
        <f aca="false">IFERROR(INDEX(02_轉折點45個!B:B,MATCH(A4582,02_轉折點45個!A:A,0)),"")</f>
        <v/>
      </c>
      <c r="G4582" s="7" t="s">
        <v>5494</v>
      </c>
    </row>
    <row r="4583" customFormat="false" ht="15" hidden="false" customHeight="false" outlineLevel="0" collapsed="false">
      <c r="A4583" s="7" t="s">
        <v>5638</v>
      </c>
      <c r="B4583" s="7" t="n">
        <v>5408.76</v>
      </c>
      <c r="C4583" s="7" t="n">
        <f aca="false">AVERAGE(B4534:B4583)</f>
        <v>5224.2714</v>
      </c>
      <c r="D4583" s="7" t="n">
        <f aca="false">AVERAGE(B4384:B4583)</f>
        <v>4860.62745</v>
      </c>
      <c r="E4583" s="7" t="n">
        <f aca="false">B4583/MAX(B4332:B4583)-1</f>
        <v>-0.00138287560581574</v>
      </c>
      <c r="F4583" s="7" t="str">
        <f aca="false">IFERROR(INDEX(02_轉折點45個!B:B,MATCH(A4583,02_轉折點45個!A:A,0)),"")</f>
        <v/>
      </c>
      <c r="G4583" s="7" t="s">
        <v>5494</v>
      </c>
    </row>
    <row r="4584" customFormat="false" ht="15" hidden="false" customHeight="false" outlineLevel="0" collapsed="false">
      <c r="A4584" s="7" t="s">
        <v>5639</v>
      </c>
      <c r="B4584" s="7" t="n">
        <v>5413.31</v>
      </c>
      <c r="C4584" s="7" t="n">
        <f aca="false">AVERAGE(B4535:B4584)</f>
        <v>5233.2386</v>
      </c>
      <c r="D4584" s="7" t="n">
        <f aca="false">AVERAGE(B4385:B4584)</f>
        <v>4864.9855</v>
      </c>
      <c r="E4584" s="7" t="n">
        <f aca="false">B4584/MAX(B4333:B4584)-1</f>
        <v>-0.000542810985460385</v>
      </c>
      <c r="F4584" s="7" t="str">
        <f aca="false">IFERROR(INDEX(02_轉折點45個!B:B,MATCH(A4584,02_轉折點45個!A:A,0)),"")</f>
        <v/>
      </c>
      <c r="G4584" s="7" t="s">
        <v>5494</v>
      </c>
    </row>
    <row r="4585" customFormat="false" ht="15" hidden="false" customHeight="false" outlineLevel="0" collapsed="false">
      <c r="A4585" s="7" t="s">
        <v>5640</v>
      </c>
      <c r="B4585" s="7" t="n">
        <v>5332.53</v>
      </c>
      <c r="C4585" s="7" t="n">
        <f aca="false">AVERAGE(B4536:B4585)</f>
        <v>5239.7476</v>
      </c>
      <c r="D4585" s="7" t="n">
        <f aca="false">AVERAGE(B4386:B4585)</f>
        <v>4869.0714</v>
      </c>
      <c r="E4585" s="7" t="n">
        <f aca="false">B4585/MAX(B4334:B4585)-1</f>
        <v>-0.0154571890145396</v>
      </c>
      <c r="F4585" s="7" t="str">
        <f aca="false">IFERROR(INDEX(02_轉折點45個!B:B,MATCH(A4585,02_轉折點45個!A:A,0)),"")</f>
        <v/>
      </c>
      <c r="G4585" s="7" t="s">
        <v>5494</v>
      </c>
    </row>
    <row r="4586" customFormat="false" ht="15" hidden="false" customHeight="false" outlineLevel="0" collapsed="false">
      <c r="A4586" s="7" t="s">
        <v>1295</v>
      </c>
      <c r="B4586" s="7" t="n">
        <v>5367.55</v>
      </c>
      <c r="C4586" s="7" t="n">
        <f aca="false">AVERAGE(B4537:B4586)</f>
        <v>5246.6006</v>
      </c>
      <c r="D4586" s="7" t="n">
        <f aca="false">AVERAGE(B4387:B4586)</f>
        <v>4873.21275</v>
      </c>
      <c r="E4586" s="7" t="n">
        <f aca="false">B4586/MAX(B4335:B4586)-1</f>
        <v>-0.0089914608816063</v>
      </c>
      <c r="F4586" s="7" t="str">
        <f aca="false">IFERROR(INDEX(02_轉折點45個!B:B,MATCH(A4586,02_轉折點45個!A:A,0)),"")</f>
        <v/>
      </c>
      <c r="G4586" s="7" t="s">
        <v>5494</v>
      </c>
    </row>
    <row r="4587" customFormat="false" ht="15" hidden="false" customHeight="false" outlineLevel="0" collapsed="false">
      <c r="A4587" s="7" t="s">
        <v>5641</v>
      </c>
      <c r="B4587" s="7" t="n">
        <v>5355.14</v>
      </c>
      <c r="C4587" s="7" t="n">
        <f aca="false">AVERAGE(B4538:B4587)</f>
        <v>5253</v>
      </c>
      <c r="D4587" s="7" t="n">
        <f aca="false">AVERAGE(B4388:B4587)</f>
        <v>4877.32385</v>
      </c>
      <c r="E4587" s="7" t="n">
        <f aca="false">B4587/MAX(B4336:B4587)-1</f>
        <v>-0.0112827140549272</v>
      </c>
      <c r="F4587" s="7" t="str">
        <f aca="false">IFERROR(INDEX(02_轉折點45個!B:B,MATCH(A4587,02_轉折點45個!A:A,0)),"")</f>
        <v/>
      </c>
      <c r="G4587" s="7" t="s">
        <v>5494</v>
      </c>
    </row>
    <row r="4588" customFormat="false" ht="15" hidden="false" customHeight="false" outlineLevel="0" collapsed="false">
      <c r="A4588" s="7" t="s">
        <v>1296</v>
      </c>
      <c r="B4588" s="7" t="n">
        <v>5364</v>
      </c>
      <c r="C4588" s="7" t="n">
        <f aca="false">AVERAGE(B4539:B4588)</f>
        <v>5259.2758</v>
      </c>
      <c r="D4588" s="7" t="n">
        <f aca="false">AVERAGE(B4389:B4588)</f>
        <v>4881.42035</v>
      </c>
      <c r="E4588" s="7" t="n">
        <f aca="false">B4588/MAX(B4337:B4588)-1</f>
        <v>-0.0096468959150704</v>
      </c>
      <c r="F4588" s="7" t="str">
        <f aca="false">IFERROR(INDEX(02_轉折點45個!B:B,MATCH(A4588,02_轉折點45個!A:A,0)),"")</f>
        <v/>
      </c>
      <c r="G4588" s="7" t="s">
        <v>5494</v>
      </c>
    </row>
    <row r="4589" customFormat="false" ht="15" hidden="false" customHeight="false" outlineLevel="0" collapsed="false">
      <c r="A4589" s="7" t="s">
        <v>5642</v>
      </c>
      <c r="B4589" s="7" t="n">
        <v>5374.27</v>
      </c>
      <c r="C4589" s="7" t="n">
        <f aca="false">AVERAGE(B4540:B4589)</f>
        <v>5265.9326</v>
      </c>
      <c r="D4589" s="7" t="n">
        <f aca="false">AVERAGE(B4390:B4589)</f>
        <v>4885.6414</v>
      </c>
      <c r="E4589" s="7" t="n">
        <f aca="false">B4589/MAX(B4338:B4589)-1</f>
        <v>-0.00775075005769665</v>
      </c>
      <c r="F4589" s="7" t="str">
        <f aca="false">IFERROR(INDEX(02_轉折點45個!B:B,MATCH(A4589,02_轉折點45個!A:A,0)),"")</f>
        <v/>
      </c>
      <c r="G4589" s="7" t="s">
        <v>5494</v>
      </c>
    </row>
    <row r="4590" customFormat="false" ht="15" hidden="false" customHeight="false" outlineLevel="0" collapsed="false">
      <c r="A4590" s="7" t="s">
        <v>5643</v>
      </c>
      <c r="B4590" s="7" t="n">
        <v>5407.21</v>
      </c>
      <c r="C4590" s="7" t="n">
        <f aca="false">AVERAGE(B4541:B4590)</f>
        <v>5272.8866</v>
      </c>
      <c r="D4590" s="7" t="n">
        <f aca="false">AVERAGE(B4391:B4590)</f>
        <v>4890.3198</v>
      </c>
      <c r="E4590" s="7" t="n">
        <f aca="false">B4590/MAX(B4339:B4590)-1</f>
        <v>-0.00166905146549734</v>
      </c>
      <c r="F4590" s="7" t="str">
        <f aca="false">IFERROR(INDEX(02_轉折點45個!B:B,MATCH(A4590,02_轉折點45個!A:A,0)),"")</f>
        <v/>
      </c>
      <c r="G4590" s="7" t="s">
        <v>5494</v>
      </c>
    </row>
    <row r="4591" customFormat="false" ht="15" hidden="false" customHeight="false" outlineLevel="0" collapsed="false">
      <c r="A4591" s="7" t="s">
        <v>1297</v>
      </c>
      <c r="B4591" s="7" t="n">
        <v>5430.27</v>
      </c>
      <c r="C4591" s="7" t="n">
        <f aca="false">AVERAGE(B4542:B4591)</f>
        <v>5280.599</v>
      </c>
      <c r="D4591" s="7" t="n">
        <f aca="false">AVERAGE(B4392:B4591)</f>
        <v>4895.32415</v>
      </c>
      <c r="E4591" s="7" t="n">
        <f aca="false">B4591/MAX(B4340:B4591)-1</f>
        <v>0</v>
      </c>
      <c r="F4591" s="7" t="str">
        <f aca="false">IFERROR(INDEX(02_轉折點45個!B:B,MATCH(A4591,02_轉折點45個!A:A,0)),"")</f>
        <v/>
      </c>
      <c r="G4591" s="7" t="s">
        <v>5494</v>
      </c>
    </row>
    <row r="4592" customFormat="false" ht="15" hidden="false" customHeight="false" outlineLevel="0" collapsed="false">
      <c r="A4592" s="7" t="s">
        <v>1298</v>
      </c>
      <c r="B4592" s="7" t="n">
        <v>5439.74</v>
      </c>
      <c r="C4592" s="7" t="n">
        <f aca="false">AVERAGE(B4543:B4592)</f>
        <v>5288.2768</v>
      </c>
      <c r="D4592" s="7" t="n">
        <f aca="false">AVERAGE(B4393:B4592)</f>
        <v>4900.3982</v>
      </c>
      <c r="E4592" s="7" t="n">
        <f aca="false">B4592/MAX(B4341:B4592)-1</f>
        <v>0</v>
      </c>
      <c r="F4592" s="7" t="str">
        <f aca="false">IFERROR(INDEX(02_轉折點45個!B:B,MATCH(A4592,02_轉折點45個!A:A,0)),"")</f>
        <v/>
      </c>
      <c r="G4592" s="7" t="s">
        <v>5494</v>
      </c>
    </row>
    <row r="4593" customFormat="false" ht="15" hidden="false" customHeight="false" outlineLevel="0" collapsed="false">
      <c r="A4593" s="7" t="s">
        <v>5644</v>
      </c>
      <c r="B4593" s="7" t="n">
        <v>5436.23</v>
      </c>
      <c r="C4593" s="7" t="n">
        <f aca="false">AVERAGE(B4544:B4593)</f>
        <v>5295.978</v>
      </c>
      <c r="D4593" s="7" t="n">
        <f aca="false">AVERAGE(B4394:B4593)</f>
        <v>4905.49405</v>
      </c>
      <c r="E4593" s="7" t="n">
        <f aca="false">B4593/MAX(B4342:B4593)-1</f>
        <v>-0.000645251427457971</v>
      </c>
      <c r="F4593" s="7" t="str">
        <f aca="false">IFERROR(INDEX(02_轉折點45個!B:B,MATCH(A4593,02_轉折點45個!A:A,0)),"")</f>
        <v/>
      </c>
      <c r="G4593" s="7" t="s">
        <v>5494</v>
      </c>
    </row>
    <row r="4594" customFormat="false" ht="15" hidden="false" customHeight="false" outlineLevel="0" collapsed="false">
      <c r="A4594" s="7" t="s">
        <v>5645</v>
      </c>
      <c r="B4594" s="7" t="n">
        <v>5432.2</v>
      </c>
      <c r="C4594" s="7" t="n">
        <f aca="false">AVERAGE(B4545:B4594)</f>
        <v>5303.358</v>
      </c>
      <c r="D4594" s="7" t="n">
        <f aca="false">AVERAGE(B4395:B4594)</f>
        <v>4910.5241</v>
      </c>
      <c r="E4594" s="7" t="n">
        <f aca="false">B4594/MAX(B4343:B4594)-1</f>
        <v>-0.00138609565898373</v>
      </c>
      <c r="F4594" s="7" t="str">
        <f aca="false">IFERROR(INDEX(02_轉折點45個!B:B,MATCH(A4594,02_轉折點45個!A:A,0)),"")</f>
        <v/>
      </c>
      <c r="G4594" s="7" t="s">
        <v>5494</v>
      </c>
    </row>
    <row r="4595" customFormat="false" ht="15" hidden="false" customHeight="false" outlineLevel="0" collapsed="false">
      <c r="A4595" s="7" t="s">
        <v>1299</v>
      </c>
      <c r="B4595" s="7" t="n">
        <v>5440.41</v>
      </c>
      <c r="C4595" s="7" t="n">
        <f aca="false">AVERAGE(B4546:B4595)</f>
        <v>5310.8522</v>
      </c>
      <c r="D4595" s="7" t="n">
        <f aca="false">AVERAGE(B4396:B4595)</f>
        <v>4915.79885</v>
      </c>
      <c r="E4595" s="7" t="n">
        <f aca="false">B4595/MAX(B4344:B4595)-1</f>
        <v>0</v>
      </c>
      <c r="F4595" s="7" t="str">
        <f aca="false">IFERROR(INDEX(02_轉折點45個!B:B,MATCH(A4595,02_轉折點45個!A:A,0)),"")</f>
        <v/>
      </c>
      <c r="G4595" s="7" t="s">
        <v>5494</v>
      </c>
    </row>
    <row r="4596" customFormat="false" ht="15" hidden="false" customHeight="false" outlineLevel="0" collapsed="false">
      <c r="A4596" s="7" t="s">
        <v>5646</v>
      </c>
      <c r="B4596" s="7" t="n">
        <v>5418.52</v>
      </c>
      <c r="C4596" s="7" t="n">
        <f aca="false">AVERAGE(B4547:B4596)</f>
        <v>5317.2014</v>
      </c>
      <c r="D4596" s="7" t="n">
        <f aca="false">AVERAGE(B4397:B4596)</f>
        <v>4920.79575</v>
      </c>
      <c r="E4596" s="7" t="n">
        <f aca="false">B4596/MAX(B4345:B4596)-1</f>
        <v>-0.00402359381002526</v>
      </c>
      <c r="F4596" s="7" t="str">
        <f aca="false">IFERROR(INDEX(02_轉折點45個!B:B,MATCH(A4596,02_轉折點45個!A:A,0)),"")</f>
        <v/>
      </c>
      <c r="G4596" s="7" t="s">
        <v>5494</v>
      </c>
    </row>
    <row r="4597" customFormat="false" ht="15" hidden="false" customHeight="false" outlineLevel="0" collapsed="false">
      <c r="A4597" s="7" t="s">
        <v>5647</v>
      </c>
      <c r="B4597" s="7" t="n">
        <v>5420.88</v>
      </c>
      <c r="C4597" s="7" t="n">
        <f aca="false">AVERAGE(B4548:B4597)</f>
        <v>5322.5896</v>
      </c>
      <c r="D4597" s="7" t="n">
        <f aca="false">AVERAGE(B4398:B4597)</f>
        <v>4925.7745</v>
      </c>
      <c r="E4597" s="7" t="n">
        <f aca="false">B4597/MAX(B4346:B4597)-1</f>
        <v>-0.00358980297440814</v>
      </c>
      <c r="F4597" s="7" t="str">
        <f aca="false">IFERROR(INDEX(02_轉折點45個!B:B,MATCH(A4597,02_轉折點45個!A:A,0)),"")</f>
        <v/>
      </c>
      <c r="G4597" s="7" t="s">
        <v>5494</v>
      </c>
    </row>
    <row r="4598" customFormat="false" ht="15" hidden="false" customHeight="false" outlineLevel="0" collapsed="false">
      <c r="A4598" s="7" t="s">
        <v>5648</v>
      </c>
      <c r="B4598" s="7" t="n">
        <v>5418.37</v>
      </c>
      <c r="C4598" s="7" t="n">
        <f aca="false">AVERAGE(B4549:B4598)</f>
        <v>5327.8186</v>
      </c>
      <c r="D4598" s="7" t="n">
        <f aca="false">AVERAGE(B4399:B4598)</f>
        <v>4930.7884</v>
      </c>
      <c r="E4598" s="7" t="n">
        <f aca="false">B4598/MAX(B4347:B4598)-1</f>
        <v>-0.00405116526144167</v>
      </c>
      <c r="F4598" s="7" t="str">
        <f aca="false">IFERROR(INDEX(02_轉折點45個!B:B,MATCH(A4598,02_轉折點45個!A:A,0)),"")</f>
        <v/>
      </c>
      <c r="G4598" s="7" t="s">
        <v>5494</v>
      </c>
    </row>
    <row r="4599" customFormat="false" ht="15" hidden="false" customHeight="false" outlineLevel="0" collapsed="false">
      <c r="A4599" s="7" t="s">
        <v>1300</v>
      </c>
      <c r="B4599" s="7" t="n">
        <v>5421.68</v>
      </c>
      <c r="C4599" s="7" t="n">
        <f aca="false">AVERAGE(B4550:B4599)</f>
        <v>5332.891</v>
      </c>
      <c r="D4599" s="7" t="n">
        <f aca="false">AVERAGE(B4400:B4599)</f>
        <v>4935.4684</v>
      </c>
      <c r="E4599" s="7" t="n">
        <f aca="false">B4599/MAX(B4348:B4599)-1</f>
        <v>-0.00344275523352089</v>
      </c>
      <c r="F4599" s="7" t="str">
        <f aca="false">IFERROR(INDEX(02_轉折點45個!B:B,MATCH(A4599,02_轉折點45個!A:A,0)),"")</f>
        <v/>
      </c>
      <c r="G4599" s="7" t="s">
        <v>5494</v>
      </c>
    </row>
    <row r="4600" customFormat="false" ht="15" hidden="false" customHeight="false" outlineLevel="0" collapsed="false">
      <c r="A4600" s="7" t="s">
        <v>5649</v>
      </c>
      <c r="B4600" s="7" t="n">
        <v>5398.4</v>
      </c>
      <c r="C4600" s="7" t="n">
        <f aca="false">AVERAGE(B4551:B4600)</f>
        <v>5338.2724</v>
      </c>
      <c r="D4600" s="7" t="n">
        <f aca="false">AVERAGE(B4401:B4600)</f>
        <v>4940.955</v>
      </c>
      <c r="E4600" s="7" t="n">
        <f aca="false">B4600/MAX(B4349:B4600)-1</f>
        <v>-0.0077218444933379</v>
      </c>
      <c r="F4600" s="7" t="str">
        <f aca="false">IFERROR(INDEX(02_轉折點45個!B:B,MATCH(A4600,02_轉折點45個!A:A,0)),"")</f>
        <v/>
      </c>
      <c r="G4600" s="7" t="s">
        <v>5494</v>
      </c>
    </row>
    <row r="4601" customFormat="false" ht="15" hidden="false" customHeight="false" outlineLevel="0" collapsed="false">
      <c r="A4601" s="7" t="s">
        <v>1301</v>
      </c>
      <c r="B4601" s="7" t="n">
        <v>5377.03</v>
      </c>
      <c r="C4601" s="7" t="n">
        <f aca="false">AVERAGE(B4552:B4601)</f>
        <v>5343.4776</v>
      </c>
      <c r="D4601" s="7" t="n">
        <f aca="false">AVERAGE(B4402:B4601)</f>
        <v>4946.8534</v>
      </c>
      <c r="E4601" s="7" t="n">
        <f aca="false">B4601/MAX(B4350:B4601)-1</f>
        <v>-0.0116498572717865</v>
      </c>
      <c r="F4601" s="7" t="str">
        <f aca="false">IFERROR(INDEX(02_轉折點45個!B:B,MATCH(A4601,02_轉折點45個!A:A,0)),"")</f>
        <v/>
      </c>
      <c r="G4601" s="7" t="s">
        <v>5494</v>
      </c>
    </row>
    <row r="4602" customFormat="false" ht="15" hidden="false" customHeight="false" outlineLevel="0" collapsed="false">
      <c r="A4602" s="7" t="s">
        <v>1302</v>
      </c>
      <c r="B4602" s="7" t="n">
        <v>5353.59</v>
      </c>
      <c r="C4602" s="7" t="n">
        <f aca="false">AVERAGE(B4553:B4602)</f>
        <v>5347.4956</v>
      </c>
      <c r="D4602" s="7" t="n">
        <f aca="false">AVERAGE(B4403:B4602)</f>
        <v>4952.18955</v>
      </c>
      <c r="E4602" s="7" t="n">
        <f aca="false">B4602/MAX(B4351:B4602)-1</f>
        <v>-0.0159583560797807</v>
      </c>
      <c r="F4602" s="7" t="str">
        <f aca="false">IFERROR(INDEX(02_轉折點45個!B:B,MATCH(A4602,02_轉折點45個!A:A,0)),"")</f>
        <v/>
      </c>
      <c r="G4602" s="7" t="s">
        <v>5494</v>
      </c>
    </row>
    <row r="4603" customFormat="false" ht="15" hidden="false" customHeight="false" outlineLevel="0" collapsed="false">
      <c r="A4603" s="7" t="s">
        <v>5650</v>
      </c>
      <c r="B4603" s="7" t="n">
        <v>5399.2</v>
      </c>
      <c r="C4603" s="7" t="n">
        <f aca="false">AVERAGE(B4554:B4603)</f>
        <v>5352.5256</v>
      </c>
      <c r="D4603" s="7" t="n">
        <f aca="false">AVERAGE(B4404:B4603)</f>
        <v>4957.3546</v>
      </c>
      <c r="E4603" s="7" t="n">
        <f aca="false">B4603/MAX(B4352:B4603)-1</f>
        <v>-0.00757479675245065</v>
      </c>
      <c r="F4603" s="7" t="str">
        <f aca="false">IFERROR(INDEX(02_轉折點45個!B:B,MATCH(A4603,02_轉折點45個!A:A,0)),"")</f>
        <v/>
      </c>
      <c r="G4603" s="7" t="s">
        <v>5494</v>
      </c>
    </row>
    <row r="4604" customFormat="false" ht="15" hidden="false" customHeight="false" outlineLevel="0" collapsed="false">
      <c r="A4604" s="7" t="s">
        <v>5651</v>
      </c>
      <c r="B4604" s="7" t="n">
        <v>5391.66</v>
      </c>
      <c r="C4604" s="7" t="n">
        <f aca="false">AVERAGE(B4555:B4604)</f>
        <v>5357.1268</v>
      </c>
      <c r="D4604" s="7" t="n">
        <f aca="false">AVERAGE(B4405:B4604)</f>
        <v>4962.19225</v>
      </c>
      <c r="E4604" s="7" t="n">
        <f aca="false">B4604/MAX(B4353:B4604)-1</f>
        <v>-0.00896072171031226</v>
      </c>
      <c r="F4604" s="7" t="str">
        <f aca="false">IFERROR(INDEX(02_轉折點45個!B:B,MATCH(A4604,02_轉折點45個!A:A,0)),"")</f>
        <v/>
      </c>
      <c r="G4604" s="7" t="s">
        <v>5494</v>
      </c>
    </row>
    <row r="4605" customFormat="false" ht="15" hidden="false" customHeight="false" outlineLevel="0" collapsed="false">
      <c r="A4605" s="7" t="s">
        <v>5652</v>
      </c>
      <c r="B4605" s="7" t="n">
        <v>5399.64</v>
      </c>
      <c r="C4605" s="7" t="n">
        <f aca="false">AVERAGE(B4556:B4605)</f>
        <v>5361.7604</v>
      </c>
      <c r="D4605" s="7" t="n">
        <f aca="false">AVERAGE(B4406:B4605)</f>
        <v>4966.9789</v>
      </c>
      <c r="E4605" s="7" t="n">
        <f aca="false">B4605/MAX(B4354:B4605)-1</f>
        <v>-0.00749392049496256</v>
      </c>
      <c r="F4605" s="7" t="str">
        <f aca="false">IFERROR(INDEX(02_轉折點45個!B:B,MATCH(A4605,02_轉折點45個!A:A,0)),"")</f>
        <v/>
      </c>
      <c r="G4605" s="7" t="s">
        <v>5494</v>
      </c>
    </row>
    <row r="4606" customFormat="false" ht="15" hidden="false" customHeight="false" outlineLevel="0" collapsed="false">
      <c r="A4606" s="7" t="s">
        <v>1303</v>
      </c>
      <c r="B4606" s="7" t="n">
        <v>5443.53</v>
      </c>
      <c r="C4606" s="7" t="n">
        <f aca="false">AVERAGE(B4557:B4606)</f>
        <v>5366.9134</v>
      </c>
      <c r="D4606" s="7" t="n">
        <f aca="false">AVERAGE(B4407:B4606)</f>
        <v>4972.1662</v>
      </c>
      <c r="E4606" s="7" t="n">
        <f aca="false">B4606/MAX(B4355:B4606)-1</f>
        <v>0</v>
      </c>
      <c r="F4606" s="7" t="str">
        <f aca="false">IFERROR(INDEX(02_轉折點45個!B:B,MATCH(A4606,02_轉折點45個!A:A,0)),"")</f>
        <v/>
      </c>
      <c r="G4606" s="7" t="s">
        <v>5494</v>
      </c>
    </row>
    <row r="4607" customFormat="false" ht="15" hidden="false" customHeight="false" outlineLevel="0" collapsed="false">
      <c r="A4607" s="7" t="s">
        <v>5653</v>
      </c>
      <c r="B4607" s="7" t="n">
        <v>5442.05</v>
      </c>
      <c r="C4607" s="7" t="n">
        <f aca="false">AVERAGE(B4558:B4607)</f>
        <v>5371.8228</v>
      </c>
      <c r="D4607" s="7" t="n">
        <f aca="false">AVERAGE(B4408:B4607)</f>
        <v>4977.18045</v>
      </c>
      <c r="E4607" s="7" t="n">
        <f aca="false">B4607/MAX(B4356:B4607)-1</f>
        <v>-0.000271882399839773</v>
      </c>
      <c r="F4607" s="7" t="str">
        <f aca="false">IFERROR(INDEX(02_轉折點45個!B:B,MATCH(A4607,02_轉折點45個!A:A,0)),"")</f>
        <v/>
      </c>
      <c r="G4607" s="7" t="s">
        <v>5494</v>
      </c>
    </row>
    <row r="4608" customFormat="false" ht="15" hidden="false" customHeight="false" outlineLevel="0" collapsed="false">
      <c r="A4608" s="7" t="s">
        <v>1304</v>
      </c>
      <c r="B4608" s="7" t="n">
        <v>5508.03</v>
      </c>
      <c r="C4608" s="7" t="n">
        <f aca="false">AVERAGE(B4559:B4608)</f>
        <v>5377.7402</v>
      </c>
      <c r="D4608" s="7" t="n">
        <f aca="false">AVERAGE(B4409:B4608)</f>
        <v>4982.444</v>
      </c>
      <c r="E4608" s="7" t="n">
        <f aca="false">B4608/MAX(B4357:B4608)-1</f>
        <v>0</v>
      </c>
      <c r="F4608" s="7" t="str">
        <f aca="false">IFERROR(INDEX(02_轉折點45個!B:B,MATCH(A4608,02_轉折點45個!A:A,0)),"")</f>
        <v/>
      </c>
      <c r="G4608" s="7" t="s">
        <v>5494</v>
      </c>
    </row>
    <row r="4609" customFormat="false" ht="15" hidden="false" customHeight="false" outlineLevel="0" collapsed="false">
      <c r="A4609" s="7" t="s">
        <v>5654</v>
      </c>
      <c r="B4609" s="7" t="n">
        <v>5548.19</v>
      </c>
      <c r="C4609" s="7" t="n">
        <f aca="false">AVERAGE(B4560:B4609)</f>
        <v>5384.1702</v>
      </c>
      <c r="D4609" s="7" t="n">
        <f aca="false">AVERAGE(B4410:B4609)</f>
        <v>4987.54315</v>
      </c>
      <c r="E4609" s="7" t="n">
        <f aca="false">B4609/MAX(B4358:B4609)-1</f>
        <v>0</v>
      </c>
      <c r="F4609" s="7" t="str">
        <f aca="false">IFERROR(INDEX(02_轉折點45個!B:B,MATCH(A4609,02_轉折點45個!A:A,0)),"")</f>
        <v/>
      </c>
      <c r="G4609" s="7" t="s">
        <v>5494</v>
      </c>
    </row>
    <row r="4610" customFormat="false" ht="15" hidden="false" customHeight="false" outlineLevel="0" collapsed="false">
      <c r="A4610" s="7" t="s">
        <v>5655</v>
      </c>
      <c r="B4610" s="7" t="n">
        <v>5541.09</v>
      </c>
      <c r="C4610" s="7" t="n">
        <f aca="false">AVERAGE(B4561:B4610)</f>
        <v>5389.8556</v>
      </c>
      <c r="D4610" s="7" t="n">
        <f aca="false">AVERAGE(B4411:B4610)</f>
        <v>4992.47505</v>
      </c>
      <c r="E4610" s="7" t="n">
        <f aca="false">B4610/MAX(B4359:B4610)-1</f>
        <v>-0.00127969662178107</v>
      </c>
      <c r="F4610" s="7" t="str">
        <f aca="false">IFERROR(INDEX(02_轉折點45個!B:B,MATCH(A4610,02_轉折點45個!A:A,0)),"")</f>
        <v/>
      </c>
      <c r="G4610" s="7" t="s">
        <v>5494</v>
      </c>
    </row>
    <row r="4611" customFormat="false" ht="15" hidden="false" customHeight="false" outlineLevel="0" collapsed="false">
      <c r="A4611" s="7" t="s">
        <v>5656</v>
      </c>
      <c r="B4611" s="7" t="n">
        <v>5571.28</v>
      </c>
      <c r="C4611" s="7" t="n">
        <f aca="false">AVERAGE(B4562:B4611)</f>
        <v>5395.8598</v>
      </c>
      <c r="D4611" s="7" t="n">
        <f aca="false">AVERAGE(B4412:B4611)</f>
        <v>4997.4434</v>
      </c>
      <c r="E4611" s="7" t="n">
        <f aca="false">B4611/MAX(B4360:B4611)-1</f>
        <v>0</v>
      </c>
      <c r="F4611" s="7" t="str">
        <f aca="false">IFERROR(INDEX(02_轉折點45個!B:B,MATCH(A4611,02_轉折點45個!A:A,0)),"")</f>
        <v/>
      </c>
      <c r="G4611" s="7" t="s">
        <v>5494</v>
      </c>
    </row>
    <row r="4612" customFormat="false" ht="15" hidden="false" customHeight="false" outlineLevel="0" collapsed="false">
      <c r="A4612" s="7" t="s">
        <v>5657</v>
      </c>
      <c r="B4612" s="7" t="n">
        <v>5583.53</v>
      </c>
      <c r="C4612" s="7" t="n">
        <f aca="false">AVERAGE(B4563:B4612)</f>
        <v>5401.4826</v>
      </c>
      <c r="D4612" s="7" t="n">
        <f aca="false">AVERAGE(B4413:B4612)</f>
        <v>5002.5322</v>
      </c>
      <c r="E4612" s="7" t="n">
        <f aca="false">B4612/MAX(B4361:B4612)-1</f>
        <v>0</v>
      </c>
      <c r="F4612" s="7" t="str">
        <f aca="false">IFERROR(INDEX(02_轉折點45個!B:B,MATCH(A4612,02_轉折點45個!A:A,0)),"")</f>
        <v/>
      </c>
      <c r="G4612" s="7" t="s">
        <v>5494</v>
      </c>
    </row>
    <row r="4613" customFormat="false" ht="15" hidden="false" customHeight="false" outlineLevel="0" collapsed="false">
      <c r="A4613" s="7" t="s">
        <v>5658</v>
      </c>
      <c r="B4613" s="7" t="n">
        <v>5629.63</v>
      </c>
      <c r="C4613" s="7" t="n">
        <f aca="false">AVERAGE(B4564:B4613)</f>
        <v>5408.0624</v>
      </c>
      <c r="D4613" s="7" t="n">
        <f aca="false">AVERAGE(B4414:B4613)</f>
        <v>5007.6979</v>
      </c>
      <c r="E4613" s="7" t="n">
        <f aca="false">B4613/MAX(B4362:B4613)-1</f>
        <v>0</v>
      </c>
      <c r="F4613" s="7" t="str">
        <f aca="false">IFERROR(INDEX(02_轉折點45個!B:B,MATCH(A4613,02_轉折點45個!A:A,0)),"")</f>
        <v/>
      </c>
      <c r="G4613" s="7" t="s">
        <v>5494</v>
      </c>
    </row>
    <row r="4614" customFormat="false" ht="15" hidden="false" customHeight="false" outlineLevel="0" collapsed="false">
      <c r="A4614" s="7" t="s">
        <v>5659</v>
      </c>
      <c r="B4614" s="7" t="n">
        <v>5644.07</v>
      </c>
      <c r="C4614" s="7" t="n">
        <f aca="false">AVERAGE(B4565:B4614)</f>
        <v>5414.4494</v>
      </c>
      <c r="D4614" s="7" t="n">
        <f aca="false">AVERAGE(B4415:B4614)</f>
        <v>5012.9691</v>
      </c>
      <c r="E4614" s="7" t="n">
        <f aca="false">B4614/MAX(B4363:B4614)-1</f>
        <v>0</v>
      </c>
      <c r="F4614" s="7" t="str">
        <f aca="false">IFERROR(INDEX(02_轉折點45個!B:B,MATCH(A4614,02_轉折點45個!A:A,0)),"")</f>
        <v/>
      </c>
      <c r="G4614" s="7" t="s">
        <v>5494</v>
      </c>
    </row>
    <row r="4615" customFormat="false" ht="15" hidden="false" customHeight="false" outlineLevel="0" collapsed="false">
      <c r="A4615" s="7" t="s">
        <v>5660</v>
      </c>
      <c r="B4615" s="7" t="n">
        <v>5625.16</v>
      </c>
      <c r="C4615" s="7" t="n">
        <f aca="false">AVERAGE(B4566:B4615)</f>
        <v>5419.938</v>
      </c>
      <c r="D4615" s="7" t="n">
        <f aca="false">AVERAGE(B4416:B4615)</f>
        <v>5017.9965</v>
      </c>
      <c r="E4615" s="7" t="n">
        <f aca="false">B4615/MAX(B4364:B4615)-1</f>
        <v>-0.00335041911244893</v>
      </c>
      <c r="F4615" s="7" t="str">
        <f aca="false">IFERROR(INDEX(02_轉折點45個!B:B,MATCH(A4615,02_轉折點45個!A:A,0)),"")</f>
        <v/>
      </c>
      <c r="G4615" s="7" t="s">
        <v>5494</v>
      </c>
    </row>
    <row r="4616" customFormat="false" ht="15" hidden="false" customHeight="false" outlineLevel="0" collapsed="false">
      <c r="A4616" s="7" t="s">
        <v>5661</v>
      </c>
      <c r="B4616" s="7" t="n">
        <v>5626.32</v>
      </c>
      <c r="C4616" s="7" t="n">
        <f aca="false">AVERAGE(B4567:B4616)</f>
        <v>5425.4218</v>
      </c>
      <c r="D4616" s="7" t="n">
        <f aca="false">AVERAGE(B4417:B4616)</f>
        <v>5023.1117</v>
      </c>
      <c r="E4616" s="7" t="n">
        <f aca="false">B4616/MAX(B4365:B4616)-1</f>
        <v>-0.00314489366715864</v>
      </c>
      <c r="F4616" s="7" t="str">
        <f aca="false">IFERROR(INDEX(02_轉折點45個!B:B,MATCH(A4616,02_轉折點45個!A:A,0)),"")</f>
        <v/>
      </c>
      <c r="G4616" s="7" t="s">
        <v>5494</v>
      </c>
    </row>
    <row r="4617" customFormat="false" ht="15" hidden="false" customHeight="false" outlineLevel="0" collapsed="false">
      <c r="A4617" s="7" t="s">
        <v>5662</v>
      </c>
      <c r="B4617" s="7" t="n">
        <v>5646.09</v>
      </c>
      <c r="C4617" s="7" t="n">
        <f aca="false">AVERAGE(B4568:B4617)</f>
        <v>5431.6962</v>
      </c>
      <c r="D4617" s="7" t="n">
        <f aca="false">AVERAGE(B4418:B4617)</f>
        <v>5028.05615</v>
      </c>
      <c r="E4617" s="7" t="n">
        <f aca="false">B4617/MAX(B4366:B4617)-1</f>
        <v>0</v>
      </c>
      <c r="F4617" s="7" t="str">
        <f aca="false">IFERROR(INDEX(02_轉折點45個!B:B,MATCH(A4617,02_轉折點45個!A:A,0)),"")</f>
        <v/>
      </c>
      <c r="G4617" s="7" t="s">
        <v>5494</v>
      </c>
    </row>
    <row r="4618" customFormat="false" ht="15" hidden="false" customHeight="false" outlineLevel="0" collapsed="false">
      <c r="A4618" s="7" t="s">
        <v>5663</v>
      </c>
      <c r="B4618" s="7" t="n">
        <v>5659.07</v>
      </c>
      <c r="C4618" s="7" t="n">
        <f aca="false">AVERAGE(B4569:B4618)</f>
        <v>5438.0114</v>
      </c>
      <c r="D4618" s="7" t="n">
        <f aca="false">AVERAGE(B4419:B4618)</f>
        <v>5033.1164</v>
      </c>
      <c r="E4618" s="7" t="n">
        <f aca="false">B4618/MAX(B4367:B4618)-1</f>
        <v>0</v>
      </c>
      <c r="F4618" s="7" t="str">
        <f aca="false">IFERROR(INDEX(02_轉折點45個!B:B,MATCH(A4618,02_轉折點45個!A:A,0)),"")</f>
        <v/>
      </c>
      <c r="G4618" s="7" t="s">
        <v>5494</v>
      </c>
    </row>
    <row r="4619" customFormat="false" ht="15" hidden="false" customHeight="false" outlineLevel="0" collapsed="false">
      <c r="A4619" s="7" t="s">
        <v>5664</v>
      </c>
      <c r="B4619" s="7" t="n">
        <v>5678.31</v>
      </c>
      <c r="C4619" s="7" t="n">
        <f aca="false">AVERAGE(B4570:B4619)</f>
        <v>5444.6266</v>
      </c>
      <c r="D4619" s="7" t="n">
        <f aca="false">AVERAGE(B4420:B4619)</f>
        <v>5038.1776</v>
      </c>
      <c r="E4619" s="7" t="n">
        <f aca="false">B4619/MAX(B4368:B4619)-1</f>
        <v>0</v>
      </c>
      <c r="F4619" s="7" t="str">
        <f aca="false">IFERROR(INDEX(02_轉折點45個!B:B,MATCH(A4619,02_轉折點45個!A:A,0)),"")</f>
        <v/>
      </c>
      <c r="G4619" s="7" t="s">
        <v>5494</v>
      </c>
    </row>
    <row r="4620" customFormat="false" ht="15" hidden="false" customHeight="false" outlineLevel="0" collapsed="false">
      <c r="A4620" s="7" t="s">
        <v>5665</v>
      </c>
      <c r="B4620" s="7" t="n">
        <v>5681.68</v>
      </c>
      <c r="C4620" s="7" t="n">
        <f aca="false">AVERAGE(B4571:B4620)</f>
        <v>5451.654</v>
      </c>
      <c r="D4620" s="7" t="n">
        <f aca="false">AVERAGE(B4421:B4620)</f>
        <v>5043.25635</v>
      </c>
      <c r="E4620" s="7" t="n">
        <f aca="false">B4620/MAX(B4369:B4620)-1</f>
        <v>0</v>
      </c>
      <c r="F4620" s="7" t="str">
        <f aca="false">IFERROR(INDEX(02_轉折點45個!B:B,MATCH(A4620,02_轉折點45個!A:A,0)),"")</f>
        <v/>
      </c>
      <c r="G4620" s="7" t="s">
        <v>5494</v>
      </c>
    </row>
    <row r="4621" customFormat="false" ht="15" hidden="false" customHeight="false" outlineLevel="0" collapsed="false">
      <c r="A4621" s="7" t="s">
        <v>5666</v>
      </c>
      <c r="B4621" s="7" t="n">
        <v>5674.22</v>
      </c>
      <c r="C4621" s="7" t="n">
        <f aca="false">AVERAGE(B4572:B4621)</f>
        <v>5457.3186</v>
      </c>
      <c r="D4621" s="7" t="n">
        <f aca="false">AVERAGE(B4422:B4621)</f>
        <v>5048.2669</v>
      </c>
      <c r="E4621" s="7" t="n">
        <f aca="false">B4621/MAX(B4370:B4621)-1</f>
        <v>-0.00131299193196377</v>
      </c>
      <c r="F4621" s="7" t="str">
        <f aca="false">IFERROR(INDEX(02_轉折點45個!B:B,MATCH(A4621,02_轉折點45個!A:A,0)),"")</f>
        <v/>
      </c>
      <c r="G4621" s="7" t="s">
        <v>5494</v>
      </c>
    </row>
    <row r="4622" customFormat="false" ht="15" hidden="false" customHeight="false" outlineLevel="0" collapsed="false">
      <c r="A4622" s="7" t="s">
        <v>5667</v>
      </c>
      <c r="B4622" s="7" t="n">
        <v>5686.81</v>
      </c>
      <c r="C4622" s="7" t="n">
        <f aca="false">AVERAGE(B4573:B4622)</f>
        <v>5463.7896</v>
      </c>
      <c r="D4622" s="7" t="n">
        <f aca="false">AVERAGE(B4423:B4622)</f>
        <v>5053.18655</v>
      </c>
      <c r="E4622" s="7" t="n">
        <f aca="false">B4622/MAX(B4371:B4622)-1</f>
        <v>0</v>
      </c>
      <c r="F4622" s="7" t="str">
        <f aca="false">IFERROR(INDEX(02_轉折點45個!B:B,MATCH(A4622,02_轉折點45個!A:A,0)),"")</f>
        <v/>
      </c>
      <c r="G4622" s="7" t="s">
        <v>5494</v>
      </c>
    </row>
    <row r="4623" customFormat="false" ht="15" hidden="false" customHeight="false" outlineLevel="0" collapsed="false">
      <c r="A4623" s="7" t="s">
        <v>5668</v>
      </c>
      <c r="B4623" s="7" t="n">
        <v>5704.48</v>
      </c>
      <c r="C4623" s="7" t="n">
        <f aca="false">AVERAGE(B4574:B4623)</f>
        <v>5470.4096</v>
      </c>
      <c r="D4623" s="7" t="n">
        <f aca="false">AVERAGE(B4424:B4623)</f>
        <v>5058.1019</v>
      </c>
      <c r="E4623" s="7" t="n">
        <f aca="false">B4623/MAX(B4372:B4623)-1</f>
        <v>0</v>
      </c>
      <c r="F4623" s="7" t="str">
        <f aca="false">IFERROR(INDEX(02_轉折點45個!B:B,MATCH(A4623,02_轉折點45個!A:A,0)),"")</f>
        <v/>
      </c>
      <c r="G4623" s="7" t="s">
        <v>5494</v>
      </c>
    </row>
    <row r="4624" customFormat="false" ht="15" hidden="false" customHeight="false" outlineLevel="0" collapsed="false">
      <c r="A4624" s="7" t="s">
        <v>5669</v>
      </c>
      <c r="B4624" s="7" t="n">
        <v>5724.44</v>
      </c>
      <c r="C4624" s="7" t="n">
        <f aca="false">AVERAGE(B4575:B4624)</f>
        <v>5477.6922</v>
      </c>
      <c r="D4624" s="7" t="n">
        <f aca="false">AVERAGE(B4425:B4624)</f>
        <v>5063.07295</v>
      </c>
      <c r="E4624" s="7" t="n">
        <f aca="false">B4624/MAX(B4373:B4624)-1</f>
        <v>0</v>
      </c>
      <c r="F4624" s="7" t="str">
        <f aca="false">IFERROR(INDEX(02_轉折點45個!B:B,MATCH(A4624,02_轉折點45個!A:A,0)),"")</f>
        <v/>
      </c>
      <c r="G4624" s="7" t="s">
        <v>5494</v>
      </c>
    </row>
    <row r="4625" customFormat="false" ht="15" hidden="false" customHeight="false" outlineLevel="0" collapsed="false">
      <c r="A4625" s="7" t="s">
        <v>1305</v>
      </c>
      <c r="B4625" s="7" t="n">
        <v>5580.55</v>
      </c>
      <c r="C4625" s="7" t="n">
        <f aca="false">AVERAGE(B4576:B4625)</f>
        <v>5482.2776</v>
      </c>
      <c r="D4625" s="7" t="n">
        <f aca="false">AVERAGE(B4426:B4625)</f>
        <v>5067.1955</v>
      </c>
      <c r="E4625" s="7" t="n">
        <f aca="false">B4625/MAX(B4374:B4625)-1</f>
        <v>-0.0251360831801887</v>
      </c>
      <c r="F4625" s="7" t="str">
        <f aca="false">IFERROR(INDEX(02_轉折點45個!B:B,MATCH(A4625,02_轉折點45個!A:A,0)),"")</f>
        <v/>
      </c>
      <c r="G4625" s="7" t="s">
        <v>5494</v>
      </c>
    </row>
    <row r="4626" customFormat="false" ht="15" hidden="false" customHeight="false" outlineLevel="0" collapsed="false">
      <c r="A4626" s="7" t="s">
        <v>1306</v>
      </c>
      <c r="B4626" s="7" t="n">
        <v>5626.31</v>
      </c>
      <c r="C4626" s="7" t="n">
        <f aca="false">AVERAGE(B4577:B4626)</f>
        <v>5487.6076</v>
      </c>
      <c r="D4626" s="7" t="n">
        <f aca="false">AVERAGE(B4427:B4626)</f>
        <v>5071.731</v>
      </c>
      <c r="E4626" s="7" t="n">
        <f aca="false">B4626/MAX(B4375:B4626)-1</f>
        <v>-0.0171422881539502</v>
      </c>
      <c r="F4626" s="7" t="str">
        <f aca="false">IFERROR(INDEX(02_轉折點45個!B:B,MATCH(A4626,02_轉折點45個!A:A,0)),"")</f>
        <v/>
      </c>
      <c r="G4626" s="7" t="s">
        <v>5494</v>
      </c>
    </row>
    <row r="4627" customFormat="false" ht="15" hidden="false" customHeight="false" outlineLevel="0" collapsed="false">
      <c r="A4627" s="7" t="s">
        <v>5670</v>
      </c>
      <c r="B4627" s="7" t="n">
        <v>5651.56</v>
      </c>
      <c r="C4627" s="7" t="n">
        <f aca="false">AVERAGE(B4578:B4627)</f>
        <v>5493.3592</v>
      </c>
      <c r="D4627" s="7" t="n">
        <f aca="false">AVERAGE(B4428:B4627)</f>
        <v>5076.31715</v>
      </c>
      <c r="E4627" s="7" t="n">
        <f aca="false">B4627/MAX(B4376:B4627)-1</f>
        <v>-0.0127313763442362</v>
      </c>
      <c r="F4627" s="7" t="str">
        <f aca="false">IFERROR(INDEX(02_轉折點45個!B:B,MATCH(A4627,02_轉折點45個!A:A,0)),"")</f>
        <v/>
      </c>
      <c r="G4627" s="7" t="s">
        <v>5494</v>
      </c>
    </row>
    <row r="4628" customFormat="false" ht="15" hidden="false" customHeight="false" outlineLevel="0" collapsed="false">
      <c r="A4628" s="7" t="s">
        <v>5671</v>
      </c>
      <c r="B4628" s="7" t="n">
        <v>5699.4</v>
      </c>
      <c r="C4628" s="7" t="n">
        <f aca="false">AVERAGE(B4579:B4628)</f>
        <v>5499.6292</v>
      </c>
      <c r="D4628" s="7" t="n">
        <f aca="false">AVERAGE(B4429:B4628)</f>
        <v>5081.0951</v>
      </c>
      <c r="E4628" s="7" t="n">
        <f aca="false">B4628/MAX(B4377:B4628)-1</f>
        <v>-0.00437422699862344</v>
      </c>
      <c r="F4628" s="7" t="str">
        <f aca="false">IFERROR(INDEX(02_轉折點45個!B:B,MATCH(A4628,02_轉折點45個!A:A,0)),"")</f>
        <v/>
      </c>
      <c r="G4628" s="7" t="s">
        <v>5494</v>
      </c>
    </row>
    <row r="4629" customFormat="false" ht="15" hidden="false" customHeight="false" outlineLevel="0" collapsed="false">
      <c r="A4629" s="7" t="s">
        <v>5672</v>
      </c>
      <c r="B4629" s="7" t="n">
        <v>5703.35</v>
      </c>
      <c r="C4629" s="7" t="n">
        <f aca="false">AVERAGE(B4580:B4629)</f>
        <v>5505.8048</v>
      </c>
      <c r="D4629" s="7" t="n">
        <f aca="false">AVERAGE(B4430:B4629)</f>
        <v>5085.6558</v>
      </c>
      <c r="E4629" s="7" t="n">
        <f aca="false">B4629/MAX(B4378:B4629)-1</f>
        <v>-0.00368420317096507</v>
      </c>
      <c r="F4629" s="7" t="str">
        <f aca="false">IFERROR(INDEX(02_轉折點45個!B:B,MATCH(A4629,02_轉折點45個!A:A,0)),"")</f>
        <v/>
      </c>
      <c r="G4629" s="7" t="s">
        <v>5494</v>
      </c>
    </row>
    <row r="4630" customFormat="false" ht="15" hidden="false" customHeight="false" outlineLevel="0" collapsed="false">
      <c r="A4630" s="7" t="s">
        <v>1307</v>
      </c>
      <c r="B4630" s="7" t="n">
        <v>5730.3</v>
      </c>
      <c r="C4630" s="7" t="n">
        <f aca="false">AVERAGE(B4581:B4630)</f>
        <v>5512.7674</v>
      </c>
      <c r="D4630" s="7" t="n">
        <f aca="false">AVERAGE(B4431:B4630)</f>
        <v>5090.3836</v>
      </c>
      <c r="E4630" s="7" t="n">
        <f aca="false">B4630/MAX(B4379:B4630)-1</f>
        <v>0</v>
      </c>
      <c r="F4630" s="7" t="str">
        <f aca="false">IFERROR(INDEX(02_轉折點45個!B:B,MATCH(A4630,02_轉折點45個!A:A,0)),"")</f>
        <v/>
      </c>
      <c r="G4630" s="7" t="s">
        <v>5494</v>
      </c>
    </row>
    <row r="4631" customFormat="false" ht="15" hidden="false" customHeight="false" outlineLevel="0" collapsed="false">
      <c r="A4631" s="7" t="s">
        <v>1308</v>
      </c>
      <c r="B4631" s="7" t="n">
        <v>5778.37</v>
      </c>
      <c r="C4631" s="7" t="n">
        <f aca="false">AVERAGE(B4582:B4631)</f>
        <v>5520.0098</v>
      </c>
      <c r="D4631" s="7" t="n">
        <f aca="false">AVERAGE(B4432:B4631)</f>
        <v>5095.2967</v>
      </c>
      <c r="E4631" s="7" t="n">
        <f aca="false">B4631/MAX(B4380:B4631)-1</f>
        <v>0</v>
      </c>
      <c r="F4631" s="7" t="str">
        <f aca="false">IFERROR(INDEX(02_轉折點45個!B:B,MATCH(A4631,02_轉折點45個!A:A,0)),"")</f>
        <v/>
      </c>
      <c r="G4631" s="7" t="s">
        <v>5494</v>
      </c>
    </row>
    <row r="4632" customFormat="false" ht="15" hidden="false" customHeight="false" outlineLevel="0" collapsed="false">
      <c r="A4632" s="7" t="s">
        <v>1309</v>
      </c>
      <c r="B4632" s="7" t="n">
        <v>5788.36</v>
      </c>
      <c r="C4632" s="7" t="n">
        <f aca="false">AVERAGE(B4583:B4632)</f>
        <v>5527.5354</v>
      </c>
      <c r="D4632" s="7" t="n">
        <f aca="false">AVERAGE(B4433:B4632)</f>
        <v>5100.32155</v>
      </c>
      <c r="E4632" s="7" t="n">
        <f aca="false">B4632/MAX(B4381:B4632)-1</f>
        <v>0</v>
      </c>
      <c r="F4632" s="7" t="str">
        <f aca="false">IFERROR(INDEX(02_轉折點45個!B:B,MATCH(A4632,02_轉折點45個!A:A,0)),"")</f>
        <v/>
      </c>
      <c r="G4632" s="7" t="s">
        <v>5494</v>
      </c>
    </row>
    <row r="4633" customFormat="false" ht="15" hidden="false" customHeight="false" outlineLevel="0" collapsed="false">
      <c r="A4633" s="7" t="s">
        <v>1310</v>
      </c>
      <c r="B4633" s="7" t="n">
        <v>5794.63</v>
      </c>
      <c r="C4633" s="7" t="n">
        <f aca="false">AVERAGE(B4584:B4633)</f>
        <v>5535.2528</v>
      </c>
      <c r="D4633" s="7" t="n">
        <f aca="false">AVERAGE(B4434:B4633)</f>
        <v>5105.27815</v>
      </c>
      <c r="E4633" s="7" t="n">
        <f aca="false">B4633/MAX(B4382:B4633)-1</f>
        <v>0</v>
      </c>
      <c r="F4633" s="7" t="str">
        <f aca="false">IFERROR(INDEX(02_轉折點45個!B:B,MATCH(A4633,02_轉折點45個!A:A,0)),"")</f>
        <v/>
      </c>
      <c r="G4633" s="7" t="s">
        <v>5494</v>
      </c>
    </row>
    <row r="4634" customFormat="false" ht="15" hidden="false" customHeight="false" outlineLevel="0" collapsed="false">
      <c r="A4634" s="7" t="s">
        <v>5673</v>
      </c>
      <c r="B4634" s="7" t="n">
        <v>5788.8</v>
      </c>
      <c r="C4634" s="7" t="n">
        <f aca="false">AVERAGE(B4585:B4634)</f>
        <v>5542.7626</v>
      </c>
      <c r="D4634" s="7" t="n">
        <f aca="false">AVERAGE(B4435:B4634)</f>
        <v>5110.18675</v>
      </c>
      <c r="E4634" s="7" t="n">
        <f aca="false">B4634/MAX(B4383:B4634)-1</f>
        <v>-0.00100610392725675</v>
      </c>
      <c r="F4634" s="7" t="str">
        <f aca="false">IFERROR(INDEX(02_轉折點45個!B:B,MATCH(A4634,02_轉折點45個!A:A,0)),"")</f>
        <v/>
      </c>
      <c r="G4634" s="7" t="s">
        <v>5494</v>
      </c>
    </row>
    <row r="4635" customFormat="false" ht="15" hidden="false" customHeight="false" outlineLevel="0" collapsed="false">
      <c r="A4635" s="7" t="s">
        <v>1311</v>
      </c>
      <c r="B4635" s="7" t="n">
        <v>5816.51</v>
      </c>
      <c r="C4635" s="7" t="n">
        <f aca="false">AVERAGE(B4586:B4635)</f>
        <v>5552.4422</v>
      </c>
      <c r="D4635" s="7" t="n">
        <f aca="false">AVERAGE(B4436:B4635)</f>
        <v>5115.1337</v>
      </c>
      <c r="E4635" s="7" t="n">
        <f aca="false">B4635/MAX(B4384:B4635)-1</f>
        <v>0</v>
      </c>
      <c r="F4635" s="7" t="str">
        <f aca="false">IFERROR(INDEX(02_轉折點45個!B:B,MATCH(A4635,02_轉折點45個!A:A,0)),"")</f>
        <v/>
      </c>
      <c r="G4635" s="7" t="s">
        <v>5494</v>
      </c>
    </row>
    <row r="4636" customFormat="false" ht="15" hidden="false" customHeight="false" outlineLevel="0" collapsed="false">
      <c r="A4636" s="7" t="s">
        <v>1312</v>
      </c>
      <c r="B4636" s="7" t="n">
        <v>5881.46</v>
      </c>
      <c r="C4636" s="7" t="n">
        <f aca="false">AVERAGE(B4587:B4636)</f>
        <v>5562.7204</v>
      </c>
      <c r="D4636" s="7" t="n">
        <f aca="false">AVERAGE(B4437:B4636)</f>
        <v>5120.55505</v>
      </c>
      <c r="E4636" s="7" t="n">
        <f aca="false">B4636/MAX(B4385:B4636)-1</f>
        <v>0</v>
      </c>
      <c r="F4636" s="7" t="str">
        <f aca="false">IFERROR(INDEX(02_轉折點45個!B:B,MATCH(A4636,02_轉折點45個!A:A,0)),"")</f>
        <v/>
      </c>
      <c r="G4636" s="7" t="s">
        <v>5494</v>
      </c>
    </row>
    <row r="4637" customFormat="false" ht="15" hidden="false" customHeight="false" outlineLevel="0" collapsed="false">
      <c r="A4637" s="7" t="s">
        <v>5674</v>
      </c>
      <c r="B4637" s="7" t="n">
        <v>5878.12</v>
      </c>
      <c r="C4637" s="7" t="n">
        <f aca="false">AVERAGE(B4588:B4637)</f>
        <v>5573.18</v>
      </c>
      <c r="D4637" s="7" t="n">
        <f aca="false">AVERAGE(B4438:B4637)</f>
        <v>5125.9184</v>
      </c>
      <c r="E4637" s="7" t="n">
        <f aca="false">B4637/MAX(B4386:B4637)-1</f>
        <v>-0.000567886205125934</v>
      </c>
      <c r="F4637" s="7" t="str">
        <f aca="false">IFERROR(INDEX(02_轉折點45個!B:B,MATCH(A4637,02_轉折點45個!A:A,0)),"")</f>
        <v/>
      </c>
      <c r="G4637" s="7" t="s">
        <v>5494</v>
      </c>
    </row>
    <row r="4638" customFormat="false" ht="15" hidden="false" customHeight="false" outlineLevel="0" collapsed="false">
      <c r="A4638" s="7" t="s">
        <v>5675</v>
      </c>
      <c r="B4638" s="7" t="n">
        <v>5856.77</v>
      </c>
      <c r="C4638" s="7" t="n">
        <f aca="false">AVERAGE(B4589:B4638)</f>
        <v>5583.0354</v>
      </c>
      <c r="D4638" s="7" t="n">
        <f aca="false">AVERAGE(B4439:B4638)</f>
        <v>5131.15885</v>
      </c>
      <c r="E4638" s="7" t="n">
        <f aca="false">B4638/MAX(B4387:B4638)-1</f>
        <v>-0.00419793724687401</v>
      </c>
      <c r="F4638" s="7" t="str">
        <f aca="false">IFERROR(INDEX(02_轉折點45個!B:B,MATCH(A4638,02_轉折點45個!A:A,0)),"")</f>
        <v/>
      </c>
      <c r="G4638" s="7" t="s">
        <v>5494</v>
      </c>
    </row>
    <row r="4639" customFormat="false" ht="15" hidden="false" customHeight="false" outlineLevel="0" collapsed="false">
      <c r="A4639" s="7" t="s">
        <v>5676</v>
      </c>
      <c r="B4639" s="7" t="n">
        <v>5877.59</v>
      </c>
      <c r="C4639" s="7" t="n">
        <f aca="false">AVERAGE(B4590:B4639)</f>
        <v>5593.1018</v>
      </c>
      <c r="D4639" s="7" t="n">
        <f aca="false">AVERAGE(B4440:B4639)</f>
        <v>5136.5161</v>
      </c>
      <c r="E4639" s="7" t="n">
        <f aca="false">B4639/MAX(B4388:B4639)-1</f>
        <v>-0.000657999884382421</v>
      </c>
      <c r="F4639" s="7" t="str">
        <f aca="false">IFERROR(INDEX(02_轉折點45個!B:B,MATCH(A4639,02_轉折點45個!A:A,0)),"")</f>
        <v/>
      </c>
      <c r="G4639" s="7" t="s">
        <v>5494</v>
      </c>
    </row>
    <row r="4640" customFormat="false" ht="15" hidden="false" customHeight="false" outlineLevel="0" collapsed="false">
      <c r="A4640" s="7" t="s">
        <v>5677</v>
      </c>
      <c r="B4640" s="7" t="n">
        <v>5885.3</v>
      </c>
      <c r="C4640" s="7" t="n">
        <f aca="false">AVERAGE(B4591:B4640)</f>
        <v>5602.6636</v>
      </c>
      <c r="D4640" s="7" t="n">
        <f aca="false">AVERAGE(B4441:B4640)</f>
        <v>5141.8998</v>
      </c>
      <c r="E4640" s="7" t="n">
        <f aca="false">B4640/MAX(B4389:B4640)-1</f>
        <v>0</v>
      </c>
      <c r="F4640" s="7" t="str">
        <f aca="false">IFERROR(INDEX(02_轉折點45個!B:B,MATCH(A4640,02_轉折點45個!A:A,0)),"")</f>
        <v/>
      </c>
      <c r="G4640" s="7" t="s">
        <v>5494</v>
      </c>
    </row>
    <row r="4641" customFormat="false" ht="15" hidden="false" customHeight="false" outlineLevel="0" collapsed="false">
      <c r="A4641" s="7" t="s">
        <v>5678</v>
      </c>
      <c r="B4641" s="7" t="n">
        <v>5741.94</v>
      </c>
      <c r="C4641" s="7" t="n">
        <f aca="false">AVERAGE(B4592:B4641)</f>
        <v>5608.897</v>
      </c>
      <c r="D4641" s="7" t="n">
        <f aca="false">AVERAGE(B4442:B4641)</f>
        <v>5146.5171</v>
      </c>
      <c r="E4641" s="7" t="n">
        <f aca="false">B4641/MAX(B4390:B4641)-1</f>
        <v>-0.0243589961429325</v>
      </c>
      <c r="F4641" s="7" t="str">
        <f aca="false">IFERROR(INDEX(02_轉折點45個!B:B,MATCH(A4641,02_轉折點45個!A:A,0)),"")</f>
        <v/>
      </c>
      <c r="G4641" s="7" t="s">
        <v>5494</v>
      </c>
    </row>
    <row r="4642" customFormat="false" ht="15" hidden="false" customHeight="false" outlineLevel="0" collapsed="false">
      <c r="A4642" s="7" t="s">
        <v>1313</v>
      </c>
      <c r="B4642" s="7" t="n">
        <v>5708.18</v>
      </c>
      <c r="C4642" s="7" t="n">
        <f aca="false">AVERAGE(B4593:B4642)</f>
        <v>5614.2658</v>
      </c>
      <c r="D4642" s="7" t="n">
        <f aca="false">AVERAGE(B4443:B4642)</f>
        <v>5151.14055</v>
      </c>
      <c r="E4642" s="7" t="n">
        <f aca="false">B4642/MAX(B4391:B4642)-1</f>
        <v>-0.0300953222435559</v>
      </c>
      <c r="F4642" s="7" t="str">
        <f aca="false">IFERROR(INDEX(02_轉折點45個!B:B,MATCH(A4642,02_轉折點45個!A:A,0)),"")</f>
        <v/>
      </c>
      <c r="G4642" s="7" t="s">
        <v>5494</v>
      </c>
    </row>
    <row r="4643" customFormat="false" ht="15" hidden="false" customHeight="false" outlineLevel="0" collapsed="false">
      <c r="A4643" s="7" t="s">
        <v>5679</v>
      </c>
      <c r="B4643" s="7" t="n">
        <v>5751.82</v>
      </c>
      <c r="C4643" s="7" t="n">
        <f aca="false">AVERAGE(B4594:B4643)</f>
        <v>5620.5776</v>
      </c>
      <c r="D4643" s="7" t="n">
        <f aca="false">AVERAGE(B4444:B4643)</f>
        <v>5156.0225</v>
      </c>
      <c r="E4643" s="7" t="n">
        <f aca="false">B4643/MAX(B4392:B4643)-1</f>
        <v>-0.0226802372011623</v>
      </c>
      <c r="F4643" s="7" t="str">
        <f aca="false">IFERROR(INDEX(02_轉折點45個!B:B,MATCH(A4643,02_轉折點45個!A:A,0)),"")</f>
        <v/>
      </c>
      <c r="G4643" s="7" t="s">
        <v>5494</v>
      </c>
    </row>
    <row r="4644" customFormat="false" ht="15" hidden="false" customHeight="false" outlineLevel="0" collapsed="false">
      <c r="A4644" s="7" t="s">
        <v>5680</v>
      </c>
      <c r="B4644" s="7" t="n">
        <v>5727.07</v>
      </c>
      <c r="C4644" s="7" t="n">
        <f aca="false">AVERAGE(B4595:B4644)</f>
        <v>5626.475</v>
      </c>
      <c r="D4644" s="7" t="n">
        <f aca="false">AVERAGE(B4445:B4644)</f>
        <v>5160.7394</v>
      </c>
      <c r="E4644" s="7" t="n">
        <f aca="false">B4644/MAX(B4393:B4644)-1</f>
        <v>-0.0268856302992202</v>
      </c>
      <c r="F4644" s="7" t="str">
        <f aca="false">IFERROR(INDEX(02_轉折點45個!B:B,MATCH(A4644,02_轉折點45個!A:A,0)),"")</f>
        <v/>
      </c>
      <c r="G4644" s="7" t="s">
        <v>5494</v>
      </c>
    </row>
    <row r="4645" customFormat="false" ht="15" hidden="false" customHeight="false" outlineLevel="0" collapsed="false">
      <c r="A4645" s="7" t="s">
        <v>5681</v>
      </c>
      <c r="B4645" s="7" t="n">
        <v>5700.89</v>
      </c>
      <c r="C4645" s="7" t="n">
        <f aca="false">AVERAGE(B4596:B4645)</f>
        <v>5631.6846</v>
      </c>
      <c r="D4645" s="7" t="n">
        <f aca="false">AVERAGE(B4446:B4645)</f>
        <v>5165.2884</v>
      </c>
      <c r="E4645" s="7" t="n">
        <f aca="false">B4645/MAX(B4394:B4645)-1</f>
        <v>-0.0313340016651658</v>
      </c>
      <c r="F4645" s="7" t="str">
        <f aca="false">IFERROR(INDEX(02_轉折點45個!B:B,MATCH(A4645,02_轉折點45個!A:A,0)),"")</f>
        <v/>
      </c>
      <c r="G4645" s="7" t="s">
        <v>5494</v>
      </c>
    </row>
    <row r="4646" customFormat="false" ht="15" hidden="false" customHeight="false" outlineLevel="0" collapsed="false">
      <c r="A4646" s="7" t="s">
        <v>5682</v>
      </c>
      <c r="B4646" s="7" t="n">
        <v>5681.48</v>
      </c>
      <c r="C4646" s="7" t="n">
        <f aca="false">AVERAGE(B4597:B4646)</f>
        <v>5636.9438</v>
      </c>
      <c r="D4646" s="7" t="n">
        <f aca="false">AVERAGE(B4447:B4646)</f>
        <v>5169.81585</v>
      </c>
      <c r="E4646" s="7" t="n">
        <f aca="false">B4646/MAX(B4395:B4646)-1</f>
        <v>-0.0346320493432791</v>
      </c>
      <c r="F4646" s="7" t="str">
        <f aca="false">IFERROR(INDEX(02_轉折點45個!B:B,MATCH(A4646,02_轉折點45個!A:A,0)),"")</f>
        <v/>
      </c>
      <c r="G4646" s="7" t="s">
        <v>5494</v>
      </c>
    </row>
    <row r="4647" customFormat="false" ht="15" hidden="false" customHeight="false" outlineLevel="0" collapsed="false">
      <c r="A4647" s="7" t="s">
        <v>5683</v>
      </c>
      <c r="B4647" s="7" t="n">
        <v>5772.22</v>
      </c>
      <c r="C4647" s="7" t="n">
        <f aca="false">AVERAGE(B4598:B4647)</f>
        <v>5643.9706</v>
      </c>
      <c r="D4647" s="7" t="n">
        <f aca="false">AVERAGE(B4448:B4647)</f>
        <v>5174.8217</v>
      </c>
      <c r="E4647" s="7" t="n">
        <f aca="false">B4647/MAX(B4396:B4647)-1</f>
        <v>-0.0192139737991266</v>
      </c>
      <c r="F4647" s="7" t="str">
        <f aca="false">IFERROR(INDEX(02_轉折點45個!B:B,MATCH(A4647,02_轉折點45個!A:A,0)),"")</f>
        <v/>
      </c>
      <c r="G4647" s="7" t="s">
        <v>5494</v>
      </c>
    </row>
    <row r="4648" customFormat="false" ht="15" hidden="false" customHeight="false" outlineLevel="0" collapsed="false">
      <c r="A4648" s="7" t="s">
        <v>5684</v>
      </c>
      <c r="B4648" s="7" t="n">
        <v>5726.31</v>
      </c>
      <c r="C4648" s="7" t="n">
        <f aca="false">AVERAGE(B4599:B4648)</f>
        <v>5650.1294</v>
      </c>
      <c r="D4648" s="7" t="n">
        <f aca="false">AVERAGE(B4449:B4648)</f>
        <v>5179.53355</v>
      </c>
      <c r="E4648" s="7" t="n">
        <f aca="false">B4648/MAX(B4397:B4648)-1</f>
        <v>-0.0270147656024331</v>
      </c>
      <c r="F4648" s="7" t="str">
        <f aca="false">IFERROR(INDEX(02_轉折點45個!B:B,MATCH(A4648,02_轉折點45個!A:A,0)),"")</f>
        <v/>
      </c>
      <c r="G4648" s="7" t="s">
        <v>5494</v>
      </c>
    </row>
    <row r="4649" customFormat="false" ht="15" hidden="false" customHeight="false" outlineLevel="0" collapsed="false">
      <c r="A4649" s="7" t="s">
        <v>5685</v>
      </c>
      <c r="B4649" s="7" t="n">
        <v>5782.39</v>
      </c>
      <c r="C4649" s="7" t="n">
        <f aca="false">AVERAGE(B4600:B4649)</f>
        <v>5657.3436</v>
      </c>
      <c r="D4649" s="7" t="n">
        <f aca="false">AVERAGE(B4450:B4649)</f>
        <v>5184.4518</v>
      </c>
      <c r="E4649" s="7" t="n">
        <f aca="false">B4649/MAX(B4398:B4649)-1</f>
        <v>-0.0174859395442882</v>
      </c>
      <c r="F4649" s="7" t="str">
        <f aca="false">IFERROR(INDEX(02_轉折點45個!B:B,MATCH(A4649,02_轉折點45個!A:A,0)),"")</f>
        <v/>
      </c>
      <c r="G4649" s="7" t="s">
        <v>5494</v>
      </c>
    </row>
    <row r="4650" customFormat="false" ht="15" hidden="false" customHeight="false" outlineLevel="0" collapsed="false">
      <c r="A4650" s="7" t="s">
        <v>5686</v>
      </c>
      <c r="B4650" s="7" t="n">
        <v>5779.87</v>
      </c>
      <c r="C4650" s="7" t="n">
        <f aca="false">AVERAGE(B4601:B4650)</f>
        <v>5664.973</v>
      </c>
      <c r="D4650" s="7" t="n">
        <f aca="false">AVERAGE(B4451:B4650)</f>
        <v>5189.2036</v>
      </c>
      <c r="E4650" s="7" t="n">
        <f aca="false">B4650/MAX(B4399:B4650)-1</f>
        <v>-0.0179141250233633</v>
      </c>
      <c r="F4650" s="7" t="str">
        <f aca="false">IFERROR(INDEX(02_轉折點45個!B:B,MATCH(A4650,02_轉折點45個!A:A,0)),"")</f>
        <v/>
      </c>
      <c r="G4650" s="7" t="s">
        <v>5494</v>
      </c>
    </row>
    <row r="4651" customFormat="false" ht="15" hidden="false" customHeight="false" outlineLevel="0" collapsed="false">
      <c r="A4651" s="7" t="s">
        <v>5687</v>
      </c>
      <c r="B4651" s="7" t="n">
        <v>5803.11</v>
      </c>
      <c r="C4651" s="7" t="n">
        <f aca="false">AVERAGE(B4602:B4651)</f>
        <v>5673.4946</v>
      </c>
      <c r="D4651" s="7" t="n">
        <f aca="false">AVERAGE(B4452:B4651)</f>
        <v>5194.05985</v>
      </c>
      <c r="E4651" s="7" t="n">
        <f aca="false">B4651/MAX(B4400:B4651)-1</f>
        <v>-0.0139653033830052</v>
      </c>
      <c r="F4651" s="7" t="str">
        <f aca="false">IFERROR(INDEX(02_轉折點45個!B:B,MATCH(A4651,02_轉折點45個!A:A,0)),"")</f>
        <v/>
      </c>
      <c r="G4651" s="7" t="s">
        <v>5494</v>
      </c>
    </row>
    <row r="4652" customFormat="false" ht="15" hidden="false" customHeight="false" outlineLevel="0" collapsed="false">
      <c r="A4652" s="7" t="s">
        <v>5688</v>
      </c>
      <c r="B4652" s="7" t="n">
        <v>5777.59</v>
      </c>
      <c r="C4652" s="7" t="n">
        <f aca="false">AVERAGE(B4603:B4652)</f>
        <v>5681.9746</v>
      </c>
      <c r="D4652" s="7" t="n">
        <f aca="false">AVERAGE(B4453:B4652)</f>
        <v>5198.9278</v>
      </c>
      <c r="E4652" s="7" t="n">
        <f aca="false">B4652/MAX(B4401:B4652)-1</f>
        <v>-0.0183015309330026</v>
      </c>
      <c r="F4652" s="7" t="str">
        <f aca="false">IFERROR(INDEX(02_轉折點45個!B:B,MATCH(A4652,02_轉折點45個!A:A,0)),"")</f>
        <v/>
      </c>
      <c r="G4652" s="7" t="s">
        <v>5494</v>
      </c>
    </row>
    <row r="4653" customFormat="false" ht="15" hidden="false" customHeight="false" outlineLevel="0" collapsed="false">
      <c r="A4653" s="7" t="s">
        <v>5689</v>
      </c>
      <c r="B4653" s="7" t="n">
        <v>5671.6</v>
      </c>
      <c r="C4653" s="7" t="n">
        <f aca="false">AVERAGE(B4604:B4653)</f>
        <v>5687.4226</v>
      </c>
      <c r="D4653" s="7" t="n">
        <f aca="false">AVERAGE(B4454:B4653)</f>
        <v>5203.8781</v>
      </c>
      <c r="E4653" s="7" t="n">
        <f aca="false">B4653/MAX(B4402:B4653)-1</f>
        <v>-0.0363108082850492</v>
      </c>
      <c r="F4653" s="7" t="str">
        <f aca="false">IFERROR(INDEX(02_轉折點45個!B:B,MATCH(A4653,02_轉折點45個!A:A,0)),"")</f>
        <v/>
      </c>
      <c r="G4653" s="7" t="s">
        <v>5494</v>
      </c>
    </row>
    <row r="4654" customFormat="false" ht="15" hidden="false" customHeight="false" outlineLevel="0" collapsed="false">
      <c r="A4654" s="7" t="s">
        <v>5690</v>
      </c>
      <c r="B4654" s="7" t="n">
        <v>5753.03</v>
      </c>
      <c r="C4654" s="7" t="n">
        <f aca="false">AVERAGE(B4605:B4654)</f>
        <v>5694.65</v>
      </c>
      <c r="D4654" s="7" t="n">
        <f aca="false">AVERAGE(B4455:B4654)</f>
        <v>5208.82</v>
      </c>
      <c r="E4654" s="7" t="n">
        <f aca="false">B4654/MAX(B4403:B4654)-1</f>
        <v>-0.0224746402052572</v>
      </c>
      <c r="F4654" s="7" t="str">
        <f aca="false">IFERROR(INDEX(02_轉折點45個!B:B,MATCH(A4654,02_轉折點45個!A:A,0)),"")</f>
        <v/>
      </c>
      <c r="G4654" s="7" t="s">
        <v>5494</v>
      </c>
    </row>
    <row r="4655" customFormat="false" ht="15" hidden="false" customHeight="false" outlineLevel="0" collapsed="false">
      <c r="A4655" s="7" t="s">
        <v>1314</v>
      </c>
      <c r="B4655" s="7" t="n">
        <v>5653.02</v>
      </c>
      <c r="C4655" s="7" t="n">
        <f aca="false">AVERAGE(B4606:B4655)</f>
        <v>5699.7176</v>
      </c>
      <c r="D4655" s="7" t="n">
        <f aca="false">AVERAGE(B4456:B4655)</f>
        <v>5213.47085</v>
      </c>
      <c r="E4655" s="7" t="n">
        <f aca="false">B4655/MAX(B4404:B4655)-1</f>
        <v>-0.0394678266188639</v>
      </c>
      <c r="F4655" s="7" t="str">
        <f aca="false">IFERROR(INDEX(02_轉折點45個!B:B,MATCH(A4655,02_轉折點45個!A:A,0)),"")</f>
        <v/>
      </c>
      <c r="G4655" s="7" t="s">
        <v>5494</v>
      </c>
    </row>
    <row r="4656" customFormat="false" ht="15" hidden="false" customHeight="false" outlineLevel="0" collapsed="false">
      <c r="A4656" s="7" t="s">
        <v>1315</v>
      </c>
      <c r="B4656" s="7" t="n">
        <v>5646.92</v>
      </c>
      <c r="C4656" s="7" t="n">
        <f aca="false">AVERAGE(B4607:B4656)</f>
        <v>5703.7854</v>
      </c>
      <c r="D4656" s="7" t="n">
        <f aca="false">AVERAGE(B4457:B4656)</f>
        <v>5217.97515</v>
      </c>
      <c r="E4656" s="7" t="n">
        <f aca="false">B4656/MAX(B4405:B4656)-1</f>
        <v>-0.0405043073420217</v>
      </c>
      <c r="F4656" s="7" t="str">
        <f aca="false">IFERROR(INDEX(02_轉折點45個!B:B,MATCH(A4656,02_轉折點45個!A:A,0)),"")</f>
        <v/>
      </c>
      <c r="G4656" s="7" t="s">
        <v>5494</v>
      </c>
    </row>
    <row r="4657" customFormat="false" ht="15" hidden="false" customHeight="false" outlineLevel="0" collapsed="false">
      <c r="A4657" s="7" t="s">
        <v>5691</v>
      </c>
      <c r="B4657" s="7" t="n">
        <v>5596.96</v>
      </c>
      <c r="C4657" s="7" t="n">
        <f aca="false">AVERAGE(B4608:B4657)</f>
        <v>5706.8836</v>
      </c>
      <c r="D4657" s="7" t="n">
        <f aca="false">AVERAGE(B4458:B4657)</f>
        <v>5221.86045</v>
      </c>
      <c r="E4657" s="7" t="n">
        <f aca="false">B4657/MAX(B4406:B4657)-1</f>
        <v>-0.0489932543795558</v>
      </c>
      <c r="F4657" s="7" t="str">
        <f aca="false">IFERROR(INDEX(02_轉折點45個!B:B,MATCH(A4657,02_轉折點45個!A:A,0)),"")</f>
        <v/>
      </c>
      <c r="G4657" s="7" t="s">
        <v>5494</v>
      </c>
    </row>
    <row r="4658" customFormat="false" ht="15" hidden="false" customHeight="false" outlineLevel="0" collapsed="false">
      <c r="A4658" s="7" t="s">
        <v>5692</v>
      </c>
      <c r="B4658" s="7" t="n">
        <v>5648.82</v>
      </c>
      <c r="C4658" s="7" t="n">
        <f aca="false">AVERAGE(B4609:B4658)</f>
        <v>5709.6994</v>
      </c>
      <c r="D4658" s="7" t="n">
        <f aca="false">AVERAGE(B4459:B4658)</f>
        <v>5226.0143</v>
      </c>
      <c r="E4658" s="7" t="n">
        <f aca="false">B4658/MAX(B4407:B4658)-1</f>
        <v>-0.040181469083989</v>
      </c>
      <c r="F4658" s="7" t="str">
        <f aca="false">IFERROR(INDEX(02_轉折點45個!B:B,MATCH(A4658,02_轉折點45個!A:A,0)),"")</f>
        <v/>
      </c>
      <c r="G4658" s="7" t="s">
        <v>5494</v>
      </c>
    </row>
    <row r="4659" customFormat="false" ht="15" hidden="false" customHeight="false" outlineLevel="0" collapsed="false">
      <c r="A4659" s="7" t="s">
        <v>5693</v>
      </c>
      <c r="B4659" s="7" t="n">
        <v>5597.9</v>
      </c>
      <c r="C4659" s="7" t="n">
        <f aca="false">AVERAGE(B4610:B4659)</f>
        <v>5710.6936</v>
      </c>
      <c r="D4659" s="7" t="n">
        <f aca="false">AVERAGE(B4460:B4659)</f>
        <v>5230.02345</v>
      </c>
      <c r="E4659" s="7" t="n">
        <f aca="false">B4659/MAX(B4408:B4659)-1</f>
        <v>-0.0488335343992661</v>
      </c>
      <c r="F4659" s="7" t="str">
        <f aca="false">IFERROR(INDEX(02_轉折點45個!B:B,MATCH(A4659,02_轉折點45個!A:A,0)),"")</f>
        <v/>
      </c>
      <c r="G4659" s="7" t="s">
        <v>5494</v>
      </c>
    </row>
    <row r="4660" customFormat="false" ht="15" hidden="false" customHeight="false" outlineLevel="0" collapsed="false">
      <c r="A4660" s="7" t="s">
        <v>5694</v>
      </c>
      <c r="B4660" s="7" t="n">
        <v>5656.47</v>
      </c>
      <c r="C4660" s="7" t="n">
        <f aca="false">AVERAGE(B4611:B4660)</f>
        <v>5713.0012</v>
      </c>
      <c r="D4660" s="7" t="n">
        <f aca="false">AVERAGE(B4461:B4660)</f>
        <v>5234.2797</v>
      </c>
      <c r="E4660" s="7" t="n">
        <f aca="false">B4660/MAX(B4409:B4660)-1</f>
        <v>-0.0388816203082256</v>
      </c>
      <c r="F4660" s="7" t="str">
        <f aca="false">IFERROR(INDEX(02_轉折點45個!B:B,MATCH(A4660,02_轉折點45個!A:A,0)),"")</f>
        <v/>
      </c>
      <c r="G4660" s="7" t="s">
        <v>5494</v>
      </c>
    </row>
    <row r="4661" customFormat="false" ht="15" hidden="false" customHeight="false" outlineLevel="0" collapsed="false">
      <c r="A4661" s="7" t="s">
        <v>5695</v>
      </c>
      <c r="B4661" s="7" t="n">
        <v>5694.15</v>
      </c>
      <c r="C4661" s="7" t="n">
        <f aca="false">AVERAGE(B4612:B4661)</f>
        <v>5715.4586</v>
      </c>
      <c r="D4661" s="7" t="n">
        <f aca="false">AVERAGE(B4462:B4661)</f>
        <v>5238.4817</v>
      </c>
      <c r="E4661" s="7" t="n">
        <f aca="false">B4661/MAX(B4410:B4661)-1</f>
        <v>-0.0324792279068188</v>
      </c>
      <c r="F4661" s="7" t="str">
        <f aca="false">IFERROR(INDEX(02_轉折點45個!B:B,MATCH(A4661,02_轉折點45個!A:A,0)),"")</f>
        <v/>
      </c>
      <c r="G4661" s="7" t="s">
        <v>5494</v>
      </c>
    </row>
    <row r="4662" customFormat="false" ht="15" hidden="false" customHeight="false" outlineLevel="0" collapsed="false">
      <c r="A4662" s="7" t="s">
        <v>5696</v>
      </c>
      <c r="B4662" s="7" t="n">
        <v>5709.8</v>
      </c>
      <c r="C4662" s="7" t="n">
        <f aca="false">AVERAGE(B4613:B4662)</f>
        <v>5717.984</v>
      </c>
      <c r="D4662" s="7" t="n">
        <f aca="false">AVERAGE(B4463:B4662)</f>
        <v>5242.5739</v>
      </c>
      <c r="E4662" s="7" t="n">
        <f aca="false">B4662/MAX(B4411:B4662)-1</f>
        <v>-0.0298200601498649</v>
      </c>
      <c r="F4662" s="7" t="str">
        <f aca="false">IFERROR(INDEX(02_轉折點45個!B:B,MATCH(A4662,02_轉折點45個!A:A,0)),"")</f>
        <v/>
      </c>
      <c r="G4662" s="7" t="s">
        <v>5494</v>
      </c>
    </row>
    <row r="4663" customFormat="false" ht="15" hidden="false" customHeight="false" outlineLevel="0" collapsed="false">
      <c r="A4663" s="7" t="s">
        <v>5697</v>
      </c>
      <c r="B4663" s="7" t="n">
        <v>5778.95</v>
      </c>
      <c r="C4663" s="7" t="n">
        <f aca="false">AVERAGE(B4614:B4663)</f>
        <v>5720.9704</v>
      </c>
      <c r="D4663" s="7" t="n">
        <f aca="false">AVERAGE(B4464:B4663)</f>
        <v>5247.1741</v>
      </c>
      <c r="E4663" s="7" t="n">
        <f aca="false">B4663/MAX(B4412:B4663)-1</f>
        <v>-0.0180704467062003</v>
      </c>
      <c r="F4663" s="7" t="str">
        <f aca="false">IFERROR(INDEX(02_轉折點45個!B:B,MATCH(A4663,02_轉折點45個!A:A,0)),"")</f>
        <v/>
      </c>
      <c r="G4663" s="7" t="s">
        <v>5494</v>
      </c>
    </row>
    <row r="4664" customFormat="false" ht="15" hidden="false" customHeight="false" outlineLevel="0" collapsed="false">
      <c r="A4664" s="7" t="s">
        <v>5698</v>
      </c>
      <c r="B4664" s="7" t="n">
        <v>5793.36</v>
      </c>
      <c r="C4664" s="7" t="n">
        <f aca="false">AVERAGE(B4615:B4664)</f>
        <v>5723.9562</v>
      </c>
      <c r="D4664" s="7" t="n">
        <f aca="false">AVERAGE(B4465:B4664)</f>
        <v>5252.05505</v>
      </c>
      <c r="E4664" s="7" t="n">
        <f aca="false">B4664/MAX(B4413:B4664)-1</f>
        <v>-0.015621973391331</v>
      </c>
      <c r="F4664" s="7" t="str">
        <f aca="false">IFERROR(INDEX(02_轉折點45個!B:B,MATCH(A4664,02_轉折點45個!A:A,0)),"")</f>
        <v/>
      </c>
      <c r="G4664" s="7" t="s">
        <v>5494</v>
      </c>
    </row>
    <row r="4665" customFormat="false" ht="15" hidden="false" customHeight="false" outlineLevel="0" collapsed="false">
      <c r="A4665" s="7" t="s">
        <v>5699</v>
      </c>
      <c r="B4665" s="7" t="n">
        <v>5838.08</v>
      </c>
      <c r="C4665" s="7" t="n">
        <f aca="false">AVERAGE(B4616:B4665)</f>
        <v>5728.2146</v>
      </c>
      <c r="D4665" s="7" t="n">
        <f aca="false">AVERAGE(B4466:B4665)</f>
        <v>5256.9119</v>
      </c>
      <c r="E4665" s="7" t="n">
        <f aca="false">B4665/MAX(B4414:B4665)-1</f>
        <v>-0.00802338028647653</v>
      </c>
      <c r="F4665" s="7" t="str">
        <f aca="false">IFERROR(INDEX(02_轉折點45個!B:B,MATCH(A4665,02_轉折點45個!A:A,0)),"")</f>
        <v/>
      </c>
      <c r="G4665" s="7" t="s">
        <v>5494</v>
      </c>
    </row>
    <row r="4666" customFormat="false" ht="15" hidden="false" customHeight="false" outlineLevel="0" collapsed="false">
      <c r="A4666" s="7" t="s">
        <v>5700</v>
      </c>
      <c r="B4666" s="7" t="n">
        <v>5839.74</v>
      </c>
      <c r="C4666" s="7" t="n">
        <f aca="false">AVERAGE(B4617:B4666)</f>
        <v>5732.483</v>
      </c>
      <c r="D4666" s="7" t="n">
        <f aca="false">AVERAGE(B4467:B4666)</f>
        <v>5261.73425</v>
      </c>
      <c r="E4666" s="7" t="n">
        <f aca="false">B4666/MAX(B4415:B4666)-1</f>
        <v>-0.00774132159787955</v>
      </c>
      <c r="F4666" s="7" t="str">
        <f aca="false">IFERROR(INDEX(02_轉折點45個!B:B,MATCH(A4666,02_轉折點45個!A:A,0)),"")</f>
        <v/>
      </c>
      <c r="G4666" s="7" t="s">
        <v>5494</v>
      </c>
    </row>
    <row r="4667" customFormat="false" ht="15" hidden="false" customHeight="false" outlineLevel="0" collapsed="false">
      <c r="A4667" s="7" t="s">
        <v>5701</v>
      </c>
      <c r="B4667" s="7" t="n">
        <v>5880.1</v>
      </c>
      <c r="C4667" s="7" t="n">
        <f aca="false">AVERAGE(B4618:B4667)</f>
        <v>5737.1632</v>
      </c>
      <c r="D4667" s="7" t="n">
        <f aca="false">AVERAGE(B4468:B4667)</f>
        <v>5266.94325</v>
      </c>
      <c r="E4667" s="7" t="n">
        <f aca="false">B4667/MAX(B4416:B4667)-1</f>
        <v>-0.000883557337773788</v>
      </c>
      <c r="F4667" s="7" t="str">
        <f aca="false">IFERROR(INDEX(02_轉折點45個!B:B,MATCH(A4667,02_轉折點45個!A:A,0)),"")</f>
        <v/>
      </c>
      <c r="G4667" s="7" t="s">
        <v>5494</v>
      </c>
    </row>
    <row r="4668" customFormat="false" ht="15" hidden="false" customHeight="false" outlineLevel="0" collapsed="false">
      <c r="A4668" s="7" t="s">
        <v>1316</v>
      </c>
      <c r="B4668" s="7" t="n">
        <v>5916.16</v>
      </c>
      <c r="C4668" s="7" t="n">
        <f aca="false">AVERAGE(B4619:B4668)</f>
        <v>5742.305</v>
      </c>
      <c r="D4668" s="7" t="n">
        <f aca="false">AVERAGE(B4469:B4668)</f>
        <v>5272.14555</v>
      </c>
      <c r="E4668" s="7" t="n">
        <f aca="false">B4668/MAX(B4417:B4668)-1</f>
        <v>0</v>
      </c>
      <c r="F4668" s="7" t="str">
        <f aca="false">IFERROR(INDEX(02_轉折點45個!B:B,MATCH(A4668,02_轉折點45個!A:A,0)),"")</f>
        <v/>
      </c>
      <c r="G4668" s="7" t="s">
        <v>5494</v>
      </c>
    </row>
    <row r="4669" customFormat="false" ht="15" hidden="false" customHeight="false" outlineLevel="0" collapsed="false">
      <c r="A4669" s="7" t="s">
        <v>1317</v>
      </c>
      <c r="B4669" s="7" t="n">
        <v>5921.22</v>
      </c>
      <c r="C4669" s="7" t="n">
        <f aca="false">AVERAGE(B4620:B4669)</f>
        <v>5747.1632</v>
      </c>
      <c r="D4669" s="7" t="n">
        <f aca="false">AVERAGE(B4470:B4669)</f>
        <v>5277.4185</v>
      </c>
      <c r="E4669" s="7" t="n">
        <f aca="false">B4669/MAX(B4418:B4669)-1</f>
        <v>0</v>
      </c>
      <c r="F4669" s="7" t="str">
        <f aca="false">IFERROR(INDEX(02_轉折點45個!B:B,MATCH(A4669,02_轉折點45個!A:A,0)),"")</f>
        <v/>
      </c>
      <c r="G4669" s="7" t="s">
        <v>5494</v>
      </c>
    </row>
    <row r="4670" customFormat="false" ht="15" hidden="false" customHeight="false" outlineLevel="0" collapsed="false">
      <c r="A4670" s="7" t="s">
        <v>1318</v>
      </c>
      <c r="B4670" s="7" t="n">
        <v>5921.53</v>
      </c>
      <c r="C4670" s="7" t="n">
        <f aca="false">AVERAGE(B4621:B4670)</f>
        <v>5751.9602</v>
      </c>
      <c r="D4670" s="7" t="n">
        <f aca="false">AVERAGE(B4471:B4670)</f>
        <v>5282.7288</v>
      </c>
      <c r="E4670" s="7" t="n">
        <f aca="false">B4670/MAX(B4419:B4670)-1</f>
        <v>0</v>
      </c>
      <c r="F4670" s="7" t="str">
        <f aca="false">IFERROR(INDEX(02_轉折點45個!B:B,MATCH(A4670,02_轉折點45個!A:A,0)),"")</f>
        <v/>
      </c>
      <c r="G4670" s="7" t="s">
        <v>5494</v>
      </c>
    </row>
    <row r="4671" customFormat="false" ht="15" hidden="false" customHeight="false" outlineLevel="0" collapsed="false">
      <c r="A4671" s="7" t="s">
        <v>1319</v>
      </c>
      <c r="B4671" s="7" t="n">
        <v>5941.37</v>
      </c>
      <c r="C4671" s="7" t="n">
        <f aca="false">AVERAGE(B4622:B4671)</f>
        <v>5757.3032</v>
      </c>
      <c r="D4671" s="7" t="n">
        <f aca="false">AVERAGE(B4472:B4671)</f>
        <v>5288.0469</v>
      </c>
      <c r="E4671" s="7" t="n">
        <f aca="false">B4671/MAX(B4420:B4671)-1</f>
        <v>0</v>
      </c>
      <c r="F4671" s="7" t="str">
        <f aca="false">IFERROR(INDEX(02_轉折點45個!B:B,MATCH(A4671,02_轉折點45個!A:A,0)),"")</f>
        <v/>
      </c>
      <c r="G4671" s="7" t="s">
        <v>5494</v>
      </c>
    </row>
    <row r="4672" customFormat="false" ht="15" hidden="false" customHeight="false" outlineLevel="0" collapsed="false">
      <c r="A4672" s="7" t="s">
        <v>5702</v>
      </c>
      <c r="B4672" s="7" t="n">
        <v>5930.65</v>
      </c>
      <c r="C4672" s="7" t="n">
        <f aca="false">AVERAGE(B4623:B4672)</f>
        <v>5762.18</v>
      </c>
      <c r="D4672" s="7" t="n">
        <f aca="false">AVERAGE(B4473:B4672)</f>
        <v>5293.33055</v>
      </c>
      <c r="E4672" s="7" t="n">
        <f aca="false">B4672/MAX(B4421:B4672)-1</f>
        <v>-0.00180429766198709</v>
      </c>
      <c r="F4672" s="7" t="str">
        <f aca="false">IFERROR(INDEX(02_轉折點45個!B:B,MATCH(A4672,02_轉折點45個!A:A,0)),"")</f>
        <v/>
      </c>
      <c r="G4672" s="7" t="s">
        <v>5494</v>
      </c>
    </row>
    <row r="4673" customFormat="false" ht="15" hidden="false" customHeight="false" outlineLevel="0" collapsed="false">
      <c r="A4673" s="7" t="s">
        <v>1320</v>
      </c>
      <c r="B4673" s="7" t="n">
        <v>5950.73</v>
      </c>
      <c r="C4673" s="7" t="n">
        <f aca="false">AVERAGE(B4624:B4673)</f>
        <v>5767.105</v>
      </c>
      <c r="D4673" s="7" t="n">
        <f aca="false">AVERAGE(B4474:B4673)</f>
        <v>5298.7616</v>
      </c>
      <c r="E4673" s="7" t="n">
        <f aca="false">B4673/MAX(B4422:B4673)-1</f>
        <v>0</v>
      </c>
      <c r="F4673" s="7" t="str">
        <f aca="false">IFERROR(INDEX(02_轉折點45個!B:B,MATCH(A4673,02_轉折點45個!A:A,0)),"")</f>
        <v/>
      </c>
      <c r="G4673" s="7" t="s">
        <v>5494</v>
      </c>
    </row>
    <row r="4674" customFormat="false" ht="15" hidden="false" customHeight="false" outlineLevel="0" collapsed="false">
      <c r="A4674" s="7" t="s">
        <v>5703</v>
      </c>
      <c r="B4674" s="7" t="n">
        <v>5917.03</v>
      </c>
      <c r="C4674" s="7" t="n">
        <f aca="false">AVERAGE(B4625:B4674)</f>
        <v>5770.9568</v>
      </c>
      <c r="D4674" s="7" t="n">
        <f aca="false">AVERAGE(B4475:B4674)</f>
        <v>5303.8779</v>
      </c>
      <c r="E4674" s="7" t="n">
        <f aca="false">B4674/MAX(B4423:B4674)-1</f>
        <v>-0.00566317073703559</v>
      </c>
      <c r="F4674" s="7" t="str">
        <f aca="false">IFERROR(INDEX(02_轉折點45個!B:B,MATCH(A4674,02_轉折點45個!A:A,0)),"")</f>
        <v/>
      </c>
      <c r="G4674" s="7" t="s">
        <v>5494</v>
      </c>
    </row>
    <row r="4675" customFormat="false" ht="15" hidden="false" customHeight="false" outlineLevel="0" collapsed="false">
      <c r="A4675" s="7" t="s">
        <v>5704</v>
      </c>
      <c r="B4675" s="7" t="n">
        <v>5908.92</v>
      </c>
      <c r="C4675" s="7" t="n">
        <f aca="false">AVERAGE(B4626:B4675)</f>
        <v>5777.5242</v>
      </c>
      <c r="D4675" s="7" t="n">
        <f aca="false">AVERAGE(B4476:B4675)</f>
        <v>5309.31295</v>
      </c>
      <c r="E4675" s="7" t="n">
        <f aca="false">B4675/MAX(B4424:B4675)-1</f>
        <v>-0.007026028739331</v>
      </c>
      <c r="F4675" s="7" t="str">
        <f aca="false">IFERROR(INDEX(02_轉折點45個!B:B,MATCH(A4675,02_轉折點45個!A:A,0)),"")</f>
        <v/>
      </c>
      <c r="G4675" s="7" t="s">
        <v>5494</v>
      </c>
    </row>
    <row r="4676" customFormat="false" ht="15" hidden="false" customHeight="false" outlineLevel="0" collapsed="false">
      <c r="A4676" s="7" t="s">
        <v>5705</v>
      </c>
      <c r="B4676" s="7" t="n">
        <v>5880.33</v>
      </c>
      <c r="C4676" s="7" t="n">
        <f aca="false">AVERAGE(B4627:B4676)</f>
        <v>5782.6046</v>
      </c>
      <c r="D4676" s="7" t="n">
        <f aca="false">AVERAGE(B4477:B4676)</f>
        <v>5314.6164</v>
      </c>
      <c r="E4676" s="7" t="n">
        <f aca="false">B4676/MAX(B4425:B4676)-1</f>
        <v>-0.0118304813022939</v>
      </c>
      <c r="F4676" s="7" t="str">
        <f aca="false">IFERROR(INDEX(02_轉折點45個!B:B,MATCH(A4676,02_轉折點45個!A:A,0)),"")</f>
        <v/>
      </c>
      <c r="G4676" s="7" t="s">
        <v>5494</v>
      </c>
    </row>
    <row r="4677" customFormat="false" ht="15" hidden="false" customHeight="false" outlineLevel="0" collapsed="false">
      <c r="A4677" s="7" t="s">
        <v>1321</v>
      </c>
      <c r="B4677" s="7" t="n">
        <v>5895.17</v>
      </c>
      <c r="C4677" s="7" t="n">
        <f aca="false">AVERAGE(B4628:B4677)</f>
        <v>5787.4768</v>
      </c>
      <c r="D4677" s="7" t="n">
        <f aca="false">AVERAGE(B4478:B4677)</f>
        <v>5320.07675</v>
      </c>
      <c r="E4677" s="7" t="n">
        <f aca="false">B4677/MAX(B4426:B4677)-1</f>
        <v>-0.0093366696186854</v>
      </c>
      <c r="F4677" s="7" t="str">
        <f aca="false">IFERROR(INDEX(02_轉折點45個!B:B,MATCH(A4677,02_轉折點45個!A:A,0)),"")</f>
        <v/>
      </c>
      <c r="G4677" s="7" t="s">
        <v>5494</v>
      </c>
    </row>
    <row r="4678" customFormat="false" ht="15" hidden="false" customHeight="false" outlineLevel="0" collapsed="false">
      <c r="A4678" s="7" t="s">
        <v>5706</v>
      </c>
      <c r="B4678" s="7" t="n">
        <v>5914.23</v>
      </c>
      <c r="C4678" s="7" t="n">
        <f aca="false">AVERAGE(B4629:B4678)</f>
        <v>5791.7734</v>
      </c>
      <c r="D4678" s="7" t="n">
        <f aca="false">AVERAGE(B4479:B4678)</f>
        <v>5325.6055</v>
      </c>
      <c r="E4678" s="7" t="n">
        <f aca="false">B4678/MAX(B4427:B4678)-1</f>
        <v>-0.00613370124337687</v>
      </c>
      <c r="F4678" s="7" t="str">
        <f aca="false">IFERROR(INDEX(02_轉折點45個!B:B,MATCH(A4678,02_轉折點45個!A:A,0)),"")</f>
        <v/>
      </c>
      <c r="G4678" s="7" t="s">
        <v>5494</v>
      </c>
    </row>
    <row r="4679" customFormat="false" ht="15" hidden="false" customHeight="false" outlineLevel="0" collapsed="false">
      <c r="A4679" s="7" t="s">
        <v>5707</v>
      </c>
      <c r="B4679" s="7" t="n">
        <v>5891.2</v>
      </c>
      <c r="C4679" s="7" t="n">
        <f aca="false">AVERAGE(B4630:B4679)</f>
        <v>5795.5304</v>
      </c>
      <c r="D4679" s="7" t="n">
        <f aca="false">AVERAGE(B4480:B4679)</f>
        <v>5331.08065</v>
      </c>
      <c r="E4679" s="7" t="n">
        <f aca="false">B4679/MAX(B4428:B4679)-1</f>
        <v>-0.0100038146580335</v>
      </c>
      <c r="F4679" s="7" t="str">
        <f aca="false">IFERROR(INDEX(02_轉折點45個!B:B,MATCH(A4679,02_轉折點45個!A:A,0)),"")</f>
        <v/>
      </c>
      <c r="G4679" s="7" t="s">
        <v>5494</v>
      </c>
    </row>
    <row r="4680" customFormat="false" ht="15" hidden="false" customHeight="false" outlineLevel="0" collapsed="false">
      <c r="A4680" s="7" t="s">
        <v>5708</v>
      </c>
      <c r="B4680" s="7" t="n">
        <v>5899.91</v>
      </c>
      <c r="C4680" s="7" t="n">
        <f aca="false">AVERAGE(B4631:B4680)</f>
        <v>5798.9226</v>
      </c>
      <c r="D4680" s="7" t="n">
        <f aca="false">AVERAGE(B4481:B4680)</f>
        <v>5336.3816</v>
      </c>
      <c r="E4680" s="7" t="n">
        <f aca="false">B4680/MAX(B4429:B4680)-1</f>
        <v>-0.00854012869009346</v>
      </c>
      <c r="F4680" s="7" t="str">
        <f aca="false">IFERROR(INDEX(02_轉折點45個!B:B,MATCH(A4680,02_轉折點45個!A:A,0)),"")</f>
        <v/>
      </c>
      <c r="G4680" s="7" t="s">
        <v>5494</v>
      </c>
    </row>
    <row r="4681" customFormat="false" ht="15" hidden="false" customHeight="false" outlineLevel="0" collapsed="false">
      <c r="A4681" s="7" t="s">
        <v>5709</v>
      </c>
      <c r="B4681" s="7" t="n">
        <v>5934.73</v>
      </c>
      <c r="C4681" s="7" t="n">
        <f aca="false">AVERAGE(B4632:B4681)</f>
        <v>5802.0498</v>
      </c>
      <c r="D4681" s="7" t="n">
        <f aca="false">AVERAGE(B4482:B4681)</f>
        <v>5341.8722</v>
      </c>
      <c r="E4681" s="7" t="n">
        <f aca="false">B4681/MAX(B4430:B4681)-1</f>
        <v>-0.00268874575052136</v>
      </c>
      <c r="F4681" s="7" t="str">
        <f aca="false">IFERROR(INDEX(02_轉折點45個!B:B,MATCH(A4681,02_轉折點45個!A:A,0)),"")</f>
        <v/>
      </c>
      <c r="G4681" s="7" t="s">
        <v>5494</v>
      </c>
    </row>
    <row r="4682" customFormat="false" ht="15" hidden="false" customHeight="false" outlineLevel="0" collapsed="false">
      <c r="A4682" s="7" t="s">
        <v>5710</v>
      </c>
      <c r="B4682" s="7" t="n">
        <v>5926.35</v>
      </c>
      <c r="C4682" s="7" t="n">
        <f aca="false">AVERAGE(B4633:B4682)</f>
        <v>5804.8096</v>
      </c>
      <c r="D4682" s="7" t="n">
        <f aca="false">AVERAGE(B4483:B4682)</f>
        <v>5347.3404</v>
      </c>
      <c r="E4682" s="7" t="n">
        <f aca="false">B4682/MAX(B4431:B4682)-1</f>
        <v>-0.00409697633735684</v>
      </c>
      <c r="F4682" s="7" t="str">
        <f aca="false">IFERROR(INDEX(02_轉折點45個!B:B,MATCH(A4682,02_轉折點45個!A:A,0)),"")</f>
        <v/>
      </c>
      <c r="G4682" s="7" t="s">
        <v>5494</v>
      </c>
    </row>
    <row r="4683" customFormat="false" ht="15" hidden="false" customHeight="false" outlineLevel="0" collapsed="false">
      <c r="A4683" s="7" t="s">
        <v>5711</v>
      </c>
      <c r="B4683" s="7" t="n">
        <v>5919.39</v>
      </c>
      <c r="C4683" s="7" t="n">
        <f aca="false">AVERAGE(B4634:B4683)</f>
        <v>5807.3048</v>
      </c>
      <c r="D4683" s="7" t="n">
        <f aca="false">AVERAGE(B4484:B4683)</f>
        <v>5352.67805</v>
      </c>
      <c r="E4683" s="7" t="n">
        <f aca="false">B4683/MAX(B4432:B4683)-1</f>
        <v>-0.00526658073883357</v>
      </c>
      <c r="F4683" s="7" t="str">
        <f aca="false">IFERROR(INDEX(02_轉折點45個!B:B,MATCH(A4683,02_轉折點45個!A:A,0)),"")</f>
        <v/>
      </c>
      <c r="G4683" s="7" t="s">
        <v>5494</v>
      </c>
    </row>
    <row r="4684" customFormat="false" ht="15" hidden="false" customHeight="false" outlineLevel="0" collapsed="false">
      <c r="A4684" s="7" t="s">
        <v>1322</v>
      </c>
      <c r="B4684" s="7" t="n">
        <v>5788.19</v>
      </c>
      <c r="C4684" s="7" t="n">
        <f aca="false">AVERAGE(B4635:B4684)</f>
        <v>5807.2926</v>
      </c>
      <c r="D4684" s="7" t="n">
        <f aca="false">AVERAGE(B4485:B4684)</f>
        <v>5357.06915</v>
      </c>
      <c r="E4684" s="7" t="n">
        <f aca="false">B4684/MAX(B4433:B4684)-1</f>
        <v>-0.0273142958931089</v>
      </c>
      <c r="F4684" s="7" t="str">
        <f aca="false">IFERROR(INDEX(02_轉折點45個!B:B,MATCH(A4684,02_轉折點45個!A:A,0)),"")</f>
        <v/>
      </c>
      <c r="G4684" s="7" t="s">
        <v>5494</v>
      </c>
    </row>
    <row r="4685" customFormat="false" ht="15" hidden="false" customHeight="false" outlineLevel="0" collapsed="false">
      <c r="A4685" s="7" t="s">
        <v>5712</v>
      </c>
      <c r="B4685" s="7" t="n">
        <v>5831.53</v>
      </c>
      <c r="C4685" s="7" t="n">
        <f aca="false">AVERAGE(B4636:B4685)</f>
        <v>5807.593</v>
      </c>
      <c r="D4685" s="7" t="n">
        <f aca="false">AVERAGE(B4486:B4685)</f>
        <v>5361.76955</v>
      </c>
      <c r="E4685" s="7" t="n">
        <f aca="false">B4685/MAX(B4434:B4685)-1</f>
        <v>-0.0200311558413842</v>
      </c>
      <c r="F4685" s="7" t="str">
        <f aca="false">IFERROR(INDEX(02_轉折點45個!B:B,MATCH(A4685,02_轉折點45個!A:A,0)),"")</f>
        <v/>
      </c>
      <c r="G4685" s="7" t="s">
        <v>5494</v>
      </c>
    </row>
    <row r="4686" customFormat="false" ht="15" hidden="false" customHeight="false" outlineLevel="0" collapsed="false">
      <c r="A4686" s="7" t="s">
        <v>5713</v>
      </c>
      <c r="B4686" s="7" t="n">
        <v>5908.17</v>
      </c>
      <c r="C4686" s="7" t="n">
        <f aca="false">AVERAGE(B4637:B4686)</f>
        <v>5808.1272</v>
      </c>
      <c r="D4686" s="7" t="n">
        <f aca="false">AVERAGE(B4487:B4686)</f>
        <v>5367.00745</v>
      </c>
      <c r="E4686" s="7" t="n">
        <f aca="false">B4686/MAX(B4435:B4686)-1</f>
        <v>-0.00715206369638677</v>
      </c>
      <c r="F4686" s="7" t="str">
        <f aca="false">IFERROR(INDEX(02_轉折點45個!B:B,MATCH(A4686,02_轉折點45個!A:A,0)),"")</f>
        <v/>
      </c>
      <c r="G4686" s="7" t="s">
        <v>5494</v>
      </c>
    </row>
    <row r="4687" customFormat="false" ht="15" hidden="false" customHeight="false" outlineLevel="0" collapsed="false">
      <c r="A4687" s="7" t="s">
        <v>1323</v>
      </c>
      <c r="B4687" s="7" t="n">
        <v>5907.73</v>
      </c>
      <c r="C4687" s="7" t="n">
        <f aca="false">AVERAGE(B4638:B4687)</f>
        <v>5808.7194</v>
      </c>
      <c r="D4687" s="7" t="n">
        <f aca="false">AVERAGE(B4488:B4687)</f>
        <v>5372.36385</v>
      </c>
      <c r="E4687" s="7" t="n">
        <f aca="false">B4687/MAX(B4436:B4687)-1</f>
        <v>-0.00722600420452613</v>
      </c>
      <c r="F4687" s="7" t="str">
        <f aca="false">IFERROR(INDEX(02_轉折點45個!B:B,MATCH(A4687,02_轉折點45個!A:A,0)),"")</f>
        <v/>
      </c>
      <c r="G4687" s="7" t="s">
        <v>5494</v>
      </c>
    </row>
    <row r="4688" customFormat="false" ht="15" hidden="false" customHeight="false" outlineLevel="0" collapsed="false">
      <c r="A4688" s="7" t="s">
        <v>5714</v>
      </c>
      <c r="B4688" s="7" t="n">
        <v>5917.42</v>
      </c>
      <c r="C4688" s="7" t="n">
        <f aca="false">AVERAGE(B4639:B4688)</f>
        <v>5809.9324</v>
      </c>
      <c r="D4688" s="7" t="n">
        <f aca="false">AVERAGE(B4489:B4688)</f>
        <v>5377.923</v>
      </c>
      <c r="E4688" s="7" t="n">
        <f aca="false">B4688/MAX(B4437:B4688)-1</f>
        <v>-0.00559763255936663</v>
      </c>
      <c r="F4688" s="7" t="str">
        <f aca="false">IFERROR(INDEX(02_轉折點45個!B:B,MATCH(A4688,02_轉折點45個!A:A,0)),"")</f>
        <v/>
      </c>
      <c r="G4688" s="7" t="s">
        <v>5494</v>
      </c>
    </row>
    <row r="4689" customFormat="false" ht="15" hidden="false" customHeight="false" outlineLevel="0" collapsed="false">
      <c r="A4689" s="7" t="s">
        <v>1324</v>
      </c>
      <c r="B4689" s="7" t="n">
        <v>5796.32</v>
      </c>
      <c r="C4689" s="7" t="n">
        <f aca="false">AVERAGE(B4640:B4689)</f>
        <v>5808.307</v>
      </c>
      <c r="D4689" s="7" t="n">
        <f aca="false">AVERAGE(B4490:B4689)</f>
        <v>5382.89825</v>
      </c>
      <c r="E4689" s="7" t="n">
        <f aca="false">B4689/MAX(B4438:B4689)-1</f>
        <v>-0.0259480769586252</v>
      </c>
      <c r="F4689" s="7" t="str">
        <f aca="false">IFERROR(INDEX(02_轉折點45個!B:B,MATCH(A4689,02_轉折點45個!A:A,0)),"")</f>
        <v/>
      </c>
      <c r="G4689" s="7" t="s">
        <v>5494</v>
      </c>
    </row>
    <row r="4690" customFormat="false" ht="15" hidden="false" customHeight="false" outlineLevel="0" collapsed="false">
      <c r="A4690" s="7" t="s">
        <v>5715</v>
      </c>
      <c r="B4690" s="7" t="n">
        <v>5790.91</v>
      </c>
      <c r="C4690" s="7" t="n">
        <f aca="false">AVERAGE(B4641:B4690)</f>
        <v>5806.4192</v>
      </c>
      <c r="D4690" s="7" t="n">
        <f aca="false">AVERAGE(B4491:B4690)</f>
        <v>5388.0181</v>
      </c>
      <c r="E4690" s="7" t="n">
        <f aca="false">B4690/MAX(B4439:B4690)-1</f>
        <v>-0.0268572091155203</v>
      </c>
      <c r="F4690" s="7" t="str">
        <f aca="false">IFERROR(INDEX(02_轉折點45個!B:B,MATCH(A4690,02_轉折點45個!A:A,0)),"")</f>
        <v/>
      </c>
      <c r="G4690" s="7" t="s">
        <v>5494</v>
      </c>
    </row>
    <row r="4691" customFormat="false" ht="15" hidden="false" customHeight="false" outlineLevel="0" collapsed="false">
      <c r="A4691" s="7" t="s">
        <v>5716</v>
      </c>
      <c r="B4691" s="7" t="n">
        <v>5786.54</v>
      </c>
      <c r="C4691" s="7" t="n">
        <f aca="false">AVERAGE(B4642:B4691)</f>
        <v>5807.3112</v>
      </c>
      <c r="D4691" s="7" t="n">
        <f aca="false">AVERAGE(B4492:B4691)</f>
        <v>5393.31625</v>
      </c>
      <c r="E4691" s="7" t="n">
        <f aca="false">B4691/MAX(B4440:B4691)-1</f>
        <v>-0.0275915727986313</v>
      </c>
      <c r="F4691" s="7" t="str">
        <f aca="false">IFERROR(INDEX(02_轉折點45個!B:B,MATCH(A4691,02_轉折點45個!A:A,0)),"")</f>
        <v/>
      </c>
      <c r="G4691" s="7" t="s">
        <v>5494</v>
      </c>
    </row>
    <row r="4692" customFormat="false" ht="15" hidden="false" customHeight="false" outlineLevel="0" collapsed="false">
      <c r="A4692" s="7" t="s">
        <v>5717</v>
      </c>
      <c r="B4692" s="7" t="n">
        <v>5873.33</v>
      </c>
      <c r="C4692" s="7" t="n">
        <f aca="false">AVERAGE(B4643:B4692)</f>
        <v>5810.6142</v>
      </c>
      <c r="D4692" s="7" t="n">
        <f aca="false">AVERAGE(B4493:B4692)</f>
        <v>5399.2874</v>
      </c>
      <c r="E4692" s="7" t="n">
        <f aca="false">B4692/MAX(B4441:B4692)-1</f>
        <v>-0.0130068075681471</v>
      </c>
      <c r="F4692" s="7" t="str">
        <f aca="false">IFERROR(INDEX(02_轉折點45個!B:B,MATCH(A4692,02_轉折點45個!A:A,0)),"")</f>
        <v/>
      </c>
      <c r="G4692" s="7" t="s">
        <v>5494</v>
      </c>
    </row>
    <row r="4693" customFormat="false" ht="15" hidden="false" customHeight="false" outlineLevel="0" collapsed="false">
      <c r="A4693" s="7" t="s">
        <v>5718</v>
      </c>
      <c r="B4693" s="7" t="n">
        <v>5851.78</v>
      </c>
      <c r="C4693" s="7" t="n">
        <f aca="false">AVERAGE(B4644:B4693)</f>
        <v>5812.6134</v>
      </c>
      <c r="D4693" s="7" t="n">
        <f aca="false">AVERAGE(B4494:B4693)</f>
        <v>5405.244</v>
      </c>
      <c r="E4693" s="7" t="n">
        <f aca="false">B4693/MAX(B4442:B4693)-1</f>
        <v>-0.0166282120008805</v>
      </c>
      <c r="F4693" s="7" t="str">
        <f aca="false">IFERROR(INDEX(02_轉折點45個!B:B,MATCH(A4693,02_轉折點45個!A:A,0)),"")</f>
        <v/>
      </c>
      <c r="G4693" s="7" t="s">
        <v>5494</v>
      </c>
    </row>
    <row r="4694" customFormat="false" ht="15" hidden="false" customHeight="false" outlineLevel="0" collapsed="false">
      <c r="A4694" s="7" t="s">
        <v>5719</v>
      </c>
      <c r="B4694" s="7" t="n">
        <v>5834.44</v>
      </c>
      <c r="C4694" s="7" t="n">
        <f aca="false">AVERAGE(B4645:B4694)</f>
        <v>5814.7608</v>
      </c>
      <c r="D4694" s="7" t="n">
        <f aca="false">AVERAGE(B4495:B4694)</f>
        <v>5410.54755</v>
      </c>
      <c r="E4694" s="7" t="n">
        <f aca="false">B4694/MAX(B4443:B4694)-1</f>
        <v>-0.019542140208008</v>
      </c>
      <c r="F4694" s="7" t="str">
        <f aca="false">IFERROR(INDEX(02_轉折點45個!B:B,MATCH(A4694,02_轉折點45個!A:A,0)),"")</f>
        <v/>
      </c>
      <c r="G4694" s="7" t="s">
        <v>5494</v>
      </c>
    </row>
    <row r="4695" customFormat="false" ht="15" hidden="false" customHeight="false" outlineLevel="0" collapsed="false">
      <c r="A4695" s="7" t="s">
        <v>5720</v>
      </c>
      <c r="B4695" s="7" t="n">
        <v>5822.53</v>
      </c>
      <c r="C4695" s="7" t="n">
        <f aca="false">AVERAGE(B4646:B4695)</f>
        <v>5817.1936</v>
      </c>
      <c r="D4695" s="7" t="n">
        <f aca="false">AVERAGE(B4496:B4695)</f>
        <v>5415.6356</v>
      </c>
      <c r="E4695" s="7" t="n">
        <f aca="false">B4695/MAX(B4444:B4695)-1</f>
        <v>-0.0215435753260524</v>
      </c>
      <c r="F4695" s="7" t="str">
        <f aca="false">IFERROR(INDEX(02_轉折點45個!B:B,MATCH(A4695,02_轉折點45個!A:A,0)),"")</f>
        <v/>
      </c>
      <c r="G4695" s="7" t="s">
        <v>5494</v>
      </c>
    </row>
    <row r="4696" customFormat="false" ht="15" hidden="false" customHeight="false" outlineLevel="0" collapsed="false">
      <c r="A4696" s="7" t="s">
        <v>5721</v>
      </c>
      <c r="B4696" s="7" t="n">
        <v>5838.08</v>
      </c>
      <c r="C4696" s="7" t="n">
        <f aca="false">AVERAGE(B4647:B4696)</f>
        <v>5820.3256</v>
      </c>
      <c r="D4696" s="7" t="n">
        <f aca="false">AVERAGE(B4497:B4696)</f>
        <v>5420.7001</v>
      </c>
      <c r="E4696" s="7" t="n">
        <f aca="false">B4696/MAX(B4445:B4696)-1</f>
        <v>-0.0189304505497644</v>
      </c>
      <c r="F4696" s="7" t="str">
        <f aca="false">IFERROR(INDEX(02_轉折點45個!B:B,MATCH(A4696,02_轉折點45個!A:A,0)),"")</f>
        <v/>
      </c>
      <c r="G4696" s="7" t="s">
        <v>5494</v>
      </c>
    </row>
    <row r="4697" customFormat="false" ht="15" hidden="false" customHeight="false" outlineLevel="0" collapsed="false">
      <c r="A4697" s="7" t="s">
        <v>5722</v>
      </c>
      <c r="B4697" s="7" t="n">
        <v>5862.14</v>
      </c>
      <c r="C4697" s="7" t="n">
        <f aca="false">AVERAGE(B4648:B4697)</f>
        <v>5822.124</v>
      </c>
      <c r="D4697" s="7" t="n">
        <f aca="false">AVERAGE(B4498:B4697)</f>
        <v>5426.27565</v>
      </c>
      <c r="E4697" s="7" t="n">
        <f aca="false">B4697/MAX(B4446:B4697)-1</f>
        <v>-0.0148872491274179</v>
      </c>
      <c r="F4697" s="7" t="str">
        <f aca="false">IFERROR(INDEX(02_轉折點45個!B:B,MATCH(A4697,02_轉折點45個!A:A,0)),"")</f>
        <v/>
      </c>
      <c r="G4697" s="7" t="s">
        <v>5494</v>
      </c>
    </row>
    <row r="4698" customFormat="false" ht="15" hidden="false" customHeight="false" outlineLevel="0" collapsed="false">
      <c r="A4698" s="7" t="s">
        <v>5723</v>
      </c>
      <c r="B4698" s="7" t="n">
        <v>5932.9</v>
      </c>
      <c r="C4698" s="7" t="n">
        <f aca="false">AVERAGE(B4649:B4698)</f>
        <v>5826.2558</v>
      </c>
      <c r="D4698" s="7" t="n">
        <f aca="false">AVERAGE(B4499:B4698)</f>
        <v>5432.1804</v>
      </c>
      <c r="E4698" s="7" t="n">
        <f aca="false">B4698/MAX(B4447:B4698)-1</f>
        <v>-0.00299627104573719</v>
      </c>
      <c r="F4698" s="7" t="str">
        <f aca="false">IFERROR(INDEX(02_轉折點45個!B:B,MATCH(A4698,02_轉折點45個!A:A,0)),"")</f>
        <v/>
      </c>
      <c r="G4698" s="7" t="s">
        <v>5494</v>
      </c>
    </row>
    <row r="4699" customFormat="false" ht="15" hidden="false" customHeight="false" outlineLevel="0" collapsed="false">
      <c r="A4699" s="7" t="s">
        <v>1325</v>
      </c>
      <c r="B4699" s="7" t="n">
        <v>5988.6</v>
      </c>
      <c r="C4699" s="7" t="n">
        <f aca="false">AVERAGE(B4650:B4699)</f>
        <v>5830.38</v>
      </c>
      <c r="D4699" s="7" t="n">
        <f aca="false">AVERAGE(B4500:B4699)</f>
        <v>5438.6132</v>
      </c>
      <c r="E4699" s="7" t="n">
        <f aca="false">B4699/MAX(B4448:B4699)-1</f>
        <v>0</v>
      </c>
      <c r="F4699" s="7" t="str">
        <f aca="false">IFERROR(INDEX(02_轉折點45個!B:B,MATCH(A4699,02_轉折點45個!A:A,0)),"")</f>
        <v/>
      </c>
      <c r="G4699" s="7" t="s">
        <v>5494</v>
      </c>
    </row>
    <row r="4700" customFormat="false" ht="15" hidden="false" customHeight="false" outlineLevel="0" collapsed="false">
      <c r="A4700" s="7" t="s">
        <v>5724</v>
      </c>
      <c r="B4700" s="7" t="n">
        <v>5987.9</v>
      </c>
      <c r="C4700" s="7" t="n">
        <f aca="false">AVERAGE(B4651:B4700)</f>
        <v>5834.5406</v>
      </c>
      <c r="D4700" s="7" t="n">
        <f aca="false">AVERAGE(B4501:B4700)</f>
        <v>5444.73035</v>
      </c>
      <c r="E4700" s="7" t="n">
        <f aca="false">B4700/MAX(B4449:B4700)-1</f>
        <v>-0.000116888755301914</v>
      </c>
      <c r="F4700" s="7" t="str">
        <f aca="false">IFERROR(INDEX(02_轉折點45個!B:B,MATCH(A4700,02_轉折點45個!A:A,0)),"")</f>
        <v/>
      </c>
      <c r="G4700" s="7" t="s">
        <v>5494</v>
      </c>
    </row>
    <row r="4701" customFormat="false" ht="15" hidden="false" customHeight="false" outlineLevel="0" collapsed="false">
      <c r="A4701" s="7" t="s">
        <v>5725</v>
      </c>
      <c r="B4701" s="7" t="n">
        <v>5932.73</v>
      </c>
      <c r="C4701" s="7" t="n">
        <f aca="false">AVERAGE(B4652:B4701)</f>
        <v>5837.133</v>
      </c>
      <c r="D4701" s="7" t="n">
        <f aca="false">AVERAGE(B4502:B4701)</f>
        <v>5450.43265</v>
      </c>
      <c r="E4701" s="7" t="n">
        <f aca="false">B4701/MAX(B4450:B4701)-1</f>
        <v>-0.00932939251244047</v>
      </c>
      <c r="F4701" s="7" t="str">
        <f aca="false">IFERROR(INDEX(02_轉折點45個!B:B,MATCH(A4701,02_轉折點45個!A:A,0)),"")</f>
        <v/>
      </c>
      <c r="G4701" s="7" t="s">
        <v>5494</v>
      </c>
    </row>
    <row r="4702" customFormat="false" ht="15" hidden="false" customHeight="false" outlineLevel="0" collapsed="false">
      <c r="A4702" s="7" t="s">
        <v>5726</v>
      </c>
      <c r="B4702" s="7" t="n">
        <v>5951.13</v>
      </c>
      <c r="C4702" s="7" t="n">
        <f aca="false">AVERAGE(B4653:B4702)</f>
        <v>5840.6038</v>
      </c>
      <c r="D4702" s="7" t="n">
        <f aca="false">AVERAGE(B4503:B4702)</f>
        <v>5456.05535</v>
      </c>
      <c r="E4702" s="7" t="n">
        <f aca="false">B4702/MAX(B4451:B4702)-1</f>
        <v>-0.00625688808736602</v>
      </c>
      <c r="F4702" s="7" t="str">
        <f aca="false">IFERROR(INDEX(02_轉折點45個!B:B,MATCH(A4702,02_轉折點45個!A:A,0)),"")</f>
        <v/>
      </c>
      <c r="G4702" s="7" t="s">
        <v>5494</v>
      </c>
    </row>
    <row r="4703" customFormat="false" ht="15" hidden="false" customHeight="false" outlineLevel="0" collapsed="false">
      <c r="A4703" s="7" t="s">
        <v>5727</v>
      </c>
      <c r="B4703" s="7" t="n">
        <v>5964.31</v>
      </c>
      <c r="C4703" s="7" t="n">
        <f aca="false">AVERAGE(B4654:B4703)</f>
        <v>5846.458</v>
      </c>
      <c r="D4703" s="7" t="n">
        <f aca="false">AVERAGE(B4504:B4703)</f>
        <v>5461.8367</v>
      </c>
      <c r="E4703" s="7" t="n">
        <f aca="false">B4703/MAX(B4452:B4703)-1</f>
        <v>-0.0040560398089704</v>
      </c>
      <c r="F4703" s="7" t="str">
        <f aca="false">IFERROR(INDEX(02_轉折點45個!B:B,MATCH(A4703,02_轉折點45個!A:A,0)),"")</f>
        <v/>
      </c>
      <c r="G4703" s="7" t="s">
        <v>5494</v>
      </c>
    </row>
    <row r="4704" customFormat="false" ht="15" hidden="false" customHeight="false" outlineLevel="0" collapsed="false">
      <c r="A4704" s="7" t="s">
        <v>5728</v>
      </c>
      <c r="B4704" s="7" t="n">
        <v>5913.37</v>
      </c>
      <c r="C4704" s="7" t="n">
        <f aca="false">AVERAGE(B4655:B4704)</f>
        <v>5849.6648</v>
      </c>
      <c r="D4704" s="7" t="n">
        <f aca="false">AVERAGE(B4505:B4704)</f>
        <v>5467.10855</v>
      </c>
      <c r="E4704" s="7" t="n">
        <f aca="false">B4704/MAX(B4453:B4704)-1</f>
        <v>-0.0125622015162142</v>
      </c>
      <c r="F4704" s="7" t="str">
        <f aca="false">IFERROR(INDEX(02_轉折點45個!B:B,MATCH(A4704,02_轉折點45個!A:A,0)),"")</f>
        <v/>
      </c>
      <c r="G4704" s="7" t="s">
        <v>5494</v>
      </c>
    </row>
    <row r="4705" customFormat="false" ht="15" hidden="false" customHeight="false" outlineLevel="0" collapsed="false">
      <c r="A4705" s="7" t="s">
        <v>5729</v>
      </c>
      <c r="B4705" s="7" t="n">
        <v>5980.53</v>
      </c>
      <c r="C4705" s="7" t="n">
        <f aca="false">AVERAGE(B4656:B4705)</f>
        <v>5856.215</v>
      </c>
      <c r="D4705" s="7" t="n">
        <f aca="false">AVERAGE(B4506:B4705)</f>
        <v>5472.642</v>
      </c>
      <c r="E4705" s="7" t="n">
        <f aca="false">B4705/MAX(B4454:B4705)-1</f>
        <v>-0.00134756036469297</v>
      </c>
      <c r="F4705" s="7" t="str">
        <f aca="false">IFERROR(INDEX(02_轉折點45個!B:B,MATCH(A4705,02_轉折點45個!A:A,0)),"")</f>
        <v/>
      </c>
      <c r="G4705" s="7" t="s">
        <v>5494</v>
      </c>
    </row>
    <row r="4706" customFormat="false" ht="15" hidden="false" customHeight="false" outlineLevel="0" collapsed="false">
      <c r="A4706" s="7" t="s">
        <v>1326</v>
      </c>
      <c r="B4706" s="7" t="n">
        <v>5995.64</v>
      </c>
      <c r="C4706" s="7" t="n">
        <f aca="false">AVERAGE(B4657:B4706)</f>
        <v>5863.1894</v>
      </c>
      <c r="D4706" s="7" t="n">
        <f aca="false">AVERAGE(B4507:B4706)</f>
        <v>5478.3509</v>
      </c>
      <c r="E4706" s="7" t="n">
        <f aca="false">B4706/MAX(B4455:B4706)-1</f>
        <v>0</v>
      </c>
      <c r="F4706" s="7" t="str">
        <f aca="false">IFERROR(INDEX(02_轉折點45個!B:B,MATCH(A4706,02_轉折點45個!A:A,0)),"")</f>
        <v/>
      </c>
      <c r="G4706" s="7" t="s">
        <v>5494</v>
      </c>
    </row>
    <row r="4707" customFormat="false" ht="15" hidden="false" customHeight="false" outlineLevel="0" collapsed="false">
      <c r="A4707" s="7" t="s">
        <v>1327</v>
      </c>
      <c r="B4707" s="7" t="n">
        <v>6004.38</v>
      </c>
      <c r="C4707" s="7" t="n">
        <f aca="false">AVERAGE(B4658:B4707)</f>
        <v>5871.3378</v>
      </c>
      <c r="D4707" s="7" t="n">
        <f aca="false">AVERAGE(B4508:B4707)</f>
        <v>5484.0227</v>
      </c>
      <c r="E4707" s="7" t="n">
        <f aca="false">B4707/MAX(B4456:B4707)-1</f>
        <v>0</v>
      </c>
      <c r="F4707" s="7" t="str">
        <f aca="false">IFERROR(INDEX(02_轉折點45個!B:B,MATCH(A4707,02_轉折點45個!A:A,0)),"")</f>
        <v/>
      </c>
      <c r="G4707" s="7" t="s">
        <v>5494</v>
      </c>
    </row>
    <row r="4708" customFormat="false" ht="15" hidden="false" customHeight="false" outlineLevel="0" collapsed="false">
      <c r="A4708" s="7" t="s">
        <v>5730</v>
      </c>
      <c r="B4708" s="7" t="n">
        <v>5968.82</v>
      </c>
      <c r="C4708" s="7" t="n">
        <f aca="false">AVERAGE(B4659:B4708)</f>
        <v>5877.7378</v>
      </c>
      <c r="D4708" s="7" t="n">
        <f aca="false">AVERAGE(B4509:B4708)</f>
        <v>5489.5817</v>
      </c>
      <c r="E4708" s="7" t="n">
        <f aca="false">B4708/MAX(B4457:B4708)-1</f>
        <v>-0.00592234335601682</v>
      </c>
      <c r="F4708" s="7" t="str">
        <f aca="false">IFERROR(INDEX(02_轉折點45個!B:B,MATCH(A4708,02_轉折點45個!A:A,0)),"")</f>
        <v/>
      </c>
      <c r="G4708" s="7" t="s">
        <v>5494</v>
      </c>
    </row>
    <row r="4709" customFormat="false" ht="15" hidden="false" customHeight="false" outlineLevel="0" collapsed="false">
      <c r="A4709" s="7" t="s">
        <v>5731</v>
      </c>
      <c r="B4709" s="7" t="n">
        <v>5988</v>
      </c>
      <c r="C4709" s="7" t="n">
        <f aca="false">AVERAGE(B4660:B4709)</f>
        <v>5885.5398</v>
      </c>
      <c r="D4709" s="7" t="n">
        <f aca="false">AVERAGE(B4510:B4709)</f>
        <v>5495.15565</v>
      </c>
      <c r="E4709" s="7" t="n">
        <f aca="false">B4709/MAX(B4458:B4709)-1</f>
        <v>-0.00272800855375577</v>
      </c>
      <c r="F4709" s="7" t="str">
        <f aca="false">IFERROR(INDEX(02_轉折點45個!B:B,MATCH(A4709,02_轉折點45個!A:A,0)),"")</f>
        <v/>
      </c>
      <c r="G4709" s="7" t="s">
        <v>5494</v>
      </c>
    </row>
    <row r="4710" customFormat="false" ht="15" hidden="false" customHeight="false" outlineLevel="0" collapsed="false">
      <c r="A4710" s="7" t="s">
        <v>5732</v>
      </c>
      <c r="B4710" s="7" t="n">
        <v>5981.12</v>
      </c>
      <c r="C4710" s="7" t="n">
        <f aca="false">AVERAGE(B4661:B4710)</f>
        <v>5892.0328</v>
      </c>
      <c r="D4710" s="7" t="n">
        <f aca="false">AVERAGE(B4511:B4710)</f>
        <v>5501.0072</v>
      </c>
      <c r="E4710" s="7" t="n">
        <f aca="false">B4710/MAX(B4459:B4710)-1</f>
        <v>-0.00387383876436875</v>
      </c>
      <c r="F4710" s="7" t="str">
        <f aca="false">IFERROR(INDEX(02_轉折點45個!B:B,MATCH(A4710,02_轉折點45個!A:A,0)),"")</f>
        <v/>
      </c>
      <c r="G4710" s="7" t="s">
        <v>5494</v>
      </c>
    </row>
    <row r="4711" customFormat="false" ht="15" hidden="false" customHeight="false" outlineLevel="0" collapsed="false">
      <c r="A4711" s="7" t="s">
        <v>5733</v>
      </c>
      <c r="B4711" s="7" t="n">
        <v>5991.08</v>
      </c>
      <c r="C4711" s="7" t="n">
        <f aca="false">AVERAGE(B4662:B4711)</f>
        <v>5897.9714</v>
      </c>
      <c r="D4711" s="7" t="n">
        <f aca="false">AVERAGE(B4512:B4711)</f>
        <v>5507.2921</v>
      </c>
      <c r="E4711" s="7" t="n">
        <f aca="false">B4711/MAX(B4460:B4711)-1</f>
        <v>-0.00221504968039998</v>
      </c>
      <c r="F4711" s="7" t="str">
        <f aca="false">IFERROR(INDEX(02_轉折點45個!B:B,MATCH(A4711,02_轉折點45個!A:A,0)),"")</f>
        <v/>
      </c>
      <c r="G4711" s="7" t="s">
        <v>5494</v>
      </c>
    </row>
    <row r="4712" customFormat="false" ht="15" hidden="false" customHeight="false" outlineLevel="0" collapsed="false">
      <c r="A4712" s="7" t="s">
        <v>5734</v>
      </c>
      <c r="B4712" s="7" t="n">
        <v>5973.61</v>
      </c>
      <c r="C4712" s="7" t="n">
        <f aca="false">AVERAGE(B4663:B4712)</f>
        <v>5903.2476</v>
      </c>
      <c r="D4712" s="7" t="n">
        <f aca="false">AVERAGE(B4513:B4712)</f>
        <v>5513.4633</v>
      </c>
      <c r="E4712" s="7" t="n">
        <f aca="false">B4712/MAX(B4461:B4712)-1</f>
        <v>-0.00512459238089535</v>
      </c>
      <c r="F4712" s="7" t="str">
        <f aca="false">IFERROR(INDEX(02_轉折點45個!B:B,MATCH(A4712,02_轉折點45個!A:A,0)),"")</f>
        <v/>
      </c>
      <c r="G4712" s="7" t="s">
        <v>5494</v>
      </c>
    </row>
    <row r="4713" customFormat="false" ht="15" hidden="false" customHeight="false" outlineLevel="0" collapsed="false">
      <c r="A4713" s="7" t="s">
        <v>5735</v>
      </c>
      <c r="B4713" s="7" t="n">
        <v>5934.91</v>
      </c>
      <c r="C4713" s="7" t="n">
        <f aca="false">AVERAGE(B4664:B4713)</f>
        <v>5906.3668</v>
      </c>
      <c r="D4713" s="7" t="n">
        <f aca="false">AVERAGE(B4514:B4713)</f>
        <v>5519.24715</v>
      </c>
      <c r="E4713" s="7" t="n">
        <f aca="false">B4713/MAX(B4462:B4713)-1</f>
        <v>-0.0115698873155929</v>
      </c>
      <c r="F4713" s="7" t="str">
        <f aca="false">IFERROR(INDEX(02_轉折點45個!B:B,MATCH(A4713,02_轉折點45個!A:A,0)),"")</f>
        <v/>
      </c>
      <c r="G4713" s="7" t="s">
        <v>5494</v>
      </c>
    </row>
    <row r="4714" customFormat="false" ht="15" hidden="false" customHeight="false" outlineLevel="0" collapsed="false">
      <c r="A4714" s="7" t="s">
        <v>1328</v>
      </c>
      <c r="B4714" s="7" t="n">
        <v>5932.32</v>
      </c>
      <c r="C4714" s="7" t="n">
        <f aca="false">AVERAGE(B4665:B4714)</f>
        <v>5909.146</v>
      </c>
      <c r="D4714" s="7" t="n">
        <f aca="false">AVERAGE(B4515:B4714)</f>
        <v>5524.9654</v>
      </c>
      <c r="E4714" s="7" t="n">
        <f aca="false">B4714/MAX(B4463:B4714)-1</f>
        <v>-0.0120012390954604</v>
      </c>
      <c r="F4714" s="7" t="str">
        <f aca="false">IFERROR(INDEX(02_轉折點45個!B:B,MATCH(A4714,02_轉折點45個!A:A,0)),"")</f>
        <v/>
      </c>
      <c r="G4714" s="7" t="s">
        <v>5494</v>
      </c>
    </row>
    <row r="4715" customFormat="false" ht="15" hidden="false" customHeight="false" outlineLevel="0" collapsed="false">
      <c r="A4715" s="7" t="s">
        <v>5736</v>
      </c>
      <c r="B4715" s="7" t="n">
        <v>5867.35</v>
      </c>
      <c r="C4715" s="7" t="n">
        <f aca="false">AVERAGE(B4666:B4715)</f>
        <v>5909.7314</v>
      </c>
      <c r="D4715" s="7" t="n">
        <f aca="false">AVERAGE(B4516:B4715)</f>
        <v>5530.04245</v>
      </c>
      <c r="E4715" s="7" t="n">
        <f aca="false">B4715/MAX(B4464:B4715)-1</f>
        <v>-0.0228216735116698</v>
      </c>
      <c r="F4715" s="7" t="str">
        <f aca="false">IFERROR(INDEX(02_轉折點45個!B:B,MATCH(A4715,02_轉折點45個!A:A,0)),"")</f>
        <v/>
      </c>
      <c r="G4715" s="7" t="s">
        <v>5494</v>
      </c>
    </row>
    <row r="4716" customFormat="false" ht="15" hidden="false" customHeight="false" outlineLevel="0" collapsed="false">
      <c r="A4716" s="7" t="s">
        <v>5737</v>
      </c>
      <c r="B4716" s="7" t="n">
        <v>5881.34</v>
      </c>
      <c r="C4716" s="7" t="n">
        <f aca="false">AVERAGE(B4667:B4716)</f>
        <v>5910.5634</v>
      </c>
      <c r="D4716" s="7" t="n">
        <f aca="false">AVERAGE(B4517:B4716)</f>
        <v>5535.1532</v>
      </c>
      <c r="E4716" s="7" t="n">
        <f aca="false">B4716/MAX(B4465:B4716)-1</f>
        <v>-0.0204917077200311</v>
      </c>
      <c r="F4716" s="7" t="str">
        <f aca="false">IFERROR(INDEX(02_轉折點45個!B:B,MATCH(A4716,02_轉折點45個!A:A,0)),"")</f>
        <v/>
      </c>
      <c r="G4716" s="7" t="s">
        <v>5494</v>
      </c>
    </row>
    <row r="4717" customFormat="false" ht="15" hidden="false" customHeight="false" outlineLevel="0" collapsed="false">
      <c r="A4717" s="7" t="s">
        <v>5738</v>
      </c>
      <c r="B4717" s="7" t="n">
        <v>5937.79</v>
      </c>
      <c r="C4717" s="7" t="n">
        <f aca="false">AVERAGE(B4668:B4717)</f>
        <v>5911.7172</v>
      </c>
      <c r="D4717" s="7" t="n">
        <f aca="false">AVERAGE(B4518:B4717)</f>
        <v>5540.36265</v>
      </c>
      <c r="E4717" s="7" t="n">
        <f aca="false">B4717/MAX(B4466:B4717)-1</f>
        <v>-0.0110902374599876</v>
      </c>
      <c r="F4717" s="7" t="str">
        <f aca="false">IFERROR(INDEX(02_轉折點45個!B:B,MATCH(A4717,02_轉折點45個!A:A,0)),"")</f>
        <v/>
      </c>
      <c r="G4717" s="7" t="s">
        <v>5494</v>
      </c>
    </row>
    <row r="4718" customFormat="false" ht="15" hidden="false" customHeight="false" outlineLevel="0" collapsed="false">
      <c r="A4718" s="7" t="s">
        <v>5739</v>
      </c>
      <c r="B4718" s="7" t="n">
        <v>5933.07</v>
      </c>
      <c r="C4718" s="7" t="n">
        <f aca="false">AVERAGE(B4669:B4718)</f>
        <v>5912.0554</v>
      </c>
      <c r="D4718" s="7" t="n">
        <f aca="false">AVERAGE(B4519:B4718)</f>
        <v>5545.6565</v>
      </c>
      <c r="E4718" s="7" t="n">
        <f aca="false">B4718/MAX(B4467:B4718)-1</f>
        <v>-0.0118763302788965</v>
      </c>
      <c r="F4718" s="7" t="str">
        <f aca="false">IFERROR(INDEX(02_轉折點45個!B:B,MATCH(A4718,02_轉折點45個!A:A,0)),"")</f>
        <v/>
      </c>
      <c r="G4718" s="7" t="s">
        <v>5494</v>
      </c>
    </row>
    <row r="4719" customFormat="false" ht="15" hidden="false" customHeight="false" outlineLevel="0" collapsed="false">
      <c r="A4719" s="7" t="s">
        <v>5740</v>
      </c>
      <c r="B4719" s="7" t="n">
        <v>5979.3</v>
      </c>
      <c r="C4719" s="7" t="n">
        <f aca="false">AVERAGE(B4670:B4719)</f>
        <v>5913.217</v>
      </c>
      <c r="D4719" s="7" t="n">
        <f aca="false">AVERAGE(B4520:B4719)</f>
        <v>5550.8738</v>
      </c>
      <c r="E4719" s="7" t="n">
        <f aca="false">B4719/MAX(B4468:B4719)-1</f>
        <v>-0.00417695082589709</v>
      </c>
      <c r="F4719" s="7" t="str">
        <f aca="false">IFERROR(INDEX(02_轉折點45個!B:B,MATCH(A4719,02_轉折點45個!A:A,0)),"")</f>
        <v/>
      </c>
      <c r="G4719" s="7" t="s">
        <v>5494</v>
      </c>
    </row>
    <row r="4720" customFormat="false" ht="15" hidden="false" customHeight="false" outlineLevel="0" collapsed="false">
      <c r="A4720" s="7" t="s">
        <v>5741</v>
      </c>
      <c r="B4720" s="7" t="n">
        <v>5981.92</v>
      </c>
      <c r="C4720" s="7" t="n">
        <f aca="false">AVERAGE(B4671:B4720)</f>
        <v>5914.4248</v>
      </c>
      <c r="D4720" s="7" t="n">
        <f aca="false">AVERAGE(B4521:B4720)</f>
        <v>5556.1773</v>
      </c>
      <c r="E4720" s="7" t="n">
        <f aca="false">B4720/MAX(B4469:B4720)-1</f>
        <v>-0.00374060269336718</v>
      </c>
      <c r="F4720" s="7" t="str">
        <f aca="false">IFERROR(INDEX(02_轉折點45個!B:B,MATCH(A4720,02_轉折點45個!A:A,0)),"")</f>
        <v/>
      </c>
      <c r="G4720" s="7" t="s">
        <v>5494</v>
      </c>
    </row>
    <row r="4721" customFormat="false" ht="15" hidden="false" customHeight="false" outlineLevel="0" collapsed="false">
      <c r="A4721" s="7" t="s">
        <v>5742</v>
      </c>
      <c r="B4721" s="7" t="n">
        <v>5995.06</v>
      </c>
      <c r="C4721" s="7" t="n">
        <f aca="false">AVERAGE(B4672:B4721)</f>
        <v>5915.4986</v>
      </c>
      <c r="D4721" s="7" t="n">
        <f aca="false">AVERAGE(B4522:B4721)</f>
        <v>5561.48555</v>
      </c>
      <c r="E4721" s="7" t="n">
        <f aca="false">B4721/MAX(B4470:B4721)-1</f>
        <v>-0.0015522002271674</v>
      </c>
      <c r="F4721" s="7" t="str">
        <f aca="false">IFERROR(INDEX(02_轉折點45個!B:B,MATCH(A4721,02_轉折點45個!A:A,0)),"")</f>
        <v/>
      </c>
      <c r="G4721" s="7" t="s">
        <v>5494</v>
      </c>
    </row>
    <row r="4722" customFormat="false" ht="15" hidden="false" customHeight="false" outlineLevel="0" collapsed="false">
      <c r="A4722" s="7" t="s">
        <v>5743</v>
      </c>
      <c r="B4722" s="7" t="n">
        <v>5998.84</v>
      </c>
      <c r="C4722" s="7" t="n">
        <f aca="false">AVERAGE(B4673:B4722)</f>
        <v>5916.8624</v>
      </c>
      <c r="D4722" s="7" t="n">
        <f aca="false">AVERAGE(B4523:B4722)</f>
        <v>5566.90545</v>
      </c>
      <c r="E4722" s="7" t="n">
        <f aca="false">B4722/MAX(B4471:B4722)-1</f>
        <v>-0.000922659791685376</v>
      </c>
      <c r="F4722" s="7" t="str">
        <f aca="false">IFERROR(INDEX(02_轉折點45個!B:B,MATCH(A4722,02_轉折點45個!A:A,0)),"")</f>
        <v/>
      </c>
      <c r="G4722" s="7" t="s">
        <v>5494</v>
      </c>
    </row>
    <row r="4723" customFormat="false" ht="15" hidden="false" customHeight="false" outlineLevel="0" collapsed="false">
      <c r="A4723" s="7" t="s">
        <v>5744</v>
      </c>
      <c r="B4723" s="7" t="n">
        <v>6057.14</v>
      </c>
      <c r="C4723" s="7" t="n">
        <f aca="false">AVERAGE(B4674:B4723)</f>
        <v>5918.9906</v>
      </c>
      <c r="D4723" s="7" t="n">
        <f aca="false">AVERAGE(B4524:B4723)</f>
        <v>5572.5169</v>
      </c>
      <c r="E4723" s="7" t="n">
        <f aca="false">B4723/MAX(B4472:B4723)-1</f>
        <v>0</v>
      </c>
      <c r="F4723" s="7" t="str">
        <f aca="false">IFERROR(INDEX(02_轉折點45個!B:B,MATCH(A4723,02_轉折點45個!A:A,0)),"")</f>
        <v/>
      </c>
      <c r="G4723" s="7" t="s">
        <v>5494</v>
      </c>
    </row>
    <row r="4724" customFormat="false" ht="15" hidden="false" customHeight="false" outlineLevel="0" collapsed="false">
      <c r="A4724" s="7" t="s">
        <v>5745</v>
      </c>
      <c r="B4724" s="7" t="n">
        <v>6064.57</v>
      </c>
      <c r="C4724" s="7" t="n">
        <f aca="false">AVERAGE(B4675:B4724)</f>
        <v>5921.9414</v>
      </c>
      <c r="D4724" s="7" t="n">
        <f aca="false">AVERAGE(B4525:B4724)</f>
        <v>5578.07075</v>
      </c>
      <c r="E4724" s="7" t="n">
        <f aca="false">B4724/MAX(B4473:B4724)-1</f>
        <v>0</v>
      </c>
      <c r="F4724" s="7" t="str">
        <f aca="false">IFERROR(INDEX(02_轉折點45個!B:B,MATCH(A4724,02_轉折點45個!A:A,0)),"")</f>
        <v/>
      </c>
      <c r="G4724" s="7" t="s">
        <v>5494</v>
      </c>
    </row>
    <row r="4725" customFormat="false" ht="15" hidden="false" customHeight="false" outlineLevel="0" collapsed="false">
      <c r="A4725" s="7" t="s">
        <v>5746</v>
      </c>
      <c r="B4725" s="7" t="n">
        <v>6058.53</v>
      </c>
      <c r="C4725" s="7" t="n">
        <f aca="false">AVERAGE(B4676:B4725)</f>
        <v>5924.9336</v>
      </c>
      <c r="D4725" s="7" t="n">
        <f aca="false">AVERAGE(B4526:B4725)</f>
        <v>5583.61885</v>
      </c>
      <c r="E4725" s="7" t="n">
        <f aca="false">B4725/MAX(B4474:B4725)-1</f>
        <v>-0.00099594859981833</v>
      </c>
      <c r="F4725" s="7" t="str">
        <f aca="false">IFERROR(INDEX(02_轉折點45個!B:B,MATCH(A4725,02_轉折點45個!A:A,0)),"")</f>
        <v/>
      </c>
      <c r="G4725" s="7" t="s">
        <v>5494</v>
      </c>
    </row>
    <row r="4726" customFormat="false" ht="15" hidden="false" customHeight="false" outlineLevel="0" collapsed="false">
      <c r="A4726" s="7" t="s">
        <v>5747</v>
      </c>
      <c r="B4726" s="7" t="n">
        <v>6063.52</v>
      </c>
      <c r="C4726" s="7" t="n">
        <f aca="false">AVERAGE(B4677:B4726)</f>
        <v>5928.5974</v>
      </c>
      <c r="D4726" s="7" t="n">
        <f aca="false">AVERAGE(B4527:B4726)</f>
        <v>5589.2645</v>
      </c>
      <c r="E4726" s="7" t="n">
        <f aca="false">B4726/MAX(B4475:B4726)-1</f>
        <v>-0.000173136759902048</v>
      </c>
      <c r="F4726" s="7" t="str">
        <f aca="false">IFERROR(INDEX(02_轉折點45個!B:B,MATCH(A4726,02_轉折點45個!A:A,0)),"")</f>
        <v/>
      </c>
      <c r="G4726" s="7" t="s">
        <v>5494</v>
      </c>
    </row>
    <row r="4727" customFormat="false" ht="15" hidden="false" customHeight="false" outlineLevel="0" collapsed="false">
      <c r="A4727" s="7" t="s">
        <v>5748</v>
      </c>
      <c r="B4727" s="7" t="n">
        <v>6081.25</v>
      </c>
      <c r="C4727" s="7" t="n">
        <f aca="false">AVERAGE(B4678:B4727)</f>
        <v>5932.319</v>
      </c>
      <c r="D4727" s="7" t="n">
        <f aca="false">AVERAGE(B4528:B4727)</f>
        <v>5594.97065</v>
      </c>
      <c r="E4727" s="7" t="n">
        <f aca="false">B4727/MAX(B4476:B4727)-1</f>
        <v>0</v>
      </c>
      <c r="F4727" s="7" t="str">
        <f aca="false">IFERROR(INDEX(02_轉折點45個!B:B,MATCH(A4727,02_轉折點45個!A:A,0)),"")</f>
        <v/>
      </c>
      <c r="G4727" s="7" t="s">
        <v>5494</v>
      </c>
    </row>
    <row r="4728" customFormat="false" ht="15" hidden="false" customHeight="false" outlineLevel="0" collapsed="false">
      <c r="A4728" s="7" t="s">
        <v>5749</v>
      </c>
      <c r="B4728" s="7" t="n">
        <v>6069.99</v>
      </c>
      <c r="C4728" s="7" t="n">
        <f aca="false">AVERAGE(B4679:B4728)</f>
        <v>5935.4342</v>
      </c>
      <c r="D4728" s="7" t="n">
        <f aca="false">AVERAGE(B4529:B4728)</f>
        <v>5600.49155</v>
      </c>
      <c r="E4728" s="7" t="n">
        <f aca="false">B4728/MAX(B4477:B4728)-1</f>
        <v>-0.00185159301130533</v>
      </c>
      <c r="F4728" s="7" t="str">
        <f aca="false">IFERROR(INDEX(02_轉折點45個!B:B,MATCH(A4728,02_轉折點45個!A:A,0)),"")</f>
        <v/>
      </c>
      <c r="G4728" s="7" t="s">
        <v>5494</v>
      </c>
    </row>
    <row r="4729" customFormat="false" ht="15" hidden="false" customHeight="false" outlineLevel="0" collapsed="false">
      <c r="A4729" s="7" t="s">
        <v>5750</v>
      </c>
      <c r="B4729" s="7" t="n">
        <v>6092.45</v>
      </c>
      <c r="C4729" s="7" t="n">
        <f aca="false">AVERAGE(B4680:B4729)</f>
        <v>5939.4592</v>
      </c>
      <c r="D4729" s="7" t="n">
        <f aca="false">AVERAGE(B4530:B4729)</f>
        <v>5606.32235</v>
      </c>
      <c r="E4729" s="7" t="n">
        <f aca="false">B4729/MAX(B4478:B4729)-1</f>
        <v>0</v>
      </c>
      <c r="F4729" s="7" t="str">
        <f aca="false">IFERROR(INDEX(02_轉折點45個!B:B,MATCH(A4729,02_轉折點45個!A:A,0)),"")</f>
        <v/>
      </c>
      <c r="G4729" s="7" t="s">
        <v>5494</v>
      </c>
    </row>
    <row r="4730" customFormat="false" ht="15" hidden="false" customHeight="false" outlineLevel="0" collapsed="false">
      <c r="A4730" s="7" t="s">
        <v>5751</v>
      </c>
      <c r="B4730" s="7" t="n">
        <v>6114.53</v>
      </c>
      <c r="C4730" s="7" t="n">
        <f aca="false">AVERAGE(B4681:B4730)</f>
        <v>5943.7516</v>
      </c>
      <c r="D4730" s="7" t="n">
        <f aca="false">AVERAGE(B4531:B4730)</f>
        <v>5612.3036</v>
      </c>
      <c r="E4730" s="7" t="n">
        <f aca="false">B4730/MAX(B4479:B4730)-1</f>
        <v>0</v>
      </c>
      <c r="F4730" s="7" t="str">
        <f aca="false">IFERROR(INDEX(02_轉折點45個!B:B,MATCH(A4730,02_轉折點45個!A:A,0)),"")</f>
        <v/>
      </c>
      <c r="G4730" s="7" t="s">
        <v>5494</v>
      </c>
    </row>
    <row r="4731" customFormat="false" ht="15" hidden="false" customHeight="false" outlineLevel="0" collapsed="false">
      <c r="A4731" s="7" t="s">
        <v>5752</v>
      </c>
      <c r="B4731" s="7" t="n">
        <v>6122.61</v>
      </c>
      <c r="C4731" s="7" t="n">
        <f aca="false">AVERAGE(B4682:B4731)</f>
        <v>5947.5092</v>
      </c>
      <c r="D4731" s="7" t="n">
        <f aca="false">AVERAGE(B4532:B4731)</f>
        <v>5618.59855</v>
      </c>
      <c r="E4731" s="7" t="n">
        <f aca="false">B4731/MAX(B4480:B4731)-1</f>
        <v>0</v>
      </c>
      <c r="F4731" s="7" t="str">
        <f aca="false">IFERROR(INDEX(02_轉折點45個!B:B,MATCH(A4731,02_轉折點45個!A:A,0)),"")</f>
        <v/>
      </c>
      <c r="G4731" s="7" t="s">
        <v>5494</v>
      </c>
    </row>
    <row r="4732" customFormat="false" ht="15" hidden="false" customHeight="false" outlineLevel="0" collapsed="false">
      <c r="A4732" s="7" t="s">
        <v>5753</v>
      </c>
      <c r="B4732" s="7" t="n">
        <v>6114.35</v>
      </c>
      <c r="C4732" s="7" t="n">
        <f aca="false">AVERAGE(B4683:B4732)</f>
        <v>5951.2692</v>
      </c>
      <c r="D4732" s="7" t="n">
        <f aca="false">AVERAGE(B4533:B4732)</f>
        <v>5624.61365</v>
      </c>
      <c r="E4732" s="7" t="n">
        <f aca="false">B4732/MAX(B4481:B4732)-1</f>
        <v>-0.00134909785205972</v>
      </c>
      <c r="F4732" s="7" t="str">
        <f aca="false">IFERROR(INDEX(02_轉折點45個!B:B,MATCH(A4732,02_轉折點45個!A:A,0)),"")</f>
        <v/>
      </c>
      <c r="G4732" s="7" t="s">
        <v>5494</v>
      </c>
    </row>
    <row r="4733" customFormat="false" ht="15" hidden="false" customHeight="false" outlineLevel="0" collapsed="false">
      <c r="A4733" s="7" t="s">
        <v>5754</v>
      </c>
      <c r="B4733" s="7" t="n">
        <v>6092.62</v>
      </c>
      <c r="C4733" s="7" t="n">
        <f aca="false">AVERAGE(B4684:B4733)</f>
        <v>5954.7338</v>
      </c>
      <c r="D4733" s="7" t="n">
        <f aca="false">AVERAGE(B4534:B4733)</f>
        <v>5630.3907</v>
      </c>
      <c r="E4733" s="7" t="n">
        <f aca="false">B4733/MAX(B4482:B4733)-1</f>
        <v>-0.00489823784301136</v>
      </c>
      <c r="F4733" s="7" t="str">
        <f aca="false">IFERROR(INDEX(02_轉折點45個!B:B,MATCH(A4733,02_轉折點45個!A:A,0)),"")</f>
        <v/>
      </c>
      <c r="G4733" s="7" t="s">
        <v>5494</v>
      </c>
    </row>
    <row r="4734" customFormat="false" ht="15" hidden="false" customHeight="false" outlineLevel="0" collapsed="false">
      <c r="A4734" s="7" t="s">
        <v>5755</v>
      </c>
      <c r="B4734" s="7" t="n">
        <v>6108.82</v>
      </c>
      <c r="C4734" s="7" t="n">
        <f aca="false">AVERAGE(B4685:B4734)</f>
        <v>5961.1464</v>
      </c>
      <c r="D4734" s="7" t="n">
        <f aca="false">AVERAGE(B4535:B4734)</f>
        <v>5636.11005</v>
      </c>
      <c r="E4734" s="7" t="n">
        <f aca="false">B4734/MAX(B4483:B4734)-1</f>
        <v>-0.00225230743098126</v>
      </c>
      <c r="F4734" s="7" t="str">
        <f aca="false">IFERROR(INDEX(02_轉折點45個!B:B,MATCH(A4734,02_轉折點45個!A:A,0)),"")</f>
        <v/>
      </c>
      <c r="G4734" s="7" t="s">
        <v>5494</v>
      </c>
    </row>
    <row r="4735" customFormat="false" ht="15" hidden="false" customHeight="false" outlineLevel="0" collapsed="false">
      <c r="A4735" s="7" t="s">
        <v>5756</v>
      </c>
      <c r="B4735" s="7" t="n">
        <v>6067.83</v>
      </c>
      <c r="C4735" s="7" t="n">
        <f aca="false">AVERAGE(B4686:B4735)</f>
        <v>5965.8724</v>
      </c>
      <c r="D4735" s="7" t="n">
        <f aca="false">AVERAGE(B4536:B4735)</f>
        <v>5641.4138</v>
      </c>
      <c r="E4735" s="7" t="n">
        <f aca="false">B4735/MAX(B4484:B4735)-1</f>
        <v>-0.00894716468956858</v>
      </c>
      <c r="F4735" s="7" t="str">
        <f aca="false">IFERROR(INDEX(02_轉折點45個!B:B,MATCH(A4735,02_轉折點45個!A:A,0)),"")</f>
        <v/>
      </c>
      <c r="G4735" s="7" t="s">
        <v>5494</v>
      </c>
    </row>
    <row r="4736" customFormat="false" ht="15" hidden="false" customHeight="false" outlineLevel="0" collapsed="false">
      <c r="A4736" s="7" t="s">
        <v>1329</v>
      </c>
      <c r="B4736" s="7" t="n">
        <v>6080.22</v>
      </c>
      <c r="C4736" s="7" t="n">
        <f aca="false">AVERAGE(B4687:B4736)</f>
        <v>5969.3134</v>
      </c>
      <c r="D4736" s="7" t="n">
        <f aca="false">AVERAGE(B4537:B4736)</f>
        <v>5646.6904</v>
      </c>
      <c r="E4736" s="7" t="n">
        <f aca="false">B4736/MAX(B4485:B4736)-1</f>
        <v>-0.00692351791147883</v>
      </c>
      <c r="F4736" s="7" t="str">
        <f aca="false">IFERROR(INDEX(02_轉折點45個!B:B,MATCH(A4736,02_轉折點45個!A:A,0)),"")</f>
        <v/>
      </c>
      <c r="G4736" s="7" t="s">
        <v>5494</v>
      </c>
    </row>
    <row r="4737" customFormat="false" ht="15" hidden="false" customHeight="false" outlineLevel="0" collapsed="false">
      <c r="A4737" s="7" t="s">
        <v>5757</v>
      </c>
      <c r="B4737" s="7" t="n">
        <v>6055.04</v>
      </c>
      <c r="C4737" s="7" t="n">
        <f aca="false">AVERAGE(B4688:B4737)</f>
        <v>5972.2596</v>
      </c>
      <c r="D4737" s="7" t="n">
        <f aca="false">AVERAGE(B4538:B4737)</f>
        <v>5651.78975</v>
      </c>
      <c r="E4737" s="7" t="n">
        <f aca="false">B4737/MAX(B4486:B4737)-1</f>
        <v>-0.0110361430827702</v>
      </c>
      <c r="F4737" s="7" t="str">
        <f aca="false">IFERROR(INDEX(02_轉折點45個!B:B,MATCH(A4737,02_轉折點45個!A:A,0)),"")</f>
        <v/>
      </c>
      <c r="G4737" s="7" t="s">
        <v>5494</v>
      </c>
    </row>
    <row r="4738" customFormat="false" ht="15" hidden="false" customHeight="false" outlineLevel="0" collapsed="false">
      <c r="A4738" s="7" t="s">
        <v>5758</v>
      </c>
      <c r="B4738" s="7" t="n">
        <v>6037.87</v>
      </c>
      <c r="C4738" s="7" t="n">
        <f aca="false">AVERAGE(B4689:B4738)</f>
        <v>5974.6686</v>
      </c>
      <c r="D4738" s="7" t="n">
        <f aca="false">AVERAGE(B4539:B4738)</f>
        <v>5656.72805</v>
      </c>
      <c r="E4738" s="7" t="n">
        <f aca="false">B4738/MAX(B4487:B4738)-1</f>
        <v>-0.0138405026614467</v>
      </c>
      <c r="F4738" s="7" t="str">
        <f aca="false">IFERROR(INDEX(02_轉折點45個!B:B,MATCH(A4738,02_轉折點45個!A:A,0)),"")</f>
        <v/>
      </c>
      <c r="G4738" s="7" t="s">
        <v>5494</v>
      </c>
    </row>
    <row r="4739" customFormat="false" ht="15" hidden="false" customHeight="false" outlineLevel="0" collapsed="false">
      <c r="A4739" s="7" t="s">
        <v>1330</v>
      </c>
      <c r="B4739" s="7" t="n">
        <v>6213.47</v>
      </c>
      <c r="C4739" s="7" t="n">
        <f aca="false">AVERAGE(B4690:B4739)</f>
        <v>5983.0116</v>
      </c>
      <c r="D4739" s="7" t="n">
        <f aca="false">AVERAGE(B4540:B4739)</f>
        <v>5662.58825</v>
      </c>
      <c r="E4739" s="7" t="n">
        <f aca="false">B4739/MAX(B4488:B4739)-1</f>
        <v>0</v>
      </c>
      <c r="F4739" s="7" t="str">
        <f aca="false">IFERROR(INDEX(02_轉折點45個!B:B,MATCH(A4739,02_轉折點45個!A:A,0)),"")</f>
        <v/>
      </c>
      <c r="G4739" s="7" t="s">
        <v>5494</v>
      </c>
    </row>
    <row r="4740" customFormat="false" ht="15" hidden="false" customHeight="false" outlineLevel="0" collapsed="false">
      <c r="A4740" s="7" t="s">
        <v>5759</v>
      </c>
      <c r="B4740" s="7" t="n">
        <v>6227.59</v>
      </c>
      <c r="C4740" s="7" t="n">
        <f aca="false">AVERAGE(B4691:B4740)</f>
        <v>5991.7452</v>
      </c>
      <c r="D4740" s="7" t="n">
        <f aca="false">AVERAGE(B4541:B4740)</f>
        <v>5668.42865</v>
      </c>
      <c r="E4740" s="7" t="n">
        <f aca="false">B4740/MAX(B4489:B4740)-1</f>
        <v>0</v>
      </c>
      <c r="F4740" s="7" t="str">
        <f aca="false">IFERROR(INDEX(02_轉折點45個!B:B,MATCH(A4740,02_轉折點45個!A:A,0)),"")</f>
        <v/>
      </c>
      <c r="G4740" s="7" t="s">
        <v>5494</v>
      </c>
    </row>
    <row r="4741" customFormat="false" ht="15" hidden="false" customHeight="false" outlineLevel="0" collapsed="false">
      <c r="A4741" s="7" t="s">
        <v>1331</v>
      </c>
      <c r="B4741" s="7" t="n">
        <v>6248.56</v>
      </c>
      <c r="C4741" s="7" t="n">
        <f aca="false">AVERAGE(B4692:B4741)</f>
        <v>6000.9856</v>
      </c>
      <c r="D4741" s="7" t="n">
        <f aca="false">AVERAGE(B4542:B4741)</f>
        <v>5674.4482</v>
      </c>
      <c r="E4741" s="7" t="n">
        <f aca="false">B4741/MAX(B4490:B4741)-1</f>
        <v>0</v>
      </c>
      <c r="F4741" s="7" t="str">
        <f aca="false">IFERROR(INDEX(02_轉折點45個!B:B,MATCH(A4741,02_轉折點45個!A:A,0)),"")</f>
        <v/>
      </c>
      <c r="G4741" s="7" t="s">
        <v>5494</v>
      </c>
    </row>
    <row r="4742" customFormat="false" ht="15" hidden="false" customHeight="false" outlineLevel="0" collapsed="false">
      <c r="A4742" s="7" t="s">
        <v>5760</v>
      </c>
      <c r="B4742" s="7" t="n">
        <v>6248.65</v>
      </c>
      <c r="C4742" s="7" t="n">
        <f aca="false">AVERAGE(B4693:B4742)</f>
        <v>6008.492</v>
      </c>
      <c r="D4742" s="7" t="n">
        <f aca="false">AVERAGE(B4543:B4742)</f>
        <v>5680.4122</v>
      </c>
      <c r="E4742" s="7" t="n">
        <f aca="false">B4742/MAX(B4491:B4742)-1</f>
        <v>0</v>
      </c>
      <c r="F4742" s="7" t="str">
        <f aca="false">IFERROR(INDEX(02_轉折點45個!B:B,MATCH(A4742,02_轉折點45個!A:A,0)),"")</f>
        <v/>
      </c>
      <c r="G4742" s="7" t="s">
        <v>5494</v>
      </c>
    </row>
    <row r="4743" customFormat="false" ht="15" hidden="false" customHeight="false" outlineLevel="0" collapsed="false">
      <c r="A4743" s="7" t="s">
        <v>5761</v>
      </c>
      <c r="B4743" s="7" t="n">
        <v>6236.39</v>
      </c>
      <c r="C4743" s="7" t="n">
        <f aca="false">AVERAGE(B4694:B4743)</f>
        <v>6016.1842</v>
      </c>
      <c r="D4743" s="7" t="n">
        <f aca="false">AVERAGE(B4544:B4743)</f>
        <v>5686.3383</v>
      </c>
      <c r="E4743" s="7" t="n">
        <f aca="false">B4743/MAX(B4492:B4743)-1</f>
        <v>-0.00196202379714006</v>
      </c>
      <c r="F4743" s="7" t="str">
        <f aca="false">IFERROR(INDEX(02_轉折點45個!B:B,MATCH(A4743,02_轉折點45個!A:A,0)),"")</f>
        <v/>
      </c>
      <c r="G4743" s="7" t="s">
        <v>5494</v>
      </c>
    </row>
    <row r="4744" customFormat="false" ht="15" hidden="false" customHeight="false" outlineLevel="0" collapsed="false">
      <c r="A4744" s="7" t="s">
        <v>5762</v>
      </c>
      <c r="B4744" s="7" t="n">
        <v>6295.58</v>
      </c>
      <c r="C4744" s="7" t="n">
        <f aca="false">AVERAGE(B4695:B4744)</f>
        <v>6025.407</v>
      </c>
      <c r="D4744" s="7" t="n">
        <f aca="false">AVERAGE(B4545:B4744)</f>
        <v>5692.5002</v>
      </c>
      <c r="E4744" s="7" t="n">
        <f aca="false">B4744/MAX(B4493:B4744)-1</f>
        <v>0</v>
      </c>
      <c r="F4744" s="7" t="str">
        <f aca="false">IFERROR(INDEX(02_轉折點45個!B:B,MATCH(A4744,02_轉折點45個!A:A,0)),"")</f>
        <v/>
      </c>
      <c r="G4744" s="7" t="s">
        <v>5494</v>
      </c>
    </row>
    <row r="4745" customFormat="false" ht="15" hidden="false" customHeight="false" outlineLevel="0" collapsed="false">
      <c r="A4745" s="7" t="s">
        <v>5763</v>
      </c>
      <c r="B4745" s="7" t="n">
        <v>6313.61</v>
      </c>
      <c r="C4745" s="7" t="n">
        <f aca="false">AVERAGE(B4696:B4745)</f>
        <v>6035.2286</v>
      </c>
      <c r="D4745" s="7" t="n">
        <f aca="false">AVERAGE(B4546:B4745)</f>
        <v>5698.73975</v>
      </c>
      <c r="E4745" s="7" t="n">
        <f aca="false">B4745/MAX(B4494:B4745)-1</f>
        <v>0</v>
      </c>
      <c r="F4745" s="7" t="str">
        <f aca="false">IFERROR(INDEX(02_轉折點45個!B:B,MATCH(A4745,02_轉折點45個!A:A,0)),"")</f>
        <v/>
      </c>
      <c r="G4745" s="7" t="s">
        <v>5494</v>
      </c>
    </row>
    <row r="4746" customFormat="false" ht="15" hidden="false" customHeight="false" outlineLevel="0" collapsed="false">
      <c r="A4746" s="7" t="s">
        <v>5764</v>
      </c>
      <c r="B4746" s="7" t="n">
        <v>6320.78</v>
      </c>
      <c r="C4746" s="7" t="n">
        <f aca="false">AVERAGE(B4697:B4746)</f>
        <v>6044.8826</v>
      </c>
      <c r="D4746" s="7" t="n">
        <f aca="false">AVERAGE(B4547:B4746)</f>
        <v>5704.83835</v>
      </c>
      <c r="E4746" s="7" t="n">
        <f aca="false">B4746/MAX(B4495:B4746)-1</f>
        <v>0</v>
      </c>
      <c r="F4746" s="7" t="str">
        <f aca="false">IFERROR(INDEX(02_轉折點45個!B:B,MATCH(A4746,02_轉折點45個!A:A,0)),"")</f>
        <v/>
      </c>
      <c r="G4746" s="7" t="s">
        <v>5494</v>
      </c>
    </row>
    <row r="4747" customFormat="false" ht="15" hidden="false" customHeight="false" outlineLevel="0" collapsed="false">
      <c r="A4747" s="7" t="s">
        <v>5765</v>
      </c>
      <c r="B4747" s="7" t="n">
        <v>6345.81</v>
      </c>
      <c r="C4747" s="7" t="n">
        <f aca="false">AVERAGE(B4698:B4747)</f>
        <v>6054.556</v>
      </c>
      <c r="D4747" s="7" t="n">
        <f aca="false">AVERAGE(B4548:B4747)</f>
        <v>5710.81005</v>
      </c>
      <c r="E4747" s="7" t="n">
        <f aca="false">B4747/MAX(B4496:B4747)-1</f>
        <v>0</v>
      </c>
      <c r="F4747" s="7" t="str">
        <f aca="false">IFERROR(INDEX(02_轉折點45個!B:B,MATCH(A4747,02_轉折點45個!A:A,0)),"")</f>
        <v/>
      </c>
      <c r="G4747" s="7" t="s">
        <v>5494</v>
      </c>
    </row>
    <row r="4748" customFormat="false" ht="15" hidden="false" customHeight="false" outlineLevel="0" collapsed="false">
      <c r="A4748" s="7" t="s">
        <v>5766</v>
      </c>
      <c r="B4748" s="7" t="n">
        <v>6312.21</v>
      </c>
      <c r="C4748" s="7" t="n">
        <f aca="false">AVERAGE(B4699:B4748)</f>
        <v>6062.1422</v>
      </c>
      <c r="D4748" s="7" t="n">
        <f aca="false">AVERAGE(B4549:B4748)</f>
        <v>5716.5865</v>
      </c>
      <c r="E4748" s="7" t="n">
        <f aca="false">B4748/MAX(B4497:B4748)-1</f>
        <v>-0.00529483233818862</v>
      </c>
      <c r="F4748" s="7" t="str">
        <f aca="false">IFERROR(INDEX(02_轉折點45個!B:B,MATCH(A4748,02_轉折點45個!A:A,0)),"")</f>
        <v/>
      </c>
      <c r="G4748" s="7" t="s">
        <v>5494</v>
      </c>
    </row>
    <row r="4749" customFormat="false" ht="15" hidden="false" customHeight="false" outlineLevel="0" collapsed="false">
      <c r="A4749" s="7" t="s">
        <v>5767</v>
      </c>
      <c r="B4749" s="7" t="n">
        <v>6309.07</v>
      </c>
      <c r="C4749" s="7" t="n">
        <f aca="false">AVERAGE(B4700:B4749)</f>
        <v>6068.5516</v>
      </c>
      <c r="D4749" s="7" t="n">
        <f aca="false">AVERAGE(B4550:B4749)</f>
        <v>5722.29155</v>
      </c>
      <c r="E4749" s="7" t="n">
        <f aca="false">B4749/MAX(B4498:B4749)-1</f>
        <v>-0.00578964702693596</v>
      </c>
      <c r="F4749" s="7" t="str">
        <f aca="false">IFERROR(INDEX(02_轉折點45個!B:B,MATCH(A4749,02_轉折點45個!A:A,0)),"")</f>
        <v/>
      </c>
      <c r="G4749" s="7" t="s">
        <v>5494</v>
      </c>
    </row>
    <row r="4750" customFormat="false" ht="15" hidden="false" customHeight="false" outlineLevel="0" collapsed="false">
      <c r="A4750" s="7" t="s">
        <v>5768</v>
      </c>
      <c r="B4750" s="7" t="n">
        <v>6316.18</v>
      </c>
      <c r="C4750" s="7" t="n">
        <f aca="false">AVERAGE(B4701:B4750)</f>
        <v>6075.1172</v>
      </c>
      <c r="D4750" s="7" t="n">
        <f aca="false">AVERAGE(B4551:B4750)</f>
        <v>5728.2258</v>
      </c>
      <c r="E4750" s="7" t="n">
        <f aca="false">B4750/MAX(B4499:B4750)-1</f>
        <v>-0.00466922268394421</v>
      </c>
      <c r="F4750" s="7" t="str">
        <f aca="false">IFERROR(INDEX(02_轉折點45個!B:B,MATCH(A4750,02_轉折點45個!A:A,0)),"")</f>
        <v/>
      </c>
      <c r="G4750" s="7" t="s">
        <v>5494</v>
      </c>
    </row>
    <row r="4751" customFormat="false" ht="15" hidden="false" customHeight="false" outlineLevel="0" collapsed="false">
      <c r="A4751" s="7" t="s">
        <v>5769</v>
      </c>
      <c r="B4751" s="7" t="n">
        <v>6293.64</v>
      </c>
      <c r="C4751" s="7" t="n">
        <f aca="false">AVERAGE(B4702:B4751)</f>
        <v>6082.3354</v>
      </c>
      <c r="D4751" s="7" t="n">
        <f aca="false">AVERAGE(B4552:B4751)</f>
        <v>5734.11015</v>
      </c>
      <c r="E4751" s="7" t="n">
        <f aca="false">B4751/MAX(B4500:B4751)-1</f>
        <v>-0.00822117271081235</v>
      </c>
      <c r="F4751" s="7" t="str">
        <f aca="false">IFERROR(INDEX(02_轉折點45個!B:B,MATCH(A4751,02_轉折點45個!A:A,0)),"")</f>
        <v/>
      </c>
      <c r="G4751" s="7" t="s">
        <v>5494</v>
      </c>
    </row>
    <row r="4752" customFormat="false" ht="15" hidden="false" customHeight="false" outlineLevel="0" collapsed="false">
      <c r="A4752" s="7" t="s">
        <v>1332</v>
      </c>
      <c r="B4752" s="7" t="n">
        <v>6258.36</v>
      </c>
      <c r="C4752" s="7" t="n">
        <f aca="false">AVERAGE(B4703:B4752)</f>
        <v>6088.48</v>
      </c>
      <c r="D4752" s="7" t="n">
        <f aca="false">AVERAGE(B4553:B4752)</f>
        <v>5739.6385</v>
      </c>
      <c r="E4752" s="7" t="n">
        <f aca="false">B4752/MAX(B4501:B4752)-1</f>
        <v>-0.0137807466659103</v>
      </c>
      <c r="F4752" s="7" t="str">
        <f aca="false">IFERROR(INDEX(02_轉折點45個!B:B,MATCH(A4752,02_轉折點45個!A:A,0)),"")</f>
        <v/>
      </c>
      <c r="G4752" s="7" t="s">
        <v>5494</v>
      </c>
    </row>
    <row r="4753" customFormat="false" ht="15" hidden="false" customHeight="false" outlineLevel="0" collapsed="false">
      <c r="A4753" s="7" t="s">
        <v>5770</v>
      </c>
      <c r="B4753" s="7" t="n">
        <v>6339.14</v>
      </c>
      <c r="C4753" s="7" t="n">
        <f aca="false">AVERAGE(B4704:B4753)</f>
        <v>6095.9766</v>
      </c>
      <c r="D4753" s="7" t="n">
        <f aca="false">AVERAGE(B4554:B4753)</f>
        <v>5745.5957</v>
      </c>
      <c r="E4753" s="7" t="n">
        <f aca="false">B4753/MAX(B4502:B4753)-1</f>
        <v>-0.00105108725284875</v>
      </c>
      <c r="F4753" s="7" t="str">
        <f aca="false">IFERROR(INDEX(02_轉折點45個!B:B,MATCH(A4753,02_轉折點45個!A:A,0)),"")</f>
        <v/>
      </c>
      <c r="G4753" s="7" t="s">
        <v>5494</v>
      </c>
    </row>
    <row r="4754" customFormat="false" ht="15" hidden="false" customHeight="false" outlineLevel="0" collapsed="false">
      <c r="A4754" s="7" t="s">
        <v>1333</v>
      </c>
      <c r="B4754" s="7" t="n">
        <v>6314.51</v>
      </c>
      <c r="C4754" s="7" t="n">
        <f aca="false">AVERAGE(B4705:B4754)</f>
        <v>6103.9994</v>
      </c>
      <c r="D4754" s="7" t="n">
        <f aca="false">AVERAGE(B4555:B4754)</f>
        <v>5751.36025</v>
      </c>
      <c r="E4754" s="7" t="n">
        <f aca="false">B4754/MAX(B4503:B4754)-1</f>
        <v>-0.0049323884578959</v>
      </c>
      <c r="F4754" s="7" t="str">
        <f aca="false">IFERROR(INDEX(02_轉折點45個!B:B,MATCH(A4754,02_轉折點45個!A:A,0)),"")</f>
        <v/>
      </c>
      <c r="G4754" s="7" t="s">
        <v>5494</v>
      </c>
    </row>
    <row r="4755" customFormat="false" ht="15" hidden="false" customHeight="false" outlineLevel="0" collapsed="false">
      <c r="A4755" s="7" t="s">
        <v>5771</v>
      </c>
      <c r="B4755" s="7" t="n">
        <v>6308.61</v>
      </c>
      <c r="C4755" s="7" t="n">
        <f aca="false">AVERAGE(B4706:B4755)</f>
        <v>6110.561</v>
      </c>
      <c r="D4755" s="7" t="n">
        <f aca="false">AVERAGE(B4556:B4755)</f>
        <v>5757.0635</v>
      </c>
      <c r="E4755" s="7" t="n">
        <f aca="false">B4755/MAX(B4504:B4755)-1</f>
        <v>-0.00586213580299455</v>
      </c>
      <c r="F4755" s="7" t="str">
        <f aca="false">IFERROR(INDEX(02_轉折點45個!B:B,MATCH(A4755,02_轉折點45個!A:A,0)),"")</f>
        <v/>
      </c>
      <c r="G4755" s="7" t="s">
        <v>5494</v>
      </c>
    </row>
    <row r="4756" customFormat="false" ht="15" hidden="false" customHeight="false" outlineLevel="0" collapsed="false">
      <c r="A4756" s="7" t="s">
        <v>1334</v>
      </c>
      <c r="B4756" s="7" t="n">
        <v>6378.63</v>
      </c>
      <c r="C4756" s="7" t="n">
        <f aca="false">AVERAGE(B4707:B4756)</f>
        <v>6118.2208</v>
      </c>
      <c r="D4756" s="7" t="n">
        <f aca="false">AVERAGE(B4557:B4756)</f>
        <v>5763.02725</v>
      </c>
      <c r="E4756" s="7" t="n">
        <f aca="false">B4756/MAX(B4505:B4756)-1</f>
        <v>0</v>
      </c>
      <c r="F4756" s="7" t="str">
        <f aca="false">IFERROR(INDEX(02_轉折點45個!B:B,MATCH(A4756,02_轉折點45個!A:A,0)),"")</f>
        <v/>
      </c>
      <c r="G4756" s="7" t="s">
        <v>5494</v>
      </c>
    </row>
    <row r="4757" customFormat="false" ht="15" hidden="false" customHeight="false" outlineLevel="0" collapsed="false">
      <c r="A4757" s="7" t="s">
        <v>1335</v>
      </c>
      <c r="B4757" s="7" t="n">
        <v>6386.12</v>
      </c>
      <c r="C4757" s="7" t="n">
        <f aca="false">AVERAGE(B4708:B4757)</f>
        <v>6125.8556</v>
      </c>
      <c r="D4757" s="7" t="n">
        <f aca="false">AVERAGE(B4558:B4757)</f>
        <v>5768.97495</v>
      </c>
      <c r="E4757" s="7" t="n">
        <f aca="false">B4757/MAX(B4506:B4757)-1</f>
        <v>0</v>
      </c>
      <c r="F4757" s="7" t="str">
        <f aca="false">IFERROR(INDEX(02_轉折點45個!B:B,MATCH(A4757,02_轉折點45個!A:A,0)),"")</f>
        <v/>
      </c>
      <c r="G4757" s="7" t="s">
        <v>5494</v>
      </c>
    </row>
    <row r="4758" customFormat="false" ht="15" hidden="false" customHeight="false" outlineLevel="0" collapsed="false">
      <c r="A4758" s="7" t="s">
        <v>1336</v>
      </c>
      <c r="B4758" s="7" t="n">
        <v>6409.29</v>
      </c>
      <c r="C4758" s="7" t="n">
        <f aca="false">AVERAGE(B4709:B4758)</f>
        <v>6134.665</v>
      </c>
      <c r="D4758" s="7" t="n">
        <f aca="false">AVERAGE(B4559:B4758)</f>
        <v>5774.9606</v>
      </c>
      <c r="E4758" s="7" t="n">
        <f aca="false">B4758/MAX(B4507:B4758)-1</f>
        <v>0</v>
      </c>
      <c r="F4758" s="7" t="str">
        <f aca="false">IFERROR(INDEX(02_轉折點45個!B:B,MATCH(A4758,02_轉折點45個!A:A,0)),"")</f>
        <v/>
      </c>
      <c r="G4758" s="7" t="s">
        <v>5494</v>
      </c>
    </row>
    <row r="4759" customFormat="false" ht="15" hidden="false" customHeight="false" outlineLevel="0" collapsed="false">
      <c r="A4759" s="7" t="s">
        <v>5772</v>
      </c>
      <c r="B4759" s="7" t="n">
        <v>6405.97</v>
      </c>
      <c r="C4759" s="7" t="n">
        <f aca="false">AVERAGE(B4710:B4759)</f>
        <v>6143.0244</v>
      </c>
      <c r="D4759" s="7" t="n">
        <f aca="false">AVERAGE(B4560:B4759)</f>
        <v>5780.857</v>
      </c>
      <c r="E4759" s="7" t="n">
        <f aca="false">B4759/MAX(B4508:B4759)-1</f>
        <v>-0.00051799809339248</v>
      </c>
      <c r="F4759" s="7" t="str">
        <f aca="false">IFERROR(INDEX(02_轉折點45個!B:B,MATCH(A4759,02_轉折點45個!A:A,0)),"")</f>
        <v/>
      </c>
      <c r="G4759" s="7" t="s">
        <v>5494</v>
      </c>
    </row>
    <row r="4760" customFormat="false" ht="15" hidden="false" customHeight="false" outlineLevel="0" collapsed="false">
      <c r="A4760" s="7" t="s">
        <v>1337</v>
      </c>
      <c r="B4760" s="7" t="n">
        <v>6422.56</v>
      </c>
      <c r="C4760" s="7" t="n">
        <f aca="false">AVERAGE(B4711:B4760)</f>
        <v>6151.8532</v>
      </c>
      <c r="D4760" s="7" t="n">
        <f aca="false">AVERAGE(B4561:B4760)</f>
        <v>5786.6857</v>
      </c>
      <c r="E4760" s="7" t="n">
        <f aca="false">B4760/MAX(B4509:B4760)-1</f>
        <v>0</v>
      </c>
      <c r="F4760" s="7" t="str">
        <f aca="false">IFERROR(INDEX(02_轉折點45個!B:B,MATCH(A4760,02_轉折點45個!A:A,0)),"")</f>
        <v/>
      </c>
      <c r="G4760" s="7" t="s">
        <v>5494</v>
      </c>
    </row>
    <row r="4761" customFormat="false" ht="15" hidden="false" customHeight="false" outlineLevel="0" collapsed="false">
      <c r="A4761" s="7" t="s">
        <v>5773</v>
      </c>
      <c r="B4761" s="7" t="n">
        <v>6311.38</v>
      </c>
      <c r="C4761" s="7" t="n">
        <f aca="false">AVERAGE(B4712:B4761)</f>
        <v>6158.2592</v>
      </c>
      <c r="D4761" s="7" t="n">
        <f aca="false">AVERAGE(B4562:B4761)</f>
        <v>5791.88725</v>
      </c>
      <c r="E4761" s="7" t="n">
        <f aca="false">B4761/MAX(B4510:B4761)-1</f>
        <v>-0.0173108542388083</v>
      </c>
      <c r="F4761" s="7" t="str">
        <f aca="false">IFERROR(INDEX(02_轉折點45個!B:B,MATCH(A4761,02_轉折點45個!A:A,0)),"")</f>
        <v/>
      </c>
      <c r="G4761" s="7" t="s">
        <v>5494</v>
      </c>
    </row>
    <row r="4762" customFormat="false" ht="15" hidden="false" customHeight="false" outlineLevel="0" collapsed="false">
      <c r="A4762" s="7" t="s">
        <v>5774</v>
      </c>
      <c r="B4762" s="7" t="n">
        <v>6365.56</v>
      </c>
      <c r="C4762" s="7" t="n">
        <f aca="false">AVERAGE(B4713:B4762)</f>
        <v>6166.0982</v>
      </c>
      <c r="D4762" s="7" t="n">
        <f aca="false">AVERAGE(B4563:B4762)</f>
        <v>5797.2031</v>
      </c>
      <c r="E4762" s="7" t="n">
        <f aca="false">B4762/MAX(B4511:B4762)-1</f>
        <v>-0.0088749657457462</v>
      </c>
      <c r="F4762" s="7" t="str">
        <f aca="false">IFERROR(INDEX(02_轉折點45個!B:B,MATCH(A4762,02_轉折點45個!A:A,0)),"")</f>
        <v/>
      </c>
      <c r="G4762" s="7" t="s">
        <v>5494</v>
      </c>
    </row>
    <row r="4763" customFormat="false" ht="15" hidden="false" customHeight="false" outlineLevel="0" collapsed="false">
      <c r="A4763" s="7" t="s">
        <v>5775</v>
      </c>
      <c r="B4763" s="7" t="n">
        <v>6337.87</v>
      </c>
      <c r="C4763" s="7" t="n">
        <f aca="false">AVERAGE(B4714:B4763)</f>
        <v>6174.1574</v>
      </c>
      <c r="D4763" s="7" t="n">
        <f aca="false">AVERAGE(B4564:B4763)</f>
        <v>5802.38925</v>
      </c>
      <c r="E4763" s="7" t="n">
        <f aca="false">B4763/MAX(B4512:B4763)-1</f>
        <v>-0.0131863306843378</v>
      </c>
      <c r="F4763" s="7" t="str">
        <f aca="false">IFERROR(INDEX(02_轉折點45個!B:B,MATCH(A4763,02_轉折點45個!A:A,0)),"")</f>
        <v/>
      </c>
      <c r="G4763" s="7" t="s">
        <v>5494</v>
      </c>
    </row>
    <row r="4764" customFormat="false" ht="15" hidden="false" customHeight="false" outlineLevel="0" collapsed="false">
      <c r="A4764" s="7" t="s">
        <v>1338</v>
      </c>
      <c r="B4764" s="7" t="n">
        <v>6263.7</v>
      </c>
      <c r="C4764" s="7" t="n">
        <f aca="false">AVERAGE(B4715:B4764)</f>
        <v>6180.785</v>
      </c>
      <c r="D4764" s="7" t="n">
        <f aca="false">AVERAGE(B4565:B4764)</f>
        <v>5807.08415</v>
      </c>
      <c r="E4764" s="7" t="n">
        <f aca="false">B4764/MAX(B4513:B4764)-1</f>
        <v>-0.0247346852345484</v>
      </c>
      <c r="F4764" s="7" t="str">
        <f aca="false">IFERROR(INDEX(02_轉折點45個!B:B,MATCH(A4764,02_轉折點45個!A:A,0)),"")</f>
        <v/>
      </c>
      <c r="G4764" s="7" t="s">
        <v>5494</v>
      </c>
    </row>
    <row r="4765" customFormat="false" ht="15" hidden="false" customHeight="false" outlineLevel="0" collapsed="false">
      <c r="A4765" s="7" t="s">
        <v>5776</v>
      </c>
      <c r="B4765" s="7" t="n">
        <v>6265.11</v>
      </c>
      <c r="C4765" s="7" t="n">
        <f aca="false">AVERAGE(B4716:B4765)</f>
        <v>6188.7402</v>
      </c>
      <c r="D4765" s="7" t="n">
        <f aca="false">AVERAGE(B4566:B4765)</f>
        <v>5811.65605</v>
      </c>
      <c r="E4765" s="7" t="n">
        <f aca="false">B4765/MAX(B4514:B4765)-1</f>
        <v>-0.0245151466082062</v>
      </c>
      <c r="F4765" s="7" t="str">
        <f aca="false">IFERROR(INDEX(02_轉折點45個!B:B,MATCH(A4765,02_轉折點45個!A:A,0)),"")</f>
        <v/>
      </c>
      <c r="G4765" s="7" t="s">
        <v>5494</v>
      </c>
    </row>
    <row r="4766" customFormat="false" ht="15" hidden="false" customHeight="false" outlineLevel="0" collapsed="false">
      <c r="A4766" s="7" t="s">
        <v>5777</v>
      </c>
      <c r="B4766" s="7" t="n">
        <v>6293.05</v>
      </c>
      <c r="C4766" s="7" t="n">
        <f aca="false">AVERAGE(B4717:B4766)</f>
        <v>6196.9744</v>
      </c>
      <c r="D4766" s="7" t="n">
        <f aca="false">AVERAGE(B4567:B4766)</f>
        <v>5816.36065</v>
      </c>
      <c r="E4766" s="7" t="n">
        <f aca="false">B4766/MAX(B4515:B4766)-1</f>
        <v>-0.0201648563812561</v>
      </c>
      <c r="F4766" s="7" t="str">
        <f aca="false">IFERROR(INDEX(02_轉折點45個!B:B,MATCH(A4766,02_轉折點45個!A:A,0)),"")</f>
        <v/>
      </c>
      <c r="G4766" s="7" t="s">
        <v>5494</v>
      </c>
    </row>
    <row r="4767" customFormat="false" ht="15" hidden="false" customHeight="false" outlineLevel="0" collapsed="false">
      <c r="A4767" s="7" t="s">
        <v>5778</v>
      </c>
      <c r="B4767" s="7" t="n">
        <v>6316.28</v>
      </c>
      <c r="C4767" s="7" t="n">
        <f aca="false">AVERAGE(B4718:B4767)</f>
        <v>6204.5442</v>
      </c>
      <c r="D4767" s="7" t="n">
        <f aca="false">AVERAGE(B4568:B4767)</f>
        <v>5821.2802</v>
      </c>
      <c r="E4767" s="7" t="n">
        <f aca="false">B4767/MAX(B4516:B4767)-1</f>
        <v>-0.016547918586981</v>
      </c>
      <c r="F4767" s="7" t="str">
        <f aca="false">IFERROR(INDEX(02_轉折點45個!B:B,MATCH(A4767,02_轉折點45個!A:A,0)),"")</f>
        <v/>
      </c>
      <c r="G4767" s="7" t="s">
        <v>5494</v>
      </c>
    </row>
    <row r="4768" customFormat="false" ht="15" hidden="false" customHeight="false" outlineLevel="0" collapsed="false">
      <c r="A4768" s="7" t="s">
        <v>5779</v>
      </c>
      <c r="B4768" s="7" t="n">
        <v>6344.57</v>
      </c>
      <c r="C4768" s="7" t="n">
        <f aca="false">AVERAGE(B4719:B4768)</f>
        <v>6212.7742</v>
      </c>
      <c r="D4768" s="7" t="n">
        <f aca="false">AVERAGE(B4569:B4768)</f>
        <v>5826.2865</v>
      </c>
      <c r="E4768" s="7" t="n">
        <f aca="false">B4768/MAX(B4517:B4768)-1</f>
        <v>-0.0121431329563291</v>
      </c>
      <c r="F4768" s="7" t="str">
        <f aca="false">IFERROR(INDEX(02_轉折點45個!B:B,MATCH(A4768,02_轉折點45個!A:A,0)),"")</f>
        <v/>
      </c>
      <c r="G4768" s="7" t="s">
        <v>5494</v>
      </c>
    </row>
    <row r="4769" customFormat="false" ht="15" hidden="false" customHeight="false" outlineLevel="0" collapsed="false">
      <c r="A4769" s="7" t="s">
        <v>5780</v>
      </c>
      <c r="B4769" s="7" t="n">
        <v>6393.89</v>
      </c>
      <c r="C4769" s="7" t="n">
        <f aca="false">AVERAGE(B4720:B4769)</f>
        <v>6221.066</v>
      </c>
      <c r="D4769" s="7" t="n">
        <f aca="false">AVERAGE(B4570:B4769)</f>
        <v>5831.5182</v>
      </c>
      <c r="E4769" s="7" t="n">
        <f aca="false">B4769/MAX(B4518:B4769)-1</f>
        <v>-0.00446395206895689</v>
      </c>
      <c r="F4769" s="7" t="str">
        <f aca="false">IFERROR(INDEX(02_轉折點45個!B:B,MATCH(A4769,02_轉折點45個!A:A,0)),"")</f>
        <v/>
      </c>
      <c r="G4769" s="7" t="s">
        <v>5494</v>
      </c>
    </row>
    <row r="4770" customFormat="false" ht="15" hidden="false" customHeight="false" outlineLevel="0" collapsed="false">
      <c r="A4770" s="7" t="s">
        <v>5781</v>
      </c>
      <c r="B4770" s="7" t="n">
        <v>6383.65</v>
      </c>
      <c r="C4770" s="7" t="n">
        <f aca="false">AVERAGE(B4721:B4770)</f>
        <v>6229.1006</v>
      </c>
      <c r="D4770" s="7" t="n">
        <f aca="false">AVERAGE(B4571:B4770)</f>
        <v>5836.7849</v>
      </c>
      <c r="E4770" s="7" t="n">
        <f aca="false">B4770/MAX(B4519:B4770)-1</f>
        <v>-0.00605833188012273</v>
      </c>
      <c r="F4770" s="7" t="str">
        <f aca="false">IFERROR(INDEX(02_轉折點45個!B:B,MATCH(A4770,02_轉折點45個!A:A,0)),"")</f>
        <v/>
      </c>
      <c r="G4770" s="7" t="s">
        <v>5494</v>
      </c>
    </row>
    <row r="4771" customFormat="false" ht="15" hidden="false" customHeight="false" outlineLevel="0" collapsed="false">
      <c r="A4771" s="7" t="s">
        <v>5782</v>
      </c>
      <c r="B4771" s="7" t="n">
        <v>6394.67</v>
      </c>
      <c r="C4771" s="7" t="n">
        <f aca="false">AVERAGE(B4722:B4771)</f>
        <v>6237.0928</v>
      </c>
      <c r="D4771" s="7" t="n">
        <f aca="false">AVERAGE(B4572:B4771)</f>
        <v>5841.8033</v>
      </c>
      <c r="E4771" s="7" t="n">
        <f aca="false">B4771/MAX(B4520:B4771)-1</f>
        <v>-0.00434250516927837</v>
      </c>
      <c r="F4771" s="7" t="str">
        <f aca="false">IFERROR(INDEX(02_轉折點45個!B:B,MATCH(A4771,02_轉折點45個!A:A,0)),"")</f>
        <v/>
      </c>
      <c r="G4771" s="7" t="s">
        <v>5494</v>
      </c>
    </row>
    <row r="4772" customFormat="false" ht="15" hidden="false" customHeight="false" outlineLevel="0" collapsed="false">
      <c r="A4772" s="7" t="s">
        <v>5783</v>
      </c>
      <c r="B4772" s="7" t="n">
        <v>6389.91</v>
      </c>
      <c r="C4772" s="7" t="n">
        <f aca="false">AVERAGE(B4723:B4772)</f>
        <v>6244.9142</v>
      </c>
      <c r="D4772" s="7" t="n">
        <f aca="false">AVERAGE(B4573:B4772)</f>
        <v>5846.93655</v>
      </c>
      <c r="E4772" s="7" t="n">
        <f aca="false">B4772/MAX(B4521:B4772)-1</f>
        <v>-0.00508364265962491</v>
      </c>
      <c r="F4772" s="7" t="str">
        <f aca="false">IFERROR(INDEX(02_轉折點45個!B:B,MATCH(A4772,02_轉折點45個!A:A,0)),"")</f>
        <v/>
      </c>
      <c r="G4772" s="7" t="s">
        <v>5494</v>
      </c>
    </row>
    <row r="4773" customFormat="false" ht="15" hidden="false" customHeight="false" outlineLevel="0" collapsed="false">
      <c r="A4773" s="7" t="s">
        <v>1339</v>
      </c>
      <c r="B4773" s="7" t="n">
        <v>6466.32</v>
      </c>
      <c r="C4773" s="7" t="n">
        <f aca="false">AVERAGE(B4724:B4773)</f>
        <v>6253.0978</v>
      </c>
      <c r="D4773" s="7" t="n">
        <f aca="false">AVERAGE(B4574:B4773)</f>
        <v>5852.40075</v>
      </c>
      <c r="E4773" s="7" t="n">
        <f aca="false">B4773/MAX(B4522:B4773)-1</f>
        <v>0</v>
      </c>
      <c r="F4773" s="7" t="str">
        <f aca="false">IFERROR(INDEX(02_轉折點45個!B:B,MATCH(A4773,02_轉折點45個!A:A,0)),"")</f>
        <v/>
      </c>
      <c r="G4773" s="7" t="s">
        <v>5494</v>
      </c>
    </row>
    <row r="4774" customFormat="false" ht="15" hidden="false" customHeight="false" outlineLevel="0" collapsed="false">
      <c r="A4774" s="7" t="s">
        <v>5784</v>
      </c>
      <c r="B4774" s="7" t="n">
        <v>6513.27</v>
      </c>
      <c r="C4774" s="7" t="n">
        <f aca="false">AVERAGE(B4725:B4774)</f>
        <v>6262.0718</v>
      </c>
      <c r="D4774" s="7" t="n">
        <f aca="false">AVERAGE(B4575:B4774)</f>
        <v>5858.16555</v>
      </c>
      <c r="E4774" s="7" t="n">
        <f aca="false">B4774/MAX(B4523:B4774)-1</f>
        <v>0</v>
      </c>
      <c r="F4774" s="7" t="str">
        <f aca="false">IFERROR(INDEX(02_轉折點45個!B:B,MATCH(A4774,02_轉折點45個!A:A,0)),"")</f>
        <v/>
      </c>
      <c r="G4774" s="7" t="s">
        <v>5494</v>
      </c>
    </row>
    <row r="4775" customFormat="false" ht="15" hidden="false" customHeight="false" outlineLevel="0" collapsed="false">
      <c r="A4775" s="7" t="s">
        <v>5785</v>
      </c>
      <c r="B4775" s="7" t="n">
        <v>6480.67</v>
      </c>
      <c r="C4775" s="7" t="n">
        <f aca="false">AVERAGE(B4726:B4775)</f>
        <v>6270.5146</v>
      </c>
      <c r="D4775" s="7" t="n">
        <f aca="false">AVERAGE(B4576:B4775)</f>
        <v>5863.8125</v>
      </c>
      <c r="E4775" s="7" t="n">
        <f aca="false">B4775/MAX(B4524:B4775)-1</f>
        <v>-0.00500516637572224</v>
      </c>
      <c r="F4775" s="7" t="str">
        <f aca="false">IFERROR(INDEX(02_轉折點45個!B:B,MATCH(A4775,02_轉折點45個!A:A,0)),"")</f>
        <v/>
      </c>
      <c r="G4775" s="7" t="s">
        <v>5494</v>
      </c>
    </row>
    <row r="4776" customFormat="false" ht="15" hidden="false" customHeight="false" outlineLevel="0" collapsed="false">
      <c r="A4776" s="7" t="s">
        <v>5786</v>
      </c>
      <c r="B4776" s="7" t="n">
        <v>6472.48</v>
      </c>
      <c r="C4776" s="7" t="n">
        <f aca="false">AVERAGE(B4727:B4776)</f>
        <v>6278.6938</v>
      </c>
      <c r="D4776" s="7" t="n">
        <f aca="false">AVERAGE(B4577:B4776)</f>
        <v>5869.37585</v>
      </c>
      <c r="E4776" s="7" t="n">
        <f aca="false">B4776/MAX(B4525:B4776)-1</f>
        <v>-0.00626259927808937</v>
      </c>
      <c r="F4776" s="7" t="str">
        <f aca="false">IFERROR(INDEX(02_轉折點45個!B:B,MATCH(A4776,02_轉折點45個!A:A,0)),"")</f>
        <v/>
      </c>
      <c r="G4776" s="7" t="s">
        <v>5494</v>
      </c>
    </row>
    <row r="4777" customFormat="false" ht="15" hidden="false" customHeight="false" outlineLevel="0" collapsed="false">
      <c r="A4777" s="7" t="s">
        <v>5787</v>
      </c>
      <c r="B4777" s="7" t="n">
        <v>6472.69</v>
      </c>
      <c r="C4777" s="7" t="n">
        <f aca="false">AVERAGE(B4728:B4777)</f>
        <v>6286.5226</v>
      </c>
      <c r="D4777" s="7" t="n">
        <f aca="false">AVERAGE(B4578:B4777)</f>
        <v>5874.9194</v>
      </c>
      <c r="E4777" s="7" t="n">
        <f aca="false">B4777/MAX(B4526:B4777)-1</f>
        <v>-0.00623035740879785</v>
      </c>
      <c r="F4777" s="7" t="str">
        <f aca="false">IFERROR(INDEX(02_轉折點45個!B:B,MATCH(A4777,02_轉折點45個!A:A,0)),"")</f>
        <v/>
      </c>
      <c r="G4777" s="7" t="s">
        <v>5494</v>
      </c>
    </row>
    <row r="4778" customFormat="false" ht="15" hidden="false" customHeight="false" outlineLevel="0" collapsed="false">
      <c r="A4778" s="7" t="s">
        <v>5788</v>
      </c>
      <c r="B4778" s="7" t="n">
        <v>6465.17</v>
      </c>
      <c r="C4778" s="7" t="n">
        <f aca="false">AVERAGE(B4729:B4778)</f>
        <v>6294.4262</v>
      </c>
      <c r="D4778" s="7" t="n">
        <f aca="false">AVERAGE(B4579:B4778)</f>
        <v>5880.31575</v>
      </c>
      <c r="E4778" s="7" t="n">
        <f aca="false">B4778/MAX(B4527:B4778)-1</f>
        <v>-0.00738492339485397</v>
      </c>
      <c r="F4778" s="7" t="str">
        <f aca="false">IFERROR(INDEX(02_轉折點45個!B:B,MATCH(A4778,02_轉折點45個!A:A,0)),"")</f>
        <v/>
      </c>
      <c r="G4778" s="7" t="s">
        <v>5494</v>
      </c>
    </row>
    <row r="4779" customFormat="false" ht="15" hidden="false" customHeight="false" outlineLevel="0" collapsed="false">
      <c r="A4779" s="7" t="s">
        <v>5789</v>
      </c>
      <c r="B4779" s="7" t="n">
        <v>6433.16</v>
      </c>
      <c r="C4779" s="7" t="n">
        <f aca="false">AVERAGE(B4730:B4779)</f>
        <v>6301.2404</v>
      </c>
      <c r="D4779" s="7" t="n">
        <f aca="false">AVERAGE(B4580:B4779)</f>
        <v>5885.5087</v>
      </c>
      <c r="E4779" s="7" t="n">
        <f aca="false">B4779/MAX(B4528:B4779)-1</f>
        <v>-0.0122995054711382</v>
      </c>
      <c r="F4779" s="7" t="str">
        <f aca="false">IFERROR(INDEX(02_轉折點45個!B:B,MATCH(A4779,02_轉折點45個!A:A,0)),"")</f>
        <v/>
      </c>
      <c r="G4779" s="7" t="s">
        <v>5494</v>
      </c>
    </row>
    <row r="4780" customFormat="false" ht="15" hidden="false" customHeight="false" outlineLevel="0" collapsed="false">
      <c r="A4780" s="7" t="s">
        <v>5790</v>
      </c>
      <c r="B4780" s="7" t="n">
        <v>6435.15</v>
      </c>
      <c r="C4780" s="7" t="n">
        <f aca="false">AVERAGE(B4731:B4780)</f>
        <v>6307.6528</v>
      </c>
      <c r="D4780" s="7" t="n">
        <f aca="false">AVERAGE(B4581:B4780)</f>
        <v>5890.7736</v>
      </c>
      <c r="E4780" s="7" t="n">
        <f aca="false">B4780/MAX(B4529:B4780)-1</f>
        <v>-0.011993975376424</v>
      </c>
      <c r="F4780" s="7" t="str">
        <f aca="false">IFERROR(INDEX(02_轉折點45個!B:B,MATCH(A4780,02_轉折點45個!A:A,0)),"")</f>
        <v/>
      </c>
      <c r="G4780" s="7" t="s">
        <v>5494</v>
      </c>
    </row>
    <row r="4781" customFormat="false" ht="15" hidden="false" customHeight="false" outlineLevel="0" collapsed="false">
      <c r="A4781" s="7" t="s">
        <v>1340</v>
      </c>
      <c r="B4781" s="7" t="n">
        <v>6441.42</v>
      </c>
      <c r="C4781" s="7" t="n">
        <f aca="false">AVERAGE(B4732:B4781)</f>
        <v>6314.029</v>
      </c>
      <c r="D4781" s="7" t="n">
        <f aca="false">AVERAGE(B4582:B4781)</f>
        <v>5895.89945</v>
      </c>
      <c r="E4781" s="7" t="n">
        <f aca="false">B4781/MAX(B4530:B4781)-1</f>
        <v>-0.0110313252790074</v>
      </c>
      <c r="F4781" s="7" t="str">
        <f aca="false">IFERROR(INDEX(02_轉折點45個!B:B,MATCH(A4781,02_轉折點45個!A:A,0)),"")</f>
        <v/>
      </c>
      <c r="G4781" s="7" t="s">
        <v>5494</v>
      </c>
    </row>
    <row r="4782" customFormat="false" ht="15" hidden="false" customHeight="false" outlineLevel="0" collapsed="false">
      <c r="A4782" s="7" t="s">
        <v>5791</v>
      </c>
      <c r="B4782" s="7" t="n">
        <v>6396.42</v>
      </c>
      <c r="C4782" s="7" t="n">
        <f aca="false">AVERAGE(B4733:B4782)</f>
        <v>6319.6704</v>
      </c>
      <c r="D4782" s="7" t="n">
        <f aca="false">AVERAGE(B4583:B4782)</f>
        <v>5900.82115</v>
      </c>
      <c r="E4782" s="7" t="n">
        <f aca="false">B4782/MAX(B4531:B4782)-1</f>
        <v>-0.0179402972700349</v>
      </c>
      <c r="F4782" s="7" t="str">
        <f aca="false">IFERROR(INDEX(02_轉折點45個!B:B,MATCH(A4782,02_轉折點45個!A:A,0)),"")</f>
        <v/>
      </c>
      <c r="G4782" s="7" t="s">
        <v>5494</v>
      </c>
    </row>
    <row r="4783" customFormat="false" ht="15" hidden="false" customHeight="false" outlineLevel="0" collapsed="false">
      <c r="A4783" s="7" t="s">
        <v>5792</v>
      </c>
      <c r="B4783" s="7" t="n">
        <v>6511.34</v>
      </c>
      <c r="C4783" s="7" t="n">
        <f aca="false">AVERAGE(B4734:B4783)</f>
        <v>6328.0448</v>
      </c>
      <c r="D4783" s="7" t="n">
        <f aca="false">AVERAGE(B4584:B4783)</f>
        <v>5906.33405</v>
      </c>
      <c r="E4783" s="7" t="n">
        <f aca="false">B4783/MAX(B4532:B4783)-1</f>
        <v>-0.000296318132059659</v>
      </c>
      <c r="F4783" s="7" t="str">
        <f aca="false">IFERROR(INDEX(02_轉折點45個!B:B,MATCH(A4783,02_轉折點45個!A:A,0)),"")</f>
        <v/>
      </c>
      <c r="G4783" s="7" t="s">
        <v>5494</v>
      </c>
    </row>
    <row r="4784" customFormat="false" ht="15" hidden="false" customHeight="false" outlineLevel="0" collapsed="false">
      <c r="A4784" s="7" t="s">
        <v>5793</v>
      </c>
      <c r="B4784" s="7" t="n">
        <v>6575.8</v>
      </c>
      <c r="C4784" s="7" t="n">
        <f aca="false">AVERAGE(B4735:B4784)</f>
        <v>6337.3844</v>
      </c>
      <c r="D4784" s="7" t="n">
        <f aca="false">AVERAGE(B4585:B4784)</f>
        <v>5912.1465</v>
      </c>
      <c r="E4784" s="7" t="n">
        <f aca="false">B4784/MAX(B4533:B4784)-1</f>
        <v>0</v>
      </c>
      <c r="F4784" s="7" t="str">
        <f aca="false">IFERROR(INDEX(02_轉折點45個!B:B,MATCH(A4784,02_轉折點45個!A:A,0)),"")</f>
        <v/>
      </c>
      <c r="G4784" s="7" t="s">
        <v>5494</v>
      </c>
    </row>
    <row r="4785" customFormat="false" ht="15" hidden="false" customHeight="false" outlineLevel="0" collapsed="false">
      <c r="A4785" s="7" t="s">
        <v>5794</v>
      </c>
      <c r="B4785" s="7" t="n">
        <v>6584.58</v>
      </c>
      <c r="C4785" s="7" t="n">
        <f aca="false">AVERAGE(B4736:B4785)</f>
        <v>6347.7194</v>
      </c>
      <c r="D4785" s="7" t="n">
        <f aca="false">AVERAGE(B4586:B4785)</f>
        <v>5918.40675</v>
      </c>
      <c r="E4785" s="7" t="n">
        <f aca="false">B4785/MAX(B4534:B4785)-1</f>
        <v>0</v>
      </c>
      <c r="F4785" s="7" t="str">
        <f aca="false">IFERROR(INDEX(02_轉折點45個!B:B,MATCH(A4785,02_轉折點45個!A:A,0)),"")</f>
        <v/>
      </c>
      <c r="G4785" s="7" t="s">
        <v>5494</v>
      </c>
    </row>
    <row r="4786" customFormat="false" ht="15" hidden="false" customHeight="false" outlineLevel="0" collapsed="false">
      <c r="A4786" s="7" t="s">
        <v>5795</v>
      </c>
      <c r="B4786" s="7" t="n">
        <v>6653.29</v>
      </c>
      <c r="C4786" s="7" t="n">
        <f aca="false">AVERAGE(B4737:B4786)</f>
        <v>6359.1808</v>
      </c>
      <c r="D4786" s="7" t="n">
        <f aca="false">AVERAGE(B4587:B4786)</f>
        <v>5924.83545</v>
      </c>
      <c r="E4786" s="7" t="n">
        <f aca="false">B4786/MAX(B4535:B4786)-1</f>
        <v>0</v>
      </c>
      <c r="F4786" s="7" t="str">
        <f aca="false">IFERROR(INDEX(02_轉折點45個!B:B,MATCH(A4786,02_轉折點45個!A:A,0)),"")</f>
        <v/>
      </c>
      <c r="G4786" s="7" t="s">
        <v>5494</v>
      </c>
    </row>
    <row r="4787" customFormat="false" ht="15" hidden="false" customHeight="false" outlineLevel="0" collapsed="false">
      <c r="A4787" s="7" t="s">
        <v>5796</v>
      </c>
      <c r="B4787" s="7" t="n">
        <v>6676.63</v>
      </c>
      <c r="C4787" s="7" t="n">
        <f aca="false">AVERAGE(B4738:B4787)</f>
        <v>6371.6126</v>
      </c>
      <c r="D4787" s="7" t="n">
        <f aca="false">AVERAGE(B4588:B4787)</f>
        <v>5931.4429</v>
      </c>
      <c r="E4787" s="7" t="n">
        <f aca="false">B4787/MAX(B4536:B4787)-1</f>
        <v>0</v>
      </c>
      <c r="F4787" s="7" t="str">
        <f aca="false">IFERROR(INDEX(02_轉折點45個!B:B,MATCH(A4787,02_轉折點45個!A:A,0)),"")</f>
        <v/>
      </c>
      <c r="G4787" s="7" t="s">
        <v>5494</v>
      </c>
    </row>
    <row r="4788" customFormat="false" ht="15" hidden="false" customHeight="false" outlineLevel="0" collapsed="false">
      <c r="A4788" s="7" t="s">
        <v>5797</v>
      </c>
      <c r="B4788" s="7" t="n">
        <v>6677.94</v>
      </c>
      <c r="C4788" s="7" t="n">
        <f aca="false">AVERAGE(B4739:B4788)</f>
        <v>6384.414</v>
      </c>
      <c r="D4788" s="7" t="n">
        <f aca="false">AVERAGE(B4589:B4788)</f>
        <v>5938.0126</v>
      </c>
      <c r="E4788" s="7" t="n">
        <f aca="false">B4788/MAX(B4537:B4788)-1</f>
        <v>0</v>
      </c>
      <c r="F4788" s="7" t="str">
        <f aca="false">IFERROR(INDEX(02_轉折點45個!B:B,MATCH(A4788,02_轉折點45個!A:A,0)),"")</f>
        <v/>
      </c>
      <c r="G4788" s="7" t="s">
        <v>5494</v>
      </c>
    </row>
    <row r="4789" customFormat="false" ht="15" hidden="false" customHeight="false" outlineLevel="0" collapsed="false">
      <c r="A4789" s="7" t="s">
        <v>5798</v>
      </c>
      <c r="B4789" s="7" t="n">
        <v>6662.66</v>
      </c>
      <c r="C4789" s="7" t="n">
        <f aca="false">AVERAGE(B4740:B4789)</f>
        <v>6393.3978</v>
      </c>
      <c r="D4789" s="7" t="n">
        <f aca="false">AVERAGE(B4590:B4789)</f>
        <v>5944.45455</v>
      </c>
      <c r="E4789" s="7" t="n">
        <f aca="false">B4789/MAX(B4538:B4789)-1</f>
        <v>-0.00228813077086643</v>
      </c>
      <c r="F4789" s="7" t="str">
        <f aca="false">IFERROR(INDEX(02_轉折點45個!B:B,MATCH(A4789,02_轉折點45個!A:A,0)),"")</f>
        <v/>
      </c>
      <c r="G4789" s="7" t="s">
        <v>5494</v>
      </c>
    </row>
    <row r="4790" customFormat="false" ht="15" hidden="false" customHeight="false" outlineLevel="0" collapsed="false">
      <c r="A4790" s="7" t="s">
        <v>5799</v>
      </c>
      <c r="B4790" s="7" t="n">
        <v>6708.49</v>
      </c>
      <c r="C4790" s="7" t="n">
        <f aca="false">AVERAGE(B4741:B4790)</f>
        <v>6403.0158</v>
      </c>
      <c r="D4790" s="7" t="n">
        <f aca="false">AVERAGE(B4591:B4790)</f>
        <v>5950.96095</v>
      </c>
      <c r="E4790" s="7" t="n">
        <f aca="false">B4790/MAX(B4539:B4790)-1</f>
        <v>0</v>
      </c>
      <c r="F4790" s="7" t="str">
        <f aca="false">IFERROR(INDEX(02_轉折點45個!B:B,MATCH(A4790,02_轉折點45個!A:A,0)),"")</f>
        <v/>
      </c>
      <c r="G4790" s="7" t="s">
        <v>5494</v>
      </c>
    </row>
    <row r="4791" customFormat="false" ht="15" hidden="false" customHeight="false" outlineLevel="0" collapsed="false">
      <c r="A4791" s="7" t="s">
        <v>5800</v>
      </c>
      <c r="B4791" s="7" t="n">
        <v>6758.54</v>
      </c>
      <c r="C4791" s="7" t="n">
        <f aca="false">AVERAGE(B4742:B4791)</f>
        <v>6413.2154</v>
      </c>
      <c r="D4791" s="7" t="n">
        <f aca="false">AVERAGE(B4592:B4791)</f>
        <v>5957.6023</v>
      </c>
      <c r="E4791" s="7" t="n">
        <f aca="false">B4791/MAX(B4540:B4791)-1</f>
        <v>0</v>
      </c>
      <c r="F4791" s="7" t="str">
        <f aca="false">IFERROR(INDEX(02_轉折點45個!B:B,MATCH(A4791,02_轉折點45個!A:A,0)),"")</f>
        <v/>
      </c>
      <c r="G4791" s="7" t="s">
        <v>5494</v>
      </c>
    </row>
    <row r="4792" customFormat="false" ht="15" hidden="false" customHeight="false" outlineLevel="0" collapsed="false">
      <c r="A4792" s="7" t="s">
        <v>5801</v>
      </c>
      <c r="B4792" s="7" t="n">
        <v>6737.14</v>
      </c>
      <c r="C4792" s="7" t="n">
        <f aca="false">AVERAGE(B4743:B4792)</f>
        <v>6422.9852</v>
      </c>
      <c r="D4792" s="7" t="n">
        <f aca="false">AVERAGE(B4593:B4792)</f>
        <v>5964.0893</v>
      </c>
      <c r="E4792" s="7" t="n">
        <f aca="false">B4792/MAX(B4541:B4792)-1</f>
        <v>-0.00316636433312512</v>
      </c>
      <c r="F4792" s="7" t="str">
        <f aca="false">IFERROR(INDEX(02_轉折點45個!B:B,MATCH(A4792,02_轉折點45個!A:A,0)),"")</f>
        <v/>
      </c>
      <c r="G4792" s="7" t="s">
        <v>5494</v>
      </c>
    </row>
    <row r="4793" customFormat="false" ht="15" hidden="false" customHeight="false" outlineLevel="0" collapsed="false">
      <c r="A4793" s="7" t="s">
        <v>5802</v>
      </c>
      <c r="B4793" s="7" t="n">
        <v>6810.28</v>
      </c>
      <c r="C4793" s="7" t="n">
        <f aca="false">AVERAGE(B4744:B4793)</f>
        <v>6434.463</v>
      </c>
      <c r="D4793" s="7" t="n">
        <f aca="false">AVERAGE(B4594:B4793)</f>
        <v>5970.95955</v>
      </c>
      <c r="E4793" s="7" t="n">
        <f aca="false">B4793/MAX(B4542:B4793)-1</f>
        <v>0</v>
      </c>
      <c r="F4793" s="7" t="str">
        <f aca="false">IFERROR(INDEX(02_轉折點45個!B:B,MATCH(A4793,02_轉折點45個!A:A,0)),"")</f>
        <v/>
      </c>
      <c r="G4793" s="7" t="s">
        <v>5494</v>
      </c>
    </row>
    <row r="4794" customFormat="false" ht="15" hidden="false" customHeight="false" outlineLevel="0" collapsed="false">
      <c r="A4794" s="7" t="s">
        <v>5803</v>
      </c>
      <c r="B4794" s="7" t="n">
        <v>6811.38</v>
      </c>
      <c r="C4794" s="7" t="n">
        <f aca="false">AVERAGE(B4745:B4794)</f>
        <v>6444.779</v>
      </c>
      <c r="D4794" s="7" t="n">
        <f aca="false">AVERAGE(B4595:B4794)</f>
        <v>5977.85545</v>
      </c>
      <c r="E4794" s="7" t="n">
        <f aca="false">B4794/MAX(B4543:B4794)-1</f>
        <v>0</v>
      </c>
      <c r="F4794" s="7" t="str">
        <f aca="false">IFERROR(INDEX(02_轉折點45個!B:B,MATCH(A4794,02_轉折點45個!A:A,0)),"")</f>
        <v/>
      </c>
      <c r="G4794" s="7" t="s">
        <v>5494</v>
      </c>
    </row>
    <row r="4795" customFormat="false" ht="15" hidden="false" customHeight="false" outlineLevel="0" collapsed="false">
      <c r="A4795" s="7" t="s">
        <v>5804</v>
      </c>
      <c r="B4795" s="7" t="n">
        <v>6834.33</v>
      </c>
      <c r="C4795" s="7" t="n">
        <f aca="false">AVERAGE(B4746:B4795)</f>
        <v>6455.1934</v>
      </c>
      <c r="D4795" s="7" t="n">
        <f aca="false">AVERAGE(B4596:B4795)</f>
        <v>5984.82505</v>
      </c>
      <c r="E4795" s="7" t="n">
        <f aca="false">B4795/MAX(B4544:B4795)-1</f>
        <v>0</v>
      </c>
      <c r="F4795" s="7" t="str">
        <f aca="false">IFERROR(INDEX(02_轉折點45個!B:B,MATCH(A4795,02_轉折點45個!A:A,0)),"")</f>
        <v/>
      </c>
      <c r="G4795" s="7" t="s">
        <v>5494</v>
      </c>
    </row>
    <row r="4796" customFormat="false" ht="15" hidden="false" customHeight="false" outlineLevel="0" collapsed="false">
      <c r="A4796" s="7" t="s">
        <v>5805</v>
      </c>
      <c r="B4796" s="7" t="n">
        <v>6906.28</v>
      </c>
      <c r="C4796" s="7" t="n">
        <f aca="false">AVERAGE(B4747:B4796)</f>
        <v>6466.9034</v>
      </c>
      <c r="D4796" s="7" t="n">
        <f aca="false">AVERAGE(B4597:B4796)</f>
        <v>5992.26385</v>
      </c>
      <c r="E4796" s="7" t="n">
        <f aca="false">B4796/MAX(B4545:B4796)-1</f>
        <v>0</v>
      </c>
      <c r="F4796" s="7" t="str">
        <f aca="false">IFERROR(INDEX(02_轉折點45個!B:B,MATCH(A4796,02_轉折點45個!A:A,0)),"")</f>
        <v/>
      </c>
      <c r="G4796" s="7" t="s">
        <v>5494</v>
      </c>
    </row>
    <row r="4797" customFormat="false" ht="15" hidden="false" customHeight="false" outlineLevel="0" collapsed="false">
      <c r="A4797" s="7" t="s">
        <v>1341</v>
      </c>
      <c r="B4797" s="7" t="n">
        <v>6963.46</v>
      </c>
      <c r="C4797" s="7" t="n">
        <f aca="false">AVERAGE(B4748:B4797)</f>
        <v>6479.2564</v>
      </c>
      <c r="D4797" s="7" t="n">
        <f aca="false">AVERAGE(B4598:B4797)</f>
        <v>5999.97675</v>
      </c>
      <c r="E4797" s="7" t="n">
        <f aca="false">B4797/MAX(B4546:B4797)-1</f>
        <v>0</v>
      </c>
      <c r="F4797" s="7" t="str">
        <f aca="false">IFERROR(INDEX(02_轉折點45個!B:B,MATCH(A4797,02_轉折點45個!A:A,0)),"")</f>
        <v/>
      </c>
      <c r="G4797" s="7" t="s">
        <v>5494</v>
      </c>
    </row>
    <row r="4798" customFormat="false" ht="15" hidden="false" customHeight="false" outlineLevel="0" collapsed="false">
      <c r="A4798" s="7" t="s">
        <v>5806</v>
      </c>
      <c r="B4798" s="7" t="n">
        <v>6919.35</v>
      </c>
      <c r="C4798" s="7" t="n">
        <f aca="false">AVERAGE(B4749:B4798)</f>
        <v>6491.3992</v>
      </c>
      <c r="D4798" s="7" t="n">
        <f aca="false">AVERAGE(B4599:B4798)</f>
        <v>6007.48165</v>
      </c>
      <c r="E4798" s="7" t="n">
        <f aca="false">B4798/MAX(B4547:B4798)-1</f>
        <v>-0.00633449463341496</v>
      </c>
      <c r="F4798" s="7" t="str">
        <f aca="false">IFERROR(INDEX(02_轉折點45個!B:B,MATCH(A4798,02_轉折點45個!A:A,0)),"")</f>
        <v/>
      </c>
      <c r="G4798" s="7" t="s">
        <v>5494</v>
      </c>
    </row>
    <row r="4799" customFormat="false" ht="15" hidden="false" customHeight="false" outlineLevel="0" collapsed="false">
      <c r="A4799" s="7" t="s">
        <v>5807</v>
      </c>
      <c r="B4799" s="7" t="n">
        <v>6916.3</v>
      </c>
      <c r="C4799" s="7" t="n">
        <f aca="false">AVERAGE(B4750:B4799)</f>
        <v>6503.5438</v>
      </c>
      <c r="D4799" s="7" t="n">
        <f aca="false">AVERAGE(B4600:B4799)</f>
        <v>6014.95475</v>
      </c>
      <c r="E4799" s="7" t="n">
        <f aca="false">B4799/MAX(B4548:B4799)-1</f>
        <v>-0.00677249528251755</v>
      </c>
      <c r="F4799" s="7" t="str">
        <f aca="false">IFERROR(INDEX(02_轉折點45個!B:B,MATCH(A4799,02_轉折點45個!A:A,0)),"")</f>
        <v/>
      </c>
      <c r="G4799" s="7" t="s">
        <v>5494</v>
      </c>
    </row>
    <row r="4800" customFormat="false" ht="15" hidden="false" customHeight="false" outlineLevel="0" collapsed="false">
      <c r="A4800" s="7" t="s">
        <v>5808</v>
      </c>
      <c r="B4800" s="7" t="n">
        <v>7022.97</v>
      </c>
      <c r="C4800" s="7" t="n">
        <f aca="false">AVERAGE(B4751:B4800)</f>
        <v>6517.6796</v>
      </c>
      <c r="D4800" s="7" t="n">
        <f aca="false">AVERAGE(B4601:B4800)</f>
        <v>6023.0776</v>
      </c>
      <c r="E4800" s="7" t="n">
        <f aca="false">B4800/MAX(B4549:B4800)-1</f>
        <v>0</v>
      </c>
      <c r="F4800" s="7" t="str">
        <f aca="false">IFERROR(INDEX(02_轉折點45個!B:B,MATCH(A4800,02_轉折點45個!A:A,0)),"")</f>
        <v/>
      </c>
      <c r="G4800" s="7" t="s">
        <v>5494</v>
      </c>
    </row>
    <row r="4801" customFormat="false" ht="15" hidden="false" customHeight="false" outlineLevel="0" collapsed="false">
      <c r="A4801" s="7" t="s">
        <v>5809</v>
      </c>
      <c r="B4801" s="7" t="n">
        <v>6988.32</v>
      </c>
      <c r="C4801" s="7" t="n">
        <f aca="false">AVERAGE(B4752:B4801)</f>
        <v>6531.5732</v>
      </c>
      <c r="D4801" s="7" t="n">
        <f aca="false">AVERAGE(B4602:B4801)</f>
        <v>6031.13405</v>
      </c>
      <c r="E4801" s="7" t="n">
        <f aca="false">B4801/MAX(B4550:B4801)-1</f>
        <v>-0.00493381005472049</v>
      </c>
      <c r="F4801" s="7" t="str">
        <f aca="false">IFERROR(INDEX(02_轉折點45個!B:B,MATCH(A4801,02_轉折點45個!A:A,0)),"")</f>
        <v/>
      </c>
      <c r="G4801" s="7" t="s">
        <v>5494</v>
      </c>
    </row>
    <row r="4802" customFormat="false" ht="15" hidden="false" customHeight="false" outlineLevel="0" collapsed="false">
      <c r="A4802" s="7" t="s">
        <v>5810</v>
      </c>
      <c r="B4802" s="7" t="n">
        <v>6930.73</v>
      </c>
      <c r="C4802" s="7" t="n">
        <f aca="false">AVERAGE(B4753:B4802)</f>
        <v>6545.0206</v>
      </c>
      <c r="D4802" s="7" t="n">
        <f aca="false">AVERAGE(B4603:B4802)</f>
        <v>6039.01975</v>
      </c>
      <c r="E4802" s="7" t="n">
        <f aca="false">B4802/MAX(B4551:B4802)-1</f>
        <v>-0.0131340444284969</v>
      </c>
      <c r="F4802" s="7" t="str">
        <f aca="false">IFERROR(INDEX(02_轉折點45個!B:B,MATCH(A4802,02_轉折點45個!A:A,0)),"")</f>
        <v/>
      </c>
      <c r="G4802" s="7" t="s">
        <v>5494</v>
      </c>
    </row>
    <row r="4803" customFormat="false" ht="15" hidden="false" customHeight="false" outlineLevel="0" collapsed="false">
      <c r="A4803" s="7" t="s">
        <v>5811</v>
      </c>
      <c r="B4803" s="7" t="n">
        <v>6949.99</v>
      </c>
      <c r="C4803" s="7" t="n">
        <f aca="false">AVERAGE(B4754:B4803)</f>
        <v>6557.2376</v>
      </c>
      <c r="D4803" s="7" t="n">
        <f aca="false">AVERAGE(B4604:B4803)</f>
        <v>6046.7737</v>
      </c>
      <c r="E4803" s="7" t="n">
        <f aca="false">B4803/MAX(B4552:B4803)-1</f>
        <v>-0.0103916149435354</v>
      </c>
      <c r="F4803" s="7" t="str">
        <f aca="false">IFERROR(INDEX(02_轉折點45個!B:B,MATCH(A4803,02_轉折點45個!A:A,0)),"")</f>
        <v/>
      </c>
      <c r="G4803" s="7" t="s">
        <v>5494</v>
      </c>
    </row>
    <row r="4804" customFormat="false" ht="15" hidden="false" customHeight="false" outlineLevel="0" collapsed="false">
      <c r="A4804" s="7" t="s">
        <v>5812</v>
      </c>
      <c r="B4804" s="7" t="n">
        <v>6901.5</v>
      </c>
      <c r="C4804" s="7" t="n">
        <f aca="false">AVERAGE(B4755:B4804)</f>
        <v>6568.9774</v>
      </c>
      <c r="D4804" s="7" t="n">
        <f aca="false">AVERAGE(B4605:B4804)</f>
        <v>6054.3229</v>
      </c>
      <c r="E4804" s="7" t="n">
        <f aca="false">B4804/MAX(B4553:B4804)-1</f>
        <v>-0.0172961012221325</v>
      </c>
      <c r="F4804" s="7" t="str">
        <f aca="false">IFERROR(INDEX(02_轉折點45個!B:B,MATCH(A4804,02_轉折點45個!A:A,0)),"")</f>
        <v/>
      </c>
      <c r="G4804" s="7" t="s">
        <v>5494</v>
      </c>
    </row>
    <row r="4805" customFormat="false" ht="15" hidden="false" customHeight="false" outlineLevel="0" collapsed="false">
      <c r="A4805" s="7" t="s">
        <v>1342</v>
      </c>
      <c r="B4805" s="7" t="n">
        <v>6760.29</v>
      </c>
      <c r="C4805" s="7" t="n">
        <f aca="false">AVERAGE(B4756:B4805)</f>
        <v>6578.011</v>
      </c>
      <c r="D4805" s="7" t="n">
        <f aca="false">AVERAGE(B4606:B4805)</f>
        <v>6061.12615</v>
      </c>
      <c r="E4805" s="7" t="n">
        <f aca="false">B4805/MAX(B4554:B4805)-1</f>
        <v>-0.0374029790814997</v>
      </c>
      <c r="F4805" s="7" t="str">
        <f aca="false">IFERROR(INDEX(02_轉折點45個!B:B,MATCH(A4805,02_轉折點45個!A:A,0)),"")</f>
        <v/>
      </c>
      <c r="G4805" s="7" t="s">
        <v>5494</v>
      </c>
    </row>
    <row r="4806" customFormat="false" ht="15" hidden="false" customHeight="false" outlineLevel="0" collapsed="false">
      <c r="A4806" s="7" t="s">
        <v>1343</v>
      </c>
      <c r="B4806" s="7" t="n">
        <v>6495.92</v>
      </c>
      <c r="C4806" s="7" t="n">
        <f aca="false">AVERAGE(B4757:B4806)</f>
        <v>6580.3568</v>
      </c>
      <c r="D4806" s="7" t="n">
        <f aca="false">AVERAGE(B4607:B4806)</f>
        <v>6066.3881</v>
      </c>
      <c r="E4806" s="7" t="n">
        <f aca="false">B4806/MAX(B4555:B4806)-1</f>
        <v>-0.0750465970949613</v>
      </c>
      <c r="F4806" s="7" t="str">
        <f aca="false">IFERROR(INDEX(02_轉折點45個!B:B,MATCH(A4806,02_轉折點45個!A:A,0)),"")</f>
        <v/>
      </c>
      <c r="G4806" s="7" t="s">
        <v>5494</v>
      </c>
    </row>
    <row r="4807" customFormat="false" ht="15" hidden="false" customHeight="false" outlineLevel="0" collapsed="false">
      <c r="A4807" s="7" t="s">
        <v>1344</v>
      </c>
      <c r="B4807" s="7" t="n">
        <v>6665.98</v>
      </c>
      <c r="C4807" s="7" t="n">
        <f aca="false">AVERAGE(B4758:B4807)</f>
        <v>6585.954</v>
      </c>
      <c r="D4807" s="7" t="n">
        <f aca="false">AVERAGE(B4608:B4807)</f>
        <v>6072.50775</v>
      </c>
      <c r="E4807" s="7" t="n">
        <f aca="false">B4807/MAX(B4556:B4807)-1</f>
        <v>-0.0508317706041747</v>
      </c>
      <c r="F4807" s="7" t="str">
        <f aca="false">IFERROR(INDEX(02_轉折點45個!B:B,MATCH(A4807,02_轉折點45個!A:A,0)),"")</f>
        <v/>
      </c>
      <c r="G4807" s="7" t="s">
        <v>5494</v>
      </c>
    </row>
    <row r="4808" customFormat="false" ht="15" hidden="false" customHeight="false" outlineLevel="0" collapsed="false">
      <c r="A4808" s="7" t="s">
        <v>1345</v>
      </c>
      <c r="B4808" s="7" t="n">
        <v>6582.02</v>
      </c>
      <c r="C4808" s="7" t="n">
        <f aca="false">AVERAGE(B4759:B4808)</f>
        <v>6589.4086</v>
      </c>
      <c r="D4808" s="7" t="n">
        <f aca="false">AVERAGE(B4609:B4808)</f>
        <v>6077.8777</v>
      </c>
      <c r="E4808" s="7" t="n">
        <f aca="false">B4808/MAX(B4557:B4808)-1</f>
        <v>-0.0627868266559589</v>
      </c>
      <c r="F4808" s="7" t="str">
        <f aca="false">IFERROR(INDEX(02_轉折點45個!B:B,MATCH(A4808,02_轉折點45個!A:A,0)),"")</f>
        <v/>
      </c>
      <c r="G4808" s="7" t="s">
        <v>5494</v>
      </c>
    </row>
    <row r="4809" customFormat="false" ht="15" hidden="false" customHeight="false" outlineLevel="0" collapsed="false">
      <c r="A4809" s="7" t="s">
        <v>1346</v>
      </c>
      <c r="B4809" s="7" t="n">
        <v>6306.1</v>
      </c>
      <c r="C4809" s="7" t="n">
        <f aca="false">AVERAGE(B4760:B4809)</f>
        <v>6587.4112</v>
      </c>
      <c r="D4809" s="7" t="n">
        <f aca="false">AVERAGE(B4610:B4809)</f>
        <v>6081.66725</v>
      </c>
      <c r="E4809" s="7" t="n">
        <f aca="false">B4809/MAX(B4558:B4809)-1</f>
        <v>-0.102075048020994</v>
      </c>
      <c r="F4809" s="7" t="str">
        <f aca="false">IFERROR(INDEX(02_轉折點45個!B:B,MATCH(A4809,02_轉折點45個!A:A,0)),"")</f>
        <v/>
      </c>
      <c r="G4809" s="7" t="s">
        <v>5494</v>
      </c>
    </row>
    <row r="4810" customFormat="false" ht="15" hidden="false" customHeight="false" outlineLevel="0" collapsed="false">
      <c r="A4810" s="7" t="s">
        <v>1347</v>
      </c>
      <c r="B4810" s="7" t="n">
        <v>6412.68</v>
      </c>
      <c r="C4810" s="7" t="n">
        <f aca="false">AVERAGE(B4761:B4810)</f>
        <v>6587.2136</v>
      </c>
      <c r="D4810" s="7" t="n">
        <f aca="false">AVERAGE(B4611:B4810)</f>
        <v>6086.0252</v>
      </c>
      <c r="E4810" s="7" t="n">
        <f aca="false">B4810/MAX(B4559:B4810)-1</f>
        <v>-0.0868991324183358</v>
      </c>
      <c r="F4810" s="7" t="str">
        <f aca="false">IFERROR(INDEX(02_轉折點45個!B:B,MATCH(A4810,02_轉折點45個!A:A,0)),"")</f>
        <v/>
      </c>
      <c r="G4810" s="7" t="s">
        <v>5494</v>
      </c>
    </row>
    <row r="4811" customFormat="false" ht="15" hidden="false" customHeight="false" outlineLevel="0" collapsed="false">
      <c r="A4811" s="7" t="s">
        <v>5813</v>
      </c>
      <c r="B4811" s="7" t="n">
        <v>6523.85</v>
      </c>
      <c r="C4811" s="7" t="n">
        <f aca="false">AVERAGE(B4762:B4811)</f>
        <v>6591.463</v>
      </c>
      <c r="D4811" s="7" t="n">
        <f aca="false">AVERAGE(B4612:B4811)</f>
        <v>6090.78805</v>
      </c>
      <c r="E4811" s="7" t="n">
        <f aca="false">B4811/MAX(B4560:B4811)-1</f>
        <v>-0.0710696471720653</v>
      </c>
      <c r="F4811" s="7" t="str">
        <f aca="false">IFERROR(INDEX(02_轉折點45個!B:B,MATCH(A4811,02_轉折點45個!A:A,0)),"")</f>
        <v/>
      </c>
      <c r="G4811" s="7" t="s">
        <v>5494</v>
      </c>
    </row>
    <row r="4812" customFormat="false" ht="15" hidden="false" customHeight="false" outlineLevel="0" collapsed="false">
      <c r="A4812" s="7" t="s">
        <v>5814</v>
      </c>
      <c r="B4812" s="7" t="n">
        <v>6553.86</v>
      </c>
      <c r="C4812" s="7" t="n">
        <f aca="false">AVERAGE(B4763:B4812)</f>
        <v>6595.229</v>
      </c>
      <c r="D4812" s="7" t="n">
        <f aca="false">AVERAGE(B4613:B4812)</f>
        <v>6095.6397</v>
      </c>
      <c r="E4812" s="7" t="n">
        <f aca="false">B4812/MAX(B4561:B4812)-1</f>
        <v>-0.0667965262559858</v>
      </c>
      <c r="F4812" s="7" t="str">
        <f aca="false">IFERROR(INDEX(02_轉折點45個!B:B,MATCH(A4812,02_轉折點45個!A:A,0)),"")</f>
        <v/>
      </c>
      <c r="G4812" s="7" t="s">
        <v>5494</v>
      </c>
    </row>
    <row r="4813" customFormat="false" ht="15" hidden="false" customHeight="false" outlineLevel="0" collapsed="false">
      <c r="A4813" s="7" t="s">
        <v>1348</v>
      </c>
      <c r="B4813" s="7" t="n">
        <v>6675.03</v>
      </c>
      <c r="C4813" s="7" t="n">
        <f aca="false">AVERAGE(B4764:B4813)</f>
        <v>6601.9722</v>
      </c>
      <c r="D4813" s="7" t="n">
        <f aca="false">AVERAGE(B4614:B4813)</f>
        <v>6100.8667</v>
      </c>
      <c r="E4813" s="7" t="n">
        <f aca="false">B4813/MAX(B4562:B4813)-1</f>
        <v>-0.049543142004024</v>
      </c>
      <c r="F4813" s="7" t="str">
        <f aca="false">IFERROR(INDEX(02_轉折點45個!B:B,MATCH(A4813,02_轉折點45個!A:A,0)),"")</f>
        <v/>
      </c>
      <c r="G4813" s="7" t="s">
        <v>5494</v>
      </c>
    </row>
    <row r="4814" customFormat="false" ht="15" hidden="false" customHeight="false" outlineLevel="0" collapsed="false">
      <c r="A4814" s="7" t="s">
        <v>5815</v>
      </c>
      <c r="B4814" s="7" t="n">
        <v>6794.92</v>
      </c>
      <c r="C4814" s="7" t="n">
        <f aca="false">AVERAGE(B4765:B4814)</f>
        <v>6612.5966</v>
      </c>
      <c r="D4814" s="7" t="n">
        <f aca="false">AVERAGE(B4615:B4814)</f>
        <v>6106.62095</v>
      </c>
      <c r="E4814" s="7" t="n">
        <f aca="false">B4814/MAX(B4563:B4814)-1</f>
        <v>-0.0324720168247907</v>
      </c>
      <c r="F4814" s="7" t="str">
        <f aca="false">IFERROR(INDEX(02_轉折點45個!B:B,MATCH(A4814,02_轉折點45個!A:A,0)),"")</f>
        <v/>
      </c>
      <c r="G4814" s="7" t="s">
        <v>5494</v>
      </c>
    </row>
    <row r="4815" customFormat="false" ht="15" hidden="false" customHeight="false" outlineLevel="0" collapsed="false">
      <c r="A4815" s="7" t="s">
        <v>5816</v>
      </c>
      <c r="B4815" s="7" t="n">
        <v>6770.66</v>
      </c>
      <c r="C4815" s="7" t="n">
        <f aca="false">AVERAGE(B4766:B4815)</f>
        <v>6622.7076</v>
      </c>
      <c r="D4815" s="7" t="n">
        <f aca="false">AVERAGE(B4616:B4815)</f>
        <v>6112.34845</v>
      </c>
      <c r="E4815" s="7" t="n">
        <f aca="false">B4815/MAX(B4564:B4815)-1</f>
        <v>-0.0359263958125978</v>
      </c>
      <c r="F4815" s="7" t="str">
        <f aca="false">IFERROR(INDEX(02_轉折點45個!B:B,MATCH(A4815,02_轉折點45個!A:A,0)),"")</f>
        <v/>
      </c>
      <c r="G4815" s="7" t="s">
        <v>5494</v>
      </c>
    </row>
    <row r="4816" customFormat="false" ht="15" hidden="false" customHeight="false" outlineLevel="0" collapsed="false">
      <c r="A4816" s="7" t="s">
        <v>5817</v>
      </c>
      <c r="B4816" s="7" t="n">
        <v>6779.69</v>
      </c>
      <c r="C4816" s="7" t="n">
        <f aca="false">AVERAGE(B4767:B4816)</f>
        <v>6632.4404</v>
      </c>
      <c r="D4816" s="7" t="n">
        <f aca="false">AVERAGE(B4617:B4816)</f>
        <v>6118.1153</v>
      </c>
      <c r="E4816" s="7" t="n">
        <f aca="false">B4816/MAX(B4565:B4816)-1</f>
        <v>-0.0346406150104587</v>
      </c>
      <c r="F4816" s="7" t="str">
        <f aca="false">IFERROR(INDEX(02_轉折點45個!B:B,MATCH(A4816,02_轉折點45個!A:A,0)),"")</f>
        <v/>
      </c>
      <c r="G4816" s="7" t="s">
        <v>5494</v>
      </c>
    </row>
    <row r="4817" customFormat="false" ht="15" hidden="false" customHeight="false" outlineLevel="0" collapsed="false">
      <c r="A4817" s="7" t="s">
        <v>5818</v>
      </c>
      <c r="B4817" s="7" t="n">
        <v>6759.26</v>
      </c>
      <c r="C4817" s="7" t="n">
        <f aca="false">AVERAGE(B4768:B4817)</f>
        <v>6641.3</v>
      </c>
      <c r="D4817" s="7" t="n">
        <f aca="false">AVERAGE(B4618:B4817)</f>
        <v>6123.68115</v>
      </c>
      <c r="E4817" s="7" t="n">
        <f aca="false">B4817/MAX(B4566:B4817)-1</f>
        <v>-0.037549640679086</v>
      </c>
      <c r="F4817" s="7" t="str">
        <f aca="false">IFERROR(INDEX(02_轉折點45個!B:B,MATCH(A4817,02_轉折點45個!A:A,0)),"")</f>
        <v/>
      </c>
      <c r="G4817" s="7" t="s">
        <v>5494</v>
      </c>
    </row>
    <row r="4818" customFormat="false" ht="15" hidden="false" customHeight="false" outlineLevel="0" collapsed="false">
      <c r="A4818" s="7" t="s">
        <v>5819</v>
      </c>
      <c r="B4818" s="7" t="n">
        <v>6761.85</v>
      </c>
      <c r="C4818" s="7" t="n">
        <f aca="false">AVERAGE(B4769:B4818)</f>
        <v>6649.6456</v>
      </c>
      <c r="D4818" s="7" t="n">
        <f aca="false">AVERAGE(B4619:B4818)</f>
        <v>6129.19505</v>
      </c>
      <c r="E4818" s="7" t="n">
        <f aca="false">B4818/MAX(B4567:B4818)-1</f>
        <v>-0.0371808508366118</v>
      </c>
      <c r="F4818" s="7" t="str">
        <f aca="false">IFERROR(INDEX(02_轉折點45個!B:B,MATCH(A4818,02_轉折點45個!A:A,0)),"")</f>
        <v/>
      </c>
      <c r="G4818" s="7" t="s">
        <v>5494</v>
      </c>
    </row>
    <row r="4819" customFormat="false" ht="15" hidden="false" customHeight="false" outlineLevel="0" collapsed="false">
      <c r="A4819" s="7" t="s">
        <v>5820</v>
      </c>
      <c r="B4819" s="7" t="n">
        <v>6896.6</v>
      </c>
      <c r="C4819" s="7" t="n">
        <f aca="false">AVERAGE(B4770:B4819)</f>
        <v>6659.6998</v>
      </c>
      <c r="D4819" s="7" t="n">
        <f aca="false">AVERAGE(B4620:B4819)</f>
        <v>6135.2865</v>
      </c>
      <c r="E4819" s="7" t="n">
        <f aca="false">B4819/MAX(B4568:B4819)-1</f>
        <v>-0.0179938117349212</v>
      </c>
      <c r="F4819" s="7" t="str">
        <f aca="false">IFERROR(INDEX(02_轉折點45個!B:B,MATCH(A4819,02_轉折點45個!A:A,0)),"")</f>
        <v/>
      </c>
      <c r="G4819" s="7" t="s">
        <v>5494</v>
      </c>
    </row>
    <row r="4820" customFormat="false" ht="15" hidden="false" customHeight="false" outlineLevel="0" collapsed="false">
      <c r="A4820" s="7" t="s">
        <v>5821</v>
      </c>
      <c r="B4820" s="7" t="n">
        <v>6989.1</v>
      </c>
      <c r="C4820" s="7" t="n">
        <f aca="false">AVERAGE(B4771:B4820)</f>
        <v>6671.8088</v>
      </c>
      <c r="D4820" s="7" t="n">
        <f aca="false">AVERAGE(B4621:B4820)</f>
        <v>6141.8236</v>
      </c>
      <c r="E4820" s="7" t="n">
        <f aca="false">B4820/MAX(B4569:B4820)-1</f>
        <v>-0.0048227459322765</v>
      </c>
      <c r="F4820" s="7" t="str">
        <f aca="false">IFERROR(INDEX(02_轉折點45個!B:B,MATCH(A4820,02_轉折點45個!A:A,0)),"")</f>
        <v/>
      </c>
      <c r="G4820" s="7" t="s">
        <v>5494</v>
      </c>
    </row>
    <row r="4821" customFormat="false" ht="15" hidden="false" customHeight="false" outlineLevel="0" collapsed="false">
      <c r="A4821" s="7" t="s">
        <v>5822</v>
      </c>
      <c r="B4821" s="7" t="n">
        <v>6900.35</v>
      </c>
      <c r="C4821" s="7" t="n">
        <f aca="false">AVERAGE(B4772:B4821)</f>
        <v>6681.9224</v>
      </c>
      <c r="D4821" s="7" t="n">
        <f aca="false">AVERAGE(B4622:B4821)</f>
        <v>6147.95425</v>
      </c>
      <c r="E4821" s="7" t="n">
        <f aca="false">B4821/MAX(B4570:B4821)-1</f>
        <v>-0.017459849607787</v>
      </c>
      <c r="F4821" s="7" t="str">
        <f aca="false">IFERROR(INDEX(02_轉折點45個!B:B,MATCH(A4821,02_轉折點45個!A:A,0)),"")</f>
        <v/>
      </c>
      <c r="G4821" s="7" t="s">
        <v>5494</v>
      </c>
    </row>
    <row r="4822" customFormat="false" ht="15" hidden="false" customHeight="false" outlineLevel="0" collapsed="false">
      <c r="A4822" s="7" t="s">
        <v>5823</v>
      </c>
      <c r="B4822" s="7" t="n">
        <v>6854.42</v>
      </c>
      <c r="C4822" s="7" t="n">
        <f aca="false">AVERAGE(B4773:B4822)</f>
        <v>6691.2126</v>
      </c>
      <c r="D4822" s="7" t="n">
        <f aca="false">AVERAGE(B4623:B4822)</f>
        <v>6153.7923</v>
      </c>
      <c r="E4822" s="7" t="n">
        <f aca="false">B4822/MAX(B4571:B4822)-1</f>
        <v>-0.0239998177409273</v>
      </c>
      <c r="F4822" s="7" t="str">
        <f aca="false">IFERROR(INDEX(02_轉折點45個!B:B,MATCH(A4822,02_轉折點45個!A:A,0)),"")</f>
        <v/>
      </c>
      <c r="G4822" s="7" t="s">
        <v>5494</v>
      </c>
    </row>
    <row r="4823" customFormat="false" ht="15" hidden="false" customHeight="false" outlineLevel="0" collapsed="false">
      <c r="A4823" s="7" t="s">
        <v>1349</v>
      </c>
      <c r="B4823" s="7" t="n">
        <v>6750.54</v>
      </c>
      <c r="C4823" s="7" t="n">
        <f aca="false">AVERAGE(B4774:B4823)</f>
        <v>6696.897</v>
      </c>
      <c r="D4823" s="7" t="n">
        <f aca="false">AVERAGE(B4624:B4823)</f>
        <v>6159.0226</v>
      </c>
      <c r="E4823" s="7" t="n">
        <f aca="false">B4823/MAX(B4572:B4823)-1</f>
        <v>-0.0387912806120488</v>
      </c>
      <c r="F4823" s="7" t="str">
        <f aca="false">IFERROR(INDEX(02_轉折點45個!B:B,MATCH(A4823,02_轉折點45個!A:A,0)),"")</f>
        <v/>
      </c>
      <c r="G4823" s="7" t="s">
        <v>5494</v>
      </c>
    </row>
    <row r="4824" customFormat="false" ht="15" hidden="false" customHeight="false" outlineLevel="0" collapsed="false">
      <c r="A4824" s="7" t="s">
        <v>1350</v>
      </c>
      <c r="B4824" s="7" t="n">
        <v>6811.04</v>
      </c>
      <c r="C4824" s="7" t="n">
        <f aca="false">AVERAGE(B4775:B4824)</f>
        <v>6702.8524</v>
      </c>
      <c r="D4824" s="7" t="n">
        <f aca="false">AVERAGE(B4625:B4824)</f>
        <v>6164.4556</v>
      </c>
      <c r="E4824" s="7" t="n">
        <f aca="false">B4824/MAX(B4573:B4824)-1</f>
        <v>-0.0301766916276163</v>
      </c>
      <c r="F4824" s="7" t="str">
        <f aca="false">IFERROR(INDEX(02_轉折點45個!B:B,MATCH(A4824,02_轉折點45個!A:A,0)),"")</f>
        <v/>
      </c>
      <c r="G4824" s="7" t="s">
        <v>5494</v>
      </c>
    </row>
    <row r="4825" customFormat="false" ht="15" hidden="false" customHeight="false" outlineLevel="0" collapsed="false">
      <c r="A4825" s="7" t="s">
        <v>5824</v>
      </c>
      <c r="B4825" s="7" t="n">
        <v>6881.28</v>
      </c>
      <c r="C4825" s="7" t="n">
        <f aca="false">AVERAGE(B4776:B4825)</f>
        <v>6710.8646</v>
      </c>
      <c r="D4825" s="7" t="n">
        <f aca="false">AVERAGE(B4626:B4825)</f>
        <v>6170.95925</v>
      </c>
      <c r="E4825" s="7" t="n">
        <f aca="false">B4825/MAX(B4574:B4825)-1</f>
        <v>-0.0201752250116405</v>
      </c>
      <c r="F4825" s="7" t="str">
        <f aca="false">IFERROR(INDEX(02_轉折點45個!B:B,MATCH(A4825,02_轉折點45個!A:A,0)),"")</f>
        <v/>
      </c>
      <c r="G4825" s="7" t="s">
        <v>5494</v>
      </c>
    </row>
    <row r="4826" customFormat="false" ht="15" hidden="false" customHeight="false" outlineLevel="0" collapsed="false">
      <c r="A4826" s="7" t="s">
        <v>1351</v>
      </c>
      <c r="B4826" s="7" t="n">
        <v>6913.02</v>
      </c>
      <c r="C4826" s="7" t="n">
        <f aca="false">AVERAGE(B4777:B4826)</f>
        <v>6719.6754</v>
      </c>
      <c r="D4826" s="7" t="n">
        <f aca="false">AVERAGE(B4627:B4826)</f>
        <v>6177.3928</v>
      </c>
      <c r="E4826" s="7" t="n">
        <f aca="false">B4826/MAX(B4575:B4826)-1</f>
        <v>-0.0156557695675761</v>
      </c>
      <c r="F4826" s="7" t="str">
        <f aca="false">IFERROR(INDEX(02_轉折點45個!B:B,MATCH(A4826,02_轉折點45個!A:A,0)),"")</f>
        <v/>
      </c>
      <c r="G4826" s="7" t="s">
        <v>5494</v>
      </c>
    </row>
    <row r="4827" customFormat="false" ht="15" hidden="false" customHeight="false" outlineLevel="0" collapsed="false">
      <c r="A4827" s="7" t="s">
        <v>5825</v>
      </c>
      <c r="B4827" s="7" t="n">
        <v>6929.39</v>
      </c>
      <c r="C4827" s="7" t="n">
        <f aca="false">AVERAGE(B4778:B4827)</f>
        <v>6728.8094</v>
      </c>
      <c r="D4827" s="7" t="n">
        <f aca="false">AVERAGE(B4628:B4827)</f>
        <v>6183.78195</v>
      </c>
      <c r="E4827" s="7" t="n">
        <f aca="false">B4827/MAX(B4576:B4827)-1</f>
        <v>-0.0133248468952594</v>
      </c>
      <c r="F4827" s="7" t="str">
        <f aca="false">IFERROR(INDEX(02_轉折點45個!B:B,MATCH(A4827,02_轉折點45個!A:A,0)),"")</f>
        <v/>
      </c>
      <c r="G4827" s="7" t="s">
        <v>5494</v>
      </c>
    </row>
    <row r="4828" customFormat="false" ht="15" hidden="false" customHeight="false" outlineLevel="0" collapsed="false">
      <c r="A4828" s="7" t="s">
        <v>5826</v>
      </c>
      <c r="B4828" s="7" t="n">
        <v>6966.43</v>
      </c>
      <c r="C4828" s="7" t="n">
        <f aca="false">AVERAGE(B4779:B4828)</f>
        <v>6738.8346</v>
      </c>
      <c r="D4828" s="7" t="n">
        <f aca="false">AVERAGE(B4629:B4828)</f>
        <v>6190.1171</v>
      </c>
      <c r="E4828" s="7" t="n">
        <f aca="false">B4828/MAX(B4577:B4828)-1</f>
        <v>-0.00805072497817871</v>
      </c>
      <c r="F4828" s="7" t="str">
        <f aca="false">IFERROR(INDEX(02_轉折點45個!B:B,MATCH(A4828,02_轉折點45個!A:A,0)),"")</f>
        <v/>
      </c>
      <c r="G4828" s="7" t="s">
        <v>5494</v>
      </c>
    </row>
    <row r="4829" customFormat="false" ht="15" hidden="false" customHeight="false" outlineLevel="0" collapsed="false">
      <c r="A4829" s="7" t="s">
        <v>1352</v>
      </c>
      <c r="B4829" s="7" t="n">
        <v>7101.18</v>
      </c>
      <c r="C4829" s="7" t="n">
        <f aca="false">AVERAGE(B4780:B4829)</f>
        <v>6752.195</v>
      </c>
      <c r="D4829" s="7" t="n">
        <f aca="false">AVERAGE(B4630:B4829)</f>
        <v>6197.10625</v>
      </c>
      <c r="E4829" s="7" t="n">
        <f aca="false">B4829/MAX(B4578:B4829)-1</f>
        <v>0</v>
      </c>
      <c r="F4829" s="7" t="str">
        <f aca="false">IFERROR(INDEX(02_轉折點45個!B:B,MATCH(A4829,02_轉折點45個!A:A,0)),"")</f>
        <v/>
      </c>
      <c r="G4829" s="7" t="s">
        <v>5494</v>
      </c>
    </row>
    <row r="4830" customFormat="false" ht="15" hidden="false" customHeight="false" outlineLevel="0" collapsed="false">
      <c r="A4830" s="7" t="s">
        <v>1353</v>
      </c>
      <c r="B4830" s="7" t="n">
        <v>7131.12</v>
      </c>
      <c r="C4830" s="7" t="n">
        <f aca="false">AVERAGE(B4781:B4830)</f>
        <v>6766.1144</v>
      </c>
      <c r="D4830" s="7" t="n">
        <f aca="false">AVERAGE(B4631:B4830)</f>
        <v>6204.11035</v>
      </c>
      <c r="E4830" s="7" t="n">
        <f aca="false">B4830/MAX(B4579:B4830)-1</f>
        <v>0</v>
      </c>
      <c r="F4830" s="7" t="str">
        <f aca="false">IFERROR(INDEX(02_轉折點45個!B:B,MATCH(A4830,02_轉折點45個!A:A,0)),"")</f>
        <v/>
      </c>
      <c r="G4830" s="7" t="s">
        <v>5494</v>
      </c>
    </row>
    <row r="4831" customFormat="false" ht="15" hidden="false" customHeight="false" outlineLevel="0" collapsed="false">
      <c r="A4831" s="7" t="s">
        <v>5827</v>
      </c>
      <c r="B4831" s="7" t="n">
        <v>7046.51</v>
      </c>
      <c r="C4831" s="7" t="n">
        <f aca="false">AVERAGE(B4782:B4831)</f>
        <v>6778.2162</v>
      </c>
      <c r="D4831" s="7" t="n">
        <f aca="false">AVERAGE(B4632:B4831)</f>
        <v>6210.45105</v>
      </c>
      <c r="E4831" s="7" t="n">
        <f aca="false">B4831/MAX(B4580:B4831)-1</f>
        <v>-0.0118648963977608</v>
      </c>
      <c r="F4831" s="7" t="str">
        <f aca="false">IFERROR(INDEX(02_轉折點45個!B:B,MATCH(A4831,02_轉折點45個!A:A,0)),"")</f>
        <v/>
      </c>
      <c r="G4831" s="7" t="s">
        <v>5494</v>
      </c>
    </row>
    <row r="4832" customFormat="false" ht="15" hidden="false" customHeight="false" outlineLevel="0" collapsed="false">
      <c r="A4832" s="7" t="s">
        <v>5828</v>
      </c>
      <c r="B4832" s="7" t="n">
        <v>7040.98</v>
      </c>
      <c r="C4832" s="7" t="n">
        <f aca="false">AVERAGE(B4783:B4832)</f>
        <v>6791.1074</v>
      </c>
      <c r="D4832" s="7" t="n">
        <f aca="false">AVERAGE(B4633:B4832)</f>
        <v>6216.71415</v>
      </c>
      <c r="E4832" s="7" t="n">
        <f aca="false">B4832/MAX(B4581:B4832)-1</f>
        <v>-0.0126403706570637</v>
      </c>
      <c r="F4832" s="7" t="str">
        <f aca="false">IFERROR(INDEX(02_轉折點45個!B:B,MATCH(A4832,02_轉折點45個!A:A,0)),"")</f>
        <v/>
      </c>
      <c r="G4832" s="7" t="s">
        <v>5494</v>
      </c>
    </row>
    <row r="4833" customFormat="false" ht="15" hidden="false" customHeight="false" outlineLevel="0" collapsed="false">
      <c r="A4833" s="7" t="s">
        <v>5829</v>
      </c>
      <c r="B4833" s="7" t="n">
        <v>7030.97</v>
      </c>
      <c r="C4833" s="7" t="n">
        <f aca="false">AVERAGE(B4784:B4833)</f>
        <v>6801.5</v>
      </c>
      <c r="D4833" s="7" t="n">
        <f aca="false">AVERAGE(B4634:B4833)</f>
        <v>6222.89585</v>
      </c>
      <c r="E4833" s="7" t="n">
        <f aca="false">B4833/MAX(B4582:B4833)-1</f>
        <v>-0.0140440772277005</v>
      </c>
      <c r="F4833" s="7" t="str">
        <f aca="false">IFERROR(INDEX(02_轉折點45個!B:B,MATCH(A4833,02_轉折點45個!A:A,0)),"")</f>
        <v/>
      </c>
      <c r="G4833" s="7" t="s">
        <v>5494</v>
      </c>
    </row>
    <row r="4834" customFormat="false" ht="15" hidden="false" customHeight="false" outlineLevel="0" collapsed="false">
      <c r="A4834" s="7" t="s">
        <v>5830</v>
      </c>
      <c r="B4834" s="7" t="n">
        <v>7019.95</v>
      </c>
      <c r="C4834" s="7" t="n">
        <f aca="false">AVERAGE(B4785:B4834)</f>
        <v>6810.383</v>
      </c>
      <c r="D4834" s="7" t="n">
        <f aca="false">AVERAGE(B4635:B4834)</f>
        <v>6229.0516</v>
      </c>
      <c r="E4834" s="7" t="n">
        <f aca="false">B4834/MAX(B4583:B4834)-1</f>
        <v>-0.0155894165292408</v>
      </c>
      <c r="F4834" s="7" t="str">
        <f aca="false">IFERROR(INDEX(02_轉折點45個!B:B,MATCH(A4834,02_轉折點45個!A:A,0)),"")</f>
        <v/>
      </c>
      <c r="G4834" s="7" t="s">
        <v>5494</v>
      </c>
    </row>
    <row r="4835" customFormat="false" ht="15" hidden="false" customHeight="false" outlineLevel="0" collapsed="false">
      <c r="A4835" s="7" t="s">
        <v>1354</v>
      </c>
      <c r="B4835" s="7" t="n">
        <v>6864.88</v>
      </c>
      <c r="C4835" s="7" t="n">
        <f aca="false">AVERAGE(B4786:B4835)</f>
        <v>6815.989</v>
      </c>
      <c r="D4835" s="7" t="n">
        <f aca="false">AVERAGE(B4636:B4835)</f>
        <v>6234.29345</v>
      </c>
      <c r="E4835" s="7" t="n">
        <f aca="false">B4835/MAX(B4584:B4835)-1</f>
        <v>-0.0373349487878482</v>
      </c>
      <c r="F4835" s="7" t="str">
        <f aca="false">IFERROR(INDEX(02_轉折點45個!B:B,MATCH(A4835,02_轉折點45個!A:A,0)),"")</f>
        <v/>
      </c>
      <c r="G4835" s="7" t="s">
        <v>5494</v>
      </c>
    </row>
    <row r="4836" customFormat="false" ht="15" hidden="false" customHeight="false" outlineLevel="0" collapsed="false">
      <c r="A4836" s="7" t="s">
        <v>1355</v>
      </c>
      <c r="B4836" s="7" t="n">
        <v>6885.92</v>
      </c>
      <c r="C4836" s="7" t="n">
        <f aca="false">AVERAGE(B4787:B4836)</f>
        <v>6820.6416</v>
      </c>
      <c r="D4836" s="7" t="n">
        <f aca="false">AVERAGE(B4637:B4836)</f>
        <v>6239.31575</v>
      </c>
      <c r="E4836" s="7" t="n">
        <f aca="false">B4836/MAX(B4585:B4836)-1</f>
        <v>-0.0343845006114046</v>
      </c>
      <c r="F4836" s="7" t="str">
        <f aca="false">IFERROR(INDEX(02_轉折點45個!B:B,MATCH(A4836,02_轉折點45個!A:A,0)),"")</f>
        <v/>
      </c>
      <c r="G4836" s="7" t="s">
        <v>5494</v>
      </c>
    </row>
    <row r="4837" customFormat="false" ht="15" hidden="false" customHeight="false" outlineLevel="0" collapsed="false">
      <c r="A4837" s="7" t="s">
        <v>5831</v>
      </c>
      <c r="B4837" s="7" t="n">
        <v>6853.45</v>
      </c>
      <c r="C4837" s="7" t="n">
        <f aca="false">AVERAGE(B4788:B4837)</f>
        <v>6824.178</v>
      </c>
      <c r="D4837" s="7" t="n">
        <f aca="false">AVERAGE(B4638:B4837)</f>
        <v>6244.1924</v>
      </c>
      <c r="E4837" s="7" t="n">
        <f aca="false">B4837/MAX(B4586:B4837)-1</f>
        <v>-0.0389377825643097</v>
      </c>
      <c r="F4837" s="7" t="str">
        <f aca="false">IFERROR(INDEX(02_轉折點45個!B:B,MATCH(A4837,02_轉折點45個!A:A,0)),"")</f>
        <v/>
      </c>
      <c r="G4837" s="7" t="s">
        <v>5494</v>
      </c>
    </row>
    <row r="4838" customFormat="false" ht="15" hidden="false" customHeight="false" outlineLevel="0" collapsed="false">
      <c r="A4838" s="7" t="s">
        <v>1356</v>
      </c>
      <c r="B4838" s="7" t="n">
        <v>6682.26</v>
      </c>
      <c r="C4838" s="7" t="n">
        <f aca="false">AVERAGE(B4789:B4838)</f>
        <v>6824.2644</v>
      </c>
      <c r="D4838" s="7" t="n">
        <f aca="false">AVERAGE(B4639:B4838)</f>
        <v>6248.31985</v>
      </c>
      <c r="E4838" s="7" t="n">
        <f aca="false">B4838/MAX(B4587:B4838)-1</f>
        <v>-0.0629438293003062</v>
      </c>
      <c r="F4838" s="7" t="str">
        <f aca="false">IFERROR(INDEX(02_轉折點45個!B:B,MATCH(A4838,02_轉折點45個!A:A,0)),"")</f>
        <v/>
      </c>
      <c r="G4838" s="7" t="s">
        <v>5494</v>
      </c>
    </row>
    <row r="4839" customFormat="false" ht="15" hidden="false" customHeight="false" outlineLevel="0" collapsed="false">
      <c r="A4839" s="7" t="s">
        <v>5832</v>
      </c>
      <c r="B4839" s="7" t="n">
        <v>6508.09</v>
      </c>
      <c r="C4839" s="7" t="n">
        <f aca="false">AVERAGE(B4790:B4839)</f>
        <v>6821.173</v>
      </c>
      <c r="D4839" s="7" t="n">
        <f aca="false">AVERAGE(B4640:B4839)</f>
        <v>6251.47235</v>
      </c>
      <c r="E4839" s="7" t="n">
        <f aca="false">B4839/MAX(B4588:B4839)-1</f>
        <v>-0.0873677627076812</v>
      </c>
      <c r="F4839" s="7" t="str">
        <f aca="false">IFERROR(INDEX(02_轉折點45個!B:B,MATCH(A4839,02_轉折點45個!A:A,0)),"")</f>
        <v/>
      </c>
      <c r="G4839" s="7" t="s">
        <v>5494</v>
      </c>
    </row>
    <row r="4840" customFormat="false" ht="15" hidden="false" customHeight="false" outlineLevel="0" collapsed="false">
      <c r="A4840" s="7" t="s">
        <v>5833</v>
      </c>
      <c r="B4840" s="7" t="n">
        <v>6753.83</v>
      </c>
      <c r="C4840" s="7" t="n">
        <f aca="false">AVERAGE(B4791:B4840)</f>
        <v>6822.0798</v>
      </c>
      <c r="D4840" s="7" t="n">
        <f aca="false">AVERAGE(B4641:B4840)</f>
        <v>6255.815</v>
      </c>
      <c r="E4840" s="7" t="n">
        <f aca="false">B4840/MAX(B4589:B4840)-1</f>
        <v>-0.0529075376658926</v>
      </c>
      <c r="F4840" s="7" t="str">
        <f aca="false">IFERROR(INDEX(02_轉折點45個!B:B,MATCH(A4840,02_轉折點45個!A:A,0)),"")</f>
        <v/>
      </c>
      <c r="G4840" s="7" t="s">
        <v>5494</v>
      </c>
    </row>
    <row r="4841" customFormat="false" ht="15" hidden="false" customHeight="false" outlineLevel="0" collapsed="false">
      <c r="A4841" s="7" t="s">
        <v>1357</v>
      </c>
      <c r="B4841" s="7" t="n">
        <v>6529.84</v>
      </c>
      <c r="C4841" s="7" t="n">
        <f aca="false">AVERAGE(B4792:B4841)</f>
        <v>6817.5058</v>
      </c>
      <c r="D4841" s="7" t="n">
        <f aca="false">AVERAGE(B4642:B4841)</f>
        <v>6259.7545</v>
      </c>
      <c r="E4841" s="7" t="n">
        <f aca="false">B4841/MAX(B4590:B4841)-1</f>
        <v>-0.0843177509283254</v>
      </c>
      <c r="F4841" s="7" t="str">
        <f aca="false">IFERROR(INDEX(02_轉折點45個!B:B,MATCH(A4841,02_轉折點45個!A:A,0)),"")</f>
        <v/>
      </c>
      <c r="G4841" s="7" t="s">
        <v>5494</v>
      </c>
    </row>
    <row r="4842" customFormat="false" ht="15" hidden="false" customHeight="false" outlineLevel="0" collapsed="false">
      <c r="A4842" s="7" t="s">
        <v>5834</v>
      </c>
      <c r="B4842" s="7" t="n">
        <v>6460.81</v>
      </c>
      <c r="C4842" s="7" t="n">
        <f aca="false">AVERAGE(B4793:B4842)</f>
        <v>6811.9792</v>
      </c>
      <c r="D4842" s="7" t="n">
        <f aca="false">AVERAGE(B4643:B4842)</f>
        <v>6263.51765</v>
      </c>
      <c r="E4842" s="7" t="n">
        <f aca="false">B4842/MAX(B4591:B4842)-1</f>
        <v>-0.0939978572790809</v>
      </c>
      <c r="F4842" s="7" t="str">
        <f aca="false">IFERROR(INDEX(02_轉折點45個!B:B,MATCH(A4842,02_轉折點45個!A:A,0)),"")</f>
        <v/>
      </c>
      <c r="G4842" s="7" t="s">
        <v>5494</v>
      </c>
    </row>
    <row r="4843" customFormat="false" ht="15" hidden="false" customHeight="false" outlineLevel="0" collapsed="false">
      <c r="A4843" s="7" t="s">
        <v>5835</v>
      </c>
      <c r="B4843" s="7" t="n">
        <v>6581.13</v>
      </c>
      <c r="C4843" s="7" t="n">
        <f aca="false">AVERAGE(B4794:B4843)</f>
        <v>6807.3962</v>
      </c>
      <c r="D4843" s="7" t="n">
        <f aca="false">AVERAGE(B4644:B4843)</f>
        <v>6267.6642</v>
      </c>
      <c r="E4843" s="7" t="n">
        <f aca="false">B4843/MAX(B4592:B4843)-1</f>
        <v>-0.0771253323461111</v>
      </c>
      <c r="F4843" s="7" t="str">
        <f aca="false">IFERROR(INDEX(02_轉折點45個!B:B,MATCH(A4843,02_轉折點45個!A:A,0)),"")</f>
        <v/>
      </c>
      <c r="G4843" s="7" t="s">
        <v>5494</v>
      </c>
    </row>
    <row r="4844" customFormat="false" ht="15" hidden="false" customHeight="false" outlineLevel="0" collapsed="false">
      <c r="A4844" s="7" t="s">
        <v>1358</v>
      </c>
      <c r="B4844" s="7" t="n">
        <v>6390.84</v>
      </c>
      <c r="C4844" s="7" t="n">
        <f aca="false">AVERAGE(B4795:B4844)</f>
        <v>6798.9854</v>
      </c>
      <c r="D4844" s="7" t="n">
        <f aca="false">AVERAGE(B4645:B4844)</f>
        <v>6270.98305</v>
      </c>
      <c r="E4844" s="7" t="n">
        <f aca="false">B4844/MAX(B4593:B4844)-1</f>
        <v>-0.103809780230875</v>
      </c>
      <c r="F4844" s="7" t="str">
        <f aca="false">IFERROR(INDEX(02_轉折點45個!B:B,MATCH(A4844,02_轉折點45個!A:A,0)),"")</f>
        <v/>
      </c>
      <c r="G4844" s="7" t="s">
        <v>5494</v>
      </c>
    </row>
    <row r="4845" customFormat="false" ht="15" hidden="false" customHeight="false" outlineLevel="0" collapsed="false">
      <c r="A4845" s="7" t="s">
        <v>5836</v>
      </c>
      <c r="B4845" s="7" t="n">
        <v>6458.83</v>
      </c>
      <c r="C4845" s="7" t="n">
        <f aca="false">AVERAGE(B4796:B4845)</f>
        <v>6791.4754</v>
      </c>
      <c r="D4845" s="7" t="n">
        <f aca="false">AVERAGE(B4646:B4845)</f>
        <v>6274.77275</v>
      </c>
      <c r="E4845" s="7" t="n">
        <f aca="false">B4845/MAX(B4594:B4845)-1</f>
        <v>-0.0942755135238224</v>
      </c>
      <c r="F4845" s="7" t="str">
        <f aca="false">IFERROR(INDEX(02_轉折點45個!B:B,MATCH(A4845,02_轉折點45個!A:A,0)),"")</f>
        <v/>
      </c>
      <c r="G4845" s="7" t="s">
        <v>5494</v>
      </c>
    </row>
    <row r="4846" customFormat="false" ht="15" hidden="false" customHeight="false" outlineLevel="0" collapsed="false">
      <c r="A4846" s="7" t="s">
        <v>5837</v>
      </c>
      <c r="B4846" s="7" t="n">
        <v>6560.06</v>
      </c>
      <c r="C4846" s="7" t="n">
        <f aca="false">AVERAGE(B4797:B4846)</f>
        <v>6784.551</v>
      </c>
      <c r="D4846" s="7" t="n">
        <f aca="false">AVERAGE(B4647:B4846)</f>
        <v>6279.16565</v>
      </c>
      <c r="E4846" s="7" t="n">
        <f aca="false">B4846/MAX(B4595:B4846)-1</f>
        <v>-0.0800799874353537</v>
      </c>
      <c r="F4846" s="7" t="str">
        <f aca="false">IFERROR(INDEX(02_轉折點45個!B:B,MATCH(A4846,02_轉折點45個!A:A,0)),"")</f>
        <v/>
      </c>
      <c r="G4846" s="7" t="s">
        <v>5494</v>
      </c>
    </row>
    <row r="4847" customFormat="false" ht="15" hidden="false" customHeight="false" outlineLevel="0" collapsed="false">
      <c r="A4847" s="7" t="s">
        <v>5838</v>
      </c>
      <c r="B4847" s="7" t="n">
        <v>6594.84</v>
      </c>
      <c r="C4847" s="7" t="n">
        <f aca="false">AVERAGE(B4798:B4847)</f>
        <v>6777.1786</v>
      </c>
      <c r="D4847" s="7" t="n">
        <f aca="false">AVERAGE(B4648:B4847)</f>
        <v>6283.27875</v>
      </c>
      <c r="E4847" s="7" t="n">
        <f aca="false">B4847/MAX(B4596:B4847)-1</f>
        <v>-0.0752027731969172</v>
      </c>
      <c r="F4847" s="7" t="str">
        <f aca="false">IFERROR(INDEX(02_轉折點45個!B:B,MATCH(A4847,02_轉折點45個!A:A,0)),"")</f>
        <v/>
      </c>
      <c r="G4847" s="7" t="s">
        <v>5494</v>
      </c>
    </row>
    <row r="4848" customFormat="false" ht="15" hidden="false" customHeight="false" outlineLevel="0" collapsed="false">
      <c r="A4848" s="7" t="s">
        <v>5839</v>
      </c>
      <c r="B4848" s="7" t="n">
        <v>6433.21</v>
      </c>
      <c r="C4848" s="7" t="n">
        <f aca="false">AVERAGE(B4799:B4848)</f>
        <v>6767.4558</v>
      </c>
      <c r="D4848" s="7" t="n">
        <f aca="false">AVERAGE(B4649:B4848)</f>
        <v>6286.81325</v>
      </c>
      <c r="E4848" s="7" t="n">
        <f aca="false">B4848/MAX(B4597:B4848)-1</f>
        <v>-0.0978682170542635</v>
      </c>
      <c r="F4848" s="7" t="str">
        <f aca="false">IFERROR(INDEX(02_轉折點45個!B:B,MATCH(A4848,02_轉折點45個!A:A,0)),"")</f>
        <v/>
      </c>
      <c r="G4848" s="7" t="s">
        <v>5494</v>
      </c>
    </row>
    <row r="4849" customFormat="false" ht="15" hidden="false" customHeight="false" outlineLevel="0" collapsed="false">
      <c r="A4849" s="7" t="s">
        <v>5840</v>
      </c>
      <c r="B4849" s="7" t="n">
        <v>6472.34</v>
      </c>
      <c r="C4849" s="7" t="n">
        <f aca="false">AVERAGE(B4800:B4849)</f>
        <v>6758.5766</v>
      </c>
      <c r="D4849" s="7" t="n">
        <f aca="false">AVERAGE(B4650:B4849)</f>
        <v>6290.263</v>
      </c>
      <c r="E4849" s="7" t="n">
        <f aca="false">B4849/MAX(B4598:B4849)-1</f>
        <v>-0.0923810004599558</v>
      </c>
      <c r="F4849" s="7" t="str">
        <f aca="false">IFERROR(INDEX(02_轉折點45個!B:B,MATCH(A4849,02_轉折點45個!A:A,0)),"")</f>
        <v/>
      </c>
      <c r="G4849" s="7" t="s">
        <v>5494</v>
      </c>
    </row>
    <row r="4850" customFormat="false" ht="15" hidden="false" customHeight="false" outlineLevel="0" collapsed="false">
      <c r="A4850" s="7" t="s">
        <v>5841</v>
      </c>
      <c r="B4850" s="7" t="n">
        <v>6615.87</v>
      </c>
      <c r="C4850" s="7" t="n">
        <f aca="false">AVERAGE(B4801:B4850)</f>
        <v>6750.4346</v>
      </c>
      <c r="D4850" s="7" t="n">
        <f aca="false">AVERAGE(B4651:B4850)</f>
        <v>6294.443</v>
      </c>
      <c r="E4850" s="7" t="n">
        <f aca="false">B4850/MAX(B4599:B4850)-1</f>
        <v>-0.07225372732474</v>
      </c>
      <c r="F4850" s="7" t="str">
        <f aca="false">IFERROR(INDEX(02_轉折點45個!B:B,MATCH(A4850,02_轉折點45個!A:A,0)),"")</f>
        <v/>
      </c>
      <c r="G4850" s="7" t="s">
        <v>5494</v>
      </c>
    </row>
    <row r="4851" customFormat="false" ht="15" hidden="false" customHeight="false" outlineLevel="0" collapsed="false">
      <c r="A4851" s="7" t="s">
        <v>5842</v>
      </c>
      <c r="B4851" s="7" t="n">
        <v>6583.44</v>
      </c>
      <c r="C4851" s="7" t="n">
        <f aca="false">AVERAGE(B4802:B4851)</f>
        <v>6742.337</v>
      </c>
      <c r="D4851" s="7" t="n">
        <f aca="false">AVERAGE(B4652:B4851)</f>
        <v>6298.34465</v>
      </c>
      <c r="E4851" s="7" t="n">
        <f aca="false">B4851/MAX(B4600:B4851)-1</f>
        <v>-0.0768014000605796</v>
      </c>
      <c r="F4851" s="7" t="str">
        <f aca="false">IFERROR(INDEX(02_轉折點45個!B:B,MATCH(A4851,02_轉折點45個!A:A,0)),"")</f>
        <v/>
      </c>
      <c r="G4851" s="7" t="s">
        <v>5494</v>
      </c>
    </row>
    <row r="4852" customFormat="false" ht="15" hidden="false" customHeight="false" outlineLevel="0" collapsed="false">
      <c r="A4852" s="7" t="s">
        <v>5843</v>
      </c>
      <c r="B4852" s="7" t="n">
        <v>6656.26</v>
      </c>
      <c r="C4852" s="7" t="n">
        <f aca="false">AVERAGE(B4803:B4852)</f>
        <v>6736.8476</v>
      </c>
      <c r="D4852" s="7" t="n">
        <f aca="false">AVERAGE(B4653:B4852)</f>
        <v>6302.738</v>
      </c>
      <c r="E4852" s="7" t="n">
        <f aca="false">B4852/MAX(B4601:B4852)-1</f>
        <v>-0.0665898203928695</v>
      </c>
      <c r="F4852" s="7" t="str">
        <f aca="false">IFERROR(INDEX(02_轉折點45個!B:B,MATCH(A4852,02_轉折點45個!A:A,0)),"")</f>
        <v/>
      </c>
      <c r="G4852" s="7" t="s">
        <v>5494</v>
      </c>
    </row>
    <row r="4853" customFormat="false" ht="15" hidden="false" customHeight="false" outlineLevel="0" collapsed="false">
      <c r="A4853" s="7" t="s">
        <v>5844</v>
      </c>
      <c r="B4853" s="7" t="n">
        <v>6628.34</v>
      </c>
      <c r="C4853" s="7" t="n">
        <f aca="false">AVERAGE(B4804:B4853)</f>
        <v>6730.4146</v>
      </c>
      <c r="D4853" s="7" t="n">
        <f aca="false">AVERAGE(B4654:B4853)</f>
        <v>6307.5217</v>
      </c>
      <c r="E4853" s="7" t="n">
        <f aca="false">B4853/MAX(B4602:B4853)-1</f>
        <v>-0.070505053904576</v>
      </c>
      <c r="F4853" s="7" t="str">
        <f aca="false">IFERROR(INDEX(02_轉折點45個!B:B,MATCH(A4853,02_轉折點45個!A:A,0)),"")</f>
        <v/>
      </c>
      <c r="G4853" s="7" t="s">
        <v>5494</v>
      </c>
    </row>
    <row r="4854" customFormat="false" ht="15" hidden="false" customHeight="false" outlineLevel="0" collapsed="false">
      <c r="A4854" s="7" t="s">
        <v>5845</v>
      </c>
      <c r="B4854" s="7" t="n">
        <v>6675.18</v>
      </c>
      <c r="C4854" s="7" t="n">
        <f aca="false">AVERAGE(B4805:B4854)</f>
        <v>6725.8882</v>
      </c>
      <c r="D4854" s="7" t="n">
        <f aca="false">AVERAGE(B4655:B4854)</f>
        <v>6312.13245</v>
      </c>
      <c r="E4854" s="7" t="n">
        <f aca="false">B4854/MAX(B4603:B4854)-1</f>
        <v>-0.0639366607208965</v>
      </c>
      <c r="F4854" s="7" t="str">
        <f aca="false">IFERROR(INDEX(02_轉折點45個!B:B,MATCH(A4854,02_轉折點45個!A:A,0)),"")</f>
        <v/>
      </c>
      <c r="G4854" s="7" t="s">
        <v>5494</v>
      </c>
    </row>
    <row r="4855" customFormat="false" ht="15" hidden="false" customHeight="false" outlineLevel="0" collapsed="false">
      <c r="A4855" s="7" t="s">
        <v>1359</v>
      </c>
      <c r="B4855" s="7" t="n">
        <v>6816.37</v>
      </c>
      <c r="C4855" s="7" t="n">
        <f aca="false">AVERAGE(B4806:B4855)</f>
        <v>6727.0098</v>
      </c>
      <c r="D4855" s="7" t="n">
        <f aca="false">AVERAGE(B4656:B4855)</f>
        <v>6317.9492</v>
      </c>
      <c r="E4855" s="7" t="n">
        <f aca="false">B4855/MAX(B4604:B4855)-1</f>
        <v>-0.0441375267840115</v>
      </c>
      <c r="F4855" s="7" t="str">
        <f aca="false">IFERROR(INDEX(02_轉折點45個!B:B,MATCH(A4855,02_轉折點45個!A:A,0)),"")</f>
        <v/>
      </c>
      <c r="G4855" s="7" t="s">
        <v>5494</v>
      </c>
    </row>
    <row r="4856" customFormat="false" ht="15" hidden="false" customHeight="false" outlineLevel="0" collapsed="false">
      <c r="A4856" s="7" t="s">
        <v>5846</v>
      </c>
      <c r="B4856" s="7" t="n">
        <v>6833.21</v>
      </c>
      <c r="C4856" s="7" t="n">
        <f aca="false">AVERAGE(B4807:B4856)</f>
        <v>6733.7556</v>
      </c>
      <c r="D4856" s="7" t="n">
        <f aca="false">AVERAGE(B4657:B4856)</f>
        <v>6323.88065</v>
      </c>
      <c r="E4856" s="7" t="n">
        <f aca="false">B4856/MAX(B4605:B4856)-1</f>
        <v>-0.0417760463994435</v>
      </c>
      <c r="F4856" s="7" t="str">
        <f aca="false">IFERROR(INDEX(02_轉折點45個!B:B,MATCH(A4856,02_轉折點45個!A:A,0)),"")</f>
        <v/>
      </c>
      <c r="G4856" s="7" t="s">
        <v>5494</v>
      </c>
    </row>
    <row r="4857" customFormat="false" ht="15" hidden="false" customHeight="false" outlineLevel="0" collapsed="false">
      <c r="A4857" s="7" t="s">
        <v>5847</v>
      </c>
      <c r="B4857" s="7" t="n">
        <v>6774.89</v>
      </c>
      <c r="C4857" s="7" t="n">
        <f aca="false">AVERAGE(B4808:B4857)</f>
        <v>6735.9338</v>
      </c>
      <c r="D4857" s="7" t="n">
        <f aca="false">AVERAGE(B4658:B4857)</f>
        <v>6329.7703</v>
      </c>
      <c r="E4857" s="7" t="n">
        <f aca="false">B4857/MAX(B4606:B4857)-1</f>
        <v>-0.0499542848809162</v>
      </c>
      <c r="F4857" s="7" t="str">
        <f aca="false">IFERROR(INDEX(02_轉折點45個!B:B,MATCH(A4857,02_轉折點45個!A:A,0)),"")</f>
        <v/>
      </c>
      <c r="G4857" s="7" t="s">
        <v>5494</v>
      </c>
    </row>
    <row r="4858" customFormat="false" ht="15" hidden="false" customHeight="false" outlineLevel="0" collapsed="false">
      <c r="A4858" s="7" t="s">
        <v>1360</v>
      </c>
      <c r="B4858" s="7" t="n">
        <v>6667.75</v>
      </c>
      <c r="C4858" s="7" t="n">
        <f aca="false">AVERAGE(B4809:B4858)</f>
        <v>6737.6484</v>
      </c>
      <c r="D4858" s="7" t="n">
        <f aca="false">AVERAGE(B4659:B4858)</f>
        <v>6334.86495</v>
      </c>
      <c r="E4858" s="7" t="n">
        <f aca="false">B4858/MAX(B4607:B4858)-1</f>
        <v>-0.0649785727908099</v>
      </c>
      <c r="F4858" s="7" t="str">
        <f aca="false">IFERROR(INDEX(02_轉折點45個!B:B,MATCH(A4858,02_轉折點45個!A:A,0)),"")</f>
        <v/>
      </c>
      <c r="G4858" s="7" t="s">
        <v>5494</v>
      </c>
    </row>
    <row r="4859" customFormat="false" ht="15" hidden="false" customHeight="false" outlineLevel="0" collapsed="false">
      <c r="A4859" s="7" t="s">
        <v>5848</v>
      </c>
      <c r="B4859" s="7" t="n">
        <v>6648.8</v>
      </c>
      <c r="C4859" s="7" t="n">
        <f aca="false">AVERAGE(B4810:B4859)</f>
        <v>6744.5024</v>
      </c>
      <c r="D4859" s="7" t="n">
        <f aca="false">AVERAGE(B4660:B4859)</f>
        <v>6340.11945</v>
      </c>
      <c r="E4859" s="7" t="n">
        <f aca="false">B4859/MAX(B4608:B4859)-1</f>
        <v>-0.0676359393755819</v>
      </c>
      <c r="F4859" s="7" t="str">
        <f aca="false">IFERROR(INDEX(02_轉折點45個!B:B,MATCH(A4859,02_轉折點45個!A:A,0)),"")</f>
        <v/>
      </c>
      <c r="G4859" s="7" t="s">
        <v>5494</v>
      </c>
    </row>
    <row r="4860" customFormat="false" ht="15" hidden="false" customHeight="false" outlineLevel="0" collapsed="false">
      <c r="A4860" s="7" t="s">
        <v>1361</v>
      </c>
      <c r="B4860" s="7" t="n">
        <v>6509.05</v>
      </c>
      <c r="C4860" s="7" t="n">
        <f aca="false">AVERAGE(B4811:B4860)</f>
        <v>6746.4298</v>
      </c>
      <c r="D4860" s="7" t="n">
        <f aca="false">AVERAGE(B4661:B4860)</f>
        <v>6344.38235</v>
      </c>
      <c r="E4860" s="7" t="n">
        <f aca="false">B4860/MAX(B4609:B4860)-1</f>
        <v>-0.0872331414981097</v>
      </c>
      <c r="F4860" s="7" t="str">
        <f aca="false">IFERROR(INDEX(02_轉折點45個!B:B,MATCH(A4860,02_轉折點45個!A:A,0)),"")</f>
        <v/>
      </c>
      <c r="G4860" s="7" t="s">
        <v>5494</v>
      </c>
    </row>
    <row r="4861" customFormat="false" ht="15" hidden="false" customHeight="false" outlineLevel="0" collapsed="false">
      <c r="A4861" s="7" t="s">
        <v>5849</v>
      </c>
      <c r="B4861" s="7" t="n">
        <v>6513.94</v>
      </c>
      <c r="C4861" s="7" t="n">
        <f aca="false">AVERAGE(B4812:B4861)</f>
        <v>6746.2316</v>
      </c>
      <c r="D4861" s="7" t="n">
        <f aca="false">AVERAGE(B4662:B4861)</f>
        <v>6348.4813</v>
      </c>
      <c r="E4861" s="7" t="n">
        <f aca="false">B4861/MAX(B4610:B4861)-1</f>
        <v>-0.0865474147118546</v>
      </c>
      <c r="F4861" s="7" t="str">
        <f aca="false">IFERROR(INDEX(02_轉折點45個!B:B,MATCH(A4861,02_轉折點45個!A:A,0)),"")</f>
        <v/>
      </c>
      <c r="G4861" s="7" t="s">
        <v>5494</v>
      </c>
    </row>
    <row r="4862" customFormat="false" ht="15" hidden="false" customHeight="false" outlineLevel="0" collapsed="false">
      <c r="A4862" s="7" t="s">
        <v>5850</v>
      </c>
      <c r="B4862" s="7" t="n">
        <v>6649.65</v>
      </c>
      <c r="C4862" s="7" t="n">
        <f aca="false">AVERAGE(B4813:B4862)</f>
        <v>6748.1474</v>
      </c>
      <c r="D4862" s="7" t="n">
        <f aca="false">AVERAGE(B4663:B4862)</f>
        <v>6353.18055</v>
      </c>
      <c r="E4862" s="7" t="n">
        <f aca="false">B4862/MAX(B4611:B4862)-1</f>
        <v>-0.0675167435129405</v>
      </c>
      <c r="F4862" s="7" t="str">
        <f aca="false">IFERROR(INDEX(02_轉折點45個!B:B,MATCH(A4862,02_轉折點45個!A:A,0)),"")</f>
        <v/>
      </c>
      <c r="G4862" s="7" t="s">
        <v>5494</v>
      </c>
    </row>
    <row r="4863" customFormat="false" ht="15" hidden="false" customHeight="false" outlineLevel="0" collapsed="false">
      <c r="A4863" s="7" t="s">
        <v>5851</v>
      </c>
      <c r="B4863" s="7" t="n">
        <v>6656.35</v>
      </c>
      <c r="C4863" s="7" t="n">
        <f aca="false">AVERAGE(B4814:B4863)</f>
        <v>6747.7738</v>
      </c>
      <c r="D4863" s="7" t="n">
        <f aca="false">AVERAGE(B4664:B4863)</f>
        <v>6357.56755</v>
      </c>
      <c r="E4863" s="7" t="n">
        <f aca="false">B4863/MAX(B4612:B4863)-1</f>
        <v>-0.0665771996544722</v>
      </c>
      <c r="F4863" s="7" t="str">
        <f aca="false">IFERROR(INDEX(02_轉折點45個!B:B,MATCH(A4863,02_轉折點45個!A:A,0)),"")</f>
        <v/>
      </c>
      <c r="G4863" s="7" t="s">
        <v>5494</v>
      </c>
    </row>
    <row r="4864" customFormat="false" ht="15" hidden="false" customHeight="false" outlineLevel="0" collapsed="false">
      <c r="A4864" s="7" t="s">
        <v>1362</v>
      </c>
      <c r="B4864" s="7" t="n">
        <v>6605.57</v>
      </c>
      <c r="C4864" s="7" t="n">
        <f aca="false">AVERAGE(B4815:B4864)</f>
        <v>6743.9868</v>
      </c>
      <c r="D4864" s="7" t="n">
        <f aca="false">AVERAGE(B4665:B4864)</f>
        <v>6361.6286</v>
      </c>
      <c r="E4864" s="7" t="n">
        <f aca="false">B4864/MAX(B4613:B4864)-1</f>
        <v>-0.0736981007191017</v>
      </c>
      <c r="F4864" s="7" t="str">
        <f aca="false">IFERROR(INDEX(02_轉折點45個!B:B,MATCH(A4864,02_轉折點45個!A:A,0)),"")</f>
        <v/>
      </c>
      <c r="G4864" s="7" t="s">
        <v>5494</v>
      </c>
    </row>
    <row r="4865" customFormat="false" ht="15" hidden="false" customHeight="false" outlineLevel="0" collapsed="false">
      <c r="A4865" s="7" t="s">
        <v>5852</v>
      </c>
      <c r="B4865" s="7" t="n">
        <v>6681.96</v>
      </c>
      <c r="C4865" s="7" t="n">
        <f aca="false">AVERAGE(B4816:B4865)</f>
        <v>6742.2128</v>
      </c>
      <c r="D4865" s="7" t="n">
        <f aca="false">AVERAGE(B4666:B4865)</f>
        <v>6365.848</v>
      </c>
      <c r="E4865" s="7" t="n">
        <f aca="false">B4865/MAX(B4614:B4865)-1</f>
        <v>-0.0629858984282974</v>
      </c>
      <c r="F4865" s="7" t="str">
        <f aca="false">IFERROR(INDEX(02_轉折點45個!B:B,MATCH(A4865,02_轉折點45個!A:A,0)),"")</f>
        <v/>
      </c>
      <c r="G4865" s="7" t="s">
        <v>5494</v>
      </c>
    </row>
    <row r="4866" customFormat="false" ht="15" hidden="false" customHeight="false" outlineLevel="0" collapsed="false">
      <c r="A4866" s="7" t="s">
        <v>5853</v>
      </c>
      <c r="B4866" s="7" t="n">
        <v>6644.48</v>
      </c>
      <c r="C4866" s="7" t="n">
        <f aca="false">AVERAGE(B4817:B4866)</f>
        <v>6739.5086</v>
      </c>
      <c r="D4866" s="7" t="n">
        <f aca="false">AVERAGE(B4667:B4866)</f>
        <v>6369.8717</v>
      </c>
      <c r="E4866" s="7" t="n">
        <f aca="false">B4866/MAX(B4615:B4866)-1</f>
        <v>-0.068241734818654</v>
      </c>
      <c r="F4866" s="7" t="str">
        <f aca="false">IFERROR(INDEX(02_轉折點45個!B:B,MATCH(A4866,02_轉折點45個!A:A,0)),"")</f>
        <v/>
      </c>
      <c r="G4866" s="7" t="s">
        <v>5494</v>
      </c>
    </row>
    <row r="4867" customFormat="false" ht="15" hidden="false" customHeight="false" outlineLevel="0" collapsed="false">
      <c r="A4867" s="7" t="s">
        <v>1363</v>
      </c>
      <c r="B4867" s="7" t="n">
        <v>6643.48</v>
      </c>
      <c r="C4867" s="7" t="n">
        <f aca="false">AVERAGE(B4818:B4867)</f>
        <v>6737.193</v>
      </c>
      <c r="D4867" s="7" t="n">
        <f aca="false">AVERAGE(B4668:B4867)</f>
        <v>6373.6886</v>
      </c>
      <c r="E4867" s="7" t="n">
        <f aca="false">B4867/MAX(B4616:B4867)-1</f>
        <v>-0.0683819652452911</v>
      </c>
      <c r="F4867" s="7" t="str">
        <f aca="false">IFERROR(INDEX(02_轉折點45個!B:B,MATCH(A4867,02_轉折點45個!A:A,0)),"")</f>
        <v/>
      </c>
      <c r="G4867" s="7" t="s">
        <v>5494</v>
      </c>
    </row>
    <row r="4868" customFormat="false" ht="15" hidden="false" customHeight="false" outlineLevel="0" collapsed="false">
      <c r="A4868" s="7" t="s">
        <v>5854</v>
      </c>
      <c r="B4868" s="7" t="n">
        <v>6769.12</v>
      </c>
      <c r="C4868" s="7" t="n">
        <f aca="false">AVERAGE(B4819:B4868)</f>
        <v>6737.3384</v>
      </c>
      <c r="D4868" s="7" t="n">
        <f aca="false">AVERAGE(B4669:B4868)</f>
        <v>6377.9534</v>
      </c>
      <c r="E4868" s="7" t="n">
        <f aca="false">B4868/MAX(B4617:B4868)-1</f>
        <v>-0.0507634144426121</v>
      </c>
      <c r="F4868" s="7" t="str">
        <f aca="false">IFERROR(INDEX(02_轉折點45個!B:B,MATCH(A4868,02_轉折點45個!A:A,0)),"")</f>
        <v/>
      </c>
      <c r="G4868" s="7" t="s">
        <v>5494</v>
      </c>
    </row>
    <row r="4869" customFormat="false" ht="15" hidden="false" customHeight="false" outlineLevel="0" collapsed="false">
      <c r="A4869" s="7" t="s">
        <v>1364</v>
      </c>
      <c r="B4869" s="7" t="n">
        <v>6821.87</v>
      </c>
      <c r="C4869" s="7" t="n">
        <f aca="false">AVERAGE(B4820:B4869)</f>
        <v>6735.8438</v>
      </c>
      <c r="D4869" s="7" t="n">
        <f aca="false">AVERAGE(B4670:B4869)</f>
        <v>6382.45665</v>
      </c>
      <c r="E4869" s="7" t="n">
        <f aca="false">B4869/MAX(B4618:B4869)-1</f>
        <v>-0.0433662594375077</v>
      </c>
      <c r="F4869" s="7" t="str">
        <f aca="false">IFERROR(INDEX(02_轉折點45個!B:B,MATCH(A4869,02_轉折點45個!A:A,0)),"")</f>
        <v/>
      </c>
      <c r="G4869" s="7" t="s">
        <v>5494</v>
      </c>
    </row>
    <row r="4870" customFormat="false" ht="15" hidden="false" customHeight="false" outlineLevel="0" collapsed="false">
      <c r="A4870" s="7" t="s">
        <v>5855</v>
      </c>
      <c r="B4870" s="7" t="n">
        <v>6815.48</v>
      </c>
      <c r="C4870" s="7" t="n">
        <f aca="false">AVERAGE(B4821:B4870)</f>
        <v>6732.3714</v>
      </c>
      <c r="D4870" s="7" t="n">
        <f aca="false">AVERAGE(B4671:B4870)</f>
        <v>6386.9264</v>
      </c>
      <c r="E4870" s="7" t="n">
        <f aca="false">B4870/MAX(B4619:B4870)-1</f>
        <v>-0.0442623318637185</v>
      </c>
      <c r="F4870" s="7" t="str">
        <f aca="false">IFERROR(INDEX(02_轉折點45個!B:B,MATCH(A4870,02_轉折點45個!A:A,0)),"")</f>
        <v/>
      </c>
      <c r="G4870" s="7" t="s">
        <v>5494</v>
      </c>
    </row>
    <row r="4871" customFormat="false" ht="15" hidden="false" customHeight="false" outlineLevel="0" collapsed="false">
      <c r="A4871" s="7" t="s">
        <v>5856</v>
      </c>
      <c r="B4871" s="7" t="n">
        <v>6893.21</v>
      </c>
      <c r="C4871" s="7" t="n">
        <f aca="false">AVERAGE(B4822:B4871)</f>
        <v>6732.2286</v>
      </c>
      <c r="D4871" s="7" t="n">
        <f aca="false">AVERAGE(B4672:B4871)</f>
        <v>6391.6856</v>
      </c>
      <c r="E4871" s="7" t="n">
        <f aca="false">B4871/MAX(B4620:B4871)-1</f>
        <v>-0.0333622208012205</v>
      </c>
      <c r="F4871" s="7" t="str">
        <f aca="false">IFERROR(INDEX(02_轉折點45個!B:B,MATCH(A4871,02_轉折點45個!A:A,0)),"")</f>
        <v/>
      </c>
      <c r="G4871" s="7" t="s">
        <v>5494</v>
      </c>
    </row>
    <row r="4872" customFormat="false" ht="15" hidden="false" customHeight="false" outlineLevel="0" collapsed="false">
      <c r="A4872" s="7" t="s">
        <v>5857</v>
      </c>
      <c r="B4872" s="7" t="n">
        <v>6963.55</v>
      </c>
      <c r="C4872" s="7" t="n">
        <f aca="false">AVERAGE(B4823:B4872)</f>
        <v>6734.4112</v>
      </c>
      <c r="D4872" s="7" t="n">
        <f aca="false">AVERAGE(B4673:B4872)</f>
        <v>6396.8501</v>
      </c>
      <c r="E4872" s="7" t="n">
        <f aca="false">B4872/MAX(B4621:B4872)-1</f>
        <v>-0.0234984125915705</v>
      </c>
      <c r="F4872" s="7" t="str">
        <f aca="false">IFERROR(INDEX(02_轉折點45個!B:B,MATCH(A4872,02_轉折點45個!A:A,0)),"")</f>
        <v/>
      </c>
      <c r="G4872" s="7" t="s">
        <v>5494</v>
      </c>
    </row>
    <row r="4873" customFormat="false" ht="15" hidden="false" customHeight="false" outlineLevel="0" collapsed="false">
      <c r="A4873" s="7" t="s">
        <v>5858</v>
      </c>
      <c r="B4873" s="7" t="n">
        <v>6952.56</v>
      </c>
      <c r="C4873" s="7" t="n">
        <f aca="false">AVERAGE(B4824:B4873)</f>
        <v>6738.4516</v>
      </c>
      <c r="D4873" s="7" t="n">
        <f aca="false">AVERAGE(B4674:B4873)</f>
        <v>6401.85925</v>
      </c>
      <c r="E4873" s="7" t="n">
        <f aca="false">B4873/MAX(B4622:B4873)-1</f>
        <v>-0.0250395449803116</v>
      </c>
      <c r="F4873" s="7" t="str">
        <f aca="false">IFERROR(INDEX(02_轉折點45個!B:B,MATCH(A4873,02_轉折點45個!A:A,0)),"")</f>
        <v/>
      </c>
      <c r="G4873" s="7" t="s">
        <v>5494</v>
      </c>
    </row>
    <row r="4874" customFormat="false" ht="15" hidden="false" customHeight="false" outlineLevel="0" collapsed="false">
      <c r="A4874" s="7" t="s">
        <v>1365</v>
      </c>
      <c r="B4874" s="7" t="n">
        <v>6964.37</v>
      </c>
      <c r="C4874" s="7" t="n">
        <f aca="false">AVERAGE(B4825:B4874)</f>
        <v>6741.5182</v>
      </c>
      <c r="D4874" s="7" t="n">
        <f aca="false">AVERAGE(B4675:B4874)</f>
        <v>6407.09595</v>
      </c>
      <c r="E4874" s="7" t="n">
        <f aca="false">B4874/MAX(B4623:B4874)-1</f>
        <v>-0.0233834236417281</v>
      </c>
      <c r="F4874" s="7" t="str">
        <f aca="false">IFERROR(INDEX(02_轉折點45個!B:B,MATCH(A4874,02_轉折點45個!A:A,0)),"")</f>
        <v/>
      </c>
      <c r="G4874" s="7" t="s">
        <v>5494</v>
      </c>
    </row>
    <row r="4875" customFormat="false" ht="15" hidden="false" customHeight="false" outlineLevel="0" collapsed="false">
      <c r="A4875" s="7" t="s">
        <v>5859</v>
      </c>
      <c r="B4875" s="7" t="n">
        <v>6888.54</v>
      </c>
      <c r="C4875" s="7" t="n">
        <f aca="false">AVERAGE(B4826:B4875)</f>
        <v>6741.6634</v>
      </c>
      <c r="D4875" s="7" t="n">
        <f aca="false">AVERAGE(B4676:B4875)</f>
        <v>6411.99405</v>
      </c>
      <c r="E4875" s="7" t="n">
        <f aca="false">B4875/MAX(B4624:B4875)-1</f>
        <v>-0.0340170968936155</v>
      </c>
      <c r="F4875" s="7" t="str">
        <f aca="false">IFERROR(INDEX(02_轉折點45個!B:B,MATCH(A4875,02_轉折點45個!A:A,0)),"")</f>
        <v/>
      </c>
      <c r="G4875" s="7" t="s">
        <v>5494</v>
      </c>
    </row>
    <row r="4876" customFormat="false" ht="15" hidden="false" customHeight="false" outlineLevel="0" collapsed="false">
      <c r="A4876" s="7" t="s">
        <v>5860</v>
      </c>
      <c r="B4876" s="7" t="n">
        <v>6929.97</v>
      </c>
      <c r="C4876" s="7" t="n">
        <f aca="false">AVERAGE(B4827:B4876)</f>
        <v>6742.0024</v>
      </c>
      <c r="D4876" s="7" t="n">
        <f aca="false">AVERAGE(B4677:B4876)</f>
        <v>6417.24225</v>
      </c>
      <c r="E4876" s="7" t="n">
        <f aca="false">B4876/MAX(B4625:B4876)-1</f>
        <v>-0.0282073503180426</v>
      </c>
      <c r="F4876" s="7" t="str">
        <f aca="false">IFERROR(INDEX(02_轉折點45個!B:B,MATCH(A4876,02_轉折點45個!A:A,0)),"")</f>
        <v/>
      </c>
      <c r="G4876" s="7" t="s">
        <v>5494</v>
      </c>
    </row>
    <row r="4877" customFormat="false" ht="15" hidden="false" customHeight="false" outlineLevel="0" collapsed="false">
      <c r="A4877" s="7" t="s">
        <v>5861</v>
      </c>
      <c r="B4877" s="7" t="n">
        <v>6901.63</v>
      </c>
      <c r="C4877" s="7" t="n">
        <f aca="false">AVERAGE(B4828:B4877)</f>
        <v>6741.4472</v>
      </c>
      <c r="D4877" s="7" t="n">
        <f aca="false">AVERAGE(B4678:B4877)</f>
        <v>6422.27455</v>
      </c>
      <c r="E4877" s="7" t="n">
        <f aca="false">B4877/MAX(B4626:B4877)-1</f>
        <v>-0.0321814806089366</v>
      </c>
      <c r="F4877" s="7" t="str">
        <f aca="false">IFERROR(INDEX(02_轉折點45個!B:B,MATCH(A4877,02_轉折點45個!A:A,0)),"")</f>
        <v/>
      </c>
      <c r="G4877" s="7" t="s">
        <v>5494</v>
      </c>
    </row>
    <row r="4878" customFormat="false" ht="15" hidden="false" customHeight="false" outlineLevel="0" collapsed="false">
      <c r="A4878" s="7" t="s">
        <v>5862</v>
      </c>
      <c r="B4878" s="7" t="n">
        <v>6866.25</v>
      </c>
      <c r="C4878" s="7" t="n">
        <f aca="false">AVERAGE(B4829:B4878)</f>
        <v>6739.4436</v>
      </c>
      <c r="D4878" s="7" t="n">
        <f aca="false">AVERAGE(B4679:B4878)</f>
        <v>6427.03465</v>
      </c>
      <c r="E4878" s="7" t="n">
        <f aca="false">B4878/MAX(B4627:B4878)-1</f>
        <v>-0.0371428331033554</v>
      </c>
      <c r="F4878" s="7" t="str">
        <f aca="false">IFERROR(INDEX(02_轉折點45個!B:B,MATCH(A4878,02_轉折點45個!A:A,0)),"")</f>
        <v/>
      </c>
      <c r="G4878" s="7" t="s">
        <v>5494</v>
      </c>
    </row>
    <row r="4879" customFormat="false" ht="15" hidden="false" customHeight="false" outlineLevel="0" collapsed="false">
      <c r="A4879" s="7" t="s">
        <v>1366</v>
      </c>
      <c r="B4879" s="7" t="n">
        <v>6905.53</v>
      </c>
      <c r="C4879" s="7" t="n">
        <f aca="false">AVERAGE(B4830:B4879)</f>
        <v>6735.5306</v>
      </c>
      <c r="D4879" s="7" t="n">
        <f aca="false">AVERAGE(B4680:B4879)</f>
        <v>6432.1063</v>
      </c>
      <c r="E4879" s="7" t="n">
        <f aca="false">B4879/MAX(B4628:B4879)-1</f>
        <v>-0.0316345819450521</v>
      </c>
      <c r="F4879" s="7" t="str">
        <f aca="false">IFERROR(INDEX(02_轉折點45個!B:B,MATCH(A4879,02_轉折點45個!A:A,0)),"")</f>
        <v/>
      </c>
      <c r="G4879" s="7" t="s">
        <v>5494</v>
      </c>
    </row>
    <row r="4880" customFormat="false" ht="15" hidden="false" customHeight="false" outlineLevel="0" collapsed="false">
      <c r="A4880" s="7" t="s">
        <v>5863</v>
      </c>
      <c r="B4880" s="7" t="n">
        <v>6893.62</v>
      </c>
      <c r="C4880" s="7" t="n">
        <f aca="false">AVERAGE(B4831:B4880)</f>
        <v>6730.7806</v>
      </c>
      <c r="D4880" s="7" t="n">
        <f aca="false">AVERAGE(B4681:B4880)</f>
        <v>6437.07485</v>
      </c>
      <c r="E4880" s="7" t="n">
        <f aca="false">B4880/MAX(B4629:B4880)-1</f>
        <v>-0.0333047263262993</v>
      </c>
      <c r="F4880" s="7" t="str">
        <f aca="false">IFERROR(INDEX(02_轉折點45個!B:B,MATCH(A4880,02_轉折點45個!A:A,0)),"")</f>
        <v/>
      </c>
      <c r="G4880" s="7" t="s">
        <v>5494</v>
      </c>
    </row>
    <row r="4881" customFormat="false" ht="15" hidden="false" customHeight="false" outlineLevel="0" collapsed="false">
      <c r="A4881" s="7" t="s">
        <v>5864</v>
      </c>
      <c r="B4881" s="7" t="n">
        <v>6953.63</v>
      </c>
      <c r="C4881" s="7" t="n">
        <f aca="false">AVERAGE(B4832:B4881)</f>
        <v>6728.923</v>
      </c>
      <c r="D4881" s="7" t="n">
        <f aca="false">AVERAGE(B4682:B4881)</f>
        <v>6442.16935</v>
      </c>
      <c r="E4881" s="7" t="n">
        <f aca="false">B4881/MAX(B4630:B4881)-1</f>
        <v>-0.0248894984238099</v>
      </c>
      <c r="F4881" s="7" t="str">
        <f aca="false">IFERROR(INDEX(02_轉折點45個!B:B,MATCH(A4881,02_轉折點45個!A:A,0)),"")</f>
        <v/>
      </c>
      <c r="G4881" s="7" t="s">
        <v>5494</v>
      </c>
    </row>
    <row r="4882" customFormat="false" ht="15" hidden="false" customHeight="false" outlineLevel="0" collapsed="false">
      <c r="A4882" s="7" t="s">
        <v>5865</v>
      </c>
      <c r="B4882" s="7" t="n">
        <v>6949.7</v>
      </c>
      <c r="C4882" s="7" t="n">
        <f aca="false">AVERAGE(B4833:B4882)</f>
        <v>6727.0974</v>
      </c>
      <c r="D4882" s="7" t="n">
        <f aca="false">AVERAGE(B4683:B4882)</f>
        <v>6447.2861</v>
      </c>
      <c r="E4882" s="7" t="n">
        <f aca="false">B4882/MAX(B4631:B4882)-1</f>
        <v>-0.0254406040004936</v>
      </c>
      <c r="F4882" s="7" t="str">
        <f aca="false">IFERROR(INDEX(02_轉折點45個!B:B,MATCH(A4882,02_轉折點45個!A:A,0)),"")</f>
        <v/>
      </c>
      <c r="G4882" s="7" t="s">
        <v>5494</v>
      </c>
    </row>
    <row r="4883" customFormat="false" ht="15" hidden="false" customHeight="false" outlineLevel="0" collapsed="false">
      <c r="A4883" s="7" t="s">
        <v>5866</v>
      </c>
      <c r="B4883" s="7" t="n">
        <v>6960.92</v>
      </c>
      <c r="C4883" s="7" t="n">
        <f aca="false">AVERAGE(B4834:B4883)</f>
        <v>6725.6964</v>
      </c>
      <c r="D4883" s="7" t="n">
        <f aca="false">AVERAGE(B4684:B4883)</f>
        <v>6452.49375</v>
      </c>
      <c r="E4883" s="7" t="n">
        <f aca="false">B4883/MAX(B4632:B4883)-1</f>
        <v>-0.0238672186136258</v>
      </c>
      <c r="F4883" s="7" t="str">
        <f aca="false">IFERROR(INDEX(02_轉折點45個!B:B,MATCH(A4883,02_轉折點45個!A:A,0)),"")</f>
        <v/>
      </c>
      <c r="G4883" s="7" t="s">
        <v>5494</v>
      </c>
    </row>
    <row r="4884" customFormat="false" ht="15" hidden="false" customHeight="false" outlineLevel="0" collapsed="false">
      <c r="A4884" s="7" t="s">
        <v>5867</v>
      </c>
      <c r="B4884" s="7" t="n">
        <v>6926.54</v>
      </c>
      <c r="C4884" s="7" t="n">
        <f aca="false">AVERAGE(B4835:B4884)</f>
        <v>6723.8282</v>
      </c>
      <c r="D4884" s="7" t="n">
        <f aca="false">AVERAGE(B4685:B4884)</f>
        <v>6458.1855</v>
      </c>
      <c r="E4884" s="7" t="n">
        <f aca="false">B4884/MAX(B4633:B4884)-1</f>
        <v>-0.0286883406814077</v>
      </c>
      <c r="F4884" s="7" t="str">
        <f aca="false">IFERROR(INDEX(02_轉折點45個!B:B,MATCH(A4884,02_轉折點45個!A:A,0)),"")</f>
        <v/>
      </c>
      <c r="G4884" s="7" t="s">
        <v>5494</v>
      </c>
    </row>
    <row r="4885" customFormat="false" ht="15" hidden="false" customHeight="false" outlineLevel="0" collapsed="false">
      <c r="A4885" s="7" t="s">
        <v>5868</v>
      </c>
      <c r="B4885" s="7" t="n">
        <v>6976.37</v>
      </c>
      <c r="C4885" s="7" t="n">
        <f aca="false">AVERAGE(B4836:B4885)</f>
        <v>6726.058</v>
      </c>
      <c r="D4885" s="7" t="n">
        <f aca="false">AVERAGE(B4686:B4885)</f>
        <v>6463.9097</v>
      </c>
      <c r="E4885" s="7" t="n">
        <f aca="false">B4885/MAX(B4634:B4885)-1</f>
        <v>-0.0217006585220835</v>
      </c>
      <c r="F4885" s="7" t="str">
        <f aca="false">IFERROR(INDEX(02_轉折點45個!B:B,MATCH(A4885,02_轉折點45個!A:A,0)),"")</f>
        <v/>
      </c>
      <c r="G4885" s="7" t="s">
        <v>5494</v>
      </c>
    </row>
    <row r="4886" customFormat="false" ht="15" hidden="false" customHeight="false" outlineLevel="0" collapsed="false">
      <c r="A4886" s="7" t="s">
        <v>5869</v>
      </c>
      <c r="B4886" s="7" t="n">
        <v>6967.73</v>
      </c>
      <c r="C4886" s="7" t="n">
        <f aca="false">AVERAGE(B4837:B4886)</f>
        <v>6727.6942</v>
      </c>
      <c r="D4886" s="7" t="n">
        <f aca="false">AVERAGE(B4687:B4886)</f>
        <v>6469.2075</v>
      </c>
      <c r="E4886" s="7" t="n">
        <f aca="false">B4886/MAX(B4635:B4886)-1</f>
        <v>-0.0229122494082277</v>
      </c>
      <c r="F4886" s="7" t="str">
        <f aca="false">IFERROR(INDEX(02_轉折點45個!B:B,MATCH(A4886,02_轉折點45個!A:A,0)),"")</f>
        <v/>
      </c>
      <c r="G4886" s="7" t="s">
        <v>5494</v>
      </c>
    </row>
    <row r="4887" customFormat="false" ht="15" hidden="false" customHeight="false" outlineLevel="0" collapsed="false">
      <c r="A4887" s="7" t="s">
        <v>5870</v>
      </c>
      <c r="B4887" s="7" t="n">
        <v>7083.93</v>
      </c>
      <c r="C4887" s="7" t="n">
        <f aca="false">AVERAGE(B4838:B4887)</f>
        <v>6732.3038</v>
      </c>
      <c r="D4887" s="7" t="n">
        <f aca="false">AVERAGE(B4688:B4887)</f>
        <v>6475.0885</v>
      </c>
      <c r="E4887" s="7" t="n">
        <f aca="false">B4887/MAX(B4636:B4887)-1</f>
        <v>-0.00661747383300237</v>
      </c>
      <c r="F4887" s="7" t="str">
        <f aca="false">IFERROR(INDEX(02_轉折點45個!B:B,MATCH(A4887,02_轉折點45個!A:A,0)),"")</f>
        <v/>
      </c>
      <c r="G4887" s="7" t="s">
        <v>5494</v>
      </c>
    </row>
    <row r="4888" customFormat="false" ht="15" hidden="false" customHeight="false" outlineLevel="0" collapsed="false">
      <c r="A4888" s="7" t="s">
        <v>1367</v>
      </c>
      <c r="B4888" s="7" t="n">
        <v>7143.57</v>
      </c>
      <c r="C4888" s="7" t="n">
        <f aca="false">AVERAGE(B4839:B4888)</f>
        <v>6741.53</v>
      </c>
      <c r="D4888" s="7" t="n">
        <f aca="false">AVERAGE(B4689:B4888)</f>
        <v>6481.21925</v>
      </c>
      <c r="E4888" s="7" t="n">
        <f aca="false">B4888/MAX(B4637:B4888)-1</f>
        <v>0</v>
      </c>
      <c r="F4888" s="7" t="str">
        <f aca="false">IFERROR(INDEX(02_轉折點45個!B:B,MATCH(A4888,02_轉折點45個!A:A,0)),"")</f>
        <v/>
      </c>
      <c r="G4888" s="7" t="s">
        <v>5494</v>
      </c>
    </row>
    <row r="4889" customFormat="false" ht="15" hidden="false" customHeight="false" outlineLevel="0" collapsed="false">
      <c r="A4889" s="7" t="s">
        <v>5871</v>
      </c>
      <c r="B4889" s="7" t="n">
        <v>7166.75</v>
      </c>
      <c r="C4889" s="7" t="n">
        <f aca="false">AVERAGE(B4840:B4889)</f>
        <v>6754.7032</v>
      </c>
      <c r="D4889" s="7" t="n">
        <f aca="false">AVERAGE(B4690:B4889)</f>
        <v>6488.0714</v>
      </c>
      <c r="E4889" s="7" t="n">
        <f aca="false">B4889/MAX(B4638:B4889)-1</f>
        <v>0</v>
      </c>
      <c r="F4889" s="7" t="str">
        <f aca="false">IFERROR(INDEX(02_轉折點45個!B:B,MATCH(A4889,02_轉折點45個!A:A,0)),"")</f>
        <v/>
      </c>
      <c r="G4889" s="7" t="s">
        <v>5494</v>
      </c>
    </row>
    <row r="4890" customFormat="false" ht="15" hidden="false" customHeight="false" outlineLevel="0" collapsed="false">
      <c r="A4890" s="7" t="s">
        <v>5872</v>
      </c>
      <c r="B4890" s="7" t="n">
        <v>7210.08</v>
      </c>
      <c r="C4890" s="7" t="n">
        <f aca="false">AVERAGE(B4841:B4890)</f>
        <v>6763.8282</v>
      </c>
      <c r="D4890" s="7" t="n">
        <f aca="false">AVERAGE(B4691:B4890)</f>
        <v>6495.16725</v>
      </c>
      <c r="E4890" s="7" t="n">
        <f aca="false">B4890/MAX(B4639:B4890)-1</f>
        <v>0</v>
      </c>
      <c r="F4890" s="7" t="str">
        <f aca="false">IFERROR(INDEX(02_轉折點45個!B:B,MATCH(A4890,02_轉折點45個!A:A,0)),"")</f>
        <v/>
      </c>
      <c r="G4890" s="7" t="s">
        <v>5494</v>
      </c>
    </row>
    <row r="4891" customFormat="false" ht="15" hidden="false" customHeight="false" outlineLevel="0" collapsed="false">
      <c r="A4891" s="7" t="s">
        <v>5873</v>
      </c>
      <c r="B4891" s="7" t="n">
        <v>7152.83</v>
      </c>
      <c r="C4891" s="7" t="n">
        <f aca="false">AVERAGE(B4842:B4891)</f>
        <v>6776.288</v>
      </c>
      <c r="D4891" s="7" t="n">
        <f aca="false">AVERAGE(B4692:B4891)</f>
        <v>6501.9987</v>
      </c>
      <c r="E4891" s="7" t="n">
        <f aca="false">B4891/MAX(B4640:B4891)-1</f>
        <v>-0.00794027250737861</v>
      </c>
      <c r="F4891" s="7" t="str">
        <f aca="false">IFERROR(INDEX(02_轉折點45個!B:B,MATCH(A4891,02_轉折點45個!A:A,0)),"")</f>
        <v/>
      </c>
      <c r="G4891" s="7" t="s">
        <v>5494</v>
      </c>
    </row>
    <row r="4892" customFormat="false" ht="15" hidden="false" customHeight="false" outlineLevel="0" collapsed="false">
      <c r="A4892" s="7" t="s">
        <v>5874</v>
      </c>
      <c r="B4892" s="7" t="n">
        <v>7152.62</v>
      </c>
      <c r="C4892" s="7" t="n">
        <f aca="false">AVERAGE(B4843:B4892)</f>
        <v>6790.1242</v>
      </c>
      <c r="D4892" s="7" t="n">
        <f aca="false">AVERAGE(B4693:B4892)</f>
        <v>6508.39515</v>
      </c>
      <c r="E4892" s="7" t="n">
        <f aca="false">B4892/MAX(B4641:B4892)-1</f>
        <v>-0.00796939839779864</v>
      </c>
      <c r="F4892" s="7" t="str">
        <f aca="false">IFERROR(INDEX(02_轉折點45個!B:B,MATCH(A4892,02_轉折點45個!A:A,0)),"")</f>
        <v/>
      </c>
      <c r="G4892" s="7" t="s">
        <v>5494</v>
      </c>
    </row>
    <row r="4893" customFormat="false" ht="15" hidden="false" customHeight="false" outlineLevel="0" collapsed="false">
      <c r="A4893" s="7" t="s">
        <v>5875</v>
      </c>
      <c r="B4893" s="7" t="n">
        <v>7168.48</v>
      </c>
      <c r="C4893" s="7" t="n">
        <f aca="false">AVERAGE(B4844:B4893)</f>
        <v>6801.8712</v>
      </c>
      <c r="D4893" s="7" t="n">
        <f aca="false">AVERAGE(B4694:B4893)</f>
        <v>6514.97865</v>
      </c>
      <c r="E4893" s="7" t="n">
        <f aca="false">B4893/MAX(B4642:B4893)-1</f>
        <v>-0.00576970019750134</v>
      </c>
      <c r="F4893" s="7" t="str">
        <f aca="false">IFERROR(INDEX(02_轉折點45個!B:B,MATCH(A4893,02_轉折點45個!A:A,0)),"")</f>
        <v/>
      </c>
      <c r="G4893" s="7" t="s">
        <v>5494</v>
      </c>
    </row>
    <row r="4894" customFormat="false" ht="15" hidden="false" customHeight="false" outlineLevel="0" collapsed="false">
      <c r="A4894" s="7" t="s">
        <v>5876</v>
      </c>
      <c r="B4894" s="7" t="n">
        <v>7209.18</v>
      </c>
      <c r="C4894" s="7" t="n">
        <f aca="false">AVERAGE(B4845:B4894)</f>
        <v>6818.238</v>
      </c>
      <c r="D4894" s="7" t="n">
        <f aca="false">AVERAGE(B4695:B4894)</f>
        <v>6521.85235</v>
      </c>
      <c r="E4894" s="7" t="n">
        <f aca="false">B4894/MAX(B4643:B4894)-1</f>
        <v>-0.000124825244657401</v>
      </c>
      <c r="F4894" s="7" t="str">
        <f aca="false">IFERROR(INDEX(02_轉折點45個!B:B,MATCH(A4894,02_轉折點45個!A:A,0)),"")</f>
        <v/>
      </c>
      <c r="G4894" s="7" t="s">
        <v>5494</v>
      </c>
    </row>
    <row r="4895" customFormat="false" ht="15" hidden="false" customHeight="false" outlineLevel="0" collapsed="false">
      <c r="A4895" s="7" t="s">
        <v>5877</v>
      </c>
      <c r="B4895" s="7" t="n">
        <v>7205.26</v>
      </c>
      <c r="C4895" s="7" t="n">
        <f aca="false">AVERAGE(B4846:B4895)</f>
        <v>6833.1666</v>
      </c>
      <c r="D4895" s="7" t="n">
        <f aca="false">AVERAGE(B4696:B4895)</f>
        <v>6528.766</v>
      </c>
      <c r="E4895" s="7" t="n">
        <f aca="false">B4895/MAX(B4644:B4895)-1</f>
        <v>-0.00066850853249889</v>
      </c>
      <c r="F4895" s="7" t="str">
        <f aca="false">IFERROR(INDEX(02_轉折點45個!B:B,MATCH(A4895,02_轉折點45個!A:A,0)),"")</f>
        <v/>
      </c>
      <c r="G4895" s="7" t="s">
        <v>5494</v>
      </c>
    </row>
    <row r="4896" customFormat="false" ht="15" hidden="false" customHeight="false" outlineLevel="0" collapsed="false">
      <c r="A4896" s="7" t="s">
        <v>5878</v>
      </c>
      <c r="B4896" s="7" t="n">
        <v>7279.59</v>
      </c>
      <c r="C4896" s="7" t="n">
        <f aca="false">AVERAGE(B4847:B4896)</f>
        <v>6847.5572</v>
      </c>
      <c r="D4896" s="7" t="n">
        <f aca="false">AVERAGE(B4697:B4896)</f>
        <v>6535.97355</v>
      </c>
      <c r="E4896" s="7" t="n">
        <f aca="false">B4896/MAX(B4645:B4896)-1</f>
        <v>0</v>
      </c>
      <c r="F4896" s="7" t="str">
        <f aca="false">IFERROR(INDEX(02_轉折點45個!B:B,MATCH(A4896,02_轉折點45個!A:A,0)),"")</f>
        <v/>
      </c>
      <c r="G4896" s="7" t="s">
        <v>5494</v>
      </c>
    </row>
    <row r="4897" customFormat="false" ht="15" hidden="false" customHeight="false" outlineLevel="0" collapsed="false">
      <c r="A4897" s="7" t="s">
        <v>5879</v>
      </c>
      <c r="B4897" s="7" t="n">
        <v>7255.76</v>
      </c>
      <c r="C4897" s="7" t="n">
        <f aca="false">AVERAGE(B4848:B4897)</f>
        <v>6860.7756</v>
      </c>
      <c r="D4897" s="7" t="n">
        <f aca="false">AVERAGE(B4698:B4897)</f>
        <v>6542.94165</v>
      </c>
      <c r="E4897" s="7" t="n">
        <f aca="false">B4897/MAX(B4646:B4897)-1</f>
        <v>-0.00327353600958291</v>
      </c>
      <c r="F4897" s="7" t="str">
        <f aca="false">IFERROR(INDEX(02_轉折點45個!B:B,MATCH(A4897,02_轉折點45個!A:A,0)),"")</f>
        <v/>
      </c>
      <c r="G4897" s="7" t="s">
        <v>5494</v>
      </c>
    </row>
    <row r="4898" customFormat="false" ht="15" hidden="false" customHeight="false" outlineLevel="0" collapsed="false">
      <c r="A4898" s="7" t="s">
        <v>5880</v>
      </c>
      <c r="B4898" s="7" t="n">
        <v>7251.41</v>
      </c>
      <c r="C4898" s="7" t="n">
        <f aca="false">AVERAGE(B4849:B4898)</f>
        <v>6877.1396</v>
      </c>
      <c r="D4898" s="7" t="n">
        <f aca="false">AVERAGE(B4699:B4898)</f>
        <v>6549.5342</v>
      </c>
      <c r="E4898" s="7" t="n">
        <f aca="false">B4898/MAX(B4647:B4898)-1</f>
        <v>-0.00387109713596512</v>
      </c>
      <c r="F4898" s="7" t="str">
        <f aca="false">IFERROR(INDEX(02_轉折點45個!B:B,MATCH(A4898,02_轉折點45個!A:A,0)),"")</f>
        <v/>
      </c>
      <c r="G4898" s="7" t="s">
        <v>5494</v>
      </c>
    </row>
    <row r="4899" customFormat="false" ht="15" hidden="false" customHeight="false" outlineLevel="0" collapsed="false">
      <c r="A4899" s="7" t="s">
        <v>5881</v>
      </c>
      <c r="B4899" s="7" t="n">
        <v>7228.04</v>
      </c>
      <c r="C4899" s="7" t="n">
        <f aca="false">AVERAGE(B4850:B4899)</f>
        <v>6892.2536</v>
      </c>
      <c r="D4899" s="7" t="n">
        <f aca="false">AVERAGE(B4700:B4899)</f>
        <v>6555.7314</v>
      </c>
      <c r="E4899" s="7" t="n">
        <f aca="false">B4899/MAX(B4648:B4899)-1</f>
        <v>-0.00708144277356282</v>
      </c>
      <c r="F4899" s="7" t="str">
        <f aca="false">IFERROR(INDEX(02_轉折點45個!B:B,MATCH(A4899,02_轉折點45個!A:A,0)),"")</f>
        <v/>
      </c>
      <c r="G4899" s="7" t="s">
        <v>5494</v>
      </c>
    </row>
    <row r="4900" customFormat="false" ht="15" hidden="false" customHeight="false" outlineLevel="0" collapsed="false">
      <c r="A4900" s="7" t="s">
        <v>1368</v>
      </c>
      <c r="B4900" s="7" t="n">
        <v>7280.7</v>
      </c>
      <c r="C4900" s="7" t="n">
        <f aca="false">AVERAGE(B4851:B4900)</f>
        <v>6905.5502</v>
      </c>
      <c r="D4900" s="7" t="n">
        <f aca="false">AVERAGE(B4701:B4900)</f>
        <v>6562.1954</v>
      </c>
      <c r="E4900" s="7" t="n">
        <f aca="false">B4900/MAX(B4649:B4900)-1</f>
        <v>0</v>
      </c>
      <c r="F4900" s="7" t="str">
        <f aca="false">IFERROR(INDEX(02_轉折點45個!B:B,MATCH(A4900,02_轉折點45個!A:A,0)),"")</f>
        <v/>
      </c>
      <c r="G4900" s="7" t="s">
        <v>5494</v>
      </c>
    </row>
    <row r="4901" customFormat="false" ht="15" hidden="false" customHeight="false" outlineLevel="0" collapsed="false">
      <c r="A4901" s="7" t="s">
        <v>5882</v>
      </c>
      <c r="B4901" s="7" t="n">
        <v>7217.49</v>
      </c>
      <c r="C4901" s="7" t="n">
        <f aca="false">AVERAGE(B4852:B4901)</f>
        <v>6918.2312</v>
      </c>
      <c r="D4901" s="7" t="n">
        <f aca="false">AVERAGE(B4702:B4901)</f>
        <v>6568.6192</v>
      </c>
      <c r="E4901" s="7" t="n">
        <f aca="false">B4901/MAX(B4650:B4901)-1</f>
        <v>-0.00868185751370065</v>
      </c>
      <c r="F4901" s="7" t="str">
        <f aca="false">IFERROR(INDEX(02_轉折點45個!B:B,MATCH(A4901,02_轉折點45個!A:A,0)),"")</f>
        <v/>
      </c>
      <c r="G4901" s="7" t="s">
        <v>5494</v>
      </c>
    </row>
    <row r="4902" customFormat="false" ht="15" hidden="false" customHeight="false" outlineLevel="0" collapsed="false">
      <c r="A4902" s="7" t="s">
        <v>5883</v>
      </c>
      <c r="B4902" s="7" t="n">
        <v>7197.51</v>
      </c>
      <c r="C4902" s="7" t="n">
        <f aca="false">AVERAGE(B4853:B4902)</f>
        <v>6929.0562</v>
      </c>
      <c r="D4902" s="7" t="n">
        <f aca="false">AVERAGE(B4703:B4902)</f>
        <v>6574.8511</v>
      </c>
      <c r="E4902" s="7" t="n">
        <f aca="false">B4902/MAX(B4651:B4902)-1</f>
        <v>-0.011426099138819</v>
      </c>
      <c r="F4902" s="7" t="str">
        <f aca="false">IFERROR(INDEX(02_轉折點45個!B:B,MATCH(A4902,02_轉折點45個!A:A,0)),"")</f>
        <v/>
      </c>
      <c r="G4902" s="7" t="s">
        <v>5494</v>
      </c>
    </row>
    <row r="4903" customFormat="false" ht="15" hidden="false" customHeight="false" outlineLevel="0" collapsed="false">
      <c r="A4903" s="7" t="s">
        <v>1369</v>
      </c>
      <c r="B4903" s="7" t="n">
        <v>7038.17</v>
      </c>
      <c r="C4903" s="7" t="n">
        <f aca="false">AVERAGE(B4854:B4903)</f>
        <v>6937.2528</v>
      </c>
      <c r="D4903" s="7" t="n">
        <f aca="false">AVERAGE(B4704:B4903)</f>
        <v>6580.2204</v>
      </c>
      <c r="E4903" s="7" t="n">
        <f aca="false">B4903/MAX(B4652:B4903)-1</f>
        <v>-0.0333113574244235</v>
      </c>
      <c r="F4903" s="7" t="str">
        <f aca="false">IFERROR(INDEX(02_轉折點45個!B:B,MATCH(A4903,02_轉折點45個!A:A,0)),"")</f>
        <v/>
      </c>
      <c r="G4903" s="7" t="s">
        <v>5494</v>
      </c>
    </row>
    <row r="4904" customFormat="false" ht="15" hidden="false" customHeight="false" outlineLevel="0" collapsed="false">
      <c r="A4904" s="7" t="s">
        <v>1370</v>
      </c>
      <c r="B4904" s="7" t="n">
        <v>7068.2</v>
      </c>
      <c r="C4904" s="7" t="n">
        <f aca="false">AVERAGE(B4855:B4904)</f>
        <v>6945.1132</v>
      </c>
      <c r="D4904" s="7" t="n">
        <f aca="false">AVERAGE(B4705:B4904)</f>
        <v>6585.99455</v>
      </c>
      <c r="E4904" s="7" t="n">
        <f aca="false">B4904/MAX(B4653:B4904)-1</f>
        <v>-0.0291867540209045</v>
      </c>
      <c r="F4904" s="7" t="str">
        <f aca="false">IFERROR(INDEX(02_轉折點45個!B:B,MATCH(A4904,02_轉折點45個!A:A,0)),"")</f>
        <v/>
      </c>
      <c r="G4904" s="7" t="s">
        <v>5494</v>
      </c>
    </row>
    <row r="4905" customFormat="false" ht="15" hidden="false" customHeight="false" outlineLevel="0" collapsed="false">
      <c r="A4905" s="7" t="s">
        <v>5884</v>
      </c>
      <c r="B4905" s="7" t="n">
        <v>6969.67</v>
      </c>
      <c r="C4905" s="7" t="n">
        <f aca="false">AVERAGE(B4856:B4905)</f>
        <v>6948.1792</v>
      </c>
      <c r="D4905" s="7" t="n">
        <f aca="false">AVERAGE(B4706:B4905)</f>
        <v>6590.94025</v>
      </c>
      <c r="E4905" s="7" t="n">
        <f aca="false">B4905/MAX(B4654:B4905)-1</f>
        <v>-0.0427197934264563</v>
      </c>
      <c r="F4905" s="7" t="str">
        <f aca="false">IFERROR(INDEX(02_轉折點45個!B:B,MATCH(A4905,02_轉折點45個!A:A,0)),"")</f>
        <v/>
      </c>
      <c r="G4905" s="7" t="s">
        <v>5494</v>
      </c>
    </row>
    <row r="4906" customFormat="false" ht="15" hidden="false" customHeight="false" outlineLevel="0" collapsed="false">
      <c r="A4906" s="7" t="s">
        <v>5885</v>
      </c>
      <c r="B4906" s="7" t="n">
        <v>7031.6</v>
      </c>
      <c r="C4906" s="7" t="n">
        <f aca="false">AVERAGE(B4857:B4906)</f>
        <v>6952.147</v>
      </c>
      <c r="D4906" s="7" t="n">
        <f aca="false">AVERAGE(B4707:B4906)</f>
        <v>6596.12005</v>
      </c>
      <c r="E4906" s="7" t="n">
        <f aca="false">B4906/MAX(B4655:B4906)-1</f>
        <v>-0.0342137431840345</v>
      </c>
      <c r="F4906" s="7" t="str">
        <f aca="false">IFERROR(INDEX(02_轉折點45個!B:B,MATCH(A4906,02_轉折點45個!A:A,0)),"")</f>
        <v/>
      </c>
      <c r="G4906" s="7" t="s">
        <v>5494</v>
      </c>
    </row>
    <row r="4907" customFormat="false" ht="15" hidden="false" customHeight="false" outlineLevel="0" collapsed="false">
      <c r="A4907" s="7" t="s">
        <v>5886</v>
      </c>
      <c r="B4907" s="7" t="n">
        <v>7040.8</v>
      </c>
      <c r="C4907" s="7" t="n">
        <f aca="false">AVERAGE(B4858:B4907)</f>
        <v>6957.4652</v>
      </c>
      <c r="D4907" s="7" t="n">
        <f aca="false">AVERAGE(B4708:B4907)</f>
        <v>6601.30215</v>
      </c>
      <c r="E4907" s="7" t="n">
        <f aca="false">B4907/MAX(B4656:B4907)-1</f>
        <v>-0.0329501284217176</v>
      </c>
      <c r="F4907" s="7" t="str">
        <f aca="false">IFERROR(INDEX(02_轉折點45個!B:B,MATCH(A4907,02_轉折點45個!A:A,0)),"")</f>
        <v/>
      </c>
      <c r="G4907" s="7" t="s">
        <v>5494</v>
      </c>
    </row>
    <row r="4908" customFormat="false" ht="15" hidden="false" customHeight="false" outlineLevel="0" collapsed="false">
      <c r="A4908" s="7" t="s">
        <v>1371</v>
      </c>
      <c r="B4908" s="7" t="n">
        <v>7097.82</v>
      </c>
      <c r="C4908" s="7" t="n">
        <f aca="false">AVERAGE(B4859:B4908)</f>
        <v>6966.0666</v>
      </c>
      <c r="D4908" s="7" t="n">
        <f aca="false">AVERAGE(B4709:B4908)</f>
        <v>6606.94715</v>
      </c>
      <c r="E4908" s="7" t="n">
        <f aca="false">B4908/MAX(B4657:B4908)-1</f>
        <v>-0.0251184638839672</v>
      </c>
      <c r="F4908" s="7" t="str">
        <f aca="false">IFERROR(INDEX(02_轉折點45個!B:B,MATCH(A4908,02_轉折點45個!A:A,0)),"")</f>
        <v/>
      </c>
      <c r="G4908" s="7" t="s">
        <v>5494</v>
      </c>
    </row>
    <row r="4909" customFormat="false" ht="15" hidden="false" customHeight="false" outlineLevel="0" collapsed="false">
      <c r="A4909" s="7" t="s">
        <v>1372</v>
      </c>
      <c r="B4909" s="7" t="n">
        <v>7014.55</v>
      </c>
      <c r="C4909" s="7" t="n">
        <f aca="false">AVERAGE(B4860:B4909)</f>
        <v>6973.3816</v>
      </c>
      <c r="D4909" s="7" t="n">
        <f aca="false">AVERAGE(B4710:B4909)</f>
        <v>6612.0799</v>
      </c>
      <c r="E4909" s="7" t="n">
        <f aca="false">B4909/MAX(B4658:B4909)-1</f>
        <v>-0.0365555509772412</v>
      </c>
      <c r="F4909" s="7" t="str">
        <f aca="false">IFERROR(INDEX(02_轉折點45個!B:B,MATCH(A4909,02_轉折點45個!A:A,0)),"")</f>
        <v/>
      </c>
      <c r="G4909" s="7" t="s">
        <v>5494</v>
      </c>
    </row>
    <row r="4910" customFormat="false" ht="15" hidden="false" customHeight="false" outlineLevel="0" collapsed="false">
      <c r="A4910" s="7" t="s">
        <v>5887</v>
      </c>
      <c r="B4910" s="7" t="n">
        <v>7101.05</v>
      </c>
      <c r="C4910" s="7" t="n">
        <f aca="false">AVERAGE(B4861:B4910)</f>
        <v>6985.2216</v>
      </c>
      <c r="D4910" s="7" t="n">
        <f aca="false">AVERAGE(B4711:B4910)</f>
        <v>6617.67955</v>
      </c>
      <c r="E4910" s="7" t="n">
        <f aca="false">B4910/MAX(B4659:B4910)-1</f>
        <v>-0.0246748252228494</v>
      </c>
      <c r="F4910" s="7" t="str">
        <f aca="false">IFERROR(INDEX(02_轉折點45個!B:B,MATCH(A4910,02_轉折點45個!A:A,0)),"")</f>
        <v/>
      </c>
      <c r="G4910" s="7" t="s">
        <v>5494</v>
      </c>
    </row>
    <row r="4911" customFormat="false" ht="15" hidden="false" customHeight="false" outlineLevel="0" collapsed="false">
      <c r="A4911" s="7" t="s">
        <v>5888</v>
      </c>
      <c r="B4911" s="7" t="n">
        <v>7207.33</v>
      </c>
      <c r="C4911" s="7" t="n">
        <f aca="false">AVERAGE(B4862:B4911)</f>
        <v>6999.0894</v>
      </c>
      <c r="D4911" s="7" t="n">
        <f aca="false">AVERAGE(B4712:B4911)</f>
        <v>6623.7608</v>
      </c>
      <c r="E4911" s="7" t="n">
        <f aca="false">B4911/MAX(B4660:B4911)-1</f>
        <v>-0.0100773277294766</v>
      </c>
      <c r="F4911" s="7" t="str">
        <f aca="false">IFERROR(INDEX(02_轉折點45個!B:B,MATCH(A4911,02_轉折點45個!A:A,0)),"")</f>
        <v/>
      </c>
      <c r="G4911" s="7" t="s">
        <v>5494</v>
      </c>
    </row>
    <row r="4912" customFormat="false" ht="15" hidden="false" customHeight="false" outlineLevel="0" collapsed="false">
      <c r="A4912" s="7" t="s">
        <v>5889</v>
      </c>
      <c r="B4912" s="7" t="n">
        <v>7276</v>
      </c>
      <c r="C4912" s="7" t="n">
        <f aca="false">AVERAGE(B4863:B4912)</f>
        <v>7011.6164</v>
      </c>
      <c r="D4912" s="7" t="n">
        <f aca="false">AVERAGE(B4713:B4912)</f>
        <v>6630.27275</v>
      </c>
      <c r="E4912" s="7" t="n">
        <f aca="false">B4912/MAX(B4661:B4912)-1</f>
        <v>-0.000645542324227089</v>
      </c>
      <c r="F4912" s="7" t="str">
        <f aca="false">IFERROR(INDEX(02_轉折點45個!B:B,MATCH(A4912,02_轉折點45個!A:A,0)),"")</f>
        <v/>
      </c>
      <c r="G4912" s="7" t="s">
        <v>5494</v>
      </c>
    </row>
    <row r="4913" customFormat="false" ht="15" hidden="false" customHeight="false" outlineLevel="0" collapsed="false">
      <c r="A4913" s="7" t="s">
        <v>1373</v>
      </c>
      <c r="B4913" s="7" t="n">
        <v>7282.6</v>
      </c>
      <c r="C4913" s="7" t="n">
        <f aca="false">AVERAGE(B4864:B4913)</f>
        <v>7024.1414</v>
      </c>
      <c r="D4913" s="7" t="n">
        <f aca="false">AVERAGE(B4714:B4913)</f>
        <v>6637.0112</v>
      </c>
      <c r="E4913" s="7" t="n">
        <f aca="false">B4913/MAX(B4662:B4913)-1</f>
        <v>0</v>
      </c>
      <c r="F4913" s="7" t="str">
        <f aca="false">IFERROR(INDEX(02_轉折點45個!B:B,MATCH(A4913,02_轉折點45個!A:A,0)),"")</f>
        <v/>
      </c>
      <c r="G4913" s="7" t="s">
        <v>5494</v>
      </c>
    </row>
    <row r="4914" customFormat="false" ht="15" hidden="false" customHeight="false" outlineLevel="0" collapsed="false">
      <c r="A4914" s="7" t="s">
        <v>5890</v>
      </c>
      <c r="B4914" s="7" t="n">
        <v>7243.98</v>
      </c>
      <c r="C4914" s="7" t="n">
        <f aca="false">AVERAGE(B4865:B4914)</f>
        <v>7036.9096</v>
      </c>
      <c r="D4914" s="7" t="n">
        <f aca="false">AVERAGE(B4715:B4914)</f>
        <v>6643.5695</v>
      </c>
      <c r="E4914" s="7" t="n">
        <f aca="false">B4914/MAX(B4663:B4914)-1</f>
        <v>-0.00530305110812079</v>
      </c>
      <c r="F4914" s="7" t="str">
        <f aca="false">IFERROR(INDEX(02_轉折點45個!B:B,MATCH(A4914,02_轉折點45個!A:A,0)),"")</f>
        <v/>
      </c>
      <c r="G4914" s="7" t="s">
        <v>5494</v>
      </c>
    </row>
    <row r="4915" customFormat="false" ht="15" hidden="false" customHeight="false" outlineLevel="0" collapsed="false">
      <c r="A4915" s="7" t="s">
        <v>1374</v>
      </c>
      <c r="B4915" s="7" t="n">
        <v>7366.25</v>
      </c>
      <c r="C4915" s="7" t="n">
        <f aca="false">AVERAGE(B4866:B4915)</f>
        <v>7050.5954</v>
      </c>
      <c r="D4915" s="7" t="n">
        <f aca="false">AVERAGE(B4716:B4915)</f>
        <v>6651.064</v>
      </c>
      <c r="E4915" s="7" t="n">
        <f aca="false">B4915/MAX(B4664:B4915)-1</f>
        <v>0</v>
      </c>
      <c r="F4915" s="7" t="str">
        <f aca="false">IFERROR(INDEX(02_轉折點45個!B:B,MATCH(A4915,02_轉折點45個!A:A,0)),"")</f>
        <v/>
      </c>
      <c r="G4915" s="7" t="s">
        <v>5494</v>
      </c>
    </row>
    <row r="4916" customFormat="false" ht="15" hidden="false" customHeight="false" outlineLevel="0" collapsed="false">
      <c r="A4916" s="7" t="s">
        <v>1375</v>
      </c>
      <c r="B4916" s="7" t="n">
        <v>7375.82</v>
      </c>
      <c r="C4916" s="7" t="n">
        <f aca="false">AVERAGE(B4867:B4916)</f>
        <v>7065.2222</v>
      </c>
      <c r="D4916" s="7" t="n">
        <f aca="false">AVERAGE(B4717:B4916)</f>
        <v>6658.5364</v>
      </c>
      <c r="E4916" s="7" t="n">
        <f aca="false">B4916/MAX(B4665:B4916)-1</f>
        <v>0</v>
      </c>
      <c r="F4916" s="7" t="str">
        <f aca="false">IFERROR(INDEX(02_轉折點45個!B:B,MATCH(A4916,02_轉折點45個!A:A,0)),"")</f>
        <v/>
      </c>
      <c r="G4916" s="7" t="s">
        <v>5494</v>
      </c>
    </row>
    <row r="4917" customFormat="false" ht="15" hidden="false" customHeight="false" outlineLevel="0" collapsed="false">
      <c r="A4917" s="7" t="s">
        <v>5891</v>
      </c>
      <c r="B4917" s="7" t="n">
        <v>7357.9</v>
      </c>
      <c r="C4917" s="7" t="n">
        <f aca="false">AVERAGE(B4868:B4917)</f>
        <v>7079.5106</v>
      </c>
      <c r="D4917" s="7" t="n">
        <f aca="false">AVERAGE(B4718:B4917)</f>
        <v>6665.63695</v>
      </c>
      <c r="E4917" s="7" t="n">
        <f aca="false">B4917/MAX(B4666:B4917)-1</f>
        <v>-0.0024295603743042</v>
      </c>
      <c r="F4917" s="7" t="str">
        <f aca="false">IFERROR(INDEX(02_轉折點45個!B:B,MATCH(A4917,02_轉折點45個!A:A,0)),"")</f>
        <v/>
      </c>
      <c r="G4917" s="7" t="s">
        <v>5494</v>
      </c>
    </row>
    <row r="4918" customFormat="false" ht="15" hidden="false" customHeight="false" outlineLevel="0" collapsed="false">
      <c r="A4918" s="7" t="s">
        <v>1376</v>
      </c>
      <c r="B4918" s="7" t="n">
        <v>7403.89</v>
      </c>
      <c r="C4918" s="7" t="n">
        <f aca="false">AVERAGE(B4869:B4918)</f>
        <v>7092.206</v>
      </c>
      <c r="D4918" s="7" t="n">
        <f aca="false">AVERAGE(B4719:B4918)</f>
        <v>6672.99105</v>
      </c>
      <c r="E4918" s="7" t="n">
        <f aca="false">B4918/MAX(B4667:B4918)-1</f>
        <v>0</v>
      </c>
      <c r="F4918" s="7" t="str">
        <f aca="false">IFERROR(INDEX(02_轉折點45個!B:B,MATCH(A4918,02_轉折點45個!A:A,0)),"")</f>
        <v/>
      </c>
      <c r="G4918" s="7" t="s">
        <v>5494</v>
      </c>
    </row>
    <row r="4919" customFormat="false" ht="15" hidden="false" customHeight="false" outlineLevel="0" collapsed="false">
      <c r="A4919" s="7" t="s">
        <v>5892</v>
      </c>
      <c r="B4919" s="7" t="n">
        <v>7390.13</v>
      </c>
      <c r="C4919" s="7" t="n">
        <f aca="false">AVERAGE(B4870:B4919)</f>
        <v>7103.5712</v>
      </c>
      <c r="D4919" s="7" t="n">
        <f aca="false">AVERAGE(B4720:B4919)</f>
        <v>6680.0452</v>
      </c>
      <c r="E4919" s="7" t="n">
        <f aca="false">B4919/MAX(B4668:B4919)-1</f>
        <v>-0.00185848250041532</v>
      </c>
      <c r="F4919" s="7" t="str">
        <f aca="false">IFERROR(INDEX(02_轉折點45個!B:B,MATCH(A4919,02_轉折點45個!A:A,0)),"")</f>
        <v/>
      </c>
      <c r="G4919" s="7" t="s">
        <v>5494</v>
      </c>
    </row>
    <row r="4920" customFormat="false" ht="15" hidden="false" customHeight="false" outlineLevel="0" collapsed="false">
      <c r="A4920" s="7" t="s">
        <v>5893</v>
      </c>
      <c r="B4920" s="7" t="n">
        <v>7352.36</v>
      </c>
      <c r="C4920" s="7" t="n">
        <f aca="false">AVERAGE(B4871:B4920)</f>
        <v>7114.3088</v>
      </c>
      <c r="D4920" s="7" t="n">
        <f aca="false">AVERAGE(B4721:B4920)</f>
        <v>6686.8974</v>
      </c>
      <c r="E4920" s="7" t="n">
        <f aca="false">B4920/MAX(B4669:B4920)-1</f>
        <v>-0.00695985488709328</v>
      </c>
      <c r="F4920" s="7" t="str">
        <f aca="false">IFERROR(INDEX(02_轉折點45個!B:B,MATCH(A4920,02_轉折點45個!A:A,0)),"")</f>
        <v/>
      </c>
      <c r="G4920" s="7" t="s">
        <v>5494</v>
      </c>
    </row>
    <row r="4921" customFormat="false" ht="15" hidden="false" customHeight="false" outlineLevel="0" collapsed="false">
      <c r="A4921" s="7" t="s">
        <v>5894</v>
      </c>
      <c r="B4921" s="7" t="n">
        <v>7350.23</v>
      </c>
      <c r="C4921" s="7" t="n">
        <f aca="false">AVERAGE(B4872:B4921)</f>
        <v>7123.4492</v>
      </c>
      <c r="D4921" s="7" t="n">
        <f aca="false">AVERAGE(B4722:B4921)</f>
        <v>6693.67325</v>
      </c>
      <c r="E4921" s="7" t="n">
        <f aca="false">B4921/MAX(B4670:B4921)-1</f>
        <v>-0.007247541495079</v>
      </c>
      <c r="F4921" s="7" t="str">
        <f aca="false">IFERROR(INDEX(02_轉折點45個!B:B,MATCH(A4921,02_轉折點45個!A:A,0)),"")</f>
        <v/>
      </c>
      <c r="G4921" s="7" t="s">
        <v>5494</v>
      </c>
    </row>
    <row r="4922" customFormat="false" ht="15" hidden="false" customHeight="false" outlineLevel="0" collapsed="false">
      <c r="A4922" s="7" t="s">
        <v>5895</v>
      </c>
      <c r="B4922" s="7" t="n">
        <v>7371.78</v>
      </c>
      <c r="C4922" s="7" t="n">
        <f aca="false">AVERAGE(B4873:B4922)</f>
        <v>7131.6138</v>
      </c>
      <c r="D4922" s="7" t="n">
        <f aca="false">AVERAGE(B4723:B4922)</f>
        <v>6700.53795</v>
      </c>
      <c r="E4922" s="7" t="n">
        <f aca="false">B4922/MAX(B4671:B4922)-1</f>
        <v>-0.00433690938141984</v>
      </c>
      <c r="F4922" s="7" t="str">
        <f aca="false">IFERROR(INDEX(02_轉折點45個!B:B,MATCH(A4922,02_轉折點45個!A:A,0)),"")</f>
        <v/>
      </c>
      <c r="G4922" s="7" t="s">
        <v>5494</v>
      </c>
    </row>
    <row r="4923" customFormat="false" ht="15" hidden="false" customHeight="false" outlineLevel="0" collapsed="false">
      <c r="A4923" s="7" t="s">
        <v>5896</v>
      </c>
      <c r="B4923" s="7" t="n">
        <v>7406.25</v>
      </c>
      <c r="C4923" s="7" t="n">
        <f aca="false">AVERAGE(B4874:B4923)</f>
        <v>7140.6876</v>
      </c>
      <c r="D4923" s="7" t="n">
        <f aca="false">AVERAGE(B4724:B4923)</f>
        <v>6707.2835</v>
      </c>
      <c r="E4923" s="7" t="n">
        <f aca="false">B4923/MAX(B4672:B4923)-1</f>
        <v>0</v>
      </c>
      <c r="F4923" s="7" t="str">
        <f aca="false">IFERROR(INDEX(02_轉折點45個!B:B,MATCH(A4923,02_轉折點45個!A:A,0)),"")</f>
        <v/>
      </c>
      <c r="G4923" s="7" t="s">
        <v>5494</v>
      </c>
    </row>
    <row r="4924" customFormat="false" ht="15" hidden="false" customHeight="false" outlineLevel="0" collapsed="false">
      <c r="A4924" s="7" t="s">
        <v>5897</v>
      </c>
      <c r="B4924" s="7" t="n">
        <v>7508.59</v>
      </c>
      <c r="C4924" s="7" t="n">
        <f aca="false">AVERAGE(B4875:B4924)</f>
        <v>7151.572</v>
      </c>
      <c r="D4924" s="7" t="n">
        <f aca="false">AVERAGE(B4725:B4924)</f>
        <v>6714.5036</v>
      </c>
      <c r="E4924" s="7" t="n">
        <f aca="false">B4924/MAX(B4673:B4924)-1</f>
        <v>0</v>
      </c>
      <c r="F4924" s="7" t="str">
        <f aca="false">IFERROR(INDEX(02_轉折點45個!B:B,MATCH(A4924,02_轉折點45個!A:A,0)),"")</f>
        <v/>
      </c>
      <c r="G4924" s="7" t="s">
        <v>5494</v>
      </c>
    </row>
    <row r="4925" customFormat="false" ht="15" hidden="false" customHeight="false" outlineLevel="0" collapsed="false">
      <c r="A4925" s="7" t="s">
        <v>5898</v>
      </c>
      <c r="B4925" s="7" t="n">
        <v>7400.75</v>
      </c>
      <c r="C4925" s="7" t="n">
        <f aca="false">AVERAGE(B4876:B4925)</f>
        <v>7161.8162</v>
      </c>
      <c r="D4925" s="7" t="n">
        <f aca="false">AVERAGE(B4726:B4925)</f>
        <v>6721.2147</v>
      </c>
      <c r="E4925" s="7" t="n">
        <f aca="false">B4925/MAX(B4674:B4925)-1</f>
        <v>-0.0143622171406349</v>
      </c>
      <c r="F4925" s="7" t="str">
        <f aca="false">IFERROR(INDEX(02_轉折點45個!B:B,MATCH(A4925,02_轉折點45個!A:A,0)),"")</f>
        <v/>
      </c>
      <c r="G4925" s="7" t="s">
        <v>5494</v>
      </c>
    </row>
    <row r="4926" customFormat="false" ht="15" hidden="false" customHeight="false" outlineLevel="0" collapsed="false">
      <c r="A4926" s="7" t="s">
        <v>5899</v>
      </c>
      <c r="B4926" s="7" t="n">
        <v>7296.78</v>
      </c>
      <c r="C4926" s="7" t="n">
        <f aca="false">AVERAGE(B4877:B4926)</f>
        <v>7169.1524</v>
      </c>
      <c r="D4926" s="7" t="n">
        <f aca="false">AVERAGE(B4727:B4926)</f>
        <v>6727.381</v>
      </c>
      <c r="E4926" s="7" t="n">
        <f aca="false">B4926/MAX(B4675:B4926)-1</f>
        <v>-0.0282090245971615</v>
      </c>
      <c r="F4926" s="7" t="str">
        <f aca="false">IFERROR(INDEX(02_轉折點45個!B:B,MATCH(A4926,02_轉折點45個!A:A,0)),"")</f>
        <v/>
      </c>
      <c r="G4926" s="7" t="s">
        <v>5494</v>
      </c>
    </row>
    <row r="4927" customFormat="false" ht="15" hidden="false" customHeight="false" outlineLevel="0" collapsed="false">
      <c r="A4927" s="7" t="s">
        <v>1377</v>
      </c>
      <c r="B4927" s="7" t="n">
        <v>7193.1</v>
      </c>
      <c r="C4927" s="7" t="n">
        <f aca="false">AVERAGE(B4878:B4927)</f>
        <v>7174.9818</v>
      </c>
      <c r="D4927" s="7" t="n">
        <f aca="false">AVERAGE(B4728:B4927)</f>
        <v>6732.94025</v>
      </c>
      <c r="E4927" s="7" t="n">
        <f aca="false">B4927/MAX(B4676:B4927)-1</f>
        <v>-0.0420172096225789</v>
      </c>
      <c r="F4927" s="7" t="str">
        <f aca="false">IFERROR(INDEX(02_轉折點45個!B:B,MATCH(A4927,02_轉折點45個!A:A,0)),"")</f>
        <v/>
      </c>
      <c r="G4927" s="7" t="s">
        <v>5494</v>
      </c>
    </row>
    <row r="4928" customFormat="false" ht="15" hidden="false" customHeight="false" outlineLevel="0" collapsed="false">
      <c r="A4928" s="7" t="s">
        <v>1378</v>
      </c>
      <c r="B4928" s="7" t="n">
        <v>7231.98</v>
      </c>
      <c r="C4928" s="7" t="n">
        <f aca="false">AVERAGE(B4879:B4928)</f>
        <v>7182.2964</v>
      </c>
      <c r="D4928" s="7" t="n">
        <f aca="false">AVERAGE(B4729:B4928)</f>
        <v>6738.7502</v>
      </c>
      <c r="E4928" s="7" t="n">
        <f aca="false">B4928/MAX(B4677:B4928)-1</f>
        <v>-0.0368391402380475</v>
      </c>
      <c r="F4928" s="7" t="str">
        <f aca="false">IFERROR(INDEX(02_轉折點45個!B:B,MATCH(A4928,02_轉折點45個!A:A,0)),"")</f>
        <v/>
      </c>
      <c r="G4928" s="7" t="s">
        <v>5494</v>
      </c>
    </row>
    <row r="4929" customFormat="false" ht="15" hidden="false" customHeight="false" outlineLevel="0" collapsed="false">
      <c r="A4929" s="7" t="s">
        <v>5900</v>
      </c>
      <c r="B4929" s="7" t="n">
        <v>7272.89</v>
      </c>
      <c r="C4929" s="7" t="n">
        <f aca="false">AVERAGE(B4880:B4929)</f>
        <v>7189.6436</v>
      </c>
      <c r="D4929" s="7" t="n">
        <f aca="false">AVERAGE(B4730:B4929)</f>
        <v>6744.6524</v>
      </c>
      <c r="E4929" s="7" t="n">
        <f aca="false">B4929/MAX(B4678:B4929)-1</f>
        <v>-0.0313907138357534</v>
      </c>
      <c r="F4929" s="7" t="str">
        <f aca="false">IFERROR(INDEX(02_轉折點45個!B:B,MATCH(A4929,02_轉折點45個!A:A,0)),"")</f>
        <v/>
      </c>
      <c r="G4929" s="7" t="s">
        <v>5494</v>
      </c>
    </row>
    <row r="4930" customFormat="false" ht="15" hidden="false" customHeight="false" outlineLevel="0" collapsed="false">
      <c r="A4930" s="7" t="s">
        <v>5901</v>
      </c>
      <c r="B4930" s="7" t="n">
        <v>7372.15</v>
      </c>
      <c r="C4930" s="7" t="n">
        <f aca="false">AVERAGE(B4881:B4930)</f>
        <v>7199.2142</v>
      </c>
      <c r="D4930" s="7" t="n">
        <f aca="false">AVERAGE(B4731:B4930)</f>
        <v>6750.9405</v>
      </c>
      <c r="E4930" s="7" t="n">
        <f aca="false">B4930/MAX(B4679:B4930)-1</f>
        <v>-0.0181711879327544</v>
      </c>
      <c r="F4930" s="7" t="str">
        <f aca="false">IFERROR(INDEX(02_轉折點45個!B:B,MATCH(A4930,02_轉折點45個!A:A,0)),"")</f>
        <v/>
      </c>
      <c r="G4930" s="7" t="s">
        <v>5494</v>
      </c>
    </row>
    <row r="4931" customFormat="false" ht="15" hidden="false" customHeight="false" outlineLevel="0" collapsed="false">
      <c r="A4931" s="7" t="s">
        <v>5902</v>
      </c>
      <c r="B4931" s="7" t="n">
        <v>7395.49</v>
      </c>
      <c r="C4931" s="7" t="n">
        <f aca="false">AVERAGE(B4882:B4931)</f>
        <v>7208.0514</v>
      </c>
      <c r="D4931" s="7" t="n">
        <f aca="false">AVERAGE(B4732:B4931)</f>
        <v>6757.3049</v>
      </c>
      <c r="E4931" s="7" t="n">
        <f aca="false">B4931/MAX(B4680:B4931)-1</f>
        <v>-0.0150627481324723</v>
      </c>
      <c r="F4931" s="7" t="str">
        <f aca="false">IFERROR(INDEX(02_轉折點45個!B:B,MATCH(A4931,02_轉折點45個!A:A,0)),"")</f>
        <v/>
      </c>
      <c r="G4931" s="7" t="s">
        <v>5494</v>
      </c>
    </row>
    <row r="4932" customFormat="false" ht="15" hidden="false" customHeight="false" outlineLevel="0" collapsed="false">
      <c r="A4932" s="7" t="s">
        <v>5903</v>
      </c>
      <c r="B4932" s="7" t="n">
        <v>7438.99</v>
      </c>
      <c r="C4932" s="7" t="n">
        <f aca="false">AVERAGE(B4883:B4932)</f>
        <v>7217.8372</v>
      </c>
      <c r="D4932" s="7" t="n">
        <f aca="false">AVERAGE(B4733:B4932)</f>
        <v>6763.9281</v>
      </c>
      <c r="E4932" s="7" t="n">
        <f aca="false">B4932/MAX(B4681:B4932)-1</f>
        <v>-0.00926938346613682</v>
      </c>
      <c r="F4932" s="7" t="str">
        <f aca="false">IFERROR(INDEX(02_轉折點45個!B:B,MATCH(A4932,02_轉折點45個!A:A,0)),"")</f>
        <v/>
      </c>
      <c r="G4932" s="7" t="s">
        <v>5494</v>
      </c>
    </row>
    <row r="4933" customFormat="false" ht="15" hidden="false" customHeight="false" outlineLevel="0" collapsed="false">
      <c r="A4933" s="7" t="s">
        <v>5904</v>
      </c>
      <c r="B4933" s="7" t="n">
        <v>7462.65</v>
      </c>
      <c r="C4933" s="7" t="n">
        <f aca="false">AVERAGE(B4884:B4933)</f>
        <v>7227.8718</v>
      </c>
      <c r="D4933" s="7" t="n">
        <f aca="false">AVERAGE(B4734:B4933)</f>
        <v>6770.77825</v>
      </c>
      <c r="E4933" s="7" t="n">
        <f aca="false">B4933/MAX(B4682:B4933)-1</f>
        <v>-0.00611832581083804</v>
      </c>
      <c r="F4933" s="7" t="str">
        <f aca="false">IFERROR(INDEX(02_轉折點45個!B:B,MATCH(A4933,02_轉折點45個!A:A,0)),"")</f>
        <v/>
      </c>
      <c r="G4933" s="7" t="s">
        <v>5494</v>
      </c>
    </row>
    <row r="4934" customFormat="false" ht="15" hidden="false" customHeight="false" outlineLevel="0" collapsed="false">
      <c r="A4934" s="7" t="s">
        <v>5905</v>
      </c>
      <c r="B4934" s="7" t="n">
        <v>7469.55</v>
      </c>
      <c r="C4934" s="7" t="n">
        <f aca="false">AVERAGE(B4885:B4934)</f>
        <v>7238.732</v>
      </c>
      <c r="D4934" s="7" t="n">
        <f aca="false">AVERAGE(B4735:B4934)</f>
        <v>6777.5819</v>
      </c>
      <c r="E4934" s="7" t="n">
        <f aca="false">B4934/MAX(B4683:B4934)-1</f>
        <v>-0.00519937831203998</v>
      </c>
      <c r="F4934" s="7" t="str">
        <f aca="false">IFERROR(INDEX(02_轉折點45個!B:B,MATCH(A4934,02_轉折點45個!A:A,0)),"")</f>
        <v/>
      </c>
      <c r="G4934" s="7" t="s">
        <v>5494</v>
      </c>
    </row>
    <row r="4935" customFormat="false" ht="15" hidden="false" customHeight="false" outlineLevel="0" collapsed="false">
      <c r="A4935" s="7" t="s">
        <v>5906</v>
      </c>
      <c r="B4935" s="7" t="n">
        <v>7466.96</v>
      </c>
      <c r="C4935" s="7" t="n">
        <f aca="false">AVERAGE(B4886:B4935)</f>
        <v>7248.5438</v>
      </c>
      <c r="D4935" s="7" t="n">
        <f aca="false">AVERAGE(B4736:B4935)</f>
        <v>6784.57755</v>
      </c>
      <c r="E4935" s="7" t="n">
        <f aca="false">B4935/MAX(B4684:B4935)-1</f>
        <v>-0.00554431657608157</v>
      </c>
      <c r="F4935" s="7" t="str">
        <f aca="false">IFERROR(INDEX(02_轉折點45個!B:B,MATCH(A4935,02_轉折點45個!A:A,0)),"")</f>
        <v/>
      </c>
      <c r="G4935" s="7" t="s">
        <v>5494</v>
      </c>
    </row>
    <row r="4936" customFormat="false" ht="15" hidden="false" customHeight="false" outlineLevel="0" collapsed="false">
      <c r="A4936" s="7" t="s">
        <v>5907</v>
      </c>
      <c r="B4936" s="7" t="n">
        <v>7408.3</v>
      </c>
      <c r="C4936" s="7" t="n">
        <f aca="false">AVERAGE(B4887:B4936)</f>
        <v>7257.3552</v>
      </c>
      <c r="D4936" s="7" t="n">
        <f aca="false">AVERAGE(B4737:B4936)</f>
        <v>6791.21795</v>
      </c>
      <c r="E4936" s="7" t="n">
        <f aca="false">B4936/MAX(B4685:B4936)-1</f>
        <v>-0.0133567021238342</v>
      </c>
      <c r="F4936" s="7" t="str">
        <f aca="false">IFERROR(INDEX(02_轉折點45個!B:B,MATCH(A4936,02_轉折點45個!A:A,0)),"")</f>
        <v/>
      </c>
      <c r="G4936" s="7" t="s">
        <v>5494</v>
      </c>
    </row>
    <row r="4937" customFormat="false" ht="15" hidden="false" customHeight="false" outlineLevel="0" collapsed="false">
      <c r="A4937" s="7" t="s">
        <v>5908</v>
      </c>
      <c r="B4937" s="7" t="n">
        <v>7401.17</v>
      </c>
      <c r="C4937" s="7" t="n">
        <f aca="false">AVERAGE(B4888:B4937)</f>
        <v>7263.7</v>
      </c>
      <c r="D4937" s="7" t="n">
        <f aca="false">AVERAGE(B4738:B4937)</f>
        <v>6797.9486</v>
      </c>
      <c r="E4937" s="7" t="n">
        <f aca="false">B4937/MAX(B4686:B4937)-1</f>
        <v>-0.0143062812059255</v>
      </c>
      <c r="F4937" s="7" t="str">
        <f aca="false">IFERROR(INDEX(02_轉折點45個!B:B,MATCH(A4937,02_轉折點45個!A:A,0)),"")</f>
        <v/>
      </c>
      <c r="G4937" s="7" t="s">
        <v>5494</v>
      </c>
    </row>
    <row r="4938" customFormat="false" ht="15" hidden="false" customHeight="false" outlineLevel="0" collapsed="false">
      <c r="A4938" s="7" t="s">
        <v>5909</v>
      </c>
      <c r="B4938" s="7" t="n">
        <v>7447.17</v>
      </c>
      <c r="C4938" s="7" t="n">
        <f aca="false">AVERAGE(B4889:B4938)</f>
        <v>7269.772</v>
      </c>
      <c r="D4938" s="7" t="n">
        <f aca="false">AVERAGE(B4739:B4938)</f>
        <v>6804.9951</v>
      </c>
      <c r="E4938" s="7" t="n">
        <f aca="false">B4938/MAX(B4687:B4938)-1</f>
        <v>-0.00817996454727188</v>
      </c>
      <c r="F4938" s="7" t="str">
        <f aca="false">IFERROR(INDEX(02_轉折點45個!B:B,MATCH(A4938,02_轉折點45個!A:A,0)),"")</f>
        <v/>
      </c>
      <c r="G4938" s="7" t="s">
        <v>5494</v>
      </c>
    </row>
    <row r="4939" customFormat="false" ht="15" hidden="false" customHeight="false" outlineLevel="0" collapsed="false">
      <c r="A4939" s="7" t="s">
        <v>1379</v>
      </c>
      <c r="B4939" s="7" t="n">
        <v>7354.66</v>
      </c>
      <c r="C4939" s="7" t="n">
        <f aca="false">AVERAGE(B4890:B4939)</f>
        <v>7273.5302</v>
      </c>
      <c r="D4939" s="7" t="n">
        <f aca="false">AVERAGE(B4740:B4939)</f>
        <v>6810.70105</v>
      </c>
      <c r="E4939" s="7" t="n">
        <f aca="false">B4939/MAX(B4688:B4939)-1</f>
        <v>-0.020500520071012</v>
      </c>
      <c r="F4939" s="7" t="str">
        <f aca="false">IFERROR(INDEX(02_轉折點45個!B:B,MATCH(A4939,02_轉折點45個!A:A,0)),"")</f>
        <v/>
      </c>
      <c r="G4939" s="7" t="s">
        <v>5494</v>
      </c>
    </row>
    <row r="4940" customFormat="false" ht="15" hidden="false" customHeight="false" outlineLevel="0" collapsed="false">
      <c r="A4940" s="7" t="s">
        <v>5910</v>
      </c>
      <c r="B4940" s="7" t="n">
        <v>7374.29</v>
      </c>
      <c r="C4940" s="7" t="n">
        <f aca="false">AVERAGE(B4891:B4940)</f>
        <v>7276.8144</v>
      </c>
      <c r="D4940" s="7" t="n">
        <f aca="false">AVERAGE(B4741:B4940)</f>
        <v>6816.43455</v>
      </c>
      <c r="E4940" s="7" t="n">
        <f aca="false">B4940/MAX(B4689:B4940)-1</f>
        <v>-0.0178861810273301</v>
      </c>
      <c r="F4940" s="7" t="str">
        <f aca="false">IFERROR(INDEX(02_轉折點45個!B:B,MATCH(A4940,02_轉折點45個!A:A,0)),"")</f>
        <v/>
      </c>
      <c r="G4940" s="7" t="s">
        <v>5494</v>
      </c>
    </row>
    <row r="4941" customFormat="false" ht="15" hidden="false" customHeight="false" outlineLevel="0" collapsed="false">
      <c r="A4941" s="7" t="s">
        <v>5911</v>
      </c>
      <c r="B4941" s="7" t="n">
        <v>7377.54</v>
      </c>
      <c r="C4941" s="7" t="n">
        <f aca="false">AVERAGE(B4892:B4941)</f>
        <v>7281.3086</v>
      </c>
      <c r="D4941" s="7" t="n">
        <f aca="false">AVERAGE(B4742:B4941)</f>
        <v>6822.07945</v>
      </c>
      <c r="E4941" s="7" t="n">
        <f aca="false">B4941/MAX(B4690:B4941)-1</f>
        <v>-0.0174533434373165</v>
      </c>
      <c r="F4941" s="7" t="str">
        <f aca="false">IFERROR(INDEX(02_轉折點45個!B:B,MATCH(A4941,02_轉折點45個!A:A,0)),"")</f>
        <v/>
      </c>
      <c r="G4941" s="7" t="s">
        <v>5494</v>
      </c>
    </row>
    <row r="4942" customFormat="false" ht="15" hidden="false" customHeight="false" outlineLevel="0" collapsed="false">
      <c r="A4942" s="7" t="s">
        <v>5912</v>
      </c>
      <c r="B4942" s="7" t="n">
        <v>7371.42</v>
      </c>
      <c r="C4942" s="7" t="n">
        <f aca="false">AVERAGE(B4893:B4942)</f>
        <v>7285.6846</v>
      </c>
      <c r="D4942" s="7" t="n">
        <f aca="false">AVERAGE(B4743:B4942)</f>
        <v>6827.6933</v>
      </c>
      <c r="E4942" s="7" t="n">
        <f aca="false">B4942/MAX(B4691:B4942)-1</f>
        <v>-0.0182684099145113</v>
      </c>
      <c r="F4942" s="7" t="str">
        <f aca="false">IFERROR(INDEX(02_轉折點45個!B:B,MATCH(A4942,02_轉折點45個!A:A,0)),"")</f>
        <v/>
      </c>
      <c r="G4942" s="7" t="s">
        <v>5494</v>
      </c>
    </row>
    <row r="4943" customFormat="false" ht="15" hidden="false" customHeight="false" outlineLevel="0" collapsed="false">
      <c r="A4943" s="7" t="s">
        <v>5913</v>
      </c>
      <c r="B4943" s="7" t="n">
        <v>7397.23</v>
      </c>
      <c r="C4943" s="7" t="n">
        <f aca="false">AVERAGE(B4894:B4943)</f>
        <v>7290.2596</v>
      </c>
      <c r="D4943" s="7" t="n">
        <f aca="false">AVERAGE(B4744:B4943)</f>
        <v>6833.4975</v>
      </c>
      <c r="E4943" s="7" t="n">
        <f aca="false">B4943/MAX(B4692:B4943)-1</f>
        <v>-0.014831013545819</v>
      </c>
      <c r="F4943" s="7" t="str">
        <f aca="false">IFERROR(INDEX(02_轉折點45個!B:B,MATCH(A4943,02_轉折點45個!A:A,0)),"")</f>
        <v/>
      </c>
      <c r="G4943" s="7" t="s">
        <v>5494</v>
      </c>
    </row>
    <row r="4944" customFormat="false" ht="15" hidden="false" customHeight="false" outlineLevel="0" collapsed="false">
      <c r="A4944" s="7" t="s">
        <v>5914</v>
      </c>
      <c r="B4944" s="7" t="n">
        <v>7424.6</v>
      </c>
      <c r="C4944" s="7" t="n">
        <f aca="false">AVERAGE(B4895:B4944)</f>
        <v>7294.568</v>
      </c>
      <c r="D4944" s="7" t="n">
        <f aca="false">AVERAGE(B4745:B4944)</f>
        <v>6839.1426</v>
      </c>
      <c r="E4944" s="7" t="n">
        <f aca="false">B4944/MAX(B4693:B4944)-1</f>
        <v>-0.0111858551339199</v>
      </c>
      <c r="F4944" s="7" t="str">
        <f aca="false">IFERROR(INDEX(02_轉折點45個!B:B,MATCH(A4944,02_轉折點45個!A:A,0)),"")</f>
        <v/>
      </c>
      <c r="G4944" s="7" t="s">
        <v>5494</v>
      </c>
    </row>
    <row r="4945" customFormat="false" ht="15" hidden="false" customHeight="false" outlineLevel="0" collapsed="false">
      <c r="A4945" s="7" t="s">
        <v>5915</v>
      </c>
      <c r="B4945" s="7" t="n">
        <v>7413.84</v>
      </c>
      <c r="C4945" s="7" t="n">
        <f aca="false">AVERAGE(B4896:B4945)</f>
        <v>7298.7396</v>
      </c>
      <c r="D4945" s="7" t="n">
        <f aca="false">AVERAGE(B4746:B4945)</f>
        <v>6844.64375</v>
      </c>
      <c r="E4945" s="7" t="n">
        <f aca="false">B4945/MAX(B4694:B4945)-1</f>
        <v>-0.0126188805088572</v>
      </c>
      <c r="F4945" s="7" t="str">
        <f aca="false">IFERROR(INDEX(02_轉折點45個!B:B,MATCH(A4945,02_轉折點45個!A:A,0)),"")</f>
        <v/>
      </c>
      <c r="G4945" s="7" t="s">
        <v>5494</v>
      </c>
    </row>
    <row r="4946" customFormat="false" ht="15" hidden="false" customHeight="false" outlineLevel="0" collapsed="false">
      <c r="A4946" s="7" t="s">
        <v>5916</v>
      </c>
      <c r="B4946" s="7" t="n">
        <v>7485.4</v>
      </c>
      <c r="C4946" s="7" t="n">
        <f aca="false">AVERAGE(B4897:B4946)</f>
        <v>7302.8558</v>
      </c>
      <c r="D4946" s="7" t="n">
        <f aca="false">AVERAGE(B4747:B4946)</f>
        <v>6850.46685</v>
      </c>
      <c r="E4946" s="7" t="n">
        <f aca="false">B4946/MAX(B4695:B4946)-1</f>
        <v>-0.00308846268074303</v>
      </c>
      <c r="F4946" s="7" t="str">
        <f aca="false">IFERROR(INDEX(02_轉折點45個!B:B,MATCH(A4946,02_轉折點45個!A:A,0)),"")</f>
        <v/>
      </c>
      <c r="G4946" s="7" t="s">
        <v>5494</v>
      </c>
    </row>
    <row r="4947" customFormat="false" ht="15" hidden="false" customHeight="false" outlineLevel="0" collapsed="false">
      <c r="A4947" s="7" t="s">
        <v>1380</v>
      </c>
      <c r="B4947" s="7" t="n">
        <v>7559.13</v>
      </c>
      <c r="C4947" s="7" t="n">
        <f aca="false">AVERAGE(B4898:B4947)</f>
        <v>7308.9232</v>
      </c>
      <c r="D4947" s="7" t="n">
        <f aca="false">AVERAGE(B4748:B4947)</f>
        <v>6856.53345</v>
      </c>
      <c r="E4947" s="7" t="n">
        <f aca="false">B4947/MAX(B4696:B4947)-1</f>
        <v>0</v>
      </c>
      <c r="F4947" s="7" t="str">
        <f aca="false">IFERROR(INDEX(02_轉折點45個!B:B,MATCH(A4947,02_轉折點45個!A:A,0)),"")</f>
        <v/>
      </c>
      <c r="G4947" s="7" t="s">
        <v>5494</v>
      </c>
    </row>
    <row r="4948" customFormat="false" ht="15" hidden="false" customHeight="false" outlineLevel="0" collapsed="false">
      <c r="A4948" s="7" t="s">
        <v>1381</v>
      </c>
      <c r="B4948" s="7" t="n">
        <v>7570.25</v>
      </c>
      <c r="C4948" s="7" t="n">
        <f aca="false">AVERAGE(B4899:B4948)</f>
        <v>7315.3</v>
      </c>
      <c r="D4948" s="7" t="n">
        <f aca="false">AVERAGE(B4749:B4948)</f>
        <v>6862.82365</v>
      </c>
      <c r="E4948" s="7" t="n">
        <f aca="false">B4948/MAX(B4697:B4948)-1</f>
        <v>0</v>
      </c>
      <c r="F4948" s="7" t="str">
        <f aca="false">IFERROR(INDEX(02_轉折點45個!B:B,MATCH(A4948,02_轉折點45個!A:A,0)),"")</f>
        <v/>
      </c>
      <c r="G4948" s="7" t="s">
        <v>5494</v>
      </c>
    </row>
    <row r="4949" customFormat="false" ht="15" hidden="false" customHeight="false" outlineLevel="0" collapsed="false">
      <c r="A4949" s="7" t="s">
        <v>146</v>
      </c>
      <c r="B4949" s="7" t="n">
        <v>7660.18</v>
      </c>
      <c r="C4949" s="7" t="n">
        <f aca="false">AVERAGE(B4900:B4949)</f>
        <v>7323.9428</v>
      </c>
      <c r="D4949" s="7" t="n">
        <f aca="false">AVERAGE(B4750:B4949)</f>
        <v>6869.5792</v>
      </c>
      <c r="E4949" s="7" t="n">
        <f aca="false">B4949/MAX(B4698:B4949)-1</f>
        <v>0</v>
      </c>
      <c r="F4949" s="7" t="str">
        <f aca="false">IFERROR(INDEX(02_轉折點45個!B:B,MATCH(A4949,02_轉折點45個!A:A,0)),"")</f>
        <v>TOP</v>
      </c>
      <c r="G4949" s="7" t="s">
        <v>5494</v>
      </c>
    </row>
    <row r="4950" customFormat="false" ht="15" hidden="false" customHeight="false" outlineLevel="0" collapsed="false">
      <c r="A4950" s="7" t="s">
        <v>5917</v>
      </c>
      <c r="B4950" s="7" t="n">
        <v>7642.67</v>
      </c>
      <c r="C4950" s="7" t="n">
        <f aca="false">AVERAGE(B4901:B4950)</f>
        <v>7331.1822</v>
      </c>
      <c r="D4950" s="7" t="n">
        <f aca="false">AVERAGE(B4751:B4950)</f>
        <v>6876.21165</v>
      </c>
      <c r="E4950" s="7" t="n">
        <f aca="false">B4950/MAX(B4699:B4950)-1</f>
        <v>-0.00228584706886781</v>
      </c>
      <c r="F4950" s="7" t="str">
        <f aca="false">IFERROR(INDEX(02_轉折點45個!B:B,MATCH(A4950,02_轉折點45個!A:A,0)),"")</f>
        <v/>
      </c>
      <c r="G4950" s="7" t="s">
        <v>5494</v>
      </c>
    </row>
    <row r="4951" customFormat="false" ht="15" hidden="false" customHeight="false" outlineLevel="0" collapsed="false">
      <c r="A4951" s="7" t="s">
        <v>5918</v>
      </c>
      <c r="B4951" s="7" t="n">
        <v>7654.55</v>
      </c>
      <c r="C4951" s="7" t="n">
        <f aca="false">AVERAGE(B4902:B4951)</f>
        <v>7339.9234</v>
      </c>
      <c r="D4951" s="7" t="n">
        <f aca="false">AVERAGE(B4752:B4951)</f>
        <v>6883.0162</v>
      </c>
      <c r="E4951" s="7" t="n">
        <f aca="false">B4951/MAX(B4700:B4951)-1</f>
        <v>-0.000734969674341834</v>
      </c>
      <c r="F4951" s="7" t="str">
        <f aca="false">IFERROR(INDEX(02_轉折點45個!B:B,MATCH(A4951,02_轉折點45個!A:A,0)),"")</f>
        <v/>
      </c>
      <c r="G4951" s="7" t="s">
        <v>5494</v>
      </c>
    </row>
    <row r="4952" customFormat="false" ht="15" hidden="false" customHeight="false" outlineLevel="0" collapsed="false">
      <c r="A4952" s="7" t="s">
        <v>5919</v>
      </c>
      <c r="B4952" s="7" t="n">
        <v>7622.32</v>
      </c>
      <c r="C4952" s="7" t="n">
        <f aca="false">AVERAGE(B4903:B4952)</f>
        <v>7348.4196</v>
      </c>
      <c r="D4952" s="7" t="n">
        <f aca="false">AVERAGE(B4753:B4952)</f>
        <v>6889.836</v>
      </c>
      <c r="E4952" s="7" t="n">
        <f aca="false">B4952/MAX(B4701:B4952)-1</f>
        <v>-0.00494244260578736</v>
      </c>
      <c r="F4952" s="7" t="str">
        <f aca="false">IFERROR(INDEX(02_轉折點45個!B:B,MATCH(A4952,02_轉折點45個!A:A,0)),"")</f>
        <v/>
      </c>
      <c r="G4952" s="7" t="s">
        <v>5494</v>
      </c>
    </row>
    <row r="4953" customFormat="false" ht="15" hidden="false" customHeight="false" outlineLevel="0" collapsed="false">
      <c r="A4953" s="7" t="s">
        <v>5920</v>
      </c>
      <c r="B4953" s="7" t="n">
        <v>7523.26</v>
      </c>
      <c r="C4953" s="7" t="n">
        <f aca="false">AVERAGE(B4904:B4953)</f>
        <v>7358.1214</v>
      </c>
      <c r="D4953" s="7" t="n">
        <f aca="false">AVERAGE(B4754:B4953)</f>
        <v>6895.7566</v>
      </c>
      <c r="E4953" s="7" t="n">
        <f aca="false">B4953/MAX(B4702:B4953)-1</f>
        <v>-0.0178742536076176</v>
      </c>
      <c r="F4953" s="7" t="str">
        <f aca="false">IFERROR(INDEX(02_轉折點45個!B:B,MATCH(A4953,02_轉折點45個!A:A,0)),"")</f>
        <v/>
      </c>
      <c r="G4953" s="7" t="s">
        <v>5494</v>
      </c>
    </row>
    <row r="4954" customFormat="false" ht="15" hidden="false" customHeight="false" outlineLevel="0" collapsed="false">
      <c r="A4954" s="7" t="s">
        <v>5921</v>
      </c>
      <c r="B4954" s="7" t="n">
        <v>7453.17</v>
      </c>
      <c r="C4954" s="7" t="n">
        <f aca="false">AVERAGE(B4905:B4954)</f>
        <v>7365.8208</v>
      </c>
      <c r="D4954" s="7" t="n">
        <f aca="false">AVERAGE(B4755:B4954)</f>
        <v>6901.4499</v>
      </c>
      <c r="E4954" s="7" t="n">
        <f aca="false">B4954/MAX(B4703:B4954)-1</f>
        <v>-0.0270241691448504</v>
      </c>
      <c r="F4954" s="7" t="str">
        <f aca="false">IFERROR(INDEX(02_轉折點45個!B:B,MATCH(A4954,02_轉折點45個!A:A,0)),"")</f>
        <v/>
      </c>
      <c r="G4954" s="7" t="s">
        <v>5494</v>
      </c>
    </row>
    <row r="4955" customFormat="false" ht="15" hidden="false" customHeight="false" outlineLevel="0" collapsed="false">
      <c r="A4955" s="7" t="s">
        <v>1382</v>
      </c>
      <c r="B4955" s="7" t="n">
        <v>7430.26</v>
      </c>
      <c r="C4955" s="7" t="n">
        <f aca="false">AVERAGE(B4906:B4955)</f>
        <v>7375.0326</v>
      </c>
      <c r="D4955" s="7" t="n">
        <f aca="false">AVERAGE(B4756:B4955)</f>
        <v>6907.05815</v>
      </c>
      <c r="E4955" s="7" t="n">
        <f aca="false">B4955/MAX(B4704:B4955)-1</f>
        <v>-0.0300149604839574</v>
      </c>
      <c r="F4955" s="7" t="str">
        <f aca="false">IFERROR(INDEX(02_轉折點45個!B:B,MATCH(A4955,02_轉折點45個!A:A,0)),"")</f>
        <v/>
      </c>
      <c r="G4955" s="7" t="s">
        <v>5494</v>
      </c>
    </row>
    <row r="4956" customFormat="false" ht="15" hidden="false" customHeight="false" outlineLevel="0" collapsed="false">
      <c r="A4956" s="7" t="s">
        <v>1383</v>
      </c>
      <c r="B4956" s="7" t="n">
        <v>7447.68</v>
      </c>
      <c r="C4956" s="7" t="n">
        <f aca="false">AVERAGE(B4907:B4956)</f>
        <v>7383.3542</v>
      </c>
      <c r="D4956" s="7" t="n">
        <f aca="false">AVERAGE(B4757:B4956)</f>
        <v>6912.4034</v>
      </c>
      <c r="E4956" s="7" t="n">
        <f aca="false">B4956/MAX(B4705:B4956)-1</f>
        <v>-0.0277408624862601</v>
      </c>
      <c r="F4956" s="7" t="str">
        <f aca="false">IFERROR(INDEX(02_轉折點45個!B:B,MATCH(A4956,02_轉折點45個!A:A,0)),"")</f>
        <v/>
      </c>
      <c r="G4956" s="7" t="s">
        <v>5494</v>
      </c>
    </row>
    <row r="4957" customFormat="false" ht="15" hidden="false" customHeight="false" outlineLevel="0" collapsed="false">
      <c r="A4957" s="7" t="s">
        <v>1384</v>
      </c>
      <c r="B4957" s="7" t="n">
        <v>7507.87</v>
      </c>
      <c r="C4957" s="7" t="n">
        <f aca="false">AVERAGE(B4908:B4957)</f>
        <v>7392.6956</v>
      </c>
      <c r="D4957" s="7" t="n">
        <f aca="false">AVERAGE(B4758:B4957)</f>
        <v>6918.01215</v>
      </c>
      <c r="E4957" s="7" t="n">
        <f aca="false">B4957/MAX(B4706:B4957)-1</f>
        <v>-0.019883344777799</v>
      </c>
      <c r="F4957" s="7" t="str">
        <f aca="false">IFERROR(INDEX(02_轉折點45個!B:B,MATCH(A4957,02_轉折點45個!A:A,0)),"")</f>
        <v/>
      </c>
      <c r="G4957" s="7" t="s">
        <v>5494</v>
      </c>
    </row>
    <row r="4958" customFormat="false" ht="15" hidden="false" customHeight="false" outlineLevel="0" collapsed="false">
      <c r="A4958" s="7" t="s">
        <v>5922</v>
      </c>
      <c r="B4958" s="7" t="n">
        <v>7488.06</v>
      </c>
      <c r="C4958" s="7" t="n">
        <f aca="false">AVERAGE(B4909:B4958)</f>
        <v>7400.5004</v>
      </c>
      <c r="D4958" s="7" t="n">
        <f aca="false">AVERAGE(B4759:B4958)</f>
        <v>6923.406</v>
      </c>
      <c r="E4958" s="7" t="n">
        <f aca="false">B4958/MAX(B4707:B4958)-1</f>
        <v>-0.0224694458876945</v>
      </c>
      <c r="F4958" s="7" t="str">
        <f aca="false">IFERROR(INDEX(02_轉折點45個!B:B,MATCH(A4958,02_轉折點45個!A:A,0)),"")</f>
        <v/>
      </c>
      <c r="G4958" s="7" t="s">
        <v>5494</v>
      </c>
    </row>
    <row r="4959" customFormat="false" ht="15" hidden="false" customHeight="false" outlineLevel="0" collapsed="false">
      <c r="A4959" s="7" t="s">
        <v>5923</v>
      </c>
      <c r="B4959" s="7" t="n">
        <v>7561.69</v>
      </c>
      <c r="C4959" s="7" t="n">
        <f aca="false">AVERAGE(B4910:B4959)</f>
        <v>7411.4432</v>
      </c>
      <c r="D4959" s="7" t="n">
        <f aca="false">AVERAGE(B4760:B4959)</f>
        <v>6929.1846</v>
      </c>
      <c r="E4959" s="7" t="n">
        <f aca="false">B4959/MAX(B4708:B4959)-1</f>
        <v>-0.0128574002177495</v>
      </c>
      <c r="F4959" s="7" t="str">
        <f aca="false">IFERROR(INDEX(02_轉折點45個!B:B,MATCH(A4959,02_轉折點45個!A:A,0)),"")</f>
        <v/>
      </c>
      <c r="G4959" s="7" t="s">
        <v>5494</v>
      </c>
    </row>
    <row r="4960" customFormat="false" ht="15" hidden="false" customHeight="false" outlineLevel="0" collapsed="false">
      <c r="A4960" s="7" t="s">
        <v>1385</v>
      </c>
      <c r="B4960" s="7" t="n">
        <v>7545.5</v>
      </c>
      <c r="C4960" s="7" t="n">
        <f aca="false">AVERAGE(B4911:B4960)</f>
        <v>7420.3322</v>
      </c>
      <c r="D4960" s="7" t="n">
        <f aca="false">AVERAGE(B4761:B4960)</f>
        <v>6934.7993</v>
      </c>
      <c r="E4960" s="7" t="n">
        <f aca="false">B4960/MAX(B4709:B4960)-1</f>
        <v>-0.0149709275761144</v>
      </c>
      <c r="F4960" s="7" t="str">
        <f aca="false">IFERROR(INDEX(02_轉折點45個!B:B,MATCH(A4960,02_轉折點45個!A:A,0)),"")</f>
        <v/>
      </c>
      <c r="G4960" s="7" t="s">
        <v>5494</v>
      </c>
    </row>
    <row r="4961" customFormat="false" ht="15" hidden="false" customHeight="false" outlineLevel="0" collapsed="false">
      <c r="A4961" s="7" t="s">
        <v>1386</v>
      </c>
      <c r="B4961" s="7" t="n">
        <v>7434.73</v>
      </c>
      <c r="C4961" s="7" t="n">
        <f aca="false">AVERAGE(B4912:B4961)</f>
        <v>7424.8802</v>
      </c>
      <c r="D4961" s="7" t="n">
        <f aca="false">AVERAGE(B4762:B4961)</f>
        <v>6940.41605</v>
      </c>
      <c r="E4961" s="7" t="n">
        <f aca="false">B4961/MAX(B4710:B4961)-1</f>
        <v>-0.0294314232824817</v>
      </c>
      <c r="F4961" s="7" t="str">
        <f aca="false">IFERROR(INDEX(02_轉折點45個!B:B,MATCH(A4961,02_轉折點45個!A:A,0)),"")</f>
        <v/>
      </c>
      <c r="G4961" s="7" t="s">
        <v>5494</v>
      </c>
    </row>
    <row r="4962" customFormat="false" ht="15" hidden="false" customHeight="false" outlineLevel="0" collapsed="false">
      <c r="A4962" s="7" t="s">
        <v>5924</v>
      </c>
      <c r="B4962" s="7" t="n">
        <v>7494.4</v>
      </c>
      <c r="C4962" s="7" t="n">
        <f aca="false">AVERAGE(B4913:B4962)</f>
        <v>7429.2482</v>
      </c>
      <c r="D4962" s="7" t="n">
        <f aca="false">AVERAGE(B4763:B4962)</f>
        <v>6946.06025</v>
      </c>
      <c r="E4962" s="7" t="n">
        <f aca="false">B4962/MAX(B4711:B4962)-1</f>
        <v>-0.0216417890963398</v>
      </c>
      <c r="F4962" s="7" t="str">
        <f aca="false">IFERROR(INDEX(02_轉折點45個!B:B,MATCH(A4962,02_轉折點45個!A:A,0)),"")</f>
        <v/>
      </c>
      <c r="G4962" s="7" t="s">
        <v>5494</v>
      </c>
    </row>
    <row r="4963" customFormat="false" ht="15" hidden="false" customHeight="false" outlineLevel="0" collapsed="false">
      <c r="A4963" s="7" t="s">
        <v>5925</v>
      </c>
      <c r="B4963" s="7" t="n">
        <v>7490.32</v>
      </c>
      <c r="C4963" s="7" t="n">
        <f aca="false">AVERAGE(B4914:B4963)</f>
        <v>7433.4026</v>
      </c>
      <c r="D4963" s="7" t="n">
        <f aca="false">AVERAGE(B4764:B4963)</f>
        <v>6951.8225</v>
      </c>
      <c r="E4963" s="7" t="n">
        <f aca="false">B4963/MAX(B4712:B4963)-1</f>
        <v>-0.0221744136560761</v>
      </c>
      <c r="F4963" s="7" t="str">
        <f aca="false">IFERROR(INDEX(02_轉折點45個!B:B,MATCH(A4963,02_轉折點45個!A:A,0)),"")</f>
        <v/>
      </c>
      <c r="G4963" s="7" t="s">
        <v>5494</v>
      </c>
    </row>
    <row r="4964" customFormat="false" ht="15" hidden="false" customHeight="false" outlineLevel="0" collapsed="false">
      <c r="A4964" s="7" t="s">
        <v>5926</v>
      </c>
      <c r="B4964" s="7" t="n">
        <v>7569.03</v>
      </c>
      <c r="C4964" s="7" t="n">
        <f aca="false">AVERAGE(B4915:B4964)</f>
        <v>7439.9036</v>
      </c>
      <c r="D4964" s="7" t="n">
        <f aca="false">AVERAGE(B4765:B4964)</f>
        <v>6958.34915</v>
      </c>
      <c r="E4964" s="7" t="n">
        <f aca="false">B4964/MAX(B4713:B4964)-1</f>
        <v>-0.0118991981911653</v>
      </c>
      <c r="F4964" s="7" t="str">
        <f aca="false">IFERROR(INDEX(02_轉折點45個!B:B,MATCH(A4964,02_轉折點45個!A:A,0)),"")</f>
        <v/>
      </c>
      <c r="G4964" s="7" t="s">
        <v>5494</v>
      </c>
    </row>
    <row r="4965" customFormat="false" ht="15" hidden="false" customHeight="false" outlineLevel="0" collapsed="false">
      <c r="A4965" s="7" t="s">
        <v>1387</v>
      </c>
      <c r="B4965" s="7" t="n">
        <v>7531.07</v>
      </c>
      <c r="C4965" s="7" t="n">
        <f aca="false">AVERAGE(B4916:B4965)</f>
        <v>7443.2</v>
      </c>
      <c r="D4965" s="7" t="n">
        <f aca="false">AVERAGE(B4766:B4965)</f>
        <v>6964.67895</v>
      </c>
      <c r="E4965" s="7" t="n">
        <f aca="false">B4965/MAX(B4714:B4965)-1</f>
        <v>-0.0168546953204756</v>
      </c>
      <c r="F4965" s="7" t="str">
        <f aca="false">IFERROR(INDEX(02_轉折點45個!B:B,MATCH(A4965,02_轉折點45個!A:A,0)),"")</f>
        <v/>
      </c>
      <c r="G4965" s="7" t="s">
        <v>5494</v>
      </c>
    </row>
    <row r="4966" customFormat="false" ht="15" hidden="false" customHeight="false" outlineLevel="0" collapsed="false">
      <c r="A4966" s="7" t="s">
        <v>5927</v>
      </c>
      <c r="B4966" s="7" t="n">
        <v>7548.75</v>
      </c>
      <c r="C4966" s="7" t="n">
        <f aca="false">AVERAGE(B4917:B4966)</f>
        <v>7446.6586</v>
      </c>
      <c r="D4966" s="7" t="n">
        <f aca="false">AVERAGE(B4767:B4966)</f>
        <v>6970.95745</v>
      </c>
      <c r="E4966" s="7" t="n">
        <f aca="false">B4966/MAX(B4715:B4966)-1</f>
        <v>-0.0145466555616187</v>
      </c>
      <c r="F4966" s="7" t="str">
        <f aca="false">IFERROR(INDEX(02_轉折點45個!B:B,MATCH(A4966,02_轉折點45個!A:A,0)),"")</f>
        <v/>
      </c>
      <c r="G4966" s="7" t="s">
        <v>5494</v>
      </c>
    </row>
    <row r="4967" customFormat="false" ht="15" hidden="false" customHeight="false" outlineLevel="0" collapsed="false">
      <c r="A4967" s="7" t="s">
        <v>5928</v>
      </c>
      <c r="B4967" s="7" t="n">
        <v>7563.19</v>
      </c>
      <c r="C4967" s="7" t="n">
        <f aca="false">AVERAGE(B4918:B4967)</f>
        <v>7450.7644</v>
      </c>
      <c r="D4967" s="7" t="n">
        <f aca="false">AVERAGE(B4768:B4967)</f>
        <v>6977.192</v>
      </c>
      <c r="E4967" s="7" t="n">
        <f aca="false">B4967/MAX(B4716:B4967)-1</f>
        <v>-0.0126615823649053</v>
      </c>
      <c r="F4967" s="7" t="str">
        <f aca="false">IFERROR(INDEX(02_轉折點45個!B:B,MATCH(A4967,02_轉折點45個!A:A,0)),"")</f>
        <v/>
      </c>
      <c r="G4967" s="7" t="s">
        <v>5494</v>
      </c>
    </row>
    <row r="4968" customFormat="false" ht="15" hidden="false" customHeight="false" outlineLevel="0" collapsed="false">
      <c r="A4968" s="7" t="s">
        <v>5929</v>
      </c>
      <c r="B4968" s="7" t="n">
        <v>7563.09</v>
      </c>
      <c r="C4968" s="7" t="n">
        <f aca="false">AVERAGE(B4919:B4968)</f>
        <v>7453.9484</v>
      </c>
      <c r="D4968" s="7" t="n">
        <f aca="false">AVERAGE(B4769:B4968)</f>
        <v>6983.2846</v>
      </c>
      <c r="E4968" s="7" t="n">
        <f aca="false">B4968/MAX(B4717:B4968)-1</f>
        <v>-0.0126746368884282</v>
      </c>
      <c r="F4968" s="7" t="str">
        <f aca="false">IFERROR(INDEX(02_轉折點45個!B:B,MATCH(A4968,02_轉折點45個!A:A,0)),"")</f>
        <v/>
      </c>
      <c r="G4968" s="7" t="s">
        <v>5494</v>
      </c>
    </row>
    <row r="4969" customFormat="false" ht="15" hidden="false" customHeight="false" outlineLevel="0" collapsed="false">
      <c r="A4969" s="7" t="s">
        <v>5930</v>
      </c>
      <c r="B4969" s="7" t="n">
        <v>7629.57</v>
      </c>
      <c r="C4969" s="7" t="n">
        <f aca="false">AVERAGE(B4920:B4969)</f>
        <v>7458.7372</v>
      </c>
      <c r="D4969" s="7" t="n">
        <f aca="false">AVERAGE(B4770:B4969)</f>
        <v>6989.463</v>
      </c>
      <c r="E4969" s="7" t="n">
        <f aca="false">B4969/MAX(B4718:B4969)-1</f>
        <v>-0.00399598965037384</v>
      </c>
      <c r="F4969" s="7" t="str">
        <f aca="false">IFERROR(INDEX(02_轉折點45個!B:B,MATCH(A4969,02_轉折點45個!A:A,0)),"")</f>
        <v/>
      </c>
      <c r="G4969" s="7" t="s">
        <v>5494</v>
      </c>
    </row>
    <row r="4970" customFormat="false" ht="15" hidden="false" customHeight="false" outlineLevel="0" collapsed="false">
      <c r="A4970" s="7" t="s">
        <v>5931</v>
      </c>
      <c r="B4970" s="7" t="n">
        <v>7627.65</v>
      </c>
      <c r="C4970" s="7" t="n">
        <f aca="false">AVERAGE(B4921:B4970)</f>
        <v>7464.243</v>
      </c>
      <c r="D4970" s="7" t="n">
        <f aca="false">AVERAGE(B4771:B4970)</f>
        <v>6995.683</v>
      </c>
      <c r="E4970" s="7" t="n">
        <f aca="false">B4970/MAX(B4719:B4970)-1</f>
        <v>-0.0042466365020144</v>
      </c>
      <c r="F4970" s="7" t="str">
        <f aca="false">IFERROR(INDEX(02_轉折點45個!B:B,MATCH(A4970,02_轉折點45個!A:A,0)),"")</f>
        <v/>
      </c>
      <c r="G4970" s="7" t="s">
        <v>5494</v>
      </c>
    </row>
    <row r="4971" customFormat="false" ht="15" hidden="false" customHeight="false" outlineLevel="0" collapsed="false">
      <c r="A4971" s="7" t="s">
        <v>5932</v>
      </c>
      <c r="B4971" s="7" t="n">
        <v>7645.45</v>
      </c>
      <c r="C4971" s="7" t="n">
        <f aca="false">AVERAGE(B4922:B4971)</f>
        <v>7470.1474</v>
      </c>
      <c r="D4971" s="7" t="n">
        <f aca="false">AVERAGE(B4772:B4971)</f>
        <v>7001.9369</v>
      </c>
      <c r="E4971" s="7" t="n">
        <f aca="false">B4971/MAX(B4720:B4971)-1</f>
        <v>-0.00192293131493004</v>
      </c>
      <c r="F4971" s="7" t="str">
        <f aca="false">IFERROR(INDEX(02_轉折點45個!B:B,MATCH(A4971,02_轉折點45個!A:A,0)),"")</f>
        <v/>
      </c>
      <c r="G4971" s="7" t="s">
        <v>5494</v>
      </c>
    </row>
    <row r="4972" customFormat="false" ht="15" hidden="false" customHeight="false" outlineLevel="0" collapsed="false">
      <c r="A4972" s="7" t="s">
        <v>5933</v>
      </c>
      <c r="B4972" s="7" t="n">
        <v>7628.28</v>
      </c>
      <c r="C4972" s="7" t="n">
        <f aca="false">AVERAGE(B4923:B4972)</f>
        <v>7475.2774</v>
      </c>
      <c r="D4972" s="7" t="n">
        <f aca="false">AVERAGE(B4773:B4972)</f>
        <v>7008.12875</v>
      </c>
      <c r="E4972" s="7" t="n">
        <f aca="false">B4972/MAX(B4721:B4972)-1</f>
        <v>-0.00416439300381988</v>
      </c>
      <c r="F4972" s="7" t="str">
        <f aca="false">IFERROR(INDEX(02_轉折點45個!B:B,MATCH(A4972,02_轉折點45個!A:A,0)),"")</f>
        <v/>
      </c>
      <c r="G4972" s="7" t="s">
        <v>5494</v>
      </c>
    </row>
    <row r="4973" customFormat="false" ht="15" hidden="false" customHeight="false" outlineLevel="0" collapsed="false">
      <c r="A4973" s="7" t="s">
        <v>5934</v>
      </c>
      <c r="B4973" s="7" t="n">
        <v>7637.43</v>
      </c>
      <c r="C4973" s="7" t="n">
        <f aca="false">AVERAGE(B4924:B4973)</f>
        <v>7479.901</v>
      </c>
      <c r="D4973" s="7" t="n">
        <f aca="false">AVERAGE(B4774:B4973)</f>
        <v>7013.9843</v>
      </c>
      <c r="E4973" s="7" t="n">
        <f aca="false">B4973/MAX(B4722:B4973)-1</f>
        <v>-0.00296990410147024</v>
      </c>
      <c r="F4973" s="7" t="str">
        <f aca="false">IFERROR(INDEX(02_轉折點45個!B:B,MATCH(A4973,02_轉折點45個!A:A,0)),"")</f>
        <v/>
      </c>
      <c r="G4973" s="7" t="s">
        <v>5494</v>
      </c>
    </row>
    <row r="4974" customFormat="false" ht="15" hidden="false" customHeight="false" outlineLevel="0" collapsed="false">
      <c r="A4974" s="7" t="s">
        <v>1388</v>
      </c>
      <c r="B4974" s="7" t="n">
        <v>7490</v>
      </c>
      <c r="C4974" s="7" t="n">
        <f aca="false">AVERAGE(B4925:B4974)</f>
        <v>7479.5292</v>
      </c>
      <c r="D4974" s="7" t="n">
        <f aca="false">AVERAGE(B4775:B4974)</f>
        <v>7018.86795</v>
      </c>
      <c r="E4974" s="7" t="n">
        <f aca="false">B4974/MAX(B4723:B4974)-1</f>
        <v>-0.0222161881313494</v>
      </c>
      <c r="F4974" s="7" t="str">
        <f aca="false">IFERROR(INDEX(02_轉折點45個!B:B,MATCH(A4974,02_轉折點45個!A:A,0)),"")</f>
        <v/>
      </c>
      <c r="G4974" s="7" t="s">
        <v>5494</v>
      </c>
    </row>
    <row r="4975" customFormat="false" ht="15" hidden="false" customHeight="false" outlineLevel="0" collapsed="false">
      <c r="A4975" s="7" t="s">
        <v>1389</v>
      </c>
      <c r="B4975" s="7" t="n">
        <v>7399.01</v>
      </c>
      <c r="C4975" s="7" t="n">
        <f aca="false">AVERAGE(B4926:B4975)</f>
        <v>7479.4944</v>
      </c>
      <c r="D4975" s="7" t="n">
        <f aca="false">AVERAGE(B4776:B4975)</f>
        <v>7023.45965</v>
      </c>
      <c r="E4975" s="7" t="n">
        <f aca="false">B4975/MAX(B4724:B4975)-1</f>
        <v>-0.0340944990848779</v>
      </c>
      <c r="F4975" s="7" t="str">
        <f aca="false">IFERROR(INDEX(02_轉折點45個!B:B,MATCH(A4975,02_轉折點45個!A:A,0)),"")</f>
        <v/>
      </c>
      <c r="G4975" s="7" t="s">
        <v>5494</v>
      </c>
    </row>
    <row r="4976" customFormat="false" ht="15" hidden="false" customHeight="false" outlineLevel="0" collapsed="false">
      <c r="A4976" s="7" t="s">
        <v>5935</v>
      </c>
      <c r="B4976" s="7" t="n">
        <v>7352.82</v>
      </c>
      <c r="C4976" s="7" t="n">
        <f aca="false">AVERAGE(B4927:B4976)</f>
        <v>7480.6152</v>
      </c>
      <c r="D4976" s="7" t="n">
        <f aca="false">AVERAGE(B4777:B4976)</f>
        <v>7027.86135</v>
      </c>
      <c r="E4976" s="7" t="n">
        <f aca="false">B4976/MAX(B4725:B4976)-1</f>
        <v>-0.0401243835001267</v>
      </c>
      <c r="F4976" s="7" t="str">
        <f aca="false">IFERROR(INDEX(02_轉折點45個!B:B,MATCH(A4976,02_轉折點45個!A:A,0)),"")</f>
        <v/>
      </c>
      <c r="G4976" s="7" t="s">
        <v>5494</v>
      </c>
    </row>
    <row r="4977" customFormat="false" ht="15" hidden="false" customHeight="false" outlineLevel="0" collapsed="false">
      <c r="A4977" s="7" t="s">
        <v>5936</v>
      </c>
      <c r="B4977" s="7" t="n">
        <v>7371.62</v>
      </c>
      <c r="C4977" s="7" t="n">
        <f aca="false">AVERAGE(B4928:B4977)</f>
        <v>7484.1856</v>
      </c>
      <c r="D4977" s="7" t="n">
        <f aca="false">AVERAGE(B4778:B4977)</f>
        <v>7032.356</v>
      </c>
      <c r="E4977" s="7" t="n">
        <f aca="false">B4977/MAX(B4726:B4977)-1</f>
        <v>-0.0376701330778129</v>
      </c>
      <c r="F4977" s="7" t="str">
        <f aca="false">IFERROR(INDEX(02_轉折點45個!B:B,MATCH(A4977,02_轉折點45個!A:A,0)),"")</f>
        <v/>
      </c>
      <c r="G4977" s="7" t="s">
        <v>5494</v>
      </c>
    </row>
    <row r="4978" customFormat="false" ht="15" hidden="false" customHeight="false" outlineLevel="0" collapsed="false">
      <c r="A4978" s="7" t="s">
        <v>1390</v>
      </c>
      <c r="B4978" s="7" t="n">
        <v>7044.5</v>
      </c>
      <c r="C4978" s="7" t="n">
        <f aca="false">AVERAGE(B4929:B4978)</f>
        <v>7480.436</v>
      </c>
      <c r="D4978" s="7" t="n">
        <f aca="false">AVERAGE(B4779:B4978)</f>
        <v>7035.25265</v>
      </c>
      <c r="E4978" s="7" t="n">
        <f aca="false">B4978/MAX(B4727:B4978)-1</f>
        <v>-0.0803740904260736</v>
      </c>
      <c r="F4978" s="7" t="str">
        <f aca="false">IFERROR(INDEX(02_轉折點45個!B:B,MATCH(A4978,02_轉折點45個!A:A,0)),"")</f>
        <v/>
      </c>
      <c r="G4978" s="7" t="s">
        <v>5494</v>
      </c>
    </row>
    <row r="4979" customFormat="false" ht="15" hidden="false" customHeight="false" outlineLevel="0" collapsed="false">
      <c r="A4979" s="7" t="s">
        <v>1391</v>
      </c>
      <c r="B4979" s="7" t="n">
        <v>6964.03</v>
      </c>
      <c r="C4979" s="7" t="n">
        <f aca="false">AVERAGE(B4930:B4979)</f>
        <v>7474.2588</v>
      </c>
      <c r="D4979" s="7" t="n">
        <f aca="false">AVERAGE(B4780:B4979)</f>
        <v>7037.907</v>
      </c>
      <c r="E4979" s="7" t="n">
        <f aca="false">B4979/MAX(B4728:B4979)-1</f>
        <v>-0.0908790655049883</v>
      </c>
      <c r="F4979" s="7" t="str">
        <f aca="false">IFERROR(INDEX(02_轉折點45個!B:B,MATCH(A4979,02_轉折點45個!A:A,0)),"")</f>
        <v/>
      </c>
      <c r="G4979" s="7" t="s">
        <v>5494</v>
      </c>
    </row>
    <row r="4980" customFormat="false" ht="15" hidden="false" customHeight="false" outlineLevel="0" collapsed="false">
      <c r="A4980" s="7" t="s">
        <v>1392</v>
      </c>
      <c r="B4980" s="7" t="n">
        <v>7157.21</v>
      </c>
      <c r="C4980" s="7" t="n">
        <f aca="false">AVERAGE(B4931:B4980)</f>
        <v>7469.96</v>
      </c>
      <c r="D4980" s="7" t="n">
        <f aca="false">AVERAGE(B4781:B4980)</f>
        <v>7041.5173</v>
      </c>
      <c r="E4980" s="7" t="n">
        <f aca="false">B4980/MAX(B4729:B4980)-1</f>
        <v>-0.0656603369633612</v>
      </c>
      <c r="F4980" s="7" t="str">
        <f aca="false">IFERROR(INDEX(02_轉折點45個!B:B,MATCH(A4980,02_轉折點45個!A:A,0)),"")</f>
        <v/>
      </c>
      <c r="G4980" s="7" t="s">
        <v>5494</v>
      </c>
    </row>
    <row r="4981" customFormat="false" ht="15" hidden="false" customHeight="false" outlineLevel="0" collapsed="false">
      <c r="A4981" s="7" t="s">
        <v>5937</v>
      </c>
      <c r="B4981" s="7" t="n">
        <v>7068.67</v>
      </c>
      <c r="C4981" s="7" t="n">
        <f aca="false">AVERAGE(B4932:B4981)</f>
        <v>7463.4236</v>
      </c>
      <c r="D4981" s="7" t="n">
        <f aca="false">AVERAGE(B4782:B4981)</f>
        <v>7044.65355</v>
      </c>
      <c r="E4981" s="7" t="n">
        <f aca="false">B4981/MAX(B4730:B4981)-1</f>
        <v>-0.0772188120905776</v>
      </c>
      <c r="F4981" s="7" t="str">
        <f aca="false">IFERROR(INDEX(02_轉折點45個!B:B,MATCH(A4981,02_轉折點45個!A:A,0)),"")</f>
        <v/>
      </c>
      <c r="G4981" s="7" t="s">
        <v>5494</v>
      </c>
    </row>
    <row r="4982" customFormat="false" ht="15" hidden="false" customHeight="false" outlineLevel="0" collapsed="false">
      <c r="A4982" s="7" t="s">
        <v>5938</v>
      </c>
      <c r="B4982" s="7" t="n">
        <v>7276.43</v>
      </c>
      <c r="C4982" s="7" t="n">
        <f aca="false">AVERAGE(B4933:B4982)</f>
        <v>7460.1724</v>
      </c>
      <c r="D4982" s="7" t="n">
        <f aca="false">AVERAGE(B4783:B4982)</f>
        <v>7049.0536</v>
      </c>
      <c r="E4982" s="7" t="n">
        <f aca="false">B4982/MAX(B4731:B4982)-1</f>
        <v>-0.050096734019305</v>
      </c>
      <c r="F4982" s="7" t="str">
        <f aca="false">IFERROR(INDEX(02_轉折點45個!B:B,MATCH(A4982,02_轉折點45個!A:A,0)),"")</f>
        <v/>
      </c>
      <c r="G4982" s="7" t="s">
        <v>5494</v>
      </c>
    </row>
    <row r="4983" customFormat="false" ht="15" hidden="false" customHeight="false" outlineLevel="0" collapsed="false">
      <c r="A4983" s="7" t="s">
        <v>1393</v>
      </c>
      <c r="B4983" s="7" t="n">
        <v>7278.63</v>
      </c>
      <c r="C4983" s="7" t="n">
        <f aca="false">AVERAGE(B4934:B4983)</f>
        <v>7456.492</v>
      </c>
      <c r="D4983" s="7" t="n">
        <f aca="false">AVERAGE(B4784:B4983)</f>
        <v>7052.89005</v>
      </c>
      <c r="E4983" s="7" t="n">
        <f aca="false">B4983/MAX(B4732:B4983)-1</f>
        <v>-0.0498095345018003</v>
      </c>
      <c r="F4983" s="7" t="str">
        <f aca="false">IFERROR(INDEX(02_轉折點45個!B:B,MATCH(A4983,02_轉折點45個!A:A,0)),"")</f>
        <v/>
      </c>
      <c r="G4983" s="7" t="s">
        <v>5494</v>
      </c>
    </row>
    <row r="4984" customFormat="false" ht="15" hidden="false" customHeight="false" outlineLevel="0" collapsed="false">
      <c r="A4984" s="7" t="s">
        <v>1394</v>
      </c>
      <c r="B4984" s="7" t="n">
        <v>7116.09</v>
      </c>
      <c r="C4984" s="7" t="n">
        <f aca="false">AVERAGE(B4935:B4984)</f>
        <v>7449.4228</v>
      </c>
      <c r="D4984" s="7" t="n">
        <f aca="false">AVERAGE(B4785:B4984)</f>
        <v>7055.5915</v>
      </c>
      <c r="E4984" s="7" t="n">
        <f aca="false">B4984/MAX(B4733:B4984)-1</f>
        <v>-0.0710283570359965</v>
      </c>
      <c r="F4984" s="7" t="str">
        <f aca="false">IFERROR(INDEX(02_轉折點45個!B:B,MATCH(A4984,02_轉折點45個!A:A,0)),"")</f>
        <v/>
      </c>
      <c r="G4984" s="7" t="s">
        <v>5494</v>
      </c>
    </row>
    <row r="4985" customFormat="false" ht="15" hidden="false" customHeight="false" outlineLevel="0" collapsed="false">
      <c r="A4985" s="7" t="s">
        <v>5939</v>
      </c>
      <c r="B4985" s="7" t="n">
        <v>7107.23</v>
      </c>
      <c r="C4985" s="7" t="n">
        <f aca="false">AVERAGE(B4936:B4985)</f>
        <v>7442.2282</v>
      </c>
      <c r="D4985" s="7" t="n">
        <f aca="false">AVERAGE(B4786:B4985)</f>
        <v>7058.20475</v>
      </c>
      <c r="E4985" s="7" t="n">
        <f aca="false">B4985/MAX(B4734:B4985)-1</f>
        <v>-0.0721849878201296</v>
      </c>
      <c r="F4985" s="7" t="str">
        <f aca="false">IFERROR(INDEX(02_轉折點45個!B:B,MATCH(A4985,02_轉折點45個!A:A,0)),"")</f>
        <v/>
      </c>
      <c r="G4985" s="7" t="s">
        <v>5494</v>
      </c>
    </row>
    <row r="4986" customFormat="false" ht="15" hidden="false" customHeight="false" outlineLevel="0" collapsed="false">
      <c r="A4986" s="7" t="s">
        <v>5940</v>
      </c>
      <c r="B4986" s="7" t="n">
        <v>7141.21</v>
      </c>
      <c r="C4986" s="7" t="n">
        <f aca="false">AVERAGE(B4937:B4986)</f>
        <v>7436.8864</v>
      </c>
      <c r="D4986" s="7" t="n">
        <f aca="false">AVERAGE(B4787:B4986)</f>
        <v>7060.64435</v>
      </c>
      <c r="E4986" s="7" t="n">
        <f aca="false">B4986/MAX(B4735:B4986)-1</f>
        <v>-0.0677490607270326</v>
      </c>
      <c r="F4986" s="7" t="str">
        <f aca="false">IFERROR(INDEX(02_轉折點45個!B:B,MATCH(A4986,02_轉折點45個!A:A,0)),"")</f>
        <v/>
      </c>
      <c r="G4986" s="7" t="s">
        <v>5494</v>
      </c>
    </row>
    <row r="4987" customFormat="false" ht="15" hidden="false" customHeight="false" outlineLevel="0" collapsed="false">
      <c r="A4987" s="7" t="s">
        <v>1395</v>
      </c>
      <c r="B4987" s="7" t="n">
        <v>7118.67</v>
      </c>
      <c r="C4987" s="7" t="n">
        <f aca="false">AVERAGE(B4938:B4987)</f>
        <v>7431.2364</v>
      </c>
      <c r="D4987" s="7" t="n">
        <f aca="false">AVERAGE(B4788:B4987)</f>
        <v>7062.85455</v>
      </c>
      <c r="E4987" s="7" t="n">
        <f aca="false">B4987/MAX(B4736:B4987)-1</f>
        <v>-0.0706915503291046</v>
      </c>
      <c r="F4987" s="7" t="str">
        <f aca="false">IFERROR(INDEX(02_轉折點45個!B:B,MATCH(A4987,02_轉折點45個!A:A,0)),"")</f>
        <v/>
      </c>
      <c r="G4987" s="7" t="s">
        <v>5494</v>
      </c>
    </row>
    <row r="4988" customFormat="false" ht="15" hidden="false" customHeight="false" outlineLevel="0" collapsed="false">
      <c r="A4988" s="7" t="s">
        <v>1396</v>
      </c>
      <c r="B4988" s="7" t="n">
        <v>6789.15</v>
      </c>
      <c r="C4988" s="7" t="n">
        <f aca="false">AVERAGE(B4939:B4988)</f>
        <v>7418.076</v>
      </c>
      <c r="D4988" s="7" t="n">
        <f aca="false">AVERAGE(B4789:B4988)</f>
        <v>7063.4106</v>
      </c>
      <c r="E4988" s="7" t="n">
        <f aca="false">B4988/MAX(B4737:B4988)-1</f>
        <v>-0.113708816241916</v>
      </c>
      <c r="F4988" s="7" t="str">
        <f aca="false">IFERROR(INDEX(02_轉折點45個!B:B,MATCH(A4988,02_轉折點45個!A:A,0)),"")</f>
        <v/>
      </c>
      <c r="G4988" s="7" t="s">
        <v>5494</v>
      </c>
    </row>
    <row r="4989" customFormat="false" ht="15" hidden="false" customHeight="false" outlineLevel="0" collapsed="false">
      <c r="A4989" s="7" t="s">
        <v>5941</v>
      </c>
      <c r="B4989" s="7" t="n">
        <v>7016.39</v>
      </c>
      <c r="C4989" s="7" t="n">
        <f aca="false">AVERAGE(B4940:B4989)</f>
        <v>7411.3106</v>
      </c>
      <c r="D4989" s="7" t="n">
        <f aca="false">AVERAGE(B4790:B4989)</f>
        <v>7065.17925</v>
      </c>
      <c r="E4989" s="7" t="n">
        <f aca="false">B4989/MAX(B4738:B4989)-1</f>
        <v>-0.0840437169883737</v>
      </c>
      <c r="F4989" s="7" t="str">
        <f aca="false">IFERROR(INDEX(02_轉折點45個!B:B,MATCH(A4989,02_轉折點45個!A:A,0)),"")</f>
        <v/>
      </c>
      <c r="G4989" s="7" t="s">
        <v>5494</v>
      </c>
    </row>
    <row r="4990" customFormat="false" ht="15" hidden="false" customHeight="false" outlineLevel="0" collapsed="false">
      <c r="A4990" s="7" t="s">
        <v>5942</v>
      </c>
      <c r="B4990" s="7" t="n">
        <v>6852.4</v>
      </c>
      <c r="C4990" s="7" t="n">
        <f aca="false">AVERAGE(B4941:B4990)</f>
        <v>7400.8728</v>
      </c>
      <c r="D4990" s="7" t="n">
        <f aca="false">AVERAGE(B4791:B4990)</f>
        <v>7065.8988</v>
      </c>
      <c r="E4990" s="7" t="n">
        <f aca="false">B4990/MAX(B4739:B4990)-1</f>
        <v>-0.105451830113653</v>
      </c>
      <c r="F4990" s="7" t="str">
        <f aca="false">IFERROR(INDEX(02_轉折點45個!B:B,MATCH(A4990,02_轉折點45個!A:A,0)),"")</f>
        <v/>
      </c>
      <c r="G4990" s="7" t="s">
        <v>5494</v>
      </c>
    </row>
    <row r="4991" customFormat="false" ht="15" hidden="false" customHeight="false" outlineLevel="0" collapsed="false">
      <c r="A4991" s="7" t="s">
        <v>1397</v>
      </c>
      <c r="B4991" s="7" t="n">
        <v>6713.9</v>
      </c>
      <c r="C4991" s="7" t="n">
        <f aca="false">AVERAGE(B4942:B4991)</f>
        <v>7387.6</v>
      </c>
      <c r="D4991" s="7" t="n">
        <f aca="false">AVERAGE(B4792:B4991)</f>
        <v>7065.6756</v>
      </c>
      <c r="E4991" s="7" t="n">
        <f aca="false">B4991/MAX(B4740:B4991)-1</f>
        <v>-0.123532345192933</v>
      </c>
      <c r="F4991" s="7" t="str">
        <f aca="false">IFERROR(INDEX(02_轉折點45個!B:B,MATCH(A4991,02_轉折點45個!A:A,0)),"")</f>
        <v/>
      </c>
      <c r="G4991" s="7" t="s">
        <v>5494</v>
      </c>
    </row>
    <row r="4992" customFormat="false" ht="15" hidden="false" customHeight="false" outlineLevel="0" collapsed="false">
      <c r="A4992" s="7" t="s">
        <v>5943</v>
      </c>
      <c r="B4992" s="7" t="n">
        <v>6810.12</v>
      </c>
      <c r="C4992" s="7" t="n">
        <f aca="false">AVERAGE(B4943:B4992)</f>
        <v>7376.374</v>
      </c>
      <c r="D4992" s="7" t="n">
        <f aca="false">AVERAGE(B4793:B4992)</f>
        <v>7066.0405</v>
      </c>
      <c r="E4992" s="7" t="n">
        <f aca="false">B4992/MAX(B4741:B4992)-1</f>
        <v>-0.110971282659154</v>
      </c>
      <c r="F4992" s="7" t="str">
        <f aca="false">IFERROR(INDEX(02_轉折點45個!B:B,MATCH(A4992,02_轉折點45個!A:A,0)),"")</f>
        <v/>
      </c>
      <c r="G4992" s="7" t="s">
        <v>5494</v>
      </c>
    </row>
    <row r="4993" customFormat="false" ht="15" hidden="false" customHeight="false" outlineLevel="0" collapsed="false">
      <c r="A4993" s="7" t="s">
        <v>5944</v>
      </c>
      <c r="B4993" s="7" t="n">
        <v>6967.1</v>
      </c>
      <c r="C4993" s="7" t="n">
        <f aca="false">AVERAGE(B4944:B4993)</f>
        <v>7367.7714</v>
      </c>
      <c r="D4993" s="7" t="n">
        <f aca="false">AVERAGE(B4794:B4993)</f>
        <v>7066.8246</v>
      </c>
      <c r="E4993" s="7" t="n">
        <f aca="false">B4993/MAX(B4742:B4993)-1</f>
        <v>-0.0904782916328337</v>
      </c>
      <c r="F4993" s="7" t="str">
        <f aca="false">IFERROR(INDEX(02_轉折點45個!B:B,MATCH(A4993,02_轉折點45個!A:A,0)),"")</f>
        <v/>
      </c>
      <c r="G4993" s="7" t="s">
        <v>5494</v>
      </c>
    </row>
    <row r="4994" customFormat="false" ht="15" hidden="false" customHeight="false" outlineLevel="0" collapsed="false">
      <c r="A4994" s="7" t="s">
        <v>1398</v>
      </c>
      <c r="B4994" s="7" t="n">
        <v>7069.17</v>
      </c>
      <c r="C4994" s="7" t="n">
        <f aca="false">AVERAGE(B4945:B4994)</f>
        <v>7360.6628</v>
      </c>
      <c r="D4994" s="7" t="n">
        <f aca="false">AVERAGE(B4795:B4994)</f>
        <v>7068.11355</v>
      </c>
      <c r="E4994" s="7" t="n">
        <f aca="false">B4994/MAX(B4743:B4994)-1</f>
        <v>-0.0771535394729628</v>
      </c>
      <c r="F4994" s="7" t="str">
        <f aca="false">IFERROR(INDEX(02_轉折點45個!B:B,MATCH(A4994,02_轉折點45個!A:A,0)),"")</f>
        <v/>
      </c>
      <c r="G4994" s="7" t="s">
        <v>5494</v>
      </c>
    </row>
    <row r="4995" customFormat="false" ht="15" hidden="false" customHeight="false" outlineLevel="0" collapsed="false">
      <c r="A4995" s="7" t="s">
        <v>1399</v>
      </c>
      <c r="B4995" s="7" t="n">
        <v>6965.29</v>
      </c>
      <c r="C4995" s="7" t="n">
        <f aca="false">AVERAGE(B4946:B4995)</f>
        <v>7351.6918</v>
      </c>
      <c r="D4995" s="7" t="n">
        <f aca="false">AVERAGE(B4796:B4995)</f>
        <v>7068.76835</v>
      </c>
      <c r="E4995" s="7" t="n">
        <f aca="false">B4995/MAX(B4744:B4995)-1</f>
        <v>-0.0907145785085991</v>
      </c>
      <c r="F4995" s="7" t="str">
        <f aca="false">IFERROR(INDEX(02_轉折點45個!B:B,MATCH(A4995,02_轉折點45個!A:A,0)),"")</f>
        <v/>
      </c>
      <c r="G4995" s="7" t="s">
        <v>5494</v>
      </c>
    </row>
    <row r="4996" customFormat="false" ht="15" hidden="false" customHeight="false" outlineLevel="0" collapsed="false">
      <c r="A4996" s="7" t="s">
        <v>1400</v>
      </c>
      <c r="B4996" s="7" t="n">
        <v>6937.09</v>
      </c>
      <c r="C4996" s="7" t="n">
        <f aca="false">AVERAGE(B4947:B4996)</f>
        <v>7340.7256</v>
      </c>
      <c r="D4996" s="7" t="n">
        <f aca="false">AVERAGE(B4797:B4996)</f>
        <v>7068.9224</v>
      </c>
      <c r="E4996" s="7" t="n">
        <f aca="false">B4996/MAX(B4745:B4996)-1</f>
        <v>-0.0943959541420698</v>
      </c>
      <c r="F4996" s="7" t="str">
        <f aca="false">IFERROR(INDEX(02_轉折點45個!B:B,MATCH(A4996,02_轉折點45個!A:A,0)),"")</f>
        <v/>
      </c>
      <c r="G4996" s="7" t="s">
        <v>5494</v>
      </c>
    </row>
    <row r="4997" customFormat="false" ht="15" hidden="false" customHeight="false" outlineLevel="0" collapsed="false">
      <c r="A4997" s="7" t="s">
        <v>5945</v>
      </c>
      <c r="B4997" s="7" t="n">
        <v>6988.85</v>
      </c>
      <c r="C4997" s="7" t="n">
        <f aca="false">AVERAGE(B4948:B4997)</f>
        <v>7329.32</v>
      </c>
      <c r="D4997" s="7" t="n">
        <f aca="false">AVERAGE(B4798:B4997)</f>
        <v>7069.04935</v>
      </c>
      <c r="E4997" s="7" t="n">
        <f aca="false">B4997/MAX(B4746:B4997)-1</f>
        <v>-0.087638932766593</v>
      </c>
      <c r="F4997" s="7" t="str">
        <f aca="false">IFERROR(INDEX(02_轉折點45個!B:B,MATCH(A4997,02_轉折點45個!A:A,0)),"")</f>
        <v/>
      </c>
      <c r="G4997" s="7" t="s">
        <v>5494</v>
      </c>
    </row>
    <row r="4998" customFormat="false" ht="15" hidden="false" customHeight="false" outlineLevel="0" collapsed="false">
      <c r="A4998" s="7" t="s">
        <v>1401</v>
      </c>
      <c r="B4998" s="7" t="n">
        <v>7203.13</v>
      </c>
      <c r="C4998" s="7" t="n">
        <f aca="false">AVERAGE(B4949:B4998)</f>
        <v>7321.9776</v>
      </c>
      <c r="D4998" s="7" t="n">
        <f aca="false">AVERAGE(B4799:B4998)</f>
        <v>7070.46825</v>
      </c>
      <c r="E4998" s="7" t="n">
        <f aca="false">B4998/MAX(B4747:B4998)-1</f>
        <v>-0.0596656997616244</v>
      </c>
      <c r="F4998" s="7" t="str">
        <f aca="false">IFERROR(INDEX(02_轉折點45個!B:B,MATCH(A4998,02_轉折點45個!A:A,0)),"")</f>
        <v/>
      </c>
      <c r="G4998" s="7" t="s">
        <v>5494</v>
      </c>
    </row>
    <row r="4999" customFormat="false" ht="15" hidden="false" customHeight="false" outlineLevel="0" collapsed="false">
      <c r="A4999" s="7" t="s">
        <v>1402</v>
      </c>
      <c r="B4999" s="7" t="n">
        <v>7158.59</v>
      </c>
      <c r="C4999" s="7" t="n">
        <f aca="false">AVERAGE(B4950:B4999)</f>
        <v>7311.9458</v>
      </c>
      <c r="D4999" s="7" t="n">
        <f aca="false">AVERAGE(B4800:B4999)</f>
        <v>7071.6797</v>
      </c>
      <c r="E4999" s="7" t="n">
        <f aca="false">B4999/MAX(B4748:B4999)-1</f>
        <v>-0.0654801845387445</v>
      </c>
      <c r="F4999" s="7" t="str">
        <f aca="false">IFERROR(INDEX(02_轉折點45個!B:B,MATCH(A4999,02_轉折點45個!A:A,0)),"")</f>
        <v/>
      </c>
      <c r="G4999" s="7" t="s">
        <v>5494</v>
      </c>
    </row>
    <row r="5000" customFormat="false" ht="15" hidden="false" customHeight="false" outlineLevel="0" collapsed="false">
      <c r="A5000" s="7" t="s">
        <v>1403</v>
      </c>
      <c r="B5000" s="7" t="n">
        <v>7039.15</v>
      </c>
      <c r="C5000" s="7" t="n">
        <f aca="false">AVERAGE(B4951:B5000)</f>
        <v>7299.8754</v>
      </c>
      <c r="D5000" s="7" t="n">
        <f aca="false">AVERAGE(B4801:B5000)</f>
        <v>7071.7606</v>
      </c>
      <c r="E5000" s="7" t="n">
        <f aca="false">B5000/MAX(B4749:B5000)-1</f>
        <v>-0.0810725074345512</v>
      </c>
      <c r="F5000" s="7" t="str">
        <f aca="false">IFERROR(INDEX(02_轉折點45個!B:B,MATCH(A5000,02_轉折點45個!A:A,0)),"")</f>
        <v/>
      </c>
      <c r="G5000" s="7" t="s">
        <v>5494</v>
      </c>
    </row>
    <row r="5001" customFormat="false" ht="15" hidden="false" customHeight="false" outlineLevel="0" collapsed="false">
      <c r="A5001" s="7" t="s">
        <v>5946</v>
      </c>
      <c r="B5001" s="7" t="n">
        <v>6829.1</v>
      </c>
      <c r="C5001" s="7" t="n">
        <f aca="false">AVERAGE(B4952:B5001)</f>
        <v>7283.3664</v>
      </c>
      <c r="D5001" s="7" t="n">
        <f aca="false">AVERAGE(B4802:B5001)</f>
        <v>7070.9645</v>
      </c>
      <c r="E5001" s="7" t="n">
        <f aca="false">B5001/MAX(B4750:B5001)-1</f>
        <v>-0.108493534094499</v>
      </c>
      <c r="F5001" s="7" t="str">
        <f aca="false">IFERROR(INDEX(02_轉折點45個!B:B,MATCH(A5001,02_轉折點45個!A:A,0)),"")</f>
        <v/>
      </c>
      <c r="G5001" s="7" t="s">
        <v>5494</v>
      </c>
    </row>
    <row r="5002" customFormat="false" ht="15" hidden="false" customHeight="false" outlineLevel="0" collapsed="false">
      <c r="A5002" s="7" t="s">
        <v>5947</v>
      </c>
      <c r="B5002" s="7" t="n">
        <v>6830.91</v>
      </c>
      <c r="C5002" s="7" t="n">
        <f aca="false">AVERAGE(B4953:B5002)</f>
        <v>7267.5382</v>
      </c>
      <c r="D5002" s="7" t="n">
        <f aca="false">AVERAGE(B4803:B5002)</f>
        <v>7070.4654</v>
      </c>
      <c r="E5002" s="7" t="n">
        <f aca="false">B5002/MAX(B4751:B5002)-1</f>
        <v>-0.108257247218734</v>
      </c>
      <c r="F5002" s="7" t="str">
        <f aca="false">IFERROR(INDEX(02_轉折點45個!B:B,MATCH(A5002,02_轉折點45個!A:A,0)),"")</f>
        <v/>
      </c>
      <c r="G5002" s="7" t="s">
        <v>5494</v>
      </c>
    </row>
    <row r="5003" customFormat="false" ht="15" hidden="false" customHeight="false" outlineLevel="0" collapsed="false">
      <c r="A5003" s="7" t="s">
        <v>1404</v>
      </c>
      <c r="B5003" s="7" t="n">
        <v>6769.87</v>
      </c>
      <c r="C5003" s="7" t="n">
        <f aca="false">AVERAGE(B4954:B5003)</f>
        <v>7252.4704</v>
      </c>
      <c r="D5003" s="7" t="n">
        <f aca="false">AVERAGE(B4804:B5003)</f>
        <v>7069.5648</v>
      </c>
      <c r="E5003" s="7" t="n">
        <f aca="false">B5003/MAX(B4752:B5003)-1</f>
        <v>-0.11622572837714</v>
      </c>
      <c r="F5003" s="7" t="str">
        <f aca="false">IFERROR(INDEX(02_轉折點45個!B:B,MATCH(A5003,02_轉折點45個!A:A,0)),"")</f>
        <v/>
      </c>
      <c r="G5003" s="7" t="s">
        <v>5494</v>
      </c>
    </row>
    <row r="5004" customFormat="false" ht="15" hidden="false" customHeight="false" outlineLevel="0" collapsed="false">
      <c r="A5004" s="7" t="s">
        <v>5948</v>
      </c>
      <c r="B5004" s="7" t="n">
        <v>6890.45</v>
      </c>
      <c r="C5004" s="7" t="n">
        <f aca="false">AVERAGE(B4955:B5004)</f>
        <v>7241.216</v>
      </c>
      <c r="D5004" s="7" t="n">
        <f aca="false">AVERAGE(B4805:B5004)</f>
        <v>7069.50955</v>
      </c>
      <c r="E5004" s="7" t="n">
        <f aca="false">B5004/MAX(B4753:B5004)-1</f>
        <v>-0.100484583913172</v>
      </c>
      <c r="F5004" s="7" t="str">
        <f aca="false">IFERROR(INDEX(02_轉折點45個!B:B,MATCH(A5004,02_轉折點45個!A:A,0)),"")</f>
        <v/>
      </c>
      <c r="G5004" s="7" t="s">
        <v>5494</v>
      </c>
    </row>
    <row r="5005" customFormat="false" ht="15" hidden="false" customHeight="false" outlineLevel="0" collapsed="false">
      <c r="A5005" s="7" t="s">
        <v>5949</v>
      </c>
      <c r="B5005" s="7" t="n">
        <v>6867.02</v>
      </c>
      <c r="C5005" s="7" t="n">
        <f aca="false">AVERAGE(B4956:B5005)</f>
        <v>7229.9512</v>
      </c>
      <c r="D5005" s="7" t="n">
        <f aca="false">AVERAGE(B4806:B5005)</f>
        <v>7070.0432</v>
      </c>
      <c r="E5005" s="7" t="n">
        <f aca="false">B5005/MAX(B4754:B5005)-1</f>
        <v>-0.103543258774598</v>
      </c>
      <c r="F5005" s="7" t="str">
        <f aca="false">IFERROR(INDEX(02_轉折點45個!B:B,MATCH(A5005,02_轉折點45個!A:A,0)),"")</f>
        <v/>
      </c>
      <c r="G5005" s="7" t="s">
        <v>5494</v>
      </c>
    </row>
    <row r="5006" customFormat="false" ht="15" hidden="false" customHeight="false" outlineLevel="0" collapsed="false">
      <c r="A5006" s="7" t="s">
        <v>1405</v>
      </c>
      <c r="B5006" s="7" t="n">
        <v>6642.92</v>
      </c>
      <c r="C5006" s="7" t="n">
        <f aca="false">AVERAGE(B4957:B5006)</f>
        <v>7213.856</v>
      </c>
      <c r="D5006" s="7" t="n">
        <f aca="false">AVERAGE(B4807:B5006)</f>
        <v>7070.7782</v>
      </c>
      <c r="E5006" s="7" t="n">
        <f aca="false">B5006/MAX(B4755:B5006)-1</f>
        <v>-0.13279844598952</v>
      </c>
      <c r="F5006" s="7" t="str">
        <f aca="false">IFERROR(INDEX(02_轉折點45個!B:B,MATCH(A5006,02_轉折點45個!A:A,0)),"")</f>
        <v/>
      </c>
      <c r="G5006" s="7" t="s">
        <v>5494</v>
      </c>
    </row>
    <row r="5007" customFormat="false" ht="15" hidden="false" customHeight="false" outlineLevel="0" collapsed="false">
      <c r="A5007" s="7" t="s">
        <v>5950</v>
      </c>
      <c r="B5007" s="7" t="n">
        <v>6526.96</v>
      </c>
      <c r="C5007" s="7" t="n">
        <f aca="false">AVERAGE(B4958:B5007)</f>
        <v>7194.2378</v>
      </c>
      <c r="D5007" s="7" t="n">
        <f aca="false">AVERAGE(B4808:B5007)</f>
        <v>7070.0831</v>
      </c>
      <c r="E5007" s="7" t="n">
        <f aca="false">B5007/MAX(B4756:B5007)-1</f>
        <v>-0.147936471466728</v>
      </c>
      <c r="F5007" s="7" t="str">
        <f aca="false">IFERROR(INDEX(02_轉折點45個!B:B,MATCH(A5007,02_轉折點45個!A:A,0)),"")</f>
        <v/>
      </c>
      <c r="G5007" s="7" t="s">
        <v>5494</v>
      </c>
    </row>
    <row r="5008" customFormat="false" ht="15" hidden="false" customHeight="false" outlineLevel="0" collapsed="false">
      <c r="A5008" s="7" t="s">
        <v>5951</v>
      </c>
      <c r="B5008" s="7" t="n">
        <v>6575.66</v>
      </c>
      <c r="C5008" s="7" t="n">
        <f aca="false">AVERAGE(B4959:B5008)</f>
        <v>7175.9898</v>
      </c>
      <c r="D5008" s="7" t="n">
        <f aca="false">AVERAGE(B4809:B5008)</f>
        <v>7070.0513</v>
      </c>
      <c r="E5008" s="7" t="n">
        <f aca="false">B5008/MAX(B4757:B5008)-1</f>
        <v>-0.141578918511053</v>
      </c>
      <c r="F5008" s="7" t="str">
        <f aca="false">IFERROR(INDEX(02_轉折點45個!B:B,MATCH(A5008,02_轉折點45個!A:A,0)),"")</f>
        <v/>
      </c>
      <c r="G5008" s="7" t="s">
        <v>5494</v>
      </c>
    </row>
    <row r="5009" customFormat="false" ht="15" hidden="false" customHeight="false" outlineLevel="0" collapsed="false">
      <c r="A5009" s="7" t="s">
        <v>5952</v>
      </c>
      <c r="B5009" s="7" t="n">
        <v>6527.35</v>
      </c>
      <c r="C5009" s="7" t="n">
        <f aca="false">AVERAGE(B4960:B5009)</f>
        <v>7155.303</v>
      </c>
      <c r="D5009" s="7" t="n">
        <f aca="false">AVERAGE(B4810:B5009)</f>
        <v>7071.15755</v>
      </c>
      <c r="E5009" s="7" t="n">
        <f aca="false">B5009/MAX(B4758:B5009)-1</f>
        <v>-0.147885558824988</v>
      </c>
      <c r="F5009" s="7" t="str">
        <f aca="false">IFERROR(INDEX(02_轉折點45個!B:B,MATCH(A5009,02_轉折點45個!A:A,0)),"")</f>
        <v/>
      </c>
      <c r="G5009" s="7" t="s">
        <v>5494</v>
      </c>
    </row>
    <row r="5010" customFormat="false" ht="15" hidden="false" customHeight="false" outlineLevel="0" collapsed="false">
      <c r="A5010" s="7" t="s">
        <v>5953</v>
      </c>
      <c r="B5010" s="7" t="n">
        <v>6678.34</v>
      </c>
      <c r="C5010" s="7" t="n">
        <f aca="false">AVERAGE(B4961:B5010)</f>
        <v>7137.9598</v>
      </c>
      <c r="D5010" s="7" t="n">
        <f aca="false">AVERAGE(B4811:B5010)</f>
        <v>7072.48585</v>
      </c>
      <c r="E5010" s="7" t="n">
        <f aca="false">B5010/MAX(B4759:B5010)-1</f>
        <v>-0.128174533757692</v>
      </c>
      <c r="F5010" s="7" t="str">
        <f aca="false">IFERROR(INDEX(02_轉折點45個!B:B,MATCH(A5010,02_轉折點45個!A:A,0)),"")</f>
        <v/>
      </c>
      <c r="G5010" s="7" t="s">
        <v>5494</v>
      </c>
    </row>
    <row r="5011" customFormat="false" ht="15" hidden="false" customHeight="false" outlineLevel="0" collapsed="false">
      <c r="A5011" s="7" t="s">
        <v>5954</v>
      </c>
      <c r="B5011" s="7" t="n">
        <v>6701.04</v>
      </c>
      <c r="C5011" s="7" t="n">
        <f aca="false">AVERAGE(B4962:B5011)</f>
        <v>7123.286</v>
      </c>
      <c r="D5011" s="7" t="n">
        <f aca="false">AVERAGE(B4812:B5011)</f>
        <v>7073.3718</v>
      </c>
      <c r="E5011" s="7" t="n">
        <f aca="false">B5011/MAX(B4760:B5011)-1</f>
        <v>-0.125211156917984</v>
      </c>
      <c r="F5011" s="7" t="str">
        <f aca="false">IFERROR(INDEX(02_轉折點45個!B:B,MATCH(A5011,02_轉折點45個!A:A,0)),"")</f>
        <v/>
      </c>
      <c r="G5011" s="7" t="s">
        <v>5494</v>
      </c>
    </row>
    <row r="5012" customFormat="false" ht="15" hidden="false" customHeight="false" outlineLevel="0" collapsed="false">
      <c r="A5012" s="7" t="s">
        <v>5955</v>
      </c>
      <c r="B5012" s="7" t="n">
        <v>6913.33</v>
      </c>
      <c r="C5012" s="7" t="n">
        <f aca="false">AVERAGE(B4963:B5012)</f>
        <v>7111.6646</v>
      </c>
      <c r="D5012" s="7" t="n">
        <f aca="false">AVERAGE(B4813:B5012)</f>
        <v>7075.16915</v>
      </c>
      <c r="E5012" s="7" t="n">
        <f aca="false">B5012/MAX(B4761:B5012)-1</f>
        <v>-0.0974977089311218</v>
      </c>
      <c r="F5012" s="7" t="str">
        <f aca="false">IFERROR(INDEX(02_轉折點45個!B:B,MATCH(A5012,02_轉折點45個!A:A,0)),"")</f>
        <v/>
      </c>
      <c r="G5012" s="7" t="s">
        <v>5494</v>
      </c>
    </row>
    <row r="5013" customFormat="false" ht="15" hidden="false" customHeight="false" outlineLevel="0" collapsed="false">
      <c r="A5013" s="7" t="s">
        <v>1406</v>
      </c>
      <c r="B5013" s="7" t="n">
        <v>6892.4</v>
      </c>
      <c r="C5013" s="7" t="n">
        <f aca="false">AVERAGE(B4964:B5013)</f>
        <v>7099.7062</v>
      </c>
      <c r="D5013" s="7" t="n">
        <f aca="false">AVERAGE(B4814:B5013)</f>
        <v>7076.256</v>
      </c>
      <c r="E5013" s="7" t="n">
        <f aca="false">B5013/MAX(B4762:B5013)-1</f>
        <v>-0.100230020704474</v>
      </c>
      <c r="F5013" s="7" t="str">
        <f aca="false">IFERROR(INDEX(02_轉折點45個!B:B,MATCH(A5013,02_轉折點45個!A:A,0)),"")</f>
        <v/>
      </c>
      <c r="G5013" s="7" t="s">
        <v>5494</v>
      </c>
    </row>
    <row r="5014" customFormat="false" ht="15" hidden="false" customHeight="false" outlineLevel="0" collapsed="false">
      <c r="A5014" s="7" t="s">
        <v>1407</v>
      </c>
      <c r="B5014" s="7" t="n">
        <v>6949.01</v>
      </c>
      <c r="C5014" s="7" t="n">
        <f aca="false">AVERAGE(B4965:B5014)</f>
        <v>7087.3058</v>
      </c>
      <c r="D5014" s="7" t="n">
        <f aca="false">AVERAGE(B4815:B5014)</f>
        <v>7077.02645</v>
      </c>
      <c r="E5014" s="7" t="n">
        <f aca="false">B5014/MAX(B4763:B5014)-1</f>
        <v>-0.0928398549381346</v>
      </c>
      <c r="F5014" s="7" t="str">
        <f aca="false">IFERROR(INDEX(02_轉折點45個!B:B,MATCH(A5014,02_轉折點45個!A:A,0)),"")</f>
        <v/>
      </c>
      <c r="G5014" s="7" t="s">
        <v>5494</v>
      </c>
    </row>
    <row r="5015" customFormat="false" ht="15" hidden="false" customHeight="false" outlineLevel="0" collapsed="false">
      <c r="A5015" s="7" t="s">
        <v>5956</v>
      </c>
      <c r="B5015" s="7" t="n">
        <v>7062.13</v>
      </c>
      <c r="C5015" s="7" t="n">
        <f aca="false">AVERAGE(B4966:B5015)</f>
        <v>7077.927</v>
      </c>
      <c r="D5015" s="7" t="n">
        <f aca="false">AVERAGE(B4816:B5015)</f>
        <v>7078.4838</v>
      </c>
      <c r="E5015" s="7" t="n">
        <f aca="false">B5015/MAX(B4764:B5015)-1</f>
        <v>-0.0780725779289782</v>
      </c>
      <c r="F5015" s="7" t="str">
        <f aca="false">IFERROR(INDEX(02_轉折點45個!B:B,MATCH(A5015,02_轉折點45個!A:A,0)),"")</f>
        <v/>
      </c>
      <c r="G5015" s="7" t="s">
        <v>5494</v>
      </c>
    </row>
    <row r="5016" customFormat="false" ht="15" hidden="false" customHeight="false" outlineLevel="0" collapsed="false">
      <c r="A5016" s="7" t="s">
        <v>5957</v>
      </c>
      <c r="B5016" s="7" t="n">
        <v>6795.21</v>
      </c>
      <c r="C5016" s="7" t="n">
        <f aca="false">AVERAGE(B4967:B5016)</f>
        <v>7062.8562</v>
      </c>
      <c r="D5016" s="7" t="n">
        <f aca="false">AVERAGE(B4817:B5016)</f>
        <v>7078.5614</v>
      </c>
      <c r="E5016" s="7" t="n">
        <f aca="false">B5016/MAX(B4765:B5016)-1</f>
        <v>-0.112917712116426</v>
      </c>
      <c r="F5016" s="7" t="str">
        <f aca="false">IFERROR(INDEX(02_轉折點45個!B:B,MATCH(A5016,02_轉折點45個!A:A,0)),"")</f>
        <v/>
      </c>
      <c r="G5016" s="7" t="s">
        <v>5494</v>
      </c>
    </row>
    <row r="5017" customFormat="false" ht="15" hidden="false" customHeight="false" outlineLevel="0" collapsed="false">
      <c r="A5017" s="7" t="s">
        <v>5958</v>
      </c>
      <c r="B5017" s="7" t="n">
        <v>6838.85</v>
      </c>
      <c r="C5017" s="7" t="n">
        <f aca="false">AVERAGE(B4968:B5017)</f>
        <v>7048.3694</v>
      </c>
      <c r="D5017" s="7" t="n">
        <f aca="false">AVERAGE(B4818:B5017)</f>
        <v>7078.95935</v>
      </c>
      <c r="E5017" s="7" t="n">
        <f aca="false">B5017/MAX(B4766:B5017)-1</f>
        <v>-0.107220718051012</v>
      </c>
      <c r="F5017" s="7" t="str">
        <f aca="false">IFERROR(INDEX(02_轉折點45個!B:B,MATCH(A5017,02_轉折點45個!A:A,0)),"")</f>
        <v/>
      </c>
      <c r="G5017" s="7" t="s">
        <v>5494</v>
      </c>
    </row>
    <row r="5018" customFormat="false" ht="15" hidden="false" customHeight="false" outlineLevel="0" collapsed="false">
      <c r="A5018" s="7" t="s">
        <v>1408</v>
      </c>
      <c r="B5018" s="7" t="n">
        <v>6613.28</v>
      </c>
      <c r="C5018" s="7" t="n">
        <f aca="false">AVERAGE(B4969:B5018)</f>
        <v>7029.3732</v>
      </c>
      <c r="D5018" s="7" t="n">
        <f aca="false">AVERAGE(B4819:B5018)</f>
        <v>7078.2165</v>
      </c>
      <c r="E5018" s="7" t="n">
        <f aca="false">B5018/MAX(B4767:B5018)-1</f>
        <v>-0.136667806761721</v>
      </c>
      <c r="F5018" s="7" t="str">
        <f aca="false">IFERROR(INDEX(02_轉折點45個!B:B,MATCH(A5018,02_轉折點45個!A:A,0)),"")</f>
        <v/>
      </c>
      <c r="G5018" s="7" t="s">
        <v>5494</v>
      </c>
    </row>
    <row r="5019" customFormat="false" ht="15" hidden="false" customHeight="false" outlineLevel="0" collapsed="false">
      <c r="A5019" s="7" t="s">
        <v>5959</v>
      </c>
      <c r="B5019" s="7" t="n">
        <v>6682.74</v>
      </c>
      <c r="C5019" s="7" t="n">
        <f aca="false">AVERAGE(B4970:B5019)</f>
        <v>7010.4366</v>
      </c>
      <c r="D5019" s="7" t="n">
        <f aca="false">AVERAGE(B4820:B5019)</f>
        <v>7077.1472</v>
      </c>
      <c r="E5019" s="7" t="n">
        <f aca="false">B5019/MAX(B4768:B5019)-1</f>
        <v>-0.127600134722683</v>
      </c>
      <c r="F5019" s="7" t="str">
        <f aca="false">IFERROR(INDEX(02_轉折點45個!B:B,MATCH(A5019,02_轉折點45個!A:A,0)),"")</f>
        <v/>
      </c>
      <c r="G5019" s="7" t="s">
        <v>5494</v>
      </c>
    </row>
    <row r="5020" customFormat="false" ht="15" hidden="false" customHeight="false" outlineLevel="0" collapsed="false">
      <c r="A5020" s="7" t="s">
        <v>5960</v>
      </c>
      <c r="B5020" s="7" t="n">
        <v>6704.24</v>
      </c>
      <c r="C5020" s="7" t="n">
        <f aca="false">AVERAGE(B4971:B5020)</f>
        <v>6991.9684</v>
      </c>
      <c r="D5020" s="7" t="n">
        <f aca="false">AVERAGE(B4821:B5020)</f>
        <v>7075.7229</v>
      </c>
      <c r="E5020" s="7" t="n">
        <f aca="false">B5020/MAX(B4769:B5020)-1</f>
        <v>-0.124793412165249</v>
      </c>
      <c r="F5020" s="7" t="str">
        <f aca="false">IFERROR(INDEX(02_轉折點45個!B:B,MATCH(A5020,02_轉折點45個!A:A,0)),"")</f>
        <v/>
      </c>
      <c r="G5020" s="7" t="s">
        <v>5494</v>
      </c>
    </row>
    <row r="5021" customFormat="false" ht="15" hidden="false" customHeight="false" outlineLevel="0" collapsed="false">
      <c r="A5021" s="7" t="s">
        <v>5961</v>
      </c>
      <c r="B5021" s="7" t="n">
        <v>6763.96</v>
      </c>
      <c r="C5021" s="7" t="n">
        <f aca="false">AVERAGE(B4972:B5021)</f>
        <v>6974.3386</v>
      </c>
      <c r="D5021" s="7" t="n">
        <f aca="false">AVERAGE(B4822:B5021)</f>
        <v>7075.04095</v>
      </c>
      <c r="E5021" s="7" t="n">
        <f aca="false">B5021/MAX(B4770:B5021)-1</f>
        <v>-0.116997250717346</v>
      </c>
      <c r="F5021" s="7" t="str">
        <f aca="false">IFERROR(INDEX(02_轉折點45個!B:B,MATCH(A5021,02_轉折點45個!A:A,0)),"")</f>
        <v/>
      </c>
      <c r="G5021" s="7" t="s">
        <v>5494</v>
      </c>
    </row>
    <row r="5022" customFormat="false" ht="15" hidden="false" customHeight="false" outlineLevel="0" collapsed="false">
      <c r="A5022" s="7" t="s">
        <v>5962</v>
      </c>
      <c r="B5022" s="7" t="n">
        <v>6767.97</v>
      </c>
      <c r="C5022" s="7" t="n">
        <f aca="false">AVERAGE(B4973:B5022)</f>
        <v>6957.1324</v>
      </c>
      <c r="D5022" s="7" t="n">
        <f aca="false">AVERAGE(B4823:B5022)</f>
        <v>7074.6087</v>
      </c>
      <c r="E5022" s="7" t="n">
        <f aca="false">B5022/MAX(B4771:B5022)-1</f>
        <v>-0.116473764324076</v>
      </c>
      <c r="F5022" s="7" t="str">
        <f aca="false">IFERROR(INDEX(02_轉折點45個!B:B,MATCH(A5022,02_轉折點45個!A:A,0)),"")</f>
        <v/>
      </c>
      <c r="G5022" s="7" t="s">
        <v>5494</v>
      </c>
    </row>
    <row r="5023" customFormat="false" ht="15" hidden="false" customHeight="false" outlineLevel="0" collapsed="false">
      <c r="A5023" s="7" t="s">
        <v>5963</v>
      </c>
      <c r="B5023" s="7" t="n">
        <v>6594.96</v>
      </c>
      <c r="C5023" s="7" t="n">
        <f aca="false">AVERAGE(B4974:B5023)</f>
        <v>6936.283</v>
      </c>
      <c r="D5023" s="7" t="n">
        <f aca="false">AVERAGE(B4824:B5023)</f>
        <v>7073.8308</v>
      </c>
      <c r="E5023" s="7" t="n">
        <f aca="false">B5023/MAX(B4772:B5023)-1</f>
        <v>-0.139059395471125</v>
      </c>
      <c r="F5023" s="7" t="str">
        <f aca="false">IFERROR(INDEX(02_轉折點45個!B:B,MATCH(A5023,02_轉折點45個!A:A,0)),"")</f>
        <v/>
      </c>
      <c r="G5023" s="7" t="s">
        <v>5494</v>
      </c>
    </row>
    <row r="5024" customFormat="false" ht="15" hidden="false" customHeight="false" outlineLevel="0" collapsed="false">
      <c r="A5024" s="7" t="s">
        <v>1409</v>
      </c>
      <c r="B5024" s="7" t="n">
        <v>6448.39</v>
      </c>
      <c r="C5024" s="7" t="n">
        <f aca="false">AVERAGE(B4975:B5024)</f>
        <v>6915.4508</v>
      </c>
      <c r="D5024" s="7" t="n">
        <f aca="false">AVERAGE(B4825:B5024)</f>
        <v>7072.01755</v>
      </c>
      <c r="E5024" s="7" t="n">
        <f aca="false">B5024/MAX(B4773:B5024)-1</f>
        <v>-0.158193410598707</v>
      </c>
      <c r="F5024" s="7" t="str">
        <f aca="false">IFERROR(INDEX(02_轉折點45個!B:B,MATCH(A5024,02_轉折點45個!A:A,0)),"")</f>
        <v/>
      </c>
      <c r="G5024" s="7" t="s">
        <v>5494</v>
      </c>
    </row>
    <row r="5025" customFormat="false" ht="15" hidden="false" customHeight="false" outlineLevel="0" collapsed="false">
      <c r="A5025" s="7" t="s">
        <v>5964</v>
      </c>
      <c r="B5025" s="7" t="n">
        <v>6491.52</v>
      </c>
      <c r="C5025" s="7" t="n">
        <f aca="false">AVERAGE(B4976:B5025)</f>
        <v>6897.301</v>
      </c>
      <c r="D5025" s="7" t="n">
        <f aca="false">AVERAGE(B4826:B5025)</f>
        <v>7070.06875</v>
      </c>
      <c r="E5025" s="7" t="n">
        <f aca="false">B5025/MAX(B4774:B5025)-1</f>
        <v>-0.15256299460326</v>
      </c>
      <c r="F5025" s="7" t="str">
        <f aca="false">IFERROR(INDEX(02_轉折點45個!B:B,MATCH(A5025,02_轉折點45個!A:A,0)),"")</f>
        <v/>
      </c>
      <c r="G5025" s="7" t="s">
        <v>5494</v>
      </c>
    </row>
    <row r="5026" customFormat="false" ht="15" hidden="false" customHeight="false" outlineLevel="0" collapsed="false">
      <c r="A5026" s="7" t="s">
        <v>1410</v>
      </c>
      <c r="B5026" s="7" t="n">
        <v>6342.97</v>
      </c>
      <c r="C5026" s="7" t="n">
        <f aca="false">AVERAGE(B4977:B5026)</f>
        <v>6877.104</v>
      </c>
      <c r="D5026" s="7" t="n">
        <f aca="false">AVERAGE(B4827:B5026)</f>
        <v>7067.2185</v>
      </c>
      <c r="E5026" s="7" t="n">
        <f aca="false">B5026/MAX(B4775:B5026)-1</f>
        <v>-0.171955489296596</v>
      </c>
      <c r="F5026" s="7" t="str">
        <f aca="false">IFERROR(INDEX(02_轉折點45個!B:B,MATCH(A5026,02_轉折點45個!A:A,0)),"")</f>
        <v/>
      </c>
      <c r="G5026" s="7" t="s">
        <v>5494</v>
      </c>
    </row>
    <row r="5027" customFormat="false" ht="15" hidden="false" customHeight="false" outlineLevel="0" collapsed="false">
      <c r="A5027" s="7" t="s">
        <v>5965</v>
      </c>
      <c r="B5027" s="7" t="n">
        <v>6243.19</v>
      </c>
      <c r="C5027" s="7" t="n">
        <f aca="false">AVERAGE(B4978:B5027)</f>
        <v>6854.5354</v>
      </c>
      <c r="D5027" s="7" t="n">
        <f aca="false">AVERAGE(B4828:B5027)</f>
        <v>7063.7875</v>
      </c>
      <c r="E5027" s="7" t="n">
        <f aca="false">B5027/MAX(B4776:B5027)-1</f>
        <v>-0.184981292867792</v>
      </c>
      <c r="F5027" s="7" t="str">
        <f aca="false">IFERROR(INDEX(02_轉折點45個!B:B,MATCH(A5027,02_轉折點45個!A:A,0)),"")</f>
        <v/>
      </c>
      <c r="G5027" s="7" t="s">
        <v>5494</v>
      </c>
    </row>
    <row r="5028" customFormat="false" ht="15" hidden="false" customHeight="false" outlineLevel="0" collapsed="false">
      <c r="A5028" s="7" t="s">
        <v>5966</v>
      </c>
      <c r="B5028" s="7" t="n">
        <v>6046.56</v>
      </c>
      <c r="C5028" s="7" t="n">
        <f aca="false">AVERAGE(B4979:B5028)</f>
        <v>6834.5766</v>
      </c>
      <c r="D5028" s="7" t="n">
        <f aca="false">AVERAGE(B4829:B5028)</f>
        <v>7059.18815</v>
      </c>
      <c r="E5028" s="7" t="n">
        <f aca="false">B5028/MAX(B4777:B5028)-1</f>
        <v>-0.21065040247096</v>
      </c>
      <c r="F5028" s="7" t="str">
        <f aca="false">IFERROR(INDEX(02_轉折點45個!B:B,MATCH(A5028,02_轉折點45個!A:A,0)),"")</f>
        <v/>
      </c>
      <c r="G5028" s="7" t="s">
        <v>5494</v>
      </c>
    </row>
    <row r="5029" customFormat="false" ht="15" hidden="false" customHeight="false" outlineLevel="0" collapsed="false">
      <c r="A5029" s="7" t="s">
        <v>147</v>
      </c>
      <c r="B5029" s="7" t="n">
        <v>5899.35</v>
      </c>
      <c r="C5029" s="7" t="n">
        <f aca="false">AVERAGE(B4980:B5029)</f>
        <v>6813.283</v>
      </c>
      <c r="D5029" s="7" t="n">
        <f aca="false">AVERAGE(B4830:B5029)</f>
        <v>7053.179</v>
      </c>
      <c r="E5029" s="7" t="n">
        <f aca="false">B5029/MAX(B4778:B5029)-1</f>
        <v>-0.229867966549089</v>
      </c>
      <c r="F5029" s="7" t="str">
        <f aca="false">IFERROR(INDEX(02_轉折點45個!B:B,MATCH(A5029,02_轉折點45個!A:A,0)),"")</f>
        <v>BOTTOM</v>
      </c>
      <c r="G5029" s="7" t="s">
        <v>5494</v>
      </c>
    </row>
    <row r="5030" customFormat="false" ht="15" hidden="false" customHeight="false" outlineLevel="0" collapsed="false">
      <c r="A5030" s="7" t="s">
        <v>1411</v>
      </c>
      <c r="B5030" s="7" t="n">
        <v>6262.77</v>
      </c>
      <c r="C5030" s="7" t="n">
        <f aca="false">AVERAGE(B4981:B5030)</f>
        <v>6795.3942</v>
      </c>
      <c r="D5030" s="7" t="n">
        <f aca="false">AVERAGE(B4831:B5030)</f>
        <v>7048.83725</v>
      </c>
      <c r="E5030" s="7" t="n">
        <f aca="false">B5030/MAX(B4779:B5030)-1</f>
        <v>-0.182425217161999</v>
      </c>
      <c r="F5030" s="7" t="str">
        <f aca="false">IFERROR(INDEX(02_轉折點45個!B:B,MATCH(A5030,02_轉折點45個!A:A,0)),"")</f>
        <v/>
      </c>
      <c r="G5030" s="7" t="s">
        <v>5494</v>
      </c>
    </row>
    <row r="5031" customFormat="false" ht="15" hidden="false" customHeight="false" outlineLevel="0" collapsed="false">
      <c r="A5031" s="7" t="s">
        <v>5967</v>
      </c>
      <c r="B5031" s="7" t="n">
        <v>6288.3</v>
      </c>
      <c r="C5031" s="7" t="n">
        <f aca="false">AVERAGE(B4982:B5031)</f>
        <v>6779.7868</v>
      </c>
      <c r="D5031" s="7" t="n">
        <f aca="false">AVERAGE(B4832:B5031)</f>
        <v>7045.0462</v>
      </c>
      <c r="E5031" s="7" t="n">
        <f aca="false">B5031/MAX(B4780:B5031)-1</f>
        <v>-0.179092397306591</v>
      </c>
      <c r="F5031" s="7" t="str">
        <f aca="false">IFERROR(INDEX(02_轉折點45個!B:B,MATCH(A5031,02_轉折點45個!A:A,0)),"")</f>
        <v/>
      </c>
      <c r="G5031" s="7" t="s">
        <v>5494</v>
      </c>
    </row>
    <row r="5032" customFormat="false" ht="15" hidden="false" customHeight="false" outlineLevel="0" collapsed="false">
      <c r="A5032" s="7" t="s">
        <v>5968</v>
      </c>
      <c r="B5032" s="7" t="n">
        <v>6285.27</v>
      </c>
      <c r="C5032" s="7" t="n">
        <f aca="false">AVERAGE(B4983:B5032)</f>
        <v>6759.9636</v>
      </c>
      <c r="D5032" s="7" t="n">
        <f aca="false">AVERAGE(B4833:B5032)</f>
        <v>7041.26765</v>
      </c>
      <c r="E5032" s="7" t="n">
        <f aca="false">B5032/MAX(B4781:B5032)-1</f>
        <v>-0.179487949369336</v>
      </c>
      <c r="F5032" s="7" t="str">
        <f aca="false">IFERROR(INDEX(02_轉折點45個!B:B,MATCH(A5032,02_轉折點45個!A:A,0)),"")</f>
        <v/>
      </c>
      <c r="G5032" s="7" t="s">
        <v>5494</v>
      </c>
    </row>
    <row r="5033" customFormat="false" ht="15" hidden="false" customHeight="false" outlineLevel="0" collapsed="false">
      <c r="A5033" s="7" t="s">
        <v>5969</v>
      </c>
      <c r="B5033" s="7" t="n">
        <v>6329.97</v>
      </c>
      <c r="C5033" s="7" t="n">
        <f aca="false">AVERAGE(B4984:B5033)</f>
        <v>6740.9904</v>
      </c>
      <c r="D5033" s="7" t="n">
        <f aca="false">AVERAGE(B4834:B5033)</f>
        <v>7037.76265</v>
      </c>
      <c r="E5033" s="7" t="n">
        <f aca="false">B5033/MAX(B4782:B5033)-1</f>
        <v>-0.173652577354579</v>
      </c>
      <c r="F5033" s="7" t="str">
        <f aca="false">IFERROR(INDEX(02_轉折點45個!B:B,MATCH(A5033,02_轉折點45個!A:A,0)),"")</f>
        <v/>
      </c>
      <c r="G5033" s="7" t="s">
        <v>5494</v>
      </c>
    </row>
    <row r="5034" customFormat="false" ht="15" hidden="false" customHeight="false" outlineLevel="0" collapsed="false">
      <c r="A5034" s="7" t="s">
        <v>1412</v>
      </c>
      <c r="B5034" s="7" t="n">
        <v>6360.87</v>
      </c>
      <c r="C5034" s="7" t="n">
        <f aca="false">AVERAGE(B4985:B5034)</f>
        <v>6725.886</v>
      </c>
      <c r="D5034" s="7" t="n">
        <f aca="false">AVERAGE(B4835:B5034)</f>
        <v>7034.46725</v>
      </c>
      <c r="E5034" s="7" t="n">
        <f aca="false">B5034/MAX(B4783:B5034)-1</f>
        <v>-0.169618729585989</v>
      </c>
      <c r="F5034" s="7" t="str">
        <f aca="false">IFERROR(INDEX(02_轉折點45個!B:B,MATCH(A5034,02_轉折點45個!A:A,0)),"")</f>
        <v/>
      </c>
      <c r="G5034" s="7" t="s">
        <v>5494</v>
      </c>
    </row>
    <row r="5035" customFormat="false" ht="15" hidden="false" customHeight="false" outlineLevel="0" collapsed="false">
      <c r="A5035" s="7" t="s">
        <v>5970</v>
      </c>
      <c r="B5035" s="7" t="n">
        <v>6147.13</v>
      </c>
      <c r="C5035" s="7" t="n">
        <f aca="false">AVERAGE(B4986:B5035)</f>
        <v>6706.684</v>
      </c>
      <c r="D5035" s="7" t="n">
        <f aca="false">AVERAGE(B4836:B5035)</f>
        <v>7030.8785</v>
      </c>
      <c r="E5035" s="7" t="n">
        <f aca="false">B5035/MAX(B4784:B5035)-1</f>
        <v>-0.197521468163933</v>
      </c>
      <c r="F5035" s="7" t="str">
        <f aca="false">IFERROR(INDEX(02_轉折點45個!B:B,MATCH(A5035,02_轉折點45個!A:A,0)),"")</f>
        <v/>
      </c>
      <c r="G5035" s="7" t="s">
        <v>5494</v>
      </c>
    </row>
    <row r="5036" customFormat="false" ht="15" hidden="false" customHeight="false" outlineLevel="0" collapsed="false">
      <c r="A5036" s="7" t="s">
        <v>5971</v>
      </c>
      <c r="B5036" s="7" t="n">
        <v>6422.67</v>
      </c>
      <c r="C5036" s="7" t="n">
        <f aca="false">AVERAGE(B4987:B5036)</f>
        <v>6692.3132</v>
      </c>
      <c r="D5036" s="7" t="n">
        <f aca="false">AVERAGE(B4837:B5036)</f>
        <v>7028.56225</v>
      </c>
      <c r="E5036" s="7" t="n">
        <f aca="false">B5036/MAX(B4785:B5036)-1</f>
        <v>-0.161551034048808</v>
      </c>
      <c r="F5036" s="7" t="str">
        <f aca="false">IFERROR(INDEX(02_轉折點45個!B:B,MATCH(A5036,02_轉折點45個!A:A,0)),"")</f>
        <v/>
      </c>
      <c r="G5036" s="7" t="s">
        <v>5494</v>
      </c>
    </row>
    <row r="5037" customFormat="false" ht="15" hidden="false" customHeight="false" outlineLevel="0" collapsed="false">
      <c r="A5037" s="7" t="s">
        <v>1413</v>
      </c>
      <c r="B5037" s="7" t="n">
        <v>6488.25</v>
      </c>
      <c r="C5037" s="7" t="n">
        <f aca="false">AVERAGE(B4988:B5037)</f>
        <v>6679.7048</v>
      </c>
      <c r="D5037" s="7" t="n">
        <f aca="false">AVERAGE(B4838:B5037)</f>
        <v>7026.73625</v>
      </c>
      <c r="E5037" s="7" t="n">
        <f aca="false">B5037/MAX(B4786:B5037)-1</f>
        <v>-0.15298987752246</v>
      </c>
      <c r="F5037" s="7" t="str">
        <f aca="false">IFERROR(INDEX(02_轉折點45個!B:B,MATCH(A5037,02_轉折點45個!A:A,0)),"")</f>
        <v/>
      </c>
      <c r="G5037" s="7" t="s">
        <v>5494</v>
      </c>
    </row>
    <row r="5038" customFormat="false" ht="15" hidden="false" customHeight="false" outlineLevel="0" collapsed="false">
      <c r="A5038" s="7" t="s">
        <v>5972</v>
      </c>
      <c r="B5038" s="7" t="n">
        <v>6551.85</v>
      </c>
      <c r="C5038" s="7" t="n">
        <f aca="false">AVERAGE(B4989:B5038)</f>
        <v>6674.9588</v>
      </c>
      <c r="D5038" s="7" t="n">
        <f aca="false">AVERAGE(B4839:B5038)</f>
        <v>7026.0842</v>
      </c>
      <c r="E5038" s="7" t="n">
        <f aca="false">B5038/MAX(B4787:B5038)-1</f>
        <v>-0.144687200561867</v>
      </c>
      <c r="F5038" s="7" t="str">
        <f aca="false">IFERROR(INDEX(02_轉折點45個!B:B,MATCH(A5038,02_轉折點45個!A:A,0)),"")</f>
        <v/>
      </c>
      <c r="G5038" s="7" t="s">
        <v>5494</v>
      </c>
    </row>
    <row r="5039" customFormat="false" ht="15" hidden="false" customHeight="false" outlineLevel="0" collapsed="false">
      <c r="A5039" s="7" t="s">
        <v>5973</v>
      </c>
      <c r="B5039" s="7" t="n">
        <v>6600.69</v>
      </c>
      <c r="C5039" s="7" t="n">
        <f aca="false">AVERAGE(B4990:B5039)</f>
        <v>6666.6448</v>
      </c>
      <c r="D5039" s="7" t="n">
        <f aca="false">AVERAGE(B4840:B5039)</f>
        <v>7026.5472</v>
      </c>
      <c r="E5039" s="7" t="n">
        <f aca="false">B5039/MAX(B4788:B5039)-1</f>
        <v>-0.13831137127326</v>
      </c>
      <c r="F5039" s="7" t="str">
        <f aca="false">IFERROR(INDEX(02_轉折點45個!B:B,MATCH(A5039,02_轉折點45個!A:A,0)),"")</f>
        <v/>
      </c>
      <c r="G5039" s="7" t="s">
        <v>5494</v>
      </c>
    </row>
    <row r="5040" customFormat="false" ht="15" hidden="false" customHeight="false" outlineLevel="0" collapsed="false">
      <c r="A5040" s="7" t="s">
        <v>5974</v>
      </c>
      <c r="B5040" s="7" t="n">
        <v>6620.94</v>
      </c>
      <c r="C5040" s="7" t="n">
        <f aca="false">AVERAGE(B4991:B5040)</f>
        <v>6662.0156</v>
      </c>
      <c r="D5040" s="7" t="n">
        <f aca="false">AVERAGE(B4841:B5040)</f>
        <v>7025.88275</v>
      </c>
      <c r="E5040" s="7" t="n">
        <f aca="false">B5040/MAX(B4789:B5040)-1</f>
        <v>-0.135667830259863</v>
      </c>
      <c r="F5040" s="7" t="str">
        <f aca="false">IFERROR(INDEX(02_轉折點45個!B:B,MATCH(A5040,02_轉折點45個!A:A,0)),"")</f>
        <v/>
      </c>
      <c r="G5040" s="7" t="s">
        <v>5494</v>
      </c>
    </row>
    <row r="5041" customFormat="false" ht="15" hidden="false" customHeight="false" outlineLevel="0" collapsed="false">
      <c r="A5041" s="7" t="s">
        <v>5975</v>
      </c>
      <c r="B5041" s="7" t="n">
        <v>6601.4</v>
      </c>
      <c r="C5041" s="7" t="n">
        <f aca="false">AVERAGE(B4992:B5041)</f>
        <v>6659.7656</v>
      </c>
      <c r="D5041" s="7" t="n">
        <f aca="false">AVERAGE(B4842:B5041)</f>
        <v>7026.24055</v>
      </c>
      <c r="E5041" s="7" t="n">
        <f aca="false">B5041/MAX(B4790:B5041)-1</f>
        <v>-0.138218684156247</v>
      </c>
      <c r="F5041" s="7" t="str">
        <f aca="false">IFERROR(INDEX(02_轉折點45個!B:B,MATCH(A5041,02_轉折點45個!A:A,0)),"")</f>
        <v/>
      </c>
      <c r="G5041" s="7" t="s">
        <v>5494</v>
      </c>
    </row>
    <row r="5042" customFormat="false" ht="15" hidden="false" customHeight="false" outlineLevel="0" collapsed="false">
      <c r="A5042" s="7" t="s">
        <v>5976</v>
      </c>
      <c r="B5042" s="7" t="n">
        <v>6541.04</v>
      </c>
      <c r="C5042" s="7" t="n">
        <f aca="false">AVERAGE(B4993:B5042)</f>
        <v>6654.384</v>
      </c>
      <c r="D5042" s="7" t="n">
        <f aca="false">AVERAGE(B4843:B5042)</f>
        <v>7026.6417</v>
      </c>
      <c r="E5042" s="7" t="n">
        <f aca="false">B5042/MAX(B4791:B5042)-1</f>
        <v>-0.146098394554697</v>
      </c>
      <c r="F5042" s="7" t="str">
        <f aca="false">IFERROR(INDEX(02_轉折點45個!B:B,MATCH(A5042,02_轉折點45個!A:A,0)),"")</f>
        <v/>
      </c>
      <c r="G5042" s="7" t="s">
        <v>5494</v>
      </c>
    </row>
    <row r="5043" customFormat="false" ht="15" hidden="false" customHeight="false" outlineLevel="0" collapsed="false">
      <c r="A5043" s="7" t="s">
        <v>1414</v>
      </c>
      <c r="B5043" s="7" t="n">
        <v>6669.64</v>
      </c>
      <c r="C5043" s="7" t="n">
        <f aca="false">AVERAGE(B4994:B5043)</f>
        <v>6648.4348</v>
      </c>
      <c r="D5043" s="7" t="n">
        <f aca="false">AVERAGE(B4844:B5043)</f>
        <v>7027.08425</v>
      </c>
      <c r="E5043" s="7" t="n">
        <f aca="false">B5043/MAX(B4792:B5043)-1</f>
        <v>-0.129310277304189</v>
      </c>
      <c r="F5043" s="7" t="str">
        <f aca="false">IFERROR(INDEX(02_轉折點45個!B:B,MATCH(A5043,02_轉折點45個!A:A,0)),"")</f>
        <v/>
      </c>
      <c r="G5043" s="7" t="s">
        <v>5494</v>
      </c>
    </row>
    <row r="5044" customFormat="false" ht="15" hidden="false" customHeight="false" outlineLevel="0" collapsed="false">
      <c r="A5044" s="7" t="s">
        <v>5977</v>
      </c>
      <c r="B5044" s="7" t="n">
        <v>6668.56</v>
      </c>
      <c r="C5044" s="7" t="n">
        <f aca="false">AVERAGE(B4995:B5044)</f>
        <v>6640.4226</v>
      </c>
      <c r="D5044" s="7" t="n">
        <f aca="false">AVERAGE(B4845:B5044)</f>
        <v>7028.47285</v>
      </c>
      <c r="E5044" s="7" t="n">
        <f aca="false">B5044/MAX(B4793:B5044)-1</f>
        <v>-0.129451266158236</v>
      </c>
      <c r="F5044" s="7" t="str">
        <f aca="false">IFERROR(INDEX(02_轉折點45個!B:B,MATCH(A5044,02_轉折點45個!A:A,0)),"")</f>
        <v/>
      </c>
      <c r="G5044" s="7" t="s">
        <v>5494</v>
      </c>
    </row>
    <row r="5045" customFormat="false" ht="15" hidden="false" customHeight="false" outlineLevel="0" collapsed="false">
      <c r="A5045" s="7" t="s">
        <v>1415</v>
      </c>
      <c r="B5045" s="7" t="n">
        <v>6718.45</v>
      </c>
      <c r="C5045" s="7" t="n">
        <f aca="false">AVERAGE(B4996:B5045)</f>
        <v>6635.4858</v>
      </c>
      <c r="D5045" s="7" t="n">
        <f aca="false">AVERAGE(B4846:B5045)</f>
        <v>7029.77095</v>
      </c>
      <c r="E5045" s="7" t="n">
        <f aca="false">B5045/MAX(B4794:B5045)-1</f>
        <v>-0.122938364372639</v>
      </c>
      <c r="F5045" s="7" t="str">
        <f aca="false">IFERROR(INDEX(02_轉折點45個!B:B,MATCH(A5045,02_轉折點45個!A:A,0)),"")</f>
        <v/>
      </c>
      <c r="G5045" s="7" t="s">
        <v>5494</v>
      </c>
    </row>
    <row r="5046" customFormat="false" ht="15" hidden="false" customHeight="false" outlineLevel="0" collapsed="false">
      <c r="A5046" s="7" t="s">
        <v>5978</v>
      </c>
      <c r="B5046" s="7" t="n">
        <v>6784.61</v>
      </c>
      <c r="C5046" s="7" t="n">
        <f aca="false">AVERAGE(B4997:B5046)</f>
        <v>6632.4362</v>
      </c>
      <c r="D5046" s="7" t="n">
        <f aca="false">AVERAGE(B4847:B5046)</f>
        <v>7030.8937</v>
      </c>
      <c r="E5046" s="7" t="n">
        <f aca="false">B5046/MAX(B4795:B5046)-1</f>
        <v>-0.114301491609858</v>
      </c>
      <c r="F5046" s="7" t="str">
        <f aca="false">IFERROR(INDEX(02_轉折點45個!B:B,MATCH(A5046,02_轉折點45個!A:A,0)),"")</f>
        <v/>
      </c>
      <c r="G5046" s="7" t="s">
        <v>5494</v>
      </c>
    </row>
    <row r="5047" customFormat="false" ht="15" hidden="false" customHeight="false" outlineLevel="0" collapsed="false">
      <c r="A5047" s="7" t="s">
        <v>5979</v>
      </c>
      <c r="B5047" s="7" t="n">
        <v>6646.81</v>
      </c>
      <c r="C5047" s="7" t="n">
        <f aca="false">AVERAGE(B4998:B5047)</f>
        <v>6625.5954</v>
      </c>
      <c r="D5047" s="7" t="n">
        <f aca="false">AVERAGE(B4848:B5047)</f>
        <v>7031.15355</v>
      </c>
      <c r="E5047" s="7" t="n">
        <f aca="false">B5047/MAX(B4796:B5047)-1</f>
        <v>-0.132290625024477</v>
      </c>
      <c r="F5047" s="7" t="str">
        <f aca="false">IFERROR(INDEX(02_轉折點45個!B:B,MATCH(A5047,02_轉折點45個!A:A,0)),"")</f>
        <v/>
      </c>
      <c r="G5047" s="7" t="s">
        <v>5494</v>
      </c>
    </row>
    <row r="5048" customFormat="false" ht="15" hidden="false" customHeight="false" outlineLevel="0" collapsed="false">
      <c r="A5048" s="7" t="s">
        <v>5980</v>
      </c>
      <c r="B5048" s="7" t="n">
        <v>6658.76</v>
      </c>
      <c r="C5048" s="7" t="n">
        <f aca="false">AVERAGE(B4999:B5048)</f>
        <v>6614.708</v>
      </c>
      <c r="D5048" s="7" t="n">
        <f aca="false">AVERAGE(B4849:B5048)</f>
        <v>7032.2813</v>
      </c>
      <c r="E5048" s="7" t="n">
        <f aca="false">B5048/MAX(B4797:B5048)-1</f>
        <v>-0.130730609463485</v>
      </c>
      <c r="F5048" s="7" t="str">
        <f aca="false">IFERROR(INDEX(02_轉折點45個!B:B,MATCH(A5048,02_轉折點45個!A:A,0)),"")</f>
        <v/>
      </c>
      <c r="G5048" s="7" t="s">
        <v>5494</v>
      </c>
    </row>
    <row r="5049" customFormat="false" ht="15" hidden="false" customHeight="false" outlineLevel="0" collapsed="false">
      <c r="A5049" s="7" t="s">
        <v>5981</v>
      </c>
      <c r="B5049" s="7" t="n">
        <v>6702.55</v>
      </c>
      <c r="C5049" s="7" t="n">
        <f aca="false">AVERAGE(B5000:B5049)</f>
        <v>6605.5872</v>
      </c>
      <c r="D5049" s="7" t="n">
        <f aca="false">AVERAGE(B4850:B5049)</f>
        <v>7033.43235</v>
      </c>
      <c r="E5049" s="7" t="n">
        <f aca="false">B5049/MAX(B4798:B5049)-1</f>
        <v>-0.125014033612787</v>
      </c>
      <c r="F5049" s="7" t="str">
        <f aca="false">IFERROR(INDEX(02_轉折點45個!B:B,MATCH(A5049,02_轉折點45個!A:A,0)),"")</f>
        <v/>
      </c>
      <c r="G5049" s="7" t="s">
        <v>5494</v>
      </c>
    </row>
    <row r="5050" customFormat="false" ht="15" hidden="false" customHeight="false" outlineLevel="0" collapsed="false">
      <c r="A5050" s="7" t="s">
        <v>5982</v>
      </c>
      <c r="B5050" s="7" t="n">
        <v>6787.37</v>
      </c>
      <c r="C5050" s="7" t="n">
        <f aca="false">AVERAGE(B5001:B5050)</f>
        <v>6600.5516</v>
      </c>
      <c r="D5050" s="7" t="n">
        <f aca="false">AVERAGE(B4851:B5050)</f>
        <v>7034.28985</v>
      </c>
      <c r="E5050" s="7" t="n">
        <f aca="false">B5050/MAX(B4799:B5050)-1</f>
        <v>-0.113941186760624</v>
      </c>
      <c r="F5050" s="7" t="str">
        <f aca="false">IFERROR(INDEX(02_轉折點45個!B:B,MATCH(A5050,02_轉折點45個!A:A,0)),"")</f>
        <v/>
      </c>
      <c r="G5050" s="7" t="s">
        <v>5494</v>
      </c>
    </row>
    <row r="5051" customFormat="false" ht="15" hidden="false" customHeight="false" outlineLevel="0" collapsed="false">
      <c r="A5051" s="7" t="s">
        <v>5983</v>
      </c>
      <c r="B5051" s="7" t="n">
        <v>6697.09</v>
      </c>
      <c r="C5051" s="7" t="n">
        <f aca="false">AVERAGE(B5002:B5051)</f>
        <v>6597.9114</v>
      </c>
      <c r="D5051" s="7" t="n">
        <f aca="false">AVERAGE(B4852:B5051)</f>
        <v>7034.8581</v>
      </c>
      <c r="E5051" s="7" t="n">
        <f aca="false">B5051/MAX(B4800:B5051)-1</f>
        <v>-0.12572681059714</v>
      </c>
      <c r="F5051" s="7" t="str">
        <f aca="false">IFERROR(INDEX(02_轉折點45個!B:B,MATCH(A5051,02_轉折點45個!A:A,0)),"")</f>
        <v/>
      </c>
      <c r="G5051" s="7" t="s">
        <v>5494</v>
      </c>
    </row>
    <row r="5052" customFormat="false" ht="15" hidden="false" customHeight="false" outlineLevel="0" collapsed="false">
      <c r="A5052" s="7" t="s">
        <v>5984</v>
      </c>
      <c r="B5052" s="7" t="n">
        <v>6632.79</v>
      </c>
      <c r="C5052" s="7" t="n">
        <f aca="false">AVERAGE(B5003:B5052)</f>
        <v>6593.949</v>
      </c>
      <c r="D5052" s="7" t="n">
        <f aca="false">AVERAGE(B4853:B5052)</f>
        <v>7034.74075</v>
      </c>
      <c r="E5052" s="7" t="n">
        <f aca="false">B5052/MAX(B4801:B5052)-1</f>
        <v>-0.134120869222394</v>
      </c>
      <c r="F5052" s="7" t="str">
        <f aca="false">IFERROR(INDEX(02_轉折點45個!B:B,MATCH(A5052,02_轉折點45個!A:A,0)),"")</f>
        <v/>
      </c>
      <c r="G5052" s="7" t="s">
        <v>5494</v>
      </c>
    </row>
    <row r="5053" customFormat="false" ht="15" hidden="false" customHeight="false" outlineLevel="0" collapsed="false">
      <c r="A5053" s="7" t="s">
        <v>1416</v>
      </c>
      <c r="B5053" s="7" t="n">
        <v>6807.91</v>
      </c>
      <c r="C5053" s="7" t="n">
        <f aca="false">AVERAGE(B5004:B5053)</f>
        <v>6594.7098</v>
      </c>
      <c r="D5053" s="7" t="n">
        <f aca="false">AVERAGE(B4854:B5053)</f>
        <v>7035.6386</v>
      </c>
      <c r="E5053" s="7" t="n">
        <f aca="false">B5053/MAX(B4802:B5053)-1</f>
        <v>-0.111259787629011</v>
      </c>
      <c r="F5053" s="7" t="str">
        <f aca="false">IFERROR(INDEX(02_轉折點45個!B:B,MATCH(A5053,02_轉折點45個!A:A,0)),"")</f>
        <v/>
      </c>
      <c r="G5053" s="7" t="s">
        <v>5494</v>
      </c>
    </row>
    <row r="5054" customFormat="false" ht="15" hidden="false" customHeight="false" outlineLevel="0" collapsed="false">
      <c r="A5054" s="7" t="s">
        <v>5985</v>
      </c>
      <c r="B5054" s="7" t="n">
        <v>6906.84</v>
      </c>
      <c r="C5054" s="7" t="n">
        <f aca="false">AVERAGE(B5005:B5054)</f>
        <v>6595.0376</v>
      </c>
      <c r="D5054" s="7" t="n">
        <f aca="false">AVERAGE(B4855:B5054)</f>
        <v>7036.7969</v>
      </c>
      <c r="E5054" s="7" t="n">
        <f aca="false">B5054/MAX(B4803:B5054)-1</f>
        <v>-0.0983449475077609</v>
      </c>
      <c r="F5054" s="7" t="str">
        <f aca="false">IFERROR(INDEX(02_轉折點45個!B:B,MATCH(A5054,02_轉折點45個!A:A,0)),"")</f>
        <v/>
      </c>
      <c r="G5054" s="7" t="s">
        <v>5494</v>
      </c>
    </row>
    <row r="5055" customFormat="false" ht="15" hidden="false" customHeight="false" outlineLevel="0" collapsed="false">
      <c r="A5055" s="7" t="s">
        <v>5986</v>
      </c>
      <c r="B5055" s="7" t="n">
        <v>6875.52</v>
      </c>
      <c r="C5055" s="7" t="n">
        <f aca="false">AVERAGE(B5006:B5055)</f>
        <v>6595.2076</v>
      </c>
      <c r="D5055" s="7" t="n">
        <f aca="false">AVERAGE(B4856:B5055)</f>
        <v>7037.09265</v>
      </c>
      <c r="E5055" s="7" t="n">
        <f aca="false">B5055/MAX(B4804:B5055)-1</f>
        <v>-0.102433624275148</v>
      </c>
      <c r="F5055" s="7" t="str">
        <f aca="false">IFERROR(INDEX(02_轉折點45個!B:B,MATCH(A5055,02_轉折點45個!A:A,0)),"")</f>
        <v/>
      </c>
      <c r="G5055" s="7" t="s">
        <v>5494</v>
      </c>
    </row>
    <row r="5056" customFormat="false" ht="15" hidden="false" customHeight="false" outlineLevel="0" collapsed="false">
      <c r="A5056" s="7" t="s">
        <v>5987</v>
      </c>
      <c r="B5056" s="7" t="n">
        <v>6959.96</v>
      </c>
      <c r="C5056" s="7" t="n">
        <f aca="false">AVERAGE(B5007:B5056)</f>
        <v>6601.5484</v>
      </c>
      <c r="D5056" s="7" t="n">
        <f aca="false">AVERAGE(B4857:B5056)</f>
        <v>7037.7264</v>
      </c>
      <c r="E5056" s="7" t="n">
        <f aca="false">B5056/MAX(B4805:B5056)-1</f>
        <v>-0.0914103846123721</v>
      </c>
      <c r="F5056" s="7" t="str">
        <f aca="false">IFERROR(INDEX(02_轉折點45個!B:B,MATCH(A5056,02_轉折點45個!A:A,0)),"")</f>
        <v/>
      </c>
      <c r="G5056" s="7" t="s">
        <v>5494</v>
      </c>
    </row>
    <row r="5057" customFormat="false" ht="15" hidden="false" customHeight="false" outlineLevel="0" collapsed="false">
      <c r="A5057" s="7" t="s">
        <v>5988</v>
      </c>
      <c r="B5057" s="7" t="n">
        <v>7023.52</v>
      </c>
      <c r="C5057" s="7" t="n">
        <f aca="false">AVERAGE(B5008:B5057)</f>
        <v>6611.4796</v>
      </c>
      <c r="D5057" s="7" t="n">
        <f aca="false">AVERAGE(B4858:B5057)</f>
        <v>7038.96955</v>
      </c>
      <c r="E5057" s="7" t="n">
        <f aca="false">B5057/MAX(B4806:B5057)-1</f>
        <v>-0.0831129294611875</v>
      </c>
      <c r="F5057" s="7" t="str">
        <f aca="false">IFERROR(INDEX(02_轉折點45個!B:B,MATCH(A5057,02_轉折點45個!A:A,0)),"")</f>
        <v/>
      </c>
      <c r="G5057" s="7" t="s">
        <v>5494</v>
      </c>
    </row>
    <row r="5058" customFormat="false" ht="15" hidden="false" customHeight="false" outlineLevel="0" collapsed="false">
      <c r="A5058" s="7" t="s">
        <v>5989</v>
      </c>
      <c r="B5058" s="7" t="n">
        <v>6997.62</v>
      </c>
      <c r="C5058" s="7" t="n">
        <f aca="false">AVERAGE(B5009:B5058)</f>
        <v>6619.9188</v>
      </c>
      <c r="D5058" s="7" t="n">
        <f aca="false">AVERAGE(B4859:B5058)</f>
        <v>7040.6189</v>
      </c>
      <c r="E5058" s="7" t="n">
        <f aca="false">B5058/MAX(B4807:B5058)-1</f>
        <v>-0.0864940510536306</v>
      </c>
      <c r="F5058" s="7" t="str">
        <f aca="false">IFERROR(INDEX(02_轉折點45個!B:B,MATCH(A5058,02_轉折點45個!A:A,0)),"")</f>
        <v/>
      </c>
      <c r="G5058" s="7" t="s">
        <v>5494</v>
      </c>
    </row>
    <row r="5059" customFormat="false" ht="15" hidden="false" customHeight="false" outlineLevel="0" collapsed="false">
      <c r="A5059" s="7" t="s">
        <v>5990</v>
      </c>
      <c r="B5059" s="7" t="n">
        <v>6904.98</v>
      </c>
      <c r="C5059" s="7" t="n">
        <f aca="false">AVERAGE(B5010:B5059)</f>
        <v>6627.4714</v>
      </c>
      <c r="D5059" s="7" t="n">
        <f aca="false">AVERAGE(B4860:B5059)</f>
        <v>7041.8998</v>
      </c>
      <c r="E5059" s="7" t="n">
        <f aca="false">B5059/MAX(B4808:B5059)-1</f>
        <v>-0.0985877616452878</v>
      </c>
      <c r="F5059" s="7" t="str">
        <f aca="false">IFERROR(INDEX(02_轉折點45個!B:B,MATCH(A5059,02_轉折點45個!A:A,0)),"")</f>
        <v/>
      </c>
      <c r="G5059" s="7" t="s">
        <v>5494</v>
      </c>
    </row>
    <row r="5060" customFormat="false" ht="15" hidden="false" customHeight="false" outlineLevel="0" collapsed="false">
      <c r="A5060" s="7" t="s">
        <v>5991</v>
      </c>
      <c r="B5060" s="7" t="n">
        <v>6913.13</v>
      </c>
      <c r="C5060" s="7" t="n">
        <f aca="false">AVERAGE(B5011:B5060)</f>
        <v>6632.1672</v>
      </c>
      <c r="D5060" s="7" t="n">
        <f aca="false">AVERAGE(B4861:B5060)</f>
        <v>7043.9202</v>
      </c>
      <c r="E5060" s="7" t="n">
        <f aca="false">B5060/MAX(B4809:B5060)-1</f>
        <v>-0.0975238179781677</v>
      </c>
      <c r="F5060" s="7" t="str">
        <f aca="false">IFERROR(INDEX(02_轉折點45個!B:B,MATCH(A5060,02_轉折點45個!A:A,0)),"")</f>
        <v/>
      </c>
      <c r="G5060" s="7" t="s">
        <v>5494</v>
      </c>
    </row>
    <row r="5061" customFormat="false" ht="15" hidden="false" customHeight="false" outlineLevel="0" collapsed="false">
      <c r="A5061" s="7" t="s">
        <v>5992</v>
      </c>
      <c r="B5061" s="7" t="n">
        <v>6909.18</v>
      </c>
      <c r="C5061" s="7" t="n">
        <f aca="false">AVERAGE(B5012:B5061)</f>
        <v>6636.33</v>
      </c>
      <c r="D5061" s="7" t="n">
        <f aca="false">AVERAGE(B4862:B5061)</f>
        <v>7045.8964</v>
      </c>
      <c r="E5061" s="7" t="n">
        <f aca="false">B5061/MAX(B4810:B5061)-1</f>
        <v>-0.098039471657324</v>
      </c>
      <c r="F5061" s="7" t="str">
        <f aca="false">IFERROR(INDEX(02_轉折點45個!B:B,MATCH(A5061,02_轉折點45個!A:A,0)),"")</f>
        <v/>
      </c>
      <c r="G5061" s="7" t="s">
        <v>5494</v>
      </c>
    </row>
    <row r="5062" customFormat="false" ht="15" hidden="false" customHeight="false" outlineLevel="0" collapsed="false">
      <c r="A5062" s="7" t="s">
        <v>1417</v>
      </c>
      <c r="B5062" s="7" t="n">
        <v>7014.67</v>
      </c>
      <c r="C5062" s="7" t="n">
        <f aca="false">AVERAGE(B5013:B5062)</f>
        <v>6638.3568</v>
      </c>
      <c r="D5062" s="7" t="n">
        <f aca="false">AVERAGE(B4863:B5062)</f>
        <v>7047.7215</v>
      </c>
      <c r="E5062" s="7" t="n">
        <f aca="false">B5062/MAX(B4811:B5062)-1</f>
        <v>-0.0842682547929683</v>
      </c>
      <c r="F5062" s="7" t="str">
        <f aca="false">IFERROR(INDEX(02_轉折點45個!B:B,MATCH(A5062,02_轉折點45個!A:A,0)),"")</f>
        <v/>
      </c>
      <c r="G5062" s="7" t="s">
        <v>5494</v>
      </c>
    </row>
    <row r="5063" customFormat="false" ht="15" hidden="false" customHeight="false" outlineLevel="0" collapsed="false">
      <c r="A5063" s="7" t="s">
        <v>5993</v>
      </c>
      <c r="B5063" s="7" t="n">
        <v>7015.88</v>
      </c>
      <c r="C5063" s="7" t="n">
        <f aca="false">AVERAGE(B5014:B5063)</f>
        <v>6640.8264</v>
      </c>
      <c r="D5063" s="7" t="n">
        <f aca="false">AVERAGE(B4864:B5063)</f>
        <v>7049.51915</v>
      </c>
      <c r="E5063" s="7" t="n">
        <f aca="false">B5063/MAX(B4812:B5063)-1</f>
        <v>-0.0841102950583407</v>
      </c>
      <c r="F5063" s="7" t="str">
        <f aca="false">IFERROR(INDEX(02_轉折點45個!B:B,MATCH(A5063,02_轉折點45個!A:A,0)),"")</f>
        <v/>
      </c>
      <c r="G5063" s="7" t="s">
        <v>5494</v>
      </c>
    </row>
    <row r="5064" customFormat="false" ht="15" hidden="false" customHeight="false" outlineLevel="0" collapsed="false">
      <c r="A5064" s="7" t="s">
        <v>5994</v>
      </c>
      <c r="B5064" s="7" t="n">
        <v>7022.42</v>
      </c>
      <c r="C5064" s="7" t="n">
        <f aca="false">AVERAGE(B5015:B5064)</f>
        <v>6642.2946</v>
      </c>
      <c r="D5064" s="7" t="n">
        <f aca="false">AVERAGE(B4865:B5064)</f>
        <v>7051.6034</v>
      </c>
      <c r="E5064" s="7" t="n">
        <f aca="false">B5064/MAX(B4813:B5064)-1</f>
        <v>-0.08325652921994</v>
      </c>
      <c r="F5064" s="7" t="str">
        <f aca="false">IFERROR(INDEX(02_轉折點45個!B:B,MATCH(A5064,02_轉折點45個!A:A,0)),"")</f>
        <v/>
      </c>
      <c r="G5064" s="7" t="s">
        <v>5494</v>
      </c>
    </row>
    <row r="5065" customFormat="false" ht="15" hidden="false" customHeight="false" outlineLevel="0" collapsed="false">
      <c r="A5065" s="7" t="s">
        <v>1418</v>
      </c>
      <c r="B5065" s="7" t="n">
        <v>7055.18</v>
      </c>
      <c r="C5065" s="7" t="n">
        <f aca="false">AVERAGE(B5016:B5065)</f>
        <v>6642.1556</v>
      </c>
      <c r="D5065" s="7" t="n">
        <f aca="false">AVERAGE(B4866:B5065)</f>
        <v>7053.4695</v>
      </c>
      <c r="E5065" s="7" t="n">
        <f aca="false">B5065/MAX(B4814:B5065)-1</f>
        <v>-0.0789798673138229</v>
      </c>
      <c r="F5065" s="7" t="str">
        <f aca="false">IFERROR(INDEX(02_轉折點45個!B:B,MATCH(A5065,02_轉折點45個!A:A,0)),"")</f>
        <v/>
      </c>
      <c r="G5065" s="7" t="s">
        <v>5494</v>
      </c>
    </row>
    <row r="5066" customFormat="false" ht="15" hidden="false" customHeight="false" outlineLevel="0" collapsed="false">
      <c r="A5066" s="7" t="s">
        <v>1419</v>
      </c>
      <c r="B5066" s="7" t="n">
        <v>7066.61</v>
      </c>
      <c r="C5066" s="7" t="n">
        <f aca="false">AVERAGE(B5017:B5066)</f>
        <v>6647.5836</v>
      </c>
      <c r="D5066" s="7" t="n">
        <f aca="false">AVERAGE(B4867:B5066)</f>
        <v>7055.58015</v>
      </c>
      <c r="E5066" s="7" t="n">
        <f aca="false">B5066/MAX(B4815:B5066)-1</f>
        <v>-0.0774877352751503</v>
      </c>
      <c r="F5066" s="7" t="str">
        <f aca="false">IFERROR(INDEX(02_轉折點45個!B:B,MATCH(A5066,02_轉折點45個!A:A,0)),"")</f>
        <v/>
      </c>
      <c r="G5066" s="7" t="s">
        <v>5494</v>
      </c>
    </row>
    <row r="5067" customFormat="false" ht="15" hidden="false" customHeight="false" outlineLevel="0" collapsed="false">
      <c r="A5067" s="7" t="s">
        <v>1420</v>
      </c>
      <c r="B5067" s="7" t="n">
        <v>7062.34</v>
      </c>
      <c r="C5067" s="7" t="n">
        <f aca="false">AVERAGE(B5018:B5067)</f>
        <v>6652.0534</v>
      </c>
      <c r="D5067" s="7" t="n">
        <f aca="false">AVERAGE(B4868:B5067)</f>
        <v>7057.67445</v>
      </c>
      <c r="E5067" s="7" t="n">
        <f aca="false">B5067/MAX(B4816:B5067)-1</f>
        <v>-0.07804516342958</v>
      </c>
      <c r="F5067" s="7" t="str">
        <f aca="false">IFERROR(INDEX(02_轉折點45個!B:B,MATCH(A5067,02_轉折點45個!A:A,0)),"")</f>
        <v/>
      </c>
      <c r="G5067" s="7" t="s">
        <v>5494</v>
      </c>
    </row>
    <row r="5068" customFormat="false" ht="15" hidden="false" customHeight="false" outlineLevel="0" collapsed="false">
      <c r="A5068" s="7" t="s">
        <v>1421</v>
      </c>
      <c r="B5068" s="7" t="n">
        <v>7035.16</v>
      </c>
      <c r="C5068" s="7" t="n">
        <f aca="false">AVERAGE(B5019:B5068)</f>
        <v>6660.491</v>
      </c>
      <c r="D5068" s="7" t="n">
        <f aca="false">AVERAGE(B4869:B5068)</f>
        <v>7059.00465</v>
      </c>
      <c r="E5068" s="7" t="n">
        <f aca="false">B5068/MAX(B4817:B5068)-1</f>
        <v>-0.0815933829231168</v>
      </c>
      <c r="F5068" s="7" t="str">
        <f aca="false">IFERROR(INDEX(02_轉折點45個!B:B,MATCH(A5068,02_轉折點45個!A:A,0)),"")</f>
        <v/>
      </c>
      <c r="G5068" s="7" t="s">
        <v>5494</v>
      </c>
    </row>
    <row r="5069" customFormat="false" ht="15" hidden="false" customHeight="false" outlineLevel="0" collapsed="false">
      <c r="A5069" s="7" t="s">
        <v>1422</v>
      </c>
      <c r="B5069" s="7" t="n">
        <v>7090.63</v>
      </c>
      <c r="C5069" s="7" t="n">
        <f aca="false">AVERAGE(B5020:B5069)</f>
        <v>6668.6488</v>
      </c>
      <c r="D5069" s="7" t="n">
        <f aca="false">AVERAGE(B4870:B5069)</f>
        <v>7060.34845</v>
      </c>
      <c r="E5069" s="7" t="n">
        <f aca="false">B5069/MAX(B4818:B5069)-1</f>
        <v>-0.0743520387249386</v>
      </c>
      <c r="F5069" s="7" t="str">
        <f aca="false">IFERROR(INDEX(02_轉折點45個!B:B,MATCH(A5069,02_轉折點45個!A:A,0)),"")</f>
        <v/>
      </c>
      <c r="G5069" s="7" t="s">
        <v>5494</v>
      </c>
    </row>
    <row r="5070" customFormat="false" ht="15" hidden="false" customHeight="false" outlineLevel="0" collapsed="false">
      <c r="A5070" s="7" t="s">
        <v>5995</v>
      </c>
      <c r="B5070" s="7" t="n">
        <v>7115.43</v>
      </c>
      <c r="C5070" s="7" t="n">
        <f aca="false">AVERAGE(B5021:B5070)</f>
        <v>6676.8726</v>
      </c>
      <c r="D5070" s="7" t="n">
        <f aca="false">AVERAGE(B4871:B5070)</f>
        <v>7061.8482</v>
      </c>
      <c r="E5070" s="7" t="n">
        <f aca="false">B5070/MAX(B4819:B5070)-1</f>
        <v>-0.071114516891248</v>
      </c>
      <c r="F5070" s="7" t="str">
        <f aca="false">IFERROR(INDEX(02_轉折點45個!B:B,MATCH(A5070,02_轉折點45個!A:A,0)),"")</f>
        <v/>
      </c>
      <c r="G5070" s="7" t="s">
        <v>5494</v>
      </c>
    </row>
    <row r="5071" customFormat="false" ht="15" hidden="false" customHeight="false" outlineLevel="0" collapsed="false">
      <c r="A5071" s="7" t="s">
        <v>1423</v>
      </c>
      <c r="B5071" s="7" t="n">
        <v>7123.22</v>
      </c>
      <c r="C5071" s="7" t="n">
        <f aca="false">AVERAGE(B5022:B5071)</f>
        <v>6684.0578</v>
      </c>
      <c r="D5071" s="7" t="n">
        <f aca="false">AVERAGE(B4872:B5071)</f>
        <v>7062.99825</v>
      </c>
      <c r="E5071" s="7" t="n">
        <f aca="false">B5071/MAX(B4820:B5071)-1</f>
        <v>-0.0700975695088105</v>
      </c>
      <c r="F5071" s="7" t="str">
        <f aca="false">IFERROR(INDEX(02_轉折點45個!B:B,MATCH(A5071,02_轉折點45個!A:A,0)),"")</f>
        <v/>
      </c>
      <c r="G5071" s="7" t="s">
        <v>5494</v>
      </c>
    </row>
    <row r="5072" customFormat="false" ht="15" hidden="false" customHeight="false" outlineLevel="0" collapsed="false">
      <c r="A5072" s="7" t="s">
        <v>5996</v>
      </c>
      <c r="B5072" s="7" t="n">
        <v>7117</v>
      </c>
      <c r="C5072" s="7" t="n">
        <f aca="false">AVERAGE(B5023:B5072)</f>
        <v>6691.0384</v>
      </c>
      <c r="D5072" s="7" t="n">
        <f aca="false">AVERAGE(B4873:B5072)</f>
        <v>7063.7655</v>
      </c>
      <c r="E5072" s="7" t="n">
        <f aca="false">B5072/MAX(B4821:B5072)-1</f>
        <v>-0.0709095608719378</v>
      </c>
      <c r="F5072" s="7" t="str">
        <f aca="false">IFERROR(INDEX(02_轉折點45個!B:B,MATCH(A5072,02_轉折點45個!A:A,0)),"")</f>
        <v/>
      </c>
      <c r="G5072" s="7" t="s">
        <v>5494</v>
      </c>
    </row>
    <row r="5073" customFormat="false" ht="15" hidden="false" customHeight="false" outlineLevel="0" collapsed="false">
      <c r="A5073" s="7" t="s">
        <v>5997</v>
      </c>
      <c r="B5073" s="7" t="n">
        <v>7097.53</v>
      </c>
      <c r="C5073" s="7" t="n">
        <f aca="false">AVERAGE(B5024:B5073)</f>
        <v>6701.0898</v>
      </c>
      <c r="D5073" s="7" t="n">
        <f aca="false">AVERAGE(B4874:B5073)</f>
        <v>7064.49035</v>
      </c>
      <c r="E5073" s="7" t="n">
        <f aca="false">B5073/MAX(B4822:B5073)-1</f>
        <v>-0.0734512766018554</v>
      </c>
      <c r="F5073" s="7" t="str">
        <f aca="false">IFERROR(INDEX(02_轉折點45個!B:B,MATCH(A5073,02_轉折點45個!A:A,0)),"")</f>
        <v/>
      </c>
      <c r="G5073" s="7" t="s">
        <v>5494</v>
      </c>
    </row>
    <row r="5074" customFormat="false" ht="15" hidden="false" customHeight="false" outlineLevel="0" collapsed="false">
      <c r="A5074" s="7" t="s">
        <v>5998</v>
      </c>
      <c r="B5074" s="7" t="n">
        <v>7151.57</v>
      </c>
      <c r="C5074" s="7" t="n">
        <f aca="false">AVERAGE(B5025:B5074)</f>
        <v>6715.1534</v>
      </c>
      <c r="D5074" s="7" t="n">
        <f aca="false">AVERAGE(B4875:B5074)</f>
        <v>7065.42635</v>
      </c>
      <c r="E5074" s="7" t="n">
        <f aca="false">B5074/MAX(B4823:B5074)-1</f>
        <v>-0.0663966120900554</v>
      </c>
      <c r="F5074" s="7" t="str">
        <f aca="false">IFERROR(INDEX(02_轉折點45個!B:B,MATCH(A5074,02_轉折點45個!A:A,0)),"")</f>
        <v/>
      </c>
      <c r="G5074" s="7" t="s">
        <v>5494</v>
      </c>
    </row>
    <row r="5075" customFormat="false" ht="15" hidden="false" customHeight="false" outlineLevel="0" collapsed="false">
      <c r="A5075" s="7" t="s">
        <v>5999</v>
      </c>
      <c r="B5075" s="7" t="n">
        <v>7150.83</v>
      </c>
      <c r="C5075" s="7" t="n">
        <f aca="false">AVERAGE(B5026:B5075)</f>
        <v>6728.3396</v>
      </c>
      <c r="D5075" s="7" t="n">
        <f aca="false">AVERAGE(B4876:B5075)</f>
        <v>7066.7378</v>
      </c>
      <c r="E5075" s="7" t="n">
        <f aca="false">B5075/MAX(B4824:B5075)-1</f>
        <v>-0.0664932155641251</v>
      </c>
      <c r="F5075" s="7" t="str">
        <f aca="false">IFERROR(INDEX(02_轉折點45個!B:B,MATCH(A5075,02_轉折點45個!A:A,0)),"")</f>
        <v/>
      </c>
      <c r="G5075" s="7" t="s">
        <v>5494</v>
      </c>
    </row>
    <row r="5076" customFormat="false" ht="15" hidden="false" customHeight="false" outlineLevel="0" collapsed="false">
      <c r="A5076" s="7" t="s">
        <v>6000</v>
      </c>
      <c r="B5076" s="7" t="n">
        <v>7156.79</v>
      </c>
      <c r="C5076" s="7" t="n">
        <f aca="false">AVERAGE(B5027:B5076)</f>
        <v>6744.616</v>
      </c>
      <c r="D5076" s="7" t="n">
        <f aca="false">AVERAGE(B4877:B5076)</f>
        <v>7067.8719</v>
      </c>
      <c r="E5076" s="7" t="n">
        <f aca="false">B5076/MAX(B4825:B5076)-1</f>
        <v>-0.0657151659621575</v>
      </c>
      <c r="F5076" s="7" t="str">
        <f aca="false">IFERROR(INDEX(02_轉折點45個!B:B,MATCH(A5076,02_轉折點45個!A:A,0)),"")</f>
        <v/>
      </c>
      <c r="G5076" s="7" t="s">
        <v>5494</v>
      </c>
    </row>
    <row r="5077" customFormat="false" ht="15" hidden="false" customHeight="false" outlineLevel="0" collapsed="false">
      <c r="A5077" s="7" t="s">
        <v>6001</v>
      </c>
      <c r="B5077" s="7" t="n">
        <v>7112.47</v>
      </c>
      <c r="C5077" s="7" t="n">
        <f aca="false">AVERAGE(B5028:B5077)</f>
        <v>6762.0016</v>
      </c>
      <c r="D5077" s="7" t="n">
        <f aca="false">AVERAGE(B4878:B5077)</f>
        <v>7068.9261</v>
      </c>
      <c r="E5077" s="7" t="n">
        <f aca="false">B5077/MAX(B4826:B5077)-1</f>
        <v>-0.0715009307875272</v>
      </c>
      <c r="F5077" s="7" t="str">
        <f aca="false">IFERROR(INDEX(02_轉折點45個!B:B,MATCH(A5077,02_轉折點45個!A:A,0)),"")</f>
        <v/>
      </c>
      <c r="G5077" s="7" t="s">
        <v>5494</v>
      </c>
    </row>
    <row r="5078" customFormat="false" ht="15" hidden="false" customHeight="false" outlineLevel="0" collapsed="false">
      <c r="A5078" s="7" t="s">
        <v>1424</v>
      </c>
      <c r="B5078" s="7" t="n">
        <v>7026.88</v>
      </c>
      <c r="C5078" s="7" t="n">
        <f aca="false">AVERAGE(B5029:B5078)</f>
        <v>6781.608</v>
      </c>
      <c r="D5078" s="7" t="n">
        <f aca="false">AVERAGE(B4879:B5078)</f>
        <v>7069.72925</v>
      </c>
      <c r="E5078" s="7" t="n">
        <f aca="false">B5078/MAX(B4827:B5078)-1</f>
        <v>-0.0826742974708167</v>
      </c>
      <c r="F5078" s="7" t="str">
        <f aca="false">IFERROR(INDEX(02_轉折點45個!B:B,MATCH(A5078,02_轉折點45個!A:A,0)),"")</f>
        <v/>
      </c>
      <c r="G5078" s="7" t="s">
        <v>5494</v>
      </c>
    </row>
    <row r="5079" customFormat="false" ht="15" hidden="false" customHeight="false" outlineLevel="0" collapsed="false">
      <c r="A5079" s="7" t="s">
        <v>6002</v>
      </c>
      <c r="B5079" s="7" t="n">
        <v>7015.69</v>
      </c>
      <c r="C5079" s="7" t="n">
        <f aca="false">AVERAGE(B5030:B5079)</f>
        <v>6803.9348</v>
      </c>
      <c r="D5079" s="7" t="n">
        <f aca="false">AVERAGE(B4880:B5079)</f>
        <v>7070.28005</v>
      </c>
      <c r="E5079" s="7" t="n">
        <f aca="false">B5079/MAX(B4828:B5079)-1</f>
        <v>-0.0841350986530344</v>
      </c>
      <c r="F5079" s="7" t="str">
        <f aca="false">IFERROR(INDEX(02_轉折點45個!B:B,MATCH(A5079,02_轉折點45個!A:A,0)),"")</f>
        <v/>
      </c>
      <c r="G5079" s="7" t="s">
        <v>5494</v>
      </c>
    </row>
    <row r="5080" customFormat="false" ht="15" hidden="false" customHeight="false" outlineLevel="0" collapsed="false">
      <c r="A5080" s="7" t="s">
        <v>1425</v>
      </c>
      <c r="B5080" s="7" t="n">
        <v>7164.02</v>
      </c>
      <c r="C5080" s="7" t="n">
        <f aca="false">AVERAGE(B5031:B5080)</f>
        <v>6821.9598</v>
      </c>
      <c r="D5080" s="7" t="n">
        <f aca="false">AVERAGE(B4881:B5080)</f>
        <v>7071.63205</v>
      </c>
      <c r="E5080" s="7" t="n">
        <f aca="false">B5080/MAX(B4829:B5080)-1</f>
        <v>-0.0647713239114486</v>
      </c>
      <c r="F5080" s="7" t="str">
        <f aca="false">IFERROR(INDEX(02_轉折點45個!B:B,MATCH(A5080,02_轉折點45個!A:A,0)),"")</f>
        <v/>
      </c>
      <c r="G5080" s="7" t="s">
        <v>5494</v>
      </c>
    </row>
    <row r="5081" customFormat="false" ht="15" hidden="false" customHeight="false" outlineLevel="0" collapsed="false">
      <c r="A5081" s="7" t="s">
        <v>6003</v>
      </c>
      <c r="B5081" s="7" t="n">
        <v>7201.28</v>
      </c>
      <c r="C5081" s="7" t="n">
        <f aca="false">AVERAGE(B5032:B5081)</f>
        <v>6840.2194</v>
      </c>
      <c r="D5081" s="7" t="n">
        <f aca="false">AVERAGE(B4882:B5081)</f>
        <v>7072.8703</v>
      </c>
      <c r="E5081" s="7" t="n">
        <f aca="false">B5081/MAX(B4830:B5081)-1</f>
        <v>-0.059907208446799</v>
      </c>
      <c r="F5081" s="7" t="str">
        <f aca="false">IFERROR(INDEX(02_轉折點45個!B:B,MATCH(A5081,02_轉折點45個!A:A,0)),"")</f>
        <v/>
      </c>
      <c r="G5081" s="7" t="s">
        <v>5494</v>
      </c>
    </row>
    <row r="5082" customFormat="false" ht="15" hidden="false" customHeight="false" outlineLevel="0" collapsed="false">
      <c r="A5082" s="7" t="s">
        <v>6004</v>
      </c>
      <c r="B5082" s="7" t="n">
        <v>7256.98</v>
      </c>
      <c r="C5082" s="7" t="n">
        <f aca="false">AVERAGE(B5033:B5082)</f>
        <v>6859.6536</v>
      </c>
      <c r="D5082" s="7" t="n">
        <f aca="false">AVERAGE(B4883:B5082)</f>
        <v>7074.4067</v>
      </c>
      <c r="E5082" s="7" t="n">
        <f aca="false">B5082/MAX(B4831:B5082)-1</f>
        <v>-0.0526358388445181</v>
      </c>
      <c r="F5082" s="7" t="str">
        <f aca="false">IFERROR(INDEX(02_轉折點45個!B:B,MATCH(A5082,02_轉折點45個!A:A,0)),"")</f>
        <v/>
      </c>
      <c r="G5082" s="7" t="s">
        <v>5494</v>
      </c>
    </row>
    <row r="5083" customFormat="false" ht="15" hidden="false" customHeight="false" outlineLevel="0" collapsed="false">
      <c r="A5083" s="7" t="s">
        <v>6005</v>
      </c>
      <c r="B5083" s="7" t="n">
        <v>7243.01</v>
      </c>
      <c r="C5083" s="7" t="n">
        <f aca="false">AVERAGE(B5034:B5083)</f>
        <v>6877.9144</v>
      </c>
      <c r="D5083" s="7" t="n">
        <f aca="false">AVERAGE(B4884:B5083)</f>
        <v>7075.81715</v>
      </c>
      <c r="E5083" s="7" t="n">
        <f aca="false">B5083/MAX(B4832:B5083)-1</f>
        <v>-0.0544595557806735</v>
      </c>
      <c r="F5083" s="7" t="str">
        <f aca="false">IFERROR(INDEX(02_轉折點45個!B:B,MATCH(A5083,02_轉折點45個!A:A,0)),"")</f>
        <v/>
      </c>
      <c r="G5083" s="7" t="s">
        <v>5494</v>
      </c>
    </row>
    <row r="5084" customFormat="false" ht="15" hidden="false" customHeight="false" outlineLevel="0" collapsed="false">
      <c r="A5084" s="7" t="s">
        <v>6006</v>
      </c>
      <c r="B5084" s="7" t="n">
        <v>7306.99</v>
      </c>
      <c r="C5084" s="7" t="n">
        <f aca="false">AVERAGE(B5035:B5084)</f>
        <v>6896.8368</v>
      </c>
      <c r="D5084" s="7" t="n">
        <f aca="false">AVERAGE(B4885:B5084)</f>
        <v>7077.7194</v>
      </c>
      <c r="E5084" s="7" t="n">
        <f aca="false">B5084/MAX(B4833:B5084)-1</f>
        <v>-0.0461072716306928</v>
      </c>
      <c r="F5084" s="7" t="str">
        <f aca="false">IFERROR(INDEX(02_轉折點45個!B:B,MATCH(A5084,02_轉折點45個!A:A,0)),"")</f>
        <v/>
      </c>
      <c r="G5084" s="7" t="s">
        <v>5494</v>
      </c>
    </row>
    <row r="5085" customFormat="false" ht="15" hidden="false" customHeight="false" outlineLevel="0" collapsed="false">
      <c r="A5085" s="7" t="s">
        <v>6007</v>
      </c>
      <c r="B5085" s="7" t="n">
        <v>7326.28</v>
      </c>
      <c r="C5085" s="7" t="n">
        <f aca="false">AVERAGE(B5036:B5085)</f>
        <v>6920.4198</v>
      </c>
      <c r="D5085" s="7" t="n">
        <f aca="false">AVERAGE(B4886:B5085)</f>
        <v>7079.46895</v>
      </c>
      <c r="E5085" s="7" t="n">
        <f aca="false">B5085/MAX(B4834:B5085)-1</f>
        <v>-0.0435890540431165</v>
      </c>
      <c r="F5085" s="7" t="str">
        <f aca="false">IFERROR(INDEX(02_轉折點45個!B:B,MATCH(A5085,02_轉折點45個!A:A,0)),"")</f>
        <v/>
      </c>
      <c r="G5085" s="7" t="s">
        <v>5494</v>
      </c>
    </row>
    <row r="5086" customFormat="false" ht="15" hidden="false" customHeight="false" outlineLevel="0" collapsed="false">
      <c r="A5086" s="7" t="s">
        <v>6008</v>
      </c>
      <c r="B5086" s="7" t="n">
        <v>7349.28</v>
      </c>
      <c r="C5086" s="7" t="n">
        <f aca="false">AVERAGE(B5037:B5086)</f>
        <v>6938.952</v>
      </c>
      <c r="D5086" s="7" t="n">
        <f aca="false">AVERAGE(B4887:B5086)</f>
        <v>7081.3767</v>
      </c>
      <c r="E5086" s="7" t="n">
        <f aca="false">B5086/MAX(B4835:B5086)-1</f>
        <v>-0.0405865136328389</v>
      </c>
      <c r="F5086" s="7" t="str">
        <f aca="false">IFERROR(INDEX(02_轉折點45個!B:B,MATCH(A5086,02_轉折點45個!A:A,0)),"")</f>
        <v/>
      </c>
      <c r="G5086" s="7" t="s">
        <v>5494</v>
      </c>
    </row>
    <row r="5087" customFormat="false" ht="15" hidden="false" customHeight="false" outlineLevel="0" collapsed="false">
      <c r="A5087" s="7" t="s">
        <v>6009</v>
      </c>
      <c r="B5087" s="7" t="n">
        <v>7380.75</v>
      </c>
      <c r="C5087" s="7" t="n">
        <f aca="false">AVERAGE(B5038:B5087)</f>
        <v>6956.802</v>
      </c>
      <c r="D5087" s="7" t="n">
        <f aca="false">AVERAGE(B4888:B5087)</f>
        <v>7082.8608</v>
      </c>
      <c r="E5087" s="7" t="n">
        <f aca="false">B5087/MAX(B4836:B5087)-1</f>
        <v>-0.0364782550801679</v>
      </c>
      <c r="F5087" s="7" t="str">
        <f aca="false">IFERROR(INDEX(02_轉折點45個!B:B,MATCH(A5087,02_轉折點45個!A:A,0)),"")</f>
        <v/>
      </c>
      <c r="G5087" s="7" t="s">
        <v>5494</v>
      </c>
    </row>
    <row r="5088" customFormat="false" ht="15" hidden="false" customHeight="false" outlineLevel="0" collapsed="false">
      <c r="A5088" s="7" t="s">
        <v>1426</v>
      </c>
      <c r="B5088" s="7" t="n">
        <v>7493.27</v>
      </c>
      <c r="C5088" s="7" t="n">
        <f aca="false">AVERAGE(B5039:B5088)</f>
        <v>6975.6304</v>
      </c>
      <c r="D5088" s="7" t="n">
        <f aca="false">AVERAGE(B4889:B5088)</f>
        <v>7084.6093</v>
      </c>
      <c r="E5088" s="7" t="n">
        <f aca="false">B5088/MAX(B4837:B5088)-1</f>
        <v>-0.0217893052121491</v>
      </c>
      <c r="F5088" s="7" t="str">
        <f aca="false">IFERROR(INDEX(02_轉折點45個!B:B,MATCH(A5088,02_轉折點45個!A:A,0)),"")</f>
        <v/>
      </c>
      <c r="G5088" s="7" t="s">
        <v>5494</v>
      </c>
    </row>
    <row r="5089" customFormat="false" ht="15" hidden="false" customHeight="false" outlineLevel="0" collapsed="false">
      <c r="A5089" s="7" t="s">
        <v>6010</v>
      </c>
      <c r="B5089" s="7" t="n">
        <v>7326.06</v>
      </c>
      <c r="C5089" s="7" t="n">
        <f aca="false">AVERAGE(B5040:B5089)</f>
        <v>6990.1378</v>
      </c>
      <c r="D5089" s="7" t="n">
        <f aca="false">AVERAGE(B4890:B5089)</f>
        <v>7085.40585</v>
      </c>
      <c r="E5089" s="7" t="n">
        <f aca="false">B5089/MAX(B4838:B5089)-1</f>
        <v>-0.043617773994867</v>
      </c>
      <c r="F5089" s="7" t="str">
        <f aca="false">IFERROR(INDEX(02_轉折點45個!B:B,MATCH(A5089,02_轉折點45個!A:A,0)),"")</f>
        <v/>
      </c>
      <c r="G5089" s="7" t="s">
        <v>5494</v>
      </c>
    </row>
    <row r="5090" customFormat="false" ht="15" hidden="false" customHeight="false" outlineLevel="0" collapsed="false">
      <c r="A5090" s="7" t="s">
        <v>6011</v>
      </c>
      <c r="B5090" s="7" t="n">
        <v>7316.96</v>
      </c>
      <c r="C5090" s="7" t="n">
        <f aca="false">AVERAGE(B5041:B5090)</f>
        <v>7004.0582</v>
      </c>
      <c r="D5090" s="7" t="n">
        <f aca="false">AVERAGE(B4891:B5090)</f>
        <v>7085.94025</v>
      </c>
      <c r="E5090" s="7" t="n">
        <f aca="false">B5090/MAX(B4839:B5090)-1</f>
        <v>-0.0448057356354551</v>
      </c>
      <c r="F5090" s="7" t="str">
        <f aca="false">IFERROR(INDEX(02_轉折點45個!B:B,MATCH(A5090,02_轉折點45個!A:A,0)),"")</f>
        <v/>
      </c>
      <c r="G5090" s="7" t="s">
        <v>5494</v>
      </c>
    </row>
    <row r="5091" customFormat="false" ht="15" hidden="false" customHeight="false" outlineLevel="0" collapsed="false">
      <c r="A5091" s="7" t="s">
        <v>6012</v>
      </c>
      <c r="B5091" s="7" t="n">
        <v>7351.15</v>
      </c>
      <c r="C5091" s="7" t="n">
        <f aca="false">AVERAGE(B5042:B5091)</f>
        <v>7019.0532</v>
      </c>
      <c r="D5091" s="7" t="n">
        <f aca="false">AVERAGE(B4892:B5091)</f>
        <v>7086.93185</v>
      </c>
      <c r="E5091" s="7" t="n">
        <f aca="false">B5091/MAX(B4840:B5091)-1</f>
        <v>-0.0403423940429599</v>
      </c>
      <c r="F5091" s="7" t="str">
        <f aca="false">IFERROR(INDEX(02_轉折點45個!B:B,MATCH(A5091,02_轉折點45個!A:A,0)),"")</f>
        <v/>
      </c>
      <c r="G5091" s="7" t="s">
        <v>5494</v>
      </c>
    </row>
    <row r="5092" customFormat="false" ht="15" hidden="false" customHeight="false" outlineLevel="0" collapsed="false">
      <c r="A5092" s="7" t="s">
        <v>6013</v>
      </c>
      <c r="B5092" s="7" t="n">
        <v>7308.19</v>
      </c>
      <c r="C5092" s="7" t="n">
        <f aca="false">AVERAGE(B5043:B5092)</f>
        <v>7034.3962</v>
      </c>
      <c r="D5092" s="7" t="n">
        <f aca="false">AVERAGE(B4893:B5092)</f>
        <v>7087.7097</v>
      </c>
      <c r="E5092" s="7" t="n">
        <f aca="false">B5092/MAX(B4841:B5092)-1</f>
        <v>-0.0459506173484175</v>
      </c>
      <c r="F5092" s="7" t="str">
        <f aca="false">IFERROR(INDEX(02_轉折點45個!B:B,MATCH(A5092,02_轉折點45個!A:A,0)),"")</f>
        <v/>
      </c>
      <c r="G5092" s="7" t="s">
        <v>5494</v>
      </c>
    </row>
    <row r="5093" customFormat="false" ht="15" hidden="false" customHeight="false" outlineLevel="0" collapsed="false">
      <c r="A5093" s="7" t="s">
        <v>1427</v>
      </c>
      <c r="B5093" s="7" t="n">
        <v>7320.47</v>
      </c>
      <c r="C5093" s="7" t="n">
        <f aca="false">AVERAGE(B5044:B5093)</f>
        <v>7047.4128</v>
      </c>
      <c r="D5093" s="7" t="n">
        <f aca="false">AVERAGE(B4894:B5093)</f>
        <v>7088.46965</v>
      </c>
      <c r="E5093" s="7" t="n">
        <f aca="false">B5093/MAX(B4842:B5093)-1</f>
        <v>-0.0443475218597996</v>
      </c>
      <c r="F5093" s="7" t="str">
        <f aca="false">IFERROR(INDEX(02_轉折點45個!B:B,MATCH(A5093,02_轉折點45個!A:A,0)),"")</f>
        <v/>
      </c>
      <c r="G5093" s="7" t="s">
        <v>5494</v>
      </c>
    </row>
    <row r="5094" customFormat="false" ht="15" hidden="false" customHeight="false" outlineLevel="0" collapsed="false">
      <c r="A5094" s="7" t="s">
        <v>1428</v>
      </c>
      <c r="B5094" s="7" t="n">
        <v>7378.77</v>
      </c>
      <c r="C5094" s="7" t="n">
        <f aca="false">AVERAGE(B5045:B5094)</f>
        <v>7061.617</v>
      </c>
      <c r="D5094" s="7" t="n">
        <f aca="false">AVERAGE(B4895:B5094)</f>
        <v>7089.3176</v>
      </c>
      <c r="E5094" s="7" t="n">
        <f aca="false">B5094/MAX(B4843:B5094)-1</f>
        <v>-0.0367367346459221</v>
      </c>
      <c r="F5094" s="7" t="str">
        <f aca="false">IFERROR(INDEX(02_轉折點45個!B:B,MATCH(A5094,02_轉折點45個!A:A,0)),"")</f>
        <v/>
      </c>
      <c r="G5094" s="7" t="s">
        <v>5494</v>
      </c>
    </row>
    <row r="5095" customFormat="false" ht="15" hidden="false" customHeight="false" outlineLevel="0" collapsed="false">
      <c r="A5095" s="7" t="s">
        <v>6014</v>
      </c>
      <c r="B5095" s="7" t="n">
        <v>7478.42</v>
      </c>
      <c r="C5095" s="7" t="n">
        <f aca="false">AVERAGE(B5046:B5095)</f>
        <v>7076.8164</v>
      </c>
      <c r="D5095" s="7" t="n">
        <f aca="false">AVERAGE(B4896:B5095)</f>
        <v>7090.6834</v>
      </c>
      <c r="E5095" s="7" t="n">
        <f aca="false">B5095/MAX(B4844:B5095)-1</f>
        <v>-0.0237279019553066</v>
      </c>
      <c r="F5095" s="7" t="str">
        <f aca="false">IFERROR(INDEX(02_轉折點45個!B:B,MATCH(A5095,02_轉折點45個!A:A,0)),"")</f>
        <v/>
      </c>
      <c r="G5095" s="7" t="s">
        <v>5494</v>
      </c>
    </row>
    <row r="5096" customFormat="false" ht="15" hidden="false" customHeight="false" outlineLevel="0" collapsed="false">
      <c r="A5096" s="7" t="s">
        <v>1429</v>
      </c>
      <c r="B5096" s="7" t="n">
        <v>7499.64</v>
      </c>
      <c r="C5096" s="7" t="n">
        <f aca="false">AVERAGE(B5047:B5096)</f>
        <v>7091.117</v>
      </c>
      <c r="D5096" s="7" t="n">
        <f aca="false">AVERAGE(B4897:B5096)</f>
        <v>7091.78365</v>
      </c>
      <c r="E5096" s="7" t="n">
        <f aca="false">B5096/MAX(B4845:B5096)-1</f>
        <v>-0.0209577320637374</v>
      </c>
      <c r="F5096" s="7" t="str">
        <f aca="false">IFERROR(INDEX(02_轉折點45個!B:B,MATCH(A5096,02_轉折點45個!A:A,0)),"")</f>
        <v/>
      </c>
      <c r="G5096" s="7" t="s">
        <v>5494</v>
      </c>
    </row>
    <row r="5097" customFormat="false" ht="15" hidden="false" customHeight="false" outlineLevel="0" collapsed="false">
      <c r="A5097" s="7" t="s">
        <v>1430</v>
      </c>
      <c r="B5097" s="7" t="n">
        <v>7544.97</v>
      </c>
      <c r="C5097" s="7" t="n">
        <f aca="false">AVERAGE(B5048:B5097)</f>
        <v>7109.0802</v>
      </c>
      <c r="D5097" s="7" t="n">
        <f aca="false">AVERAGE(B4898:B5097)</f>
        <v>7093.2297</v>
      </c>
      <c r="E5097" s="7" t="n">
        <f aca="false">B5097/MAX(B4846:B5097)-1</f>
        <v>-0.015040116550786</v>
      </c>
      <c r="F5097" s="7" t="str">
        <f aca="false">IFERROR(INDEX(02_轉折點45個!B:B,MATCH(A5097,02_轉折點45個!A:A,0)),"")</f>
        <v/>
      </c>
      <c r="G5097" s="7" t="s">
        <v>5494</v>
      </c>
    </row>
    <row r="5098" customFormat="false" ht="15" hidden="false" customHeight="false" outlineLevel="0" collapsed="false">
      <c r="A5098" s="7" t="s">
        <v>6015</v>
      </c>
      <c r="B5098" s="7" t="n">
        <v>7540.57</v>
      </c>
      <c r="C5098" s="7" t="n">
        <f aca="false">AVERAGE(B5049:B5098)</f>
        <v>7126.7164</v>
      </c>
      <c r="D5098" s="7" t="n">
        <f aca="false">AVERAGE(B4899:B5098)</f>
        <v>7094.6755</v>
      </c>
      <c r="E5098" s="7" t="n">
        <f aca="false">B5098/MAX(B4847:B5098)-1</f>
        <v>-0.0156145155857957</v>
      </c>
      <c r="F5098" s="7" t="str">
        <f aca="false">IFERROR(INDEX(02_轉折點45個!B:B,MATCH(A5098,02_轉折點45個!A:A,0)),"")</f>
        <v/>
      </c>
      <c r="G5098" s="7" t="s">
        <v>5494</v>
      </c>
    </row>
    <row r="5099" customFormat="false" ht="15" hidden="false" customHeight="false" outlineLevel="0" collapsed="false">
      <c r="A5099" s="7" t="s">
        <v>1431</v>
      </c>
      <c r="B5099" s="7" t="n">
        <v>7578.84</v>
      </c>
      <c r="C5099" s="7" t="n">
        <f aca="false">AVERAGE(B5050:B5099)</f>
        <v>7144.2422</v>
      </c>
      <c r="D5099" s="7" t="n">
        <f aca="false">AVERAGE(B4900:B5099)</f>
        <v>7096.4295</v>
      </c>
      <c r="E5099" s="7" t="n">
        <f aca="false">B5099/MAX(B4848:B5099)-1</f>
        <v>-0.0106185494335642</v>
      </c>
      <c r="F5099" s="7" t="str">
        <f aca="false">IFERROR(INDEX(02_轉折點45個!B:B,MATCH(A5099,02_轉折點45個!A:A,0)),"")</f>
        <v/>
      </c>
      <c r="G5099" s="7" t="s">
        <v>5494</v>
      </c>
    </row>
    <row r="5100" customFormat="false" ht="15" hidden="false" customHeight="false" outlineLevel="0" collapsed="false">
      <c r="A5100" s="7" t="s">
        <v>1432</v>
      </c>
      <c r="B5100" s="7" t="n">
        <v>7599.74</v>
      </c>
      <c r="C5100" s="7" t="n">
        <f aca="false">AVERAGE(B5051:B5100)</f>
        <v>7160.4896</v>
      </c>
      <c r="D5100" s="7" t="n">
        <f aca="false">AVERAGE(B4901:B5100)</f>
        <v>7098.0247</v>
      </c>
      <c r="E5100" s="7" t="n">
        <f aca="false">B5100/MAX(B4849:B5100)-1</f>
        <v>-0.00789015401726856</v>
      </c>
      <c r="F5100" s="7" t="str">
        <f aca="false">IFERROR(INDEX(02_轉折點45個!B:B,MATCH(A5100,02_轉折點45個!A:A,0)),"")</f>
        <v/>
      </c>
      <c r="G5100" s="7" t="s">
        <v>5494</v>
      </c>
    </row>
    <row r="5101" customFormat="false" ht="15" hidden="false" customHeight="false" outlineLevel="0" collapsed="false">
      <c r="A5101" s="7" t="s">
        <v>6016</v>
      </c>
      <c r="B5101" s="7" t="n">
        <v>7568.49</v>
      </c>
      <c r="C5101" s="7" t="n">
        <f aca="false">AVERAGE(B5052:B5101)</f>
        <v>7177.9176</v>
      </c>
      <c r="D5101" s="7" t="n">
        <f aca="false">AVERAGE(B4902:B5101)</f>
        <v>7099.7797</v>
      </c>
      <c r="E5101" s="7" t="n">
        <f aca="false">B5101/MAX(B4850:B5101)-1</f>
        <v>-0.0119696926181891</v>
      </c>
      <c r="F5101" s="7" t="str">
        <f aca="false">IFERROR(INDEX(02_轉折點45個!B:B,MATCH(A5101,02_轉折點45個!A:A,0)),"")</f>
        <v/>
      </c>
      <c r="G5101" s="7" t="s">
        <v>5494</v>
      </c>
    </row>
    <row r="5102" customFormat="false" ht="15" hidden="false" customHeight="false" outlineLevel="0" collapsed="false">
      <c r="A5102" s="7" t="s">
        <v>1433</v>
      </c>
      <c r="B5102" s="7" t="n">
        <v>7611.49</v>
      </c>
      <c r="C5102" s="7" t="n">
        <f aca="false">AVERAGE(B5053:B5102)</f>
        <v>7197.4916</v>
      </c>
      <c r="D5102" s="7" t="n">
        <f aca="false">AVERAGE(B4903:B5102)</f>
        <v>7101.8496</v>
      </c>
      <c r="E5102" s="7" t="n">
        <f aca="false">B5102/MAX(B4851:B5102)-1</f>
        <v>-0.00635624750332242</v>
      </c>
      <c r="F5102" s="7" t="str">
        <f aca="false">IFERROR(INDEX(02_轉折點45個!B:B,MATCH(A5102,02_轉折點45個!A:A,0)),"")</f>
        <v/>
      </c>
      <c r="G5102" s="7" t="s">
        <v>5494</v>
      </c>
    </row>
    <row r="5103" customFormat="false" ht="15" hidden="false" customHeight="false" outlineLevel="0" collapsed="false">
      <c r="A5103" s="7" t="s">
        <v>6017</v>
      </c>
      <c r="B5103" s="7" t="n">
        <v>7594.89</v>
      </c>
      <c r="C5103" s="7" t="n">
        <f aca="false">AVERAGE(B5054:B5103)</f>
        <v>7213.2312</v>
      </c>
      <c r="D5103" s="7" t="n">
        <f aca="false">AVERAGE(B4904:B5103)</f>
        <v>7104.6332</v>
      </c>
      <c r="E5103" s="7" t="n">
        <f aca="false">B5103/MAX(B4852:B5103)-1</f>
        <v>-0.00852329840813138</v>
      </c>
      <c r="F5103" s="7" t="str">
        <f aca="false">IFERROR(INDEX(02_轉折點45個!B:B,MATCH(A5103,02_轉折點45個!A:A,0)),"")</f>
        <v/>
      </c>
      <c r="G5103" s="7" t="s">
        <v>5494</v>
      </c>
    </row>
    <row r="5104" customFormat="false" ht="15" hidden="false" customHeight="false" outlineLevel="0" collapsed="false">
      <c r="A5104" s="7" t="s">
        <v>1434</v>
      </c>
      <c r="B5104" s="7" t="n">
        <v>7628.15</v>
      </c>
      <c r="C5104" s="7" t="n">
        <f aca="false">AVERAGE(B5055:B5104)</f>
        <v>7227.6574</v>
      </c>
      <c r="D5104" s="7" t="n">
        <f aca="false">AVERAGE(B4905:B5104)</f>
        <v>7107.43295</v>
      </c>
      <c r="E5104" s="7" t="n">
        <f aca="false">B5104/MAX(B4853:B5104)-1</f>
        <v>-0.00418136388439971</v>
      </c>
      <c r="F5104" s="7" t="str">
        <f aca="false">IFERROR(INDEX(02_轉折點45個!B:B,MATCH(A5104,02_轉折點45個!A:A,0)),"")</f>
        <v/>
      </c>
      <c r="G5104" s="7" t="s">
        <v>5494</v>
      </c>
    </row>
    <row r="5105" customFormat="false" ht="15" hidden="false" customHeight="false" outlineLevel="0" collapsed="false">
      <c r="A5105" s="7" t="s">
        <v>1435</v>
      </c>
      <c r="B5105" s="7" t="n">
        <v>7629.12</v>
      </c>
      <c r="C5105" s="7" t="n">
        <f aca="false">AVERAGE(B5056:B5105)</f>
        <v>7242.7294</v>
      </c>
      <c r="D5105" s="7" t="n">
        <f aca="false">AVERAGE(B4906:B5105)</f>
        <v>7110.7302</v>
      </c>
      <c r="E5105" s="7" t="n">
        <f aca="false">B5105/MAX(B4854:B5105)-1</f>
        <v>-0.00405473500622711</v>
      </c>
      <c r="F5105" s="7" t="str">
        <f aca="false">IFERROR(INDEX(02_轉折點45個!B:B,MATCH(A5105,02_轉折點45個!A:A,0)),"")</f>
        <v/>
      </c>
      <c r="G5105" s="7" t="s">
        <v>5494</v>
      </c>
    </row>
    <row r="5106" customFormat="false" ht="15" hidden="false" customHeight="false" outlineLevel="0" collapsed="false">
      <c r="A5106" s="7" t="s">
        <v>6018</v>
      </c>
      <c r="B5106" s="7" t="n">
        <v>7654.73</v>
      </c>
      <c r="C5106" s="7" t="n">
        <f aca="false">AVERAGE(B5057:B5106)</f>
        <v>7256.6248</v>
      </c>
      <c r="D5106" s="7" t="n">
        <f aca="false">AVERAGE(B4907:B5106)</f>
        <v>7113.84585</v>
      </c>
      <c r="E5106" s="7" t="n">
        <f aca="false">B5106/MAX(B4855:B5106)-1</f>
        <v>-0.000711471532000685</v>
      </c>
      <c r="F5106" s="7" t="str">
        <f aca="false">IFERROR(INDEX(02_轉折點45個!B:B,MATCH(A5106,02_轉折點45個!A:A,0)),"")</f>
        <v/>
      </c>
      <c r="G5106" s="7" t="s">
        <v>5494</v>
      </c>
    </row>
    <row r="5107" customFormat="false" ht="15" hidden="false" customHeight="false" outlineLevel="0" collapsed="false">
      <c r="A5107" s="7" t="s">
        <v>6019</v>
      </c>
      <c r="B5107" s="7" t="n">
        <v>7680.72</v>
      </c>
      <c r="C5107" s="7" t="n">
        <f aca="false">AVERAGE(B5058:B5107)</f>
        <v>7269.7688</v>
      </c>
      <c r="D5107" s="7" t="n">
        <f aca="false">AVERAGE(B4908:B5107)</f>
        <v>7117.04545</v>
      </c>
      <c r="E5107" s="7" t="n">
        <f aca="false">B5107/MAX(B4856:B5107)-1</f>
        <v>0</v>
      </c>
      <c r="F5107" s="7" t="str">
        <f aca="false">IFERROR(INDEX(02_轉折點45個!B:B,MATCH(A5107,02_轉折點45個!A:A,0)),"")</f>
        <v/>
      </c>
      <c r="G5107" s="7" t="s">
        <v>5494</v>
      </c>
    </row>
    <row r="5108" customFormat="false" ht="15" hidden="false" customHeight="false" outlineLevel="0" collapsed="false">
      <c r="A5108" s="7" t="s">
        <v>6020</v>
      </c>
      <c r="B5108" s="7" t="n">
        <v>7689.72</v>
      </c>
      <c r="C5108" s="7" t="n">
        <f aca="false">AVERAGE(B5059:B5108)</f>
        <v>7283.6108</v>
      </c>
      <c r="D5108" s="7" t="n">
        <f aca="false">AVERAGE(B4909:B5108)</f>
        <v>7120.00495</v>
      </c>
      <c r="E5108" s="7" t="n">
        <f aca="false">B5108/MAX(B4857:B5108)-1</f>
        <v>0</v>
      </c>
      <c r="F5108" s="7" t="str">
        <f aca="false">IFERROR(INDEX(02_轉折點45個!B:B,MATCH(A5108,02_轉折點45個!A:A,0)),"")</f>
        <v/>
      </c>
      <c r="G5108" s="7" t="s">
        <v>5494</v>
      </c>
    </row>
    <row r="5109" customFormat="false" ht="15" hidden="false" customHeight="false" outlineLevel="0" collapsed="false">
      <c r="A5109" s="7" t="s">
        <v>6021</v>
      </c>
      <c r="B5109" s="7" t="n">
        <v>7713.49</v>
      </c>
      <c r="C5109" s="7" t="n">
        <f aca="false">AVERAGE(B5060:B5109)</f>
        <v>7299.781</v>
      </c>
      <c r="D5109" s="7" t="n">
        <f aca="false">AVERAGE(B4910:B5109)</f>
        <v>7123.49965</v>
      </c>
      <c r="E5109" s="7" t="n">
        <f aca="false">B5109/MAX(B4858:B5109)-1</f>
        <v>0</v>
      </c>
      <c r="F5109" s="7" t="str">
        <f aca="false">IFERROR(INDEX(02_轉折點45個!B:B,MATCH(A5109,02_轉折點45個!A:A,0)),"")</f>
        <v/>
      </c>
      <c r="G5109" s="7" t="s">
        <v>5494</v>
      </c>
    </row>
    <row r="5110" customFormat="false" ht="15" hidden="false" customHeight="false" outlineLevel="0" collapsed="false">
      <c r="A5110" s="7" t="s">
        <v>6022</v>
      </c>
      <c r="B5110" s="7" t="n">
        <v>7810.71</v>
      </c>
      <c r="C5110" s="7" t="n">
        <f aca="false">AVERAGE(B5061:B5110)</f>
        <v>7317.7326</v>
      </c>
      <c r="D5110" s="7" t="n">
        <f aca="false">AVERAGE(B4911:B5110)</f>
        <v>7127.04795</v>
      </c>
      <c r="E5110" s="7" t="n">
        <f aca="false">B5110/MAX(B4859:B5110)-1</f>
        <v>0</v>
      </c>
      <c r="F5110" s="7" t="str">
        <f aca="false">IFERROR(INDEX(02_轉折點45個!B:B,MATCH(A5110,02_轉折點45個!A:A,0)),"")</f>
        <v/>
      </c>
      <c r="G5110" s="7" t="s">
        <v>5494</v>
      </c>
    </row>
    <row r="5111" customFormat="false" ht="15" hidden="false" customHeight="false" outlineLevel="0" collapsed="false">
      <c r="A5111" s="7" t="s">
        <v>6023</v>
      </c>
      <c r="B5111" s="7" t="n">
        <v>7784.41</v>
      </c>
      <c r="C5111" s="7" t="n">
        <f aca="false">AVERAGE(B5062:B5111)</f>
        <v>7335.2372</v>
      </c>
      <c r="D5111" s="7" t="n">
        <f aca="false">AVERAGE(B4912:B5111)</f>
        <v>7129.93335</v>
      </c>
      <c r="E5111" s="7" t="n">
        <f aca="false">B5111/MAX(B4860:B5111)-1</f>
        <v>-0.00336717148633092</v>
      </c>
      <c r="F5111" s="7" t="str">
        <f aca="false">IFERROR(INDEX(02_轉折點45個!B:B,MATCH(A5111,02_轉折點45個!A:A,0)),"")</f>
        <v/>
      </c>
      <c r="G5111" s="7" t="s">
        <v>5494</v>
      </c>
    </row>
    <row r="5112" customFormat="false" ht="15" hidden="false" customHeight="false" outlineLevel="0" collapsed="false">
      <c r="A5112" s="7" t="s">
        <v>6024</v>
      </c>
      <c r="B5112" s="7" t="n">
        <v>7816.92</v>
      </c>
      <c r="C5112" s="7" t="n">
        <f aca="false">AVERAGE(B5063:B5112)</f>
        <v>7351.2822</v>
      </c>
      <c r="D5112" s="7" t="n">
        <f aca="false">AVERAGE(B4913:B5112)</f>
        <v>7132.63795</v>
      </c>
      <c r="E5112" s="7" t="n">
        <f aca="false">B5112/MAX(B4861:B5112)-1</f>
        <v>0</v>
      </c>
      <c r="F5112" s="7" t="str">
        <f aca="false">IFERROR(INDEX(02_轉折點45個!B:B,MATCH(A5112,02_轉折點45個!A:A,0)),"")</f>
        <v/>
      </c>
      <c r="G5112" s="7" t="s">
        <v>5494</v>
      </c>
    </row>
    <row r="5113" customFormat="false" ht="15" hidden="false" customHeight="false" outlineLevel="0" collapsed="false">
      <c r="A5113" s="7" t="s">
        <v>6025</v>
      </c>
      <c r="B5113" s="7" t="n">
        <v>7826.68</v>
      </c>
      <c r="C5113" s="7" t="n">
        <f aca="false">AVERAGE(B5064:B5113)</f>
        <v>7367.4982</v>
      </c>
      <c r="D5113" s="7" t="n">
        <f aca="false">AVERAGE(B4914:B5113)</f>
        <v>7135.35835</v>
      </c>
      <c r="E5113" s="7" t="n">
        <f aca="false">B5113/MAX(B4862:B5113)-1</f>
        <v>0</v>
      </c>
      <c r="F5113" s="7" t="str">
        <f aca="false">IFERROR(INDEX(02_轉折點45個!B:B,MATCH(A5113,02_轉折點45個!A:A,0)),"")</f>
        <v/>
      </c>
      <c r="G5113" s="7" t="s">
        <v>5494</v>
      </c>
    </row>
    <row r="5114" customFormat="false" ht="15" hidden="false" customHeight="false" outlineLevel="0" collapsed="false">
      <c r="A5114" s="7" t="s">
        <v>6026</v>
      </c>
      <c r="B5114" s="7" t="n">
        <v>7839.04</v>
      </c>
      <c r="C5114" s="7" t="n">
        <f aca="false">AVERAGE(B5065:B5114)</f>
        <v>7383.8306</v>
      </c>
      <c r="D5114" s="7" t="n">
        <f aca="false">AVERAGE(B4915:B5114)</f>
        <v>7138.33365</v>
      </c>
      <c r="E5114" s="7" t="n">
        <f aca="false">B5114/MAX(B4863:B5114)-1</f>
        <v>0</v>
      </c>
      <c r="F5114" s="7" t="str">
        <f aca="false">IFERROR(INDEX(02_轉折點45個!B:B,MATCH(A5114,02_轉折點45個!A:A,0)),"")</f>
        <v/>
      </c>
      <c r="G5114" s="7" t="s">
        <v>5494</v>
      </c>
    </row>
    <row r="5115" customFormat="false" ht="15" hidden="false" customHeight="false" outlineLevel="0" collapsed="false">
      <c r="A5115" s="7" t="s">
        <v>6027</v>
      </c>
      <c r="B5115" s="7" t="n">
        <v>7781.46</v>
      </c>
      <c r="C5115" s="7" t="n">
        <f aca="false">AVERAGE(B5066:B5115)</f>
        <v>7398.3562</v>
      </c>
      <c r="D5115" s="7" t="n">
        <f aca="false">AVERAGE(B4916:B5115)</f>
        <v>7140.4097</v>
      </c>
      <c r="E5115" s="7" t="n">
        <f aca="false">B5115/MAX(B4864:B5115)-1</f>
        <v>-0.00734528717802174</v>
      </c>
      <c r="F5115" s="7" t="str">
        <f aca="false">IFERROR(INDEX(02_轉折點45個!B:B,MATCH(A5115,02_轉折點45個!A:A,0)),"")</f>
        <v/>
      </c>
      <c r="G5115" s="7" t="s">
        <v>5494</v>
      </c>
    </row>
    <row r="5116" customFormat="false" ht="15" hidden="false" customHeight="false" outlineLevel="0" collapsed="false">
      <c r="A5116" s="7" t="s">
        <v>6028</v>
      </c>
      <c r="B5116" s="7" t="n">
        <v>7751.85</v>
      </c>
      <c r="C5116" s="7" t="n">
        <f aca="false">AVERAGE(B5067:B5116)</f>
        <v>7412.061</v>
      </c>
      <c r="D5116" s="7" t="n">
        <f aca="false">AVERAGE(B4917:B5116)</f>
        <v>7142.28985</v>
      </c>
      <c r="E5116" s="7" t="n">
        <f aca="false">B5116/MAX(B4865:B5116)-1</f>
        <v>-0.0111225354124994</v>
      </c>
      <c r="F5116" s="7" t="str">
        <f aca="false">IFERROR(INDEX(02_轉折點45個!B:B,MATCH(A5116,02_轉折點45個!A:A,0)),"")</f>
        <v/>
      </c>
      <c r="G5116" s="7" t="s">
        <v>5494</v>
      </c>
    </row>
    <row r="5117" customFormat="false" ht="15" hidden="false" customHeight="false" outlineLevel="0" collapsed="false">
      <c r="A5117" s="7" t="s">
        <v>6029</v>
      </c>
      <c r="B5117" s="7" t="n">
        <v>7724.06</v>
      </c>
      <c r="C5117" s="7" t="n">
        <f aca="false">AVERAGE(B5068:B5117)</f>
        <v>7425.2954</v>
      </c>
      <c r="D5117" s="7" t="n">
        <f aca="false">AVERAGE(B4918:B5117)</f>
        <v>7144.12065</v>
      </c>
      <c r="E5117" s="7" t="n">
        <f aca="false">B5117/MAX(B4866:B5117)-1</f>
        <v>-0.0146676123606971</v>
      </c>
      <c r="F5117" s="7" t="str">
        <f aca="false">IFERROR(INDEX(02_轉折點45個!B:B,MATCH(A5117,02_轉折點45個!A:A,0)),"")</f>
        <v/>
      </c>
      <c r="G5117" s="7" t="s">
        <v>5494</v>
      </c>
    </row>
    <row r="5118" customFormat="false" ht="15" hidden="false" customHeight="false" outlineLevel="0" collapsed="false">
      <c r="A5118" s="7" t="s">
        <v>1436</v>
      </c>
      <c r="B5118" s="7" t="n">
        <v>7845.73</v>
      </c>
      <c r="C5118" s="7" t="n">
        <f aca="false">AVERAGE(B5069:B5118)</f>
        <v>7441.5068</v>
      </c>
      <c r="D5118" s="7" t="n">
        <f aca="false">AVERAGE(B4919:B5118)</f>
        <v>7146.32985</v>
      </c>
      <c r="E5118" s="7" t="n">
        <f aca="false">B5118/MAX(B4867:B5118)-1</f>
        <v>0</v>
      </c>
      <c r="F5118" s="7" t="str">
        <f aca="false">IFERROR(INDEX(02_轉折點45個!B:B,MATCH(A5118,02_轉折點45個!A:A,0)),"")</f>
        <v/>
      </c>
      <c r="G5118" s="7" t="s">
        <v>5494</v>
      </c>
    </row>
    <row r="5119" customFormat="false" ht="15" hidden="false" customHeight="false" outlineLevel="0" collapsed="false">
      <c r="A5119" s="7" t="s">
        <v>6030</v>
      </c>
      <c r="B5119" s="7" t="n">
        <v>7794.09</v>
      </c>
      <c r="C5119" s="7" t="n">
        <f aca="false">AVERAGE(B5070:B5119)</f>
        <v>7455.576</v>
      </c>
      <c r="D5119" s="7" t="n">
        <f aca="false">AVERAGE(B4920:B5119)</f>
        <v>7148.34965</v>
      </c>
      <c r="E5119" s="7" t="n">
        <f aca="false">B5119/MAX(B4868:B5119)-1</f>
        <v>-0.00658192418041403</v>
      </c>
      <c r="F5119" s="7" t="str">
        <f aca="false">IFERROR(INDEX(02_轉折點45個!B:B,MATCH(A5119,02_轉折點45個!A:A,0)),"")</f>
        <v/>
      </c>
      <c r="G5119" s="7" t="s">
        <v>5494</v>
      </c>
    </row>
    <row r="5120" customFormat="false" ht="15" hidden="false" customHeight="false" outlineLevel="0" collapsed="false">
      <c r="A5120" s="7" t="s">
        <v>6031</v>
      </c>
      <c r="B5120" s="7" t="n">
        <v>7640.15</v>
      </c>
      <c r="C5120" s="7" t="n">
        <f aca="false">AVERAGE(B5071:B5120)</f>
        <v>7466.0704</v>
      </c>
      <c r="D5120" s="7" t="n">
        <f aca="false">AVERAGE(B4921:B5120)</f>
        <v>7149.7886</v>
      </c>
      <c r="E5120" s="7" t="n">
        <f aca="false">B5120/MAX(B4869:B5120)-1</f>
        <v>-0.0262027880133525</v>
      </c>
      <c r="F5120" s="7" t="str">
        <f aca="false">IFERROR(INDEX(02_轉折點45個!B:B,MATCH(A5120,02_轉折點45個!A:A,0)),"")</f>
        <v/>
      </c>
      <c r="G5120" s="7" t="s">
        <v>5494</v>
      </c>
    </row>
    <row r="5121" customFormat="false" ht="15" hidden="false" customHeight="false" outlineLevel="0" collapsed="false">
      <c r="A5121" s="7" t="s">
        <v>6032</v>
      </c>
      <c r="B5121" s="7" t="n">
        <v>7617.55</v>
      </c>
      <c r="C5121" s="7" t="n">
        <f aca="false">AVERAGE(B5072:B5121)</f>
        <v>7475.957</v>
      </c>
      <c r="D5121" s="7" t="n">
        <f aca="false">AVERAGE(B4922:B5121)</f>
        <v>7151.1252</v>
      </c>
      <c r="E5121" s="7" t="n">
        <f aca="false">B5121/MAX(B4870:B5121)-1</f>
        <v>-0.0290833357762756</v>
      </c>
      <c r="F5121" s="7" t="str">
        <f aca="false">IFERROR(INDEX(02_轉折點45個!B:B,MATCH(A5121,02_轉折點45個!A:A,0)),"")</f>
        <v/>
      </c>
      <c r="G5121" s="7" t="s">
        <v>5494</v>
      </c>
    </row>
    <row r="5122" customFormat="false" ht="15" hidden="false" customHeight="false" outlineLevel="0" collapsed="false">
      <c r="A5122" s="7" t="s">
        <v>1437</v>
      </c>
      <c r="B5122" s="7" t="n">
        <v>7582.75</v>
      </c>
      <c r="C5122" s="7" t="n">
        <f aca="false">AVERAGE(B5073:B5122)</f>
        <v>7485.272</v>
      </c>
      <c r="D5122" s="7" t="n">
        <f aca="false">AVERAGE(B4923:B5122)</f>
        <v>7152.18005</v>
      </c>
      <c r="E5122" s="7" t="n">
        <f aca="false">B5122/MAX(B4871:B5122)-1</f>
        <v>-0.0335188694997151</v>
      </c>
      <c r="F5122" s="7" t="str">
        <f aca="false">IFERROR(INDEX(02_轉折點45個!B:B,MATCH(A5122,02_轉折點45個!A:A,0)),"")</f>
        <v/>
      </c>
      <c r="G5122" s="7" t="s">
        <v>5494</v>
      </c>
    </row>
    <row r="5123" customFormat="false" ht="15" hidden="false" customHeight="false" outlineLevel="0" collapsed="false">
      <c r="A5123" s="7" t="s">
        <v>6033</v>
      </c>
      <c r="B5123" s="7" t="n">
        <v>7586.53</v>
      </c>
      <c r="C5123" s="7" t="n">
        <f aca="false">AVERAGE(B5074:B5123)</f>
        <v>7495.052</v>
      </c>
      <c r="D5123" s="7" t="n">
        <f aca="false">AVERAGE(B4924:B5123)</f>
        <v>7153.08145</v>
      </c>
      <c r="E5123" s="7" t="n">
        <f aca="false">B5123/MAX(B4872:B5123)-1</f>
        <v>-0.0330370787676864</v>
      </c>
      <c r="F5123" s="7" t="str">
        <f aca="false">IFERROR(INDEX(02_轉折點45個!B:B,MATCH(A5123,02_轉折點45個!A:A,0)),"")</f>
        <v/>
      </c>
      <c r="G5123" s="7" t="s">
        <v>5494</v>
      </c>
    </row>
    <row r="5124" customFormat="false" ht="15" hidden="false" customHeight="false" outlineLevel="0" collapsed="false">
      <c r="A5124" s="7" t="s">
        <v>1438</v>
      </c>
      <c r="B5124" s="7" t="n">
        <v>7324.13</v>
      </c>
      <c r="C5124" s="7" t="n">
        <f aca="false">AVERAGE(B5075:B5124)</f>
        <v>7498.5032</v>
      </c>
      <c r="D5124" s="7" t="n">
        <f aca="false">AVERAGE(B4925:B5124)</f>
        <v>7152.15915</v>
      </c>
      <c r="E5124" s="7" t="n">
        <f aca="false">B5124/MAX(B4873:B5124)-1</f>
        <v>-0.0664820227053441</v>
      </c>
      <c r="F5124" s="7" t="str">
        <f aca="false">IFERROR(INDEX(02_轉折點45個!B:B,MATCH(A5124,02_轉折點45個!A:A,0)),"")</f>
        <v/>
      </c>
      <c r="G5124" s="7" t="s">
        <v>5494</v>
      </c>
    </row>
    <row r="5125" customFormat="false" ht="15" hidden="false" customHeight="false" outlineLevel="0" collapsed="false">
      <c r="A5125" s="7" t="s">
        <v>6034</v>
      </c>
      <c r="B5125" s="7" t="n">
        <v>7401.88</v>
      </c>
      <c r="C5125" s="7" t="n">
        <f aca="false">AVERAGE(B5076:B5125)</f>
        <v>7503.5242</v>
      </c>
      <c r="D5125" s="7" t="n">
        <f aca="false">AVERAGE(B4926:B5125)</f>
        <v>7152.1648</v>
      </c>
      <c r="E5125" s="7" t="n">
        <f aca="false">B5125/MAX(B4874:B5125)-1</f>
        <v>-0.0565721736536944</v>
      </c>
      <c r="F5125" s="7" t="str">
        <f aca="false">IFERROR(INDEX(02_轉折點45個!B:B,MATCH(A5125,02_轉折點45個!A:A,0)),"")</f>
        <v/>
      </c>
      <c r="G5125" s="7" t="s">
        <v>5494</v>
      </c>
    </row>
    <row r="5126" customFormat="false" ht="15" hidden="false" customHeight="false" outlineLevel="0" collapsed="false">
      <c r="A5126" s="7" t="s">
        <v>1439</v>
      </c>
      <c r="B5126" s="7" t="n">
        <v>7503.25</v>
      </c>
      <c r="C5126" s="7" t="n">
        <f aca="false">AVERAGE(B5077:B5126)</f>
        <v>7510.4534</v>
      </c>
      <c r="D5126" s="7" t="n">
        <f aca="false">AVERAGE(B4927:B5126)</f>
        <v>7153.19715</v>
      </c>
      <c r="E5126" s="7" t="n">
        <f aca="false">B5126/MAX(B4875:B5126)-1</f>
        <v>-0.043651769816193</v>
      </c>
      <c r="F5126" s="7" t="str">
        <f aca="false">IFERROR(INDEX(02_轉折點45個!B:B,MATCH(A5126,02_轉折點45個!A:A,0)),"")</f>
        <v/>
      </c>
      <c r="G5126" s="7" t="s">
        <v>5494</v>
      </c>
    </row>
    <row r="5127" customFormat="false" ht="15" hidden="false" customHeight="false" outlineLevel="0" collapsed="false">
      <c r="A5127" s="7" t="s">
        <v>6035</v>
      </c>
      <c r="B5127" s="7" t="n">
        <v>7580.14</v>
      </c>
      <c r="C5127" s="7" t="n">
        <f aca="false">AVERAGE(B5078:B5127)</f>
        <v>7519.8068</v>
      </c>
      <c r="D5127" s="7" t="n">
        <f aca="false">AVERAGE(B4928:B5127)</f>
        <v>7155.13235</v>
      </c>
      <c r="E5127" s="7" t="n">
        <f aca="false">B5127/MAX(B4876:B5127)-1</f>
        <v>-0.0338515345289729</v>
      </c>
      <c r="F5127" s="7" t="str">
        <f aca="false">IFERROR(INDEX(02_轉折點45個!B:B,MATCH(A5127,02_轉折點45個!A:A,0)),"")</f>
        <v/>
      </c>
      <c r="G5127" s="7" t="s">
        <v>5494</v>
      </c>
    </row>
    <row r="5128" customFormat="false" ht="15" hidden="false" customHeight="false" outlineLevel="0" collapsed="false">
      <c r="A5128" s="7" t="s">
        <v>6036</v>
      </c>
      <c r="B5128" s="7" t="n">
        <v>7503.68</v>
      </c>
      <c r="C5128" s="7" t="n">
        <f aca="false">AVERAGE(B5079:B5128)</f>
        <v>7529.3428</v>
      </c>
      <c r="D5128" s="7" t="n">
        <f aca="false">AVERAGE(B4929:B5128)</f>
        <v>7156.49085</v>
      </c>
      <c r="E5128" s="7" t="n">
        <f aca="false">B5128/MAX(B4877:B5128)-1</f>
        <v>-0.043596962933978</v>
      </c>
      <c r="F5128" s="7" t="str">
        <f aca="false">IFERROR(INDEX(02_轉折點45個!B:B,MATCH(A5128,02_轉折點45個!A:A,0)),"")</f>
        <v/>
      </c>
      <c r="G5128" s="7" t="s">
        <v>5494</v>
      </c>
    </row>
    <row r="5129" customFormat="false" ht="15" hidden="false" customHeight="false" outlineLevel="0" collapsed="false">
      <c r="A5129" s="7" t="s">
        <v>6037</v>
      </c>
      <c r="B5129" s="7" t="n">
        <v>7376.7</v>
      </c>
      <c r="C5129" s="7" t="n">
        <f aca="false">AVERAGE(B5080:B5129)</f>
        <v>7536.563</v>
      </c>
      <c r="D5129" s="7" t="n">
        <f aca="false">AVERAGE(B4930:B5129)</f>
        <v>7157.0099</v>
      </c>
      <c r="E5129" s="7" t="n">
        <f aca="false">B5129/MAX(B4878:B5129)-1</f>
        <v>-0.0597815627099071</v>
      </c>
      <c r="F5129" s="7" t="str">
        <f aca="false">IFERROR(INDEX(02_轉折點45個!B:B,MATCH(A5129,02_轉折點45個!A:A,0)),"")</f>
        <v/>
      </c>
      <c r="G5129" s="7" t="s">
        <v>5494</v>
      </c>
    </row>
    <row r="5130" customFormat="false" ht="15" hidden="false" customHeight="false" outlineLevel="0" collapsed="false">
      <c r="A5130" s="7" t="s">
        <v>6038</v>
      </c>
      <c r="B5130" s="7" t="n">
        <v>7451.02</v>
      </c>
      <c r="C5130" s="7" t="n">
        <f aca="false">AVERAGE(B5081:B5130)</f>
        <v>7542.303</v>
      </c>
      <c r="D5130" s="7" t="n">
        <f aca="false">AVERAGE(B4931:B5130)</f>
        <v>7157.40425</v>
      </c>
      <c r="E5130" s="7" t="n">
        <f aca="false">B5130/MAX(B4879:B5130)-1</f>
        <v>-0.0503088941373204</v>
      </c>
      <c r="F5130" s="7" t="str">
        <f aca="false">IFERROR(INDEX(02_轉折點45個!B:B,MATCH(A5130,02_轉折點45個!A:A,0)),"")</f>
        <v/>
      </c>
      <c r="G5130" s="7" t="s">
        <v>5494</v>
      </c>
    </row>
    <row r="5131" customFormat="false" ht="15" hidden="false" customHeight="false" outlineLevel="0" collapsed="false">
      <c r="A5131" s="7" t="s">
        <v>6039</v>
      </c>
      <c r="B5131" s="7" t="n">
        <v>7420.66</v>
      </c>
      <c r="C5131" s="7" t="n">
        <f aca="false">AVERAGE(B5082:B5131)</f>
        <v>7546.6906</v>
      </c>
      <c r="D5131" s="7" t="n">
        <f aca="false">AVERAGE(B4932:B5131)</f>
        <v>7157.5301</v>
      </c>
      <c r="E5131" s="7" t="n">
        <f aca="false">B5131/MAX(B4880:B5131)-1</f>
        <v>-0.0541785149374245</v>
      </c>
      <c r="F5131" s="7" t="str">
        <f aca="false">IFERROR(INDEX(02_轉折點45個!B:B,MATCH(A5131,02_轉折點45個!A:A,0)),"")</f>
        <v/>
      </c>
      <c r="G5131" s="7" t="s">
        <v>5494</v>
      </c>
    </row>
    <row r="5132" customFormat="false" ht="15" hidden="false" customHeight="false" outlineLevel="0" collapsed="false">
      <c r="A5132" s="7" t="s">
        <v>1440</v>
      </c>
      <c r="B5132" s="7" t="n">
        <v>7307.93</v>
      </c>
      <c r="C5132" s="7" t="n">
        <f aca="false">AVERAGE(B5083:B5132)</f>
        <v>7547.7096</v>
      </c>
      <c r="D5132" s="7" t="n">
        <f aca="false">AVERAGE(B4933:B5132)</f>
        <v>7156.8748</v>
      </c>
      <c r="E5132" s="7" t="n">
        <f aca="false">B5132/MAX(B4881:B5132)-1</f>
        <v>-0.0685468401283245</v>
      </c>
      <c r="F5132" s="7" t="str">
        <f aca="false">IFERROR(INDEX(02_轉折點45個!B:B,MATCH(A5132,02_轉折點45個!A:A,0)),"")</f>
        <v/>
      </c>
      <c r="G5132" s="7" t="s">
        <v>5494</v>
      </c>
    </row>
    <row r="5133" customFormat="false" ht="15" hidden="false" customHeight="false" outlineLevel="0" collapsed="false">
      <c r="A5133" s="7" t="s">
        <v>6040</v>
      </c>
      <c r="B5133" s="7" t="n">
        <v>7300.96</v>
      </c>
      <c r="C5133" s="7" t="n">
        <f aca="false">AVERAGE(B5084:B5133)</f>
        <v>7548.8686</v>
      </c>
      <c r="D5133" s="7" t="n">
        <f aca="false">AVERAGE(B4934:B5133)</f>
        <v>7156.06635</v>
      </c>
      <c r="E5133" s="7" t="n">
        <f aca="false">B5133/MAX(B4882:B5133)-1</f>
        <v>-0.0694352214516686</v>
      </c>
      <c r="F5133" s="7" t="str">
        <f aca="false">IFERROR(INDEX(02_轉折點45個!B:B,MATCH(A5133,02_轉折點45個!A:A,0)),"")</f>
        <v/>
      </c>
      <c r="G5133" s="7" t="s">
        <v>5494</v>
      </c>
    </row>
    <row r="5134" customFormat="false" ht="15" hidden="false" customHeight="false" outlineLevel="0" collapsed="false">
      <c r="A5134" s="7" t="s">
        <v>6041</v>
      </c>
      <c r="B5134" s="7" t="n">
        <v>7278.38</v>
      </c>
      <c r="C5134" s="7" t="n">
        <f aca="false">AVERAGE(B5085:B5134)</f>
        <v>7548.2964</v>
      </c>
      <c r="D5134" s="7" t="n">
        <f aca="false">AVERAGE(B4935:B5134)</f>
        <v>7155.1105</v>
      </c>
      <c r="E5134" s="7" t="n">
        <f aca="false">B5134/MAX(B4883:B5134)-1</f>
        <v>-0.0723132200572795</v>
      </c>
      <c r="F5134" s="7" t="str">
        <f aca="false">IFERROR(INDEX(02_轉折點45個!B:B,MATCH(A5134,02_轉折點45個!A:A,0)),"")</f>
        <v/>
      </c>
      <c r="G5134" s="7" t="s">
        <v>5494</v>
      </c>
    </row>
    <row r="5135" customFormat="false" ht="15" hidden="false" customHeight="false" outlineLevel="0" collapsed="false">
      <c r="A5135" s="7" t="s">
        <v>6042</v>
      </c>
      <c r="B5135" s="7" t="n">
        <v>7216.86</v>
      </c>
      <c r="C5135" s="7" t="n">
        <f aca="false">AVERAGE(B5086:B5135)</f>
        <v>7546.108</v>
      </c>
      <c r="D5135" s="7" t="n">
        <f aca="false">AVERAGE(B4936:B5135)</f>
        <v>7153.86</v>
      </c>
      <c r="E5135" s="7" t="n">
        <f aca="false">B5135/MAX(B4884:B5135)-1</f>
        <v>-0.0801544279499804</v>
      </c>
      <c r="F5135" s="7" t="str">
        <f aca="false">IFERROR(INDEX(02_轉折點45個!B:B,MATCH(A5135,02_轉折點45個!A:A,0)),"")</f>
        <v/>
      </c>
      <c r="G5135" s="7" t="s">
        <v>5494</v>
      </c>
    </row>
    <row r="5136" customFormat="false" ht="15" hidden="false" customHeight="false" outlineLevel="0" collapsed="false">
      <c r="A5136" s="7" t="s">
        <v>1441</v>
      </c>
      <c r="B5136" s="7" t="n">
        <v>7245.4</v>
      </c>
      <c r="C5136" s="7" t="n">
        <f aca="false">AVERAGE(B5087:B5136)</f>
        <v>7544.0304</v>
      </c>
      <c r="D5136" s="7" t="n">
        <f aca="false">AVERAGE(B4937:B5136)</f>
        <v>7153.0455</v>
      </c>
      <c r="E5136" s="7" t="n">
        <f aca="false">B5136/MAX(B4885:B5136)-1</f>
        <v>-0.0765167804652976</v>
      </c>
      <c r="F5136" s="7" t="str">
        <f aca="false">IFERROR(INDEX(02_轉折點45個!B:B,MATCH(A5136,02_轉折點45個!A:A,0)),"")</f>
        <v/>
      </c>
      <c r="G5136" s="7" t="s">
        <v>5494</v>
      </c>
    </row>
    <row r="5137" customFormat="false" ht="15" hidden="false" customHeight="false" outlineLevel="0" collapsed="false">
      <c r="A5137" s="7" t="s">
        <v>1442</v>
      </c>
      <c r="B5137" s="7" t="n">
        <v>7127.96</v>
      </c>
      <c r="C5137" s="7" t="n">
        <f aca="false">AVERAGE(B5088:B5137)</f>
        <v>7538.9746</v>
      </c>
      <c r="D5137" s="7" t="n">
        <f aca="false">AVERAGE(B4938:B5137)</f>
        <v>7151.67945</v>
      </c>
      <c r="E5137" s="7" t="n">
        <f aca="false">B5137/MAX(B4886:B5137)-1</f>
        <v>-0.0914854322032493</v>
      </c>
      <c r="F5137" s="7" t="str">
        <f aca="false">IFERROR(INDEX(02_轉折點45個!B:B,MATCH(A5137,02_轉折點45個!A:A,0)),"")</f>
        <v/>
      </c>
      <c r="G5137" s="7" t="s">
        <v>5494</v>
      </c>
    </row>
    <row r="5138" customFormat="false" ht="15" hidden="false" customHeight="false" outlineLevel="0" collapsed="false">
      <c r="A5138" s="7" t="s">
        <v>6043</v>
      </c>
      <c r="B5138" s="7" t="n">
        <v>6978.02</v>
      </c>
      <c r="C5138" s="7" t="n">
        <f aca="false">AVERAGE(B5089:B5138)</f>
        <v>7528.6696</v>
      </c>
      <c r="D5138" s="7" t="n">
        <f aca="false">AVERAGE(B4939:B5138)</f>
        <v>7149.3337</v>
      </c>
      <c r="E5138" s="7" t="n">
        <f aca="false">B5138/MAX(B4887:B5138)-1</f>
        <v>-0.110596464573723</v>
      </c>
      <c r="F5138" s="7" t="str">
        <f aca="false">IFERROR(INDEX(02_轉折點45個!B:B,MATCH(A5138,02_轉折點45個!A:A,0)),"")</f>
        <v/>
      </c>
      <c r="G5138" s="7" t="s">
        <v>5494</v>
      </c>
    </row>
    <row r="5139" customFormat="false" ht="15" hidden="false" customHeight="false" outlineLevel="0" collapsed="false">
      <c r="A5139" s="7" t="s">
        <v>1443</v>
      </c>
      <c r="B5139" s="7" t="n">
        <v>7166.75</v>
      </c>
      <c r="C5139" s="7" t="n">
        <f aca="false">AVERAGE(B5090:B5139)</f>
        <v>7525.4834</v>
      </c>
      <c r="D5139" s="7" t="n">
        <f aca="false">AVERAGE(B4940:B5139)</f>
        <v>7148.39415</v>
      </c>
      <c r="E5139" s="7" t="n">
        <f aca="false">B5139/MAX(B4888:B5139)-1</f>
        <v>-0.0865413415960018</v>
      </c>
      <c r="F5139" s="7" t="str">
        <f aca="false">IFERROR(INDEX(02_轉折點45個!B:B,MATCH(A5139,02_轉折點45個!A:A,0)),"")</f>
        <v/>
      </c>
      <c r="G5139" s="7" t="s">
        <v>5494</v>
      </c>
    </row>
    <row r="5140" customFormat="false" ht="15" hidden="false" customHeight="false" outlineLevel="0" collapsed="false">
      <c r="A5140" s="7" t="s">
        <v>1444</v>
      </c>
      <c r="B5140" s="7" t="n">
        <v>7220.9</v>
      </c>
      <c r="C5140" s="7" t="n">
        <f aca="false">AVERAGE(B5091:B5140)</f>
        <v>7523.5622</v>
      </c>
      <c r="D5140" s="7" t="n">
        <f aca="false">AVERAGE(B4941:B5140)</f>
        <v>7147.6272</v>
      </c>
      <c r="E5140" s="7" t="n">
        <f aca="false">B5140/MAX(B4889:B5140)-1</f>
        <v>-0.0796394981728915</v>
      </c>
      <c r="F5140" s="7" t="str">
        <f aca="false">IFERROR(INDEX(02_轉折點45個!B:B,MATCH(A5140,02_轉折點45個!A:A,0)),"")</f>
        <v/>
      </c>
      <c r="G5140" s="7" t="s">
        <v>5494</v>
      </c>
    </row>
    <row r="5141" customFormat="false" ht="15" hidden="false" customHeight="false" outlineLevel="0" collapsed="false">
      <c r="A5141" s="7" t="s">
        <v>6044</v>
      </c>
      <c r="B5141" s="7" t="n">
        <v>7275.93</v>
      </c>
      <c r="C5141" s="7" t="n">
        <f aca="false">AVERAGE(B5092:B5141)</f>
        <v>7522.0578</v>
      </c>
      <c r="D5141" s="7" t="n">
        <f aca="false">AVERAGE(B4942:B5141)</f>
        <v>7147.11915</v>
      </c>
      <c r="E5141" s="7" t="n">
        <f aca="false">B5141/MAX(B4890:B5141)-1</f>
        <v>-0.0726254918280389</v>
      </c>
      <c r="F5141" s="7" t="str">
        <f aca="false">IFERROR(INDEX(02_轉折點45個!B:B,MATCH(A5141,02_轉折點45個!A:A,0)),"")</f>
        <v/>
      </c>
      <c r="G5141" s="7" t="s">
        <v>5494</v>
      </c>
    </row>
    <row r="5142" customFormat="false" ht="15" hidden="false" customHeight="false" outlineLevel="0" collapsed="false">
      <c r="A5142" s="7" t="s">
        <v>6045</v>
      </c>
      <c r="B5142" s="7" t="n">
        <v>7417.29</v>
      </c>
      <c r="C5142" s="7" t="n">
        <f aca="false">AVERAGE(B5093:B5142)</f>
        <v>7524.2398</v>
      </c>
      <c r="D5142" s="7" t="n">
        <f aca="false">AVERAGE(B4943:B5142)</f>
        <v>7147.3485</v>
      </c>
      <c r="E5142" s="7" t="n">
        <f aca="false">B5142/MAX(B4891:B5142)-1</f>
        <v>-0.0546080479445507</v>
      </c>
      <c r="F5142" s="7" t="str">
        <f aca="false">IFERROR(INDEX(02_轉折點45個!B:B,MATCH(A5142,02_轉折點45個!A:A,0)),"")</f>
        <v/>
      </c>
      <c r="G5142" s="7" t="s">
        <v>5494</v>
      </c>
    </row>
    <row r="5143" customFormat="false" ht="15" hidden="false" customHeight="false" outlineLevel="0" collapsed="false">
      <c r="A5143" s="7" t="s">
        <v>1445</v>
      </c>
      <c r="B5143" s="7" t="n">
        <v>7501.93</v>
      </c>
      <c r="C5143" s="7" t="n">
        <f aca="false">AVERAGE(B5094:B5143)</f>
        <v>7527.869</v>
      </c>
      <c r="D5143" s="7" t="n">
        <f aca="false">AVERAGE(B4944:B5143)</f>
        <v>7147.872</v>
      </c>
      <c r="E5143" s="7" t="n">
        <f aca="false">B5143/MAX(B4892:B5143)-1</f>
        <v>-0.0438200141988061</v>
      </c>
      <c r="F5143" s="7" t="str">
        <f aca="false">IFERROR(INDEX(02_轉折點45個!B:B,MATCH(A5143,02_轉折點45個!A:A,0)),"")</f>
        <v/>
      </c>
      <c r="G5143" s="7" t="s">
        <v>5494</v>
      </c>
    </row>
    <row r="5144" customFormat="false" ht="15" hidden="false" customHeight="false" outlineLevel="0" collapsed="false">
      <c r="A5144" s="7" t="s">
        <v>6046</v>
      </c>
      <c r="B5144" s="7" t="n">
        <v>7513.85</v>
      </c>
      <c r="C5144" s="7" t="n">
        <f aca="false">AVERAGE(B5095:B5144)</f>
        <v>7530.5706</v>
      </c>
      <c r="D5144" s="7" t="n">
        <f aca="false">AVERAGE(B4945:B5144)</f>
        <v>7148.31825</v>
      </c>
      <c r="E5144" s="7" t="n">
        <f aca="false">B5144/MAX(B4893:B5144)-1</f>
        <v>-0.0423007164406626</v>
      </c>
      <c r="F5144" s="7" t="str">
        <f aca="false">IFERROR(INDEX(02_轉折點45個!B:B,MATCH(A5144,02_轉折點45個!A:A,0)),"")</f>
        <v/>
      </c>
      <c r="G5144" s="7" t="s">
        <v>5494</v>
      </c>
    </row>
    <row r="5145" customFormat="false" ht="15" hidden="false" customHeight="false" outlineLevel="0" collapsed="false">
      <c r="A5145" s="7" t="s">
        <v>6047</v>
      </c>
      <c r="B5145" s="7" t="n">
        <v>7472.29</v>
      </c>
      <c r="C5145" s="7" t="n">
        <f aca="false">AVERAGE(B5096:B5145)</f>
        <v>7530.448</v>
      </c>
      <c r="D5145" s="7" t="n">
        <f aca="false">AVERAGE(B4946:B5145)</f>
        <v>7148.6105</v>
      </c>
      <c r="E5145" s="7" t="n">
        <f aca="false">B5145/MAX(B4894:B5145)-1</f>
        <v>-0.0475978653356666</v>
      </c>
      <c r="F5145" s="7" t="str">
        <f aca="false">IFERROR(INDEX(02_轉折點45個!B:B,MATCH(A5145,02_轉折點45個!A:A,0)),"")</f>
        <v/>
      </c>
      <c r="G5145" s="7" t="s">
        <v>5494</v>
      </c>
    </row>
    <row r="5146" customFormat="false" ht="15" hidden="false" customHeight="false" outlineLevel="0" collapsed="false">
      <c r="A5146" s="7" t="s">
        <v>6048</v>
      </c>
      <c r="B5146" s="7" t="n">
        <v>7510.68</v>
      </c>
      <c r="C5146" s="7" t="n">
        <f aca="false">AVERAGE(B5097:B5146)</f>
        <v>7530.6688</v>
      </c>
      <c r="D5146" s="7" t="n">
        <f aca="false">AVERAGE(B4947:B5146)</f>
        <v>7148.7369</v>
      </c>
      <c r="E5146" s="7" t="n">
        <f aca="false">B5146/MAX(B4895:B5146)-1</f>
        <v>-0.0427047578746655</v>
      </c>
      <c r="F5146" s="7" t="str">
        <f aca="false">IFERROR(INDEX(02_轉折點45個!B:B,MATCH(A5146,02_轉折點45個!A:A,0)),"")</f>
        <v/>
      </c>
      <c r="G5146" s="7" t="s">
        <v>5494</v>
      </c>
    </row>
    <row r="5147" customFormat="false" ht="15" hidden="false" customHeight="false" outlineLevel="0" collapsed="false">
      <c r="A5147" s="7" t="s">
        <v>6049</v>
      </c>
      <c r="B5147" s="7" t="n">
        <v>7479.11</v>
      </c>
      <c r="C5147" s="7" t="n">
        <f aca="false">AVERAGE(B5098:B5147)</f>
        <v>7529.3516</v>
      </c>
      <c r="D5147" s="7" t="n">
        <f aca="false">AVERAGE(B4948:B5147)</f>
        <v>7148.3368</v>
      </c>
      <c r="E5147" s="7" t="n">
        <f aca="false">B5147/MAX(B4896:B5147)-1</f>
        <v>-0.0467286026921651</v>
      </c>
      <c r="F5147" s="7" t="str">
        <f aca="false">IFERROR(INDEX(02_轉折點45個!B:B,MATCH(A5147,02_轉折點45個!A:A,0)),"")</f>
        <v/>
      </c>
      <c r="G5147" s="7" t="s">
        <v>5494</v>
      </c>
    </row>
    <row r="5148" customFormat="false" ht="15" hidden="false" customHeight="false" outlineLevel="0" collapsed="false">
      <c r="A5148" s="7" t="s">
        <v>6050</v>
      </c>
      <c r="B5148" s="7" t="n">
        <v>7526.52</v>
      </c>
      <c r="C5148" s="7" t="n">
        <f aca="false">AVERAGE(B5099:B5148)</f>
        <v>7529.0706</v>
      </c>
      <c r="D5148" s="7" t="n">
        <f aca="false">AVERAGE(B4949:B5148)</f>
        <v>7148.11815</v>
      </c>
      <c r="E5148" s="7" t="n">
        <f aca="false">B5148/MAX(B4897:B5148)-1</f>
        <v>-0.0406858252833069</v>
      </c>
      <c r="F5148" s="7" t="str">
        <f aca="false">IFERROR(INDEX(02_轉折點45個!B:B,MATCH(A5148,02_轉折點45個!A:A,0)),"")</f>
        <v/>
      </c>
      <c r="G5148" s="7" t="s">
        <v>5494</v>
      </c>
    </row>
    <row r="5149" customFormat="false" ht="15" hidden="false" customHeight="false" outlineLevel="0" collapsed="false">
      <c r="A5149" s="7" t="s">
        <v>6051</v>
      </c>
      <c r="B5149" s="7" t="n">
        <v>7635.4</v>
      </c>
      <c r="C5149" s="7" t="n">
        <f aca="false">AVERAGE(B5100:B5149)</f>
        <v>7530.2018</v>
      </c>
      <c r="D5149" s="7" t="n">
        <f aca="false">AVERAGE(B4950:B5149)</f>
        <v>7147.99425</v>
      </c>
      <c r="E5149" s="7" t="n">
        <f aca="false">B5149/MAX(B4898:B5149)-1</f>
        <v>-0.0268082128750289</v>
      </c>
      <c r="F5149" s="7" t="str">
        <f aca="false">IFERROR(INDEX(02_轉折點45個!B:B,MATCH(A5149,02_轉折點45個!A:A,0)),"")</f>
        <v/>
      </c>
      <c r="G5149" s="7" t="s">
        <v>5494</v>
      </c>
    </row>
    <row r="5150" customFormat="false" ht="15" hidden="false" customHeight="false" outlineLevel="0" collapsed="false">
      <c r="A5150" s="7" t="s">
        <v>6052</v>
      </c>
      <c r="B5150" s="7" t="n">
        <v>7667.74</v>
      </c>
      <c r="C5150" s="7" t="n">
        <f aca="false">AVERAGE(B5101:B5150)</f>
        <v>7531.5618</v>
      </c>
      <c r="D5150" s="7" t="n">
        <f aca="false">AVERAGE(B4951:B5150)</f>
        <v>7148.1196</v>
      </c>
      <c r="E5150" s="7" t="n">
        <f aca="false">B5150/MAX(B4899:B5150)-1</f>
        <v>-0.022686225501005</v>
      </c>
      <c r="F5150" s="7" t="str">
        <f aca="false">IFERROR(INDEX(02_轉折點45個!B:B,MATCH(A5150,02_轉折點45個!A:A,0)),"")</f>
        <v/>
      </c>
      <c r="G5150" s="7" t="s">
        <v>5494</v>
      </c>
    </row>
    <row r="5151" customFormat="false" ht="15" hidden="false" customHeight="false" outlineLevel="0" collapsed="false">
      <c r="A5151" s="7" t="s">
        <v>6053</v>
      </c>
      <c r="B5151" s="7" t="n">
        <v>7738.05</v>
      </c>
      <c r="C5151" s="7" t="n">
        <f aca="false">AVERAGE(B5102:B5151)</f>
        <v>7534.953</v>
      </c>
      <c r="D5151" s="7" t="n">
        <f aca="false">AVERAGE(B4952:B5151)</f>
        <v>7148.5371</v>
      </c>
      <c r="E5151" s="7" t="n">
        <f aca="false">B5151/MAX(B4900:B5151)-1</f>
        <v>-0.0137246629695388</v>
      </c>
      <c r="F5151" s="7" t="str">
        <f aca="false">IFERROR(INDEX(02_轉折點45個!B:B,MATCH(A5151,02_轉折點45個!A:A,0)),"")</f>
        <v/>
      </c>
      <c r="G5151" s="7" t="s">
        <v>5494</v>
      </c>
    </row>
    <row r="5152" customFormat="false" ht="15" hidden="false" customHeight="false" outlineLevel="0" collapsed="false">
      <c r="A5152" s="7" t="s">
        <v>6054</v>
      </c>
      <c r="B5152" s="7" t="n">
        <v>7728.78</v>
      </c>
      <c r="C5152" s="7" t="n">
        <f aca="false">AVERAGE(B5103:B5152)</f>
        <v>7537.2988</v>
      </c>
      <c r="D5152" s="7" t="n">
        <f aca="false">AVERAGE(B4953:B5152)</f>
        <v>7149.0694</v>
      </c>
      <c r="E5152" s="7" t="n">
        <f aca="false">B5152/MAX(B4901:B5152)-1</f>
        <v>-0.0149061973837998</v>
      </c>
      <c r="F5152" s="7" t="str">
        <f aca="false">IFERROR(INDEX(02_轉折點45個!B:B,MATCH(A5152,02_轉折點45個!A:A,0)),"")</f>
        <v/>
      </c>
      <c r="G5152" s="7" t="s">
        <v>5494</v>
      </c>
    </row>
    <row r="5153" customFormat="false" ht="15" hidden="false" customHeight="false" outlineLevel="0" collapsed="false">
      <c r="A5153" s="7" t="s">
        <v>6055</v>
      </c>
      <c r="B5153" s="7" t="n">
        <v>7723.02</v>
      </c>
      <c r="C5153" s="7" t="n">
        <f aca="false">AVERAGE(B5104:B5153)</f>
        <v>7539.8614</v>
      </c>
      <c r="D5153" s="7" t="n">
        <f aca="false">AVERAGE(B4954:B5153)</f>
        <v>7150.0682</v>
      </c>
      <c r="E5153" s="7" t="n">
        <f aca="false">B5153/MAX(B4902:B5153)-1</f>
        <v>-0.0156403546897483</v>
      </c>
      <c r="F5153" s="7" t="str">
        <f aca="false">IFERROR(INDEX(02_轉折點45個!B:B,MATCH(A5153,02_轉折點45個!A:A,0)),"")</f>
        <v/>
      </c>
      <c r="G5153" s="7" t="s">
        <v>5494</v>
      </c>
    </row>
    <row r="5154" customFormat="false" ht="15" hidden="false" customHeight="false" outlineLevel="0" collapsed="false">
      <c r="A5154" s="7" t="s">
        <v>1446</v>
      </c>
      <c r="B5154" s="7" t="n">
        <v>7591.54</v>
      </c>
      <c r="C5154" s="7" t="n">
        <f aca="false">AVERAGE(B5105:B5154)</f>
        <v>7539.1292</v>
      </c>
      <c r="D5154" s="7" t="n">
        <f aca="false">AVERAGE(B4955:B5154)</f>
        <v>7150.76005</v>
      </c>
      <c r="E5154" s="7" t="n">
        <f aca="false">B5154/MAX(B4903:B5154)-1</f>
        <v>-0.0323985148609498</v>
      </c>
      <c r="F5154" s="7" t="str">
        <f aca="false">IFERROR(INDEX(02_轉折點45個!B:B,MATCH(A5154,02_轉折點45個!A:A,0)),"")</f>
        <v/>
      </c>
      <c r="G5154" s="7" t="s">
        <v>5494</v>
      </c>
    </row>
    <row r="5155" customFormat="false" ht="15" hidden="false" customHeight="false" outlineLevel="0" collapsed="false">
      <c r="A5155" s="7" t="s">
        <v>6056</v>
      </c>
      <c r="B5155" s="7" t="n">
        <v>7627.05</v>
      </c>
      <c r="C5155" s="7" t="n">
        <f aca="false">AVERAGE(B5106:B5155)</f>
        <v>7539.0878</v>
      </c>
      <c r="D5155" s="7" t="n">
        <f aca="false">AVERAGE(B4956:B5155)</f>
        <v>7151.744</v>
      </c>
      <c r="E5155" s="7" t="n">
        <f aca="false">B5155/MAX(B4904:B5155)-1</f>
        <v>-0.027872486052923</v>
      </c>
      <c r="F5155" s="7" t="str">
        <f aca="false">IFERROR(INDEX(02_轉折點45個!B:B,MATCH(A5155,02_轉折點45個!A:A,0)),"")</f>
        <v/>
      </c>
      <c r="G5155" s="7" t="s">
        <v>5494</v>
      </c>
    </row>
    <row r="5156" customFormat="false" ht="15" hidden="false" customHeight="false" outlineLevel="0" collapsed="false">
      <c r="A5156" s="7" t="s">
        <v>6057</v>
      </c>
      <c r="B5156" s="7" t="n">
        <v>7657.05</v>
      </c>
      <c r="C5156" s="7" t="n">
        <f aca="false">AVERAGE(B5107:B5156)</f>
        <v>7539.1342</v>
      </c>
      <c r="D5156" s="7" t="n">
        <f aca="false">AVERAGE(B4957:B5156)</f>
        <v>7152.79085</v>
      </c>
      <c r="E5156" s="7" t="n">
        <f aca="false">B5156/MAX(B4905:B5156)-1</f>
        <v>-0.0240487500844407</v>
      </c>
      <c r="F5156" s="7" t="str">
        <f aca="false">IFERROR(INDEX(02_轉折點45個!B:B,MATCH(A5156,02_轉折點45個!A:A,0)),"")</f>
        <v/>
      </c>
      <c r="G5156" s="7" t="s">
        <v>5494</v>
      </c>
    </row>
    <row r="5157" customFormat="false" ht="15" hidden="false" customHeight="false" outlineLevel="0" collapsed="false">
      <c r="A5157" s="7" t="s">
        <v>1447</v>
      </c>
      <c r="B5157" s="7" t="n">
        <v>7671.08</v>
      </c>
      <c r="C5157" s="7" t="n">
        <f aca="false">AVERAGE(B5108:B5157)</f>
        <v>7538.9414</v>
      </c>
      <c r="D5157" s="7" t="n">
        <f aca="false">AVERAGE(B4958:B5157)</f>
        <v>7153.6069</v>
      </c>
      <c r="E5157" s="7" t="n">
        <f aca="false">B5157/MAX(B4906:B5157)-1</f>
        <v>-0.0222605162298473</v>
      </c>
      <c r="F5157" s="7" t="str">
        <f aca="false">IFERROR(INDEX(02_轉折點45個!B:B,MATCH(A5157,02_轉折點45個!A:A,0)),"")</f>
        <v/>
      </c>
      <c r="G5157" s="7" t="s">
        <v>5494</v>
      </c>
    </row>
    <row r="5158" customFormat="false" ht="15" hidden="false" customHeight="false" outlineLevel="0" collapsed="false">
      <c r="A5158" s="7" t="s">
        <v>6058</v>
      </c>
      <c r="B5158" s="7" t="n">
        <v>7768.14</v>
      </c>
      <c r="C5158" s="7" t="n">
        <f aca="false">AVERAGE(B5109:B5158)</f>
        <v>7540.5098</v>
      </c>
      <c r="D5158" s="7" t="n">
        <f aca="false">AVERAGE(B4959:B5158)</f>
        <v>7155.0073</v>
      </c>
      <c r="E5158" s="7" t="n">
        <f aca="false">B5158/MAX(B4907:B5158)-1</f>
        <v>-0.00988945579315104</v>
      </c>
      <c r="F5158" s="7" t="str">
        <f aca="false">IFERROR(INDEX(02_轉折點45個!B:B,MATCH(A5158,02_轉折點45個!A:A,0)),"")</f>
        <v/>
      </c>
      <c r="G5158" s="7" t="s">
        <v>5494</v>
      </c>
    </row>
    <row r="5159" customFormat="false" ht="15" hidden="false" customHeight="false" outlineLevel="0" collapsed="false">
      <c r="A5159" s="7" t="s">
        <v>1449</v>
      </c>
      <c r="B5159" s="7" t="n">
        <v>7799.82</v>
      </c>
      <c r="C5159" s="7" t="n">
        <f aca="false">AVERAGE(B5110:B5159)</f>
        <v>7542.2364</v>
      </c>
      <c r="D5159" s="7" t="n">
        <f aca="false">AVERAGE(B4960:B5159)</f>
        <v>7156.19795</v>
      </c>
      <c r="E5159" s="7" t="n">
        <f aca="false">B5159/MAX(B4908:B5159)-1</f>
        <v>-0.00585159061043394</v>
      </c>
      <c r="F5159" s="7" t="str">
        <f aca="false">IFERROR(INDEX(02_轉折點45個!B:B,MATCH(A5159,02_轉折點45個!A:A,0)),"")</f>
        <v/>
      </c>
      <c r="G5159" s="7" t="s">
        <v>5494</v>
      </c>
    </row>
    <row r="5160" customFormat="false" ht="15" hidden="false" customHeight="false" outlineLevel="0" collapsed="false">
      <c r="A5160" s="7" t="s">
        <v>1450</v>
      </c>
      <c r="B5160" s="7" t="n">
        <v>7857.69</v>
      </c>
      <c r="C5160" s="7" t="n">
        <f aca="false">AVERAGE(B5111:B5160)</f>
        <v>7543.176</v>
      </c>
      <c r="D5160" s="7" t="n">
        <f aca="false">AVERAGE(B4961:B5160)</f>
        <v>7157.7589</v>
      </c>
      <c r="E5160" s="7" t="n">
        <f aca="false">B5160/MAX(B4909:B5160)-1</f>
        <v>0</v>
      </c>
      <c r="F5160" s="7" t="str">
        <f aca="false">IFERROR(INDEX(02_轉折點45個!B:B,MATCH(A5160,02_轉折點45個!A:A,0)),"")</f>
        <v/>
      </c>
      <c r="G5160" s="7" t="s">
        <v>5494</v>
      </c>
    </row>
    <row r="5161" customFormat="false" ht="15" hidden="false" customHeight="false" outlineLevel="0" collapsed="false">
      <c r="A5161" s="7" t="s">
        <v>6059</v>
      </c>
      <c r="B5161" s="7" t="n">
        <v>7841.3</v>
      </c>
      <c r="C5161" s="7" t="n">
        <f aca="false">AVERAGE(B5112:B5161)</f>
        <v>7544.3138</v>
      </c>
      <c r="D5161" s="7" t="n">
        <f aca="false">AVERAGE(B4962:B5161)</f>
        <v>7159.79175</v>
      </c>
      <c r="E5161" s="7" t="n">
        <f aca="false">B5161/MAX(B4910:B5161)-1</f>
        <v>-0.00208585474866019</v>
      </c>
      <c r="F5161" s="7" t="str">
        <f aca="false">IFERROR(INDEX(02_轉折點45個!B:B,MATCH(A5161,02_轉折點45個!A:A,0)),"")</f>
        <v/>
      </c>
      <c r="G5161" s="7" t="s">
        <v>5494</v>
      </c>
    </row>
    <row r="5162" customFormat="false" ht="15" hidden="false" customHeight="false" outlineLevel="0" collapsed="false">
      <c r="A5162" s="7" t="s">
        <v>6060</v>
      </c>
      <c r="B5162" s="7" t="n">
        <v>7785.79</v>
      </c>
      <c r="C5162" s="7" t="n">
        <f aca="false">AVERAGE(B5113:B5162)</f>
        <v>7543.6912</v>
      </c>
      <c r="D5162" s="7" t="n">
        <f aca="false">AVERAGE(B4963:B5162)</f>
        <v>7161.2487</v>
      </c>
      <c r="E5162" s="7" t="n">
        <f aca="false">B5162/MAX(B4911:B5162)-1</f>
        <v>-0.00915027189924766</v>
      </c>
      <c r="F5162" s="7" t="str">
        <f aca="false">IFERROR(INDEX(02_轉折點45個!B:B,MATCH(A5162,02_轉折點45個!A:A,0)),"")</f>
        <v/>
      </c>
      <c r="G5162" s="7" t="s">
        <v>5494</v>
      </c>
    </row>
    <row r="5163" customFormat="false" ht="15" hidden="false" customHeight="false" outlineLevel="0" collapsed="false">
      <c r="A5163" s="7" t="s">
        <v>6061</v>
      </c>
      <c r="B5163" s="7" t="n">
        <v>7826.86</v>
      </c>
      <c r="C5163" s="7" t="n">
        <f aca="false">AVERAGE(B5114:B5163)</f>
        <v>7543.6948</v>
      </c>
      <c r="D5163" s="7" t="n">
        <f aca="false">AVERAGE(B4964:B5163)</f>
        <v>7162.9314</v>
      </c>
      <c r="E5163" s="7" t="n">
        <f aca="false">B5163/MAX(B4912:B5163)-1</f>
        <v>-0.00392354496041458</v>
      </c>
      <c r="F5163" s="7" t="str">
        <f aca="false">IFERROR(INDEX(02_轉折點45個!B:B,MATCH(A5163,02_轉折點45個!A:A,0)),"")</f>
        <v/>
      </c>
      <c r="G5163" s="7" t="s">
        <v>5494</v>
      </c>
    </row>
    <row r="5164" customFormat="false" ht="15" hidden="false" customHeight="false" outlineLevel="0" collapsed="false">
      <c r="A5164" s="7" t="s">
        <v>1451</v>
      </c>
      <c r="B5164" s="7" t="n">
        <v>7903.4</v>
      </c>
      <c r="C5164" s="7" t="n">
        <f aca="false">AVERAGE(B5115:B5164)</f>
        <v>7544.982</v>
      </c>
      <c r="D5164" s="7" t="n">
        <f aca="false">AVERAGE(B4965:B5164)</f>
        <v>7164.60325</v>
      </c>
      <c r="E5164" s="7" t="n">
        <f aca="false">B5164/MAX(B4913:B5164)-1</f>
        <v>0</v>
      </c>
      <c r="F5164" s="7" t="str">
        <f aca="false">IFERROR(INDEX(02_轉折點45個!B:B,MATCH(A5164,02_轉折點45個!A:A,0)),"")</f>
        <v/>
      </c>
      <c r="G5164" s="7" t="s">
        <v>5494</v>
      </c>
    </row>
    <row r="5165" customFormat="false" ht="15" hidden="false" customHeight="false" outlineLevel="0" collapsed="false">
      <c r="A5165" s="7" t="s">
        <v>6062</v>
      </c>
      <c r="B5165" s="7" t="n">
        <v>7896.78</v>
      </c>
      <c r="C5165" s="7" t="n">
        <f aca="false">AVERAGE(B5116:B5165)</f>
        <v>7547.2884</v>
      </c>
      <c r="D5165" s="7" t="n">
        <f aca="false">AVERAGE(B4966:B5165)</f>
        <v>7166.4318</v>
      </c>
      <c r="E5165" s="7" t="n">
        <f aca="false">B5165/MAX(B4914:B5165)-1</f>
        <v>-0.000837614191360636</v>
      </c>
      <c r="F5165" s="7" t="str">
        <f aca="false">IFERROR(INDEX(02_轉折點45個!B:B,MATCH(A5165,02_轉折點45個!A:A,0)),"")</f>
        <v/>
      </c>
      <c r="G5165" s="7" t="s">
        <v>5494</v>
      </c>
    </row>
    <row r="5166" customFormat="false" ht="15" hidden="false" customHeight="false" outlineLevel="0" collapsed="false">
      <c r="A5166" s="7" t="s">
        <v>6063</v>
      </c>
      <c r="B5166" s="7" t="n">
        <v>7943.24</v>
      </c>
      <c r="C5166" s="7" t="n">
        <f aca="false">AVERAGE(B5117:B5166)</f>
        <v>7551.1162</v>
      </c>
      <c r="D5166" s="7" t="n">
        <f aca="false">AVERAGE(B4967:B5166)</f>
        <v>7168.40425</v>
      </c>
      <c r="E5166" s="7" t="n">
        <f aca="false">B5166/MAX(B4915:B5166)-1</f>
        <v>0</v>
      </c>
      <c r="F5166" s="7" t="str">
        <f aca="false">IFERROR(INDEX(02_轉折點45個!B:B,MATCH(A5166,02_轉折點45個!A:A,0)),"")</f>
        <v/>
      </c>
      <c r="G5166" s="7" t="s">
        <v>5494</v>
      </c>
    </row>
    <row r="5167" customFormat="false" ht="15" hidden="false" customHeight="false" outlineLevel="0" collapsed="false">
      <c r="A5167" s="7" t="s">
        <v>6064</v>
      </c>
      <c r="B5167" s="7" t="n">
        <v>7966.93</v>
      </c>
      <c r="C5167" s="7" t="n">
        <f aca="false">AVERAGE(B5118:B5167)</f>
        <v>7555.9736</v>
      </c>
      <c r="D5167" s="7" t="n">
        <f aca="false">AVERAGE(B4968:B5167)</f>
        <v>7170.42295</v>
      </c>
      <c r="E5167" s="7" t="n">
        <f aca="false">B5167/MAX(B4916:B5167)-1</f>
        <v>0</v>
      </c>
      <c r="F5167" s="7" t="str">
        <f aca="false">IFERROR(INDEX(02_轉折點45個!B:B,MATCH(A5167,02_轉折點45個!A:A,0)),"")</f>
        <v/>
      </c>
      <c r="G5167" s="7" t="s">
        <v>5494</v>
      </c>
    </row>
    <row r="5168" customFormat="false" ht="15" hidden="false" customHeight="false" outlineLevel="0" collapsed="false">
      <c r="A5168" s="7" t="s">
        <v>6065</v>
      </c>
      <c r="B5168" s="7" t="n">
        <v>7927.08</v>
      </c>
      <c r="C5168" s="7" t="n">
        <f aca="false">AVERAGE(B5119:B5168)</f>
        <v>7557.6006</v>
      </c>
      <c r="D5168" s="7" t="n">
        <f aca="false">AVERAGE(B4969:B5168)</f>
        <v>7172.2429</v>
      </c>
      <c r="E5168" s="7" t="n">
        <f aca="false">B5168/MAX(B4917:B5168)-1</f>
        <v>-0.00500192671455635</v>
      </c>
      <c r="F5168" s="7" t="str">
        <f aca="false">IFERROR(INDEX(02_轉折點45個!B:B,MATCH(A5168,02_轉折點45個!A:A,0)),"")</f>
        <v/>
      </c>
      <c r="G5168" s="7" t="s">
        <v>5494</v>
      </c>
    </row>
    <row r="5169" customFormat="false" ht="15" hidden="false" customHeight="false" outlineLevel="0" collapsed="false">
      <c r="A5169" s="7" t="s">
        <v>6066</v>
      </c>
      <c r="B5169" s="7" t="n">
        <v>7888.76</v>
      </c>
      <c r="C5169" s="7" t="n">
        <f aca="false">AVERAGE(B5120:B5169)</f>
        <v>7559.494</v>
      </c>
      <c r="D5169" s="7" t="n">
        <f aca="false">AVERAGE(B4970:B5169)</f>
        <v>7173.53885</v>
      </c>
      <c r="E5169" s="7" t="n">
        <f aca="false">B5169/MAX(B4918:B5169)-1</f>
        <v>-0.00981180956780092</v>
      </c>
      <c r="F5169" s="7" t="str">
        <f aca="false">IFERROR(INDEX(02_轉折點45個!B:B,MATCH(A5169,02_轉折點45個!A:A,0)),"")</f>
        <v/>
      </c>
      <c r="G5169" s="7" t="s">
        <v>5494</v>
      </c>
    </row>
    <row r="5170" customFormat="false" ht="15" hidden="false" customHeight="false" outlineLevel="0" collapsed="false">
      <c r="A5170" s="7" t="s">
        <v>6067</v>
      </c>
      <c r="B5170" s="7" t="n">
        <v>7904.13</v>
      </c>
      <c r="C5170" s="7" t="n">
        <f aca="false">AVERAGE(B5121:B5170)</f>
        <v>7564.7736</v>
      </c>
      <c r="D5170" s="7" t="n">
        <f aca="false">AVERAGE(B4971:B5170)</f>
        <v>7174.92125</v>
      </c>
      <c r="E5170" s="7" t="n">
        <f aca="false">B5170/MAX(B4919:B5170)-1</f>
        <v>-0.00788258463423175</v>
      </c>
      <c r="F5170" s="7" t="str">
        <f aca="false">IFERROR(INDEX(02_轉折點45個!B:B,MATCH(A5170,02_轉折點45個!A:A,0)),"")</f>
        <v/>
      </c>
      <c r="G5170" s="7" t="s">
        <v>5494</v>
      </c>
    </row>
    <row r="5171" customFormat="false" ht="15" hidden="false" customHeight="false" outlineLevel="0" collapsed="false">
      <c r="A5171" s="7" t="s">
        <v>6068</v>
      </c>
      <c r="B5171" s="7" t="n">
        <v>7834.9</v>
      </c>
      <c r="C5171" s="7" t="n">
        <f aca="false">AVERAGE(B5122:B5171)</f>
        <v>7569.1206</v>
      </c>
      <c r="D5171" s="7" t="n">
        <f aca="false">AVERAGE(B4972:B5171)</f>
        <v>7175.8685</v>
      </c>
      <c r="E5171" s="7" t="n">
        <f aca="false">B5171/MAX(B4920:B5171)-1</f>
        <v>-0.0165722555614272</v>
      </c>
      <c r="F5171" s="7" t="str">
        <f aca="false">IFERROR(INDEX(02_轉折點45個!B:B,MATCH(A5171,02_轉折點45個!A:A,0)),"")</f>
        <v/>
      </c>
      <c r="G5171" s="7" t="s">
        <v>5494</v>
      </c>
    </row>
    <row r="5172" customFormat="false" ht="15" hidden="false" customHeight="false" outlineLevel="0" collapsed="false">
      <c r="A5172" s="7" t="s">
        <v>1452</v>
      </c>
      <c r="B5172" s="7" t="n">
        <v>7905.12</v>
      </c>
      <c r="C5172" s="7" t="n">
        <f aca="false">AVERAGE(B5123:B5172)</f>
        <v>7575.568</v>
      </c>
      <c r="D5172" s="7" t="n">
        <f aca="false">AVERAGE(B4973:B5172)</f>
        <v>7177.2527</v>
      </c>
      <c r="E5172" s="7" t="n">
        <f aca="false">B5172/MAX(B4921:B5172)-1</f>
        <v>-0.00775832095926543</v>
      </c>
      <c r="F5172" s="7" t="str">
        <f aca="false">IFERROR(INDEX(02_轉折點45個!B:B,MATCH(A5172,02_轉折點45個!A:A,0)),"")</f>
        <v/>
      </c>
      <c r="G5172" s="7" t="s">
        <v>5494</v>
      </c>
    </row>
    <row r="5173" customFormat="false" ht="15" hidden="false" customHeight="false" outlineLevel="0" collapsed="false">
      <c r="A5173" s="7" t="s">
        <v>6069</v>
      </c>
      <c r="B5173" s="7" t="n">
        <v>7954.56</v>
      </c>
      <c r="C5173" s="7" t="n">
        <f aca="false">AVERAGE(B5124:B5173)</f>
        <v>7582.9286</v>
      </c>
      <c r="D5173" s="7" t="n">
        <f aca="false">AVERAGE(B4974:B5173)</f>
        <v>7178.83835</v>
      </c>
      <c r="E5173" s="7" t="n">
        <f aca="false">B5173/MAX(B4922:B5173)-1</f>
        <v>-0.00155266834276191</v>
      </c>
      <c r="F5173" s="7" t="str">
        <f aca="false">IFERROR(INDEX(02_轉折點45個!B:B,MATCH(A5173,02_轉折點45個!A:A,0)),"")</f>
        <v/>
      </c>
      <c r="G5173" s="7" t="s">
        <v>5494</v>
      </c>
    </row>
    <row r="5174" customFormat="false" ht="15" hidden="false" customHeight="false" outlineLevel="0" collapsed="false">
      <c r="A5174" s="7" t="s">
        <v>6070</v>
      </c>
      <c r="B5174" s="7" t="n">
        <v>8010.61</v>
      </c>
      <c r="C5174" s="7" t="n">
        <f aca="false">AVERAGE(B5125:B5174)</f>
        <v>7596.6582</v>
      </c>
      <c r="D5174" s="7" t="n">
        <f aca="false">AVERAGE(B4975:B5174)</f>
        <v>7181.4414</v>
      </c>
      <c r="E5174" s="7" t="n">
        <f aca="false">B5174/MAX(B4923:B5174)-1</f>
        <v>0</v>
      </c>
      <c r="F5174" s="7" t="str">
        <f aca="false">IFERROR(INDEX(02_轉折點45個!B:B,MATCH(A5174,02_轉折點45個!A:A,0)),"")</f>
        <v/>
      </c>
      <c r="G5174" s="7" t="s">
        <v>5494</v>
      </c>
    </row>
    <row r="5175" customFormat="false" ht="15" hidden="false" customHeight="false" outlineLevel="0" collapsed="false">
      <c r="A5175" s="7" t="s">
        <v>6071</v>
      </c>
      <c r="B5175" s="7" t="n">
        <v>7929.87</v>
      </c>
      <c r="C5175" s="7" t="n">
        <f aca="false">AVERAGE(B5126:B5175)</f>
        <v>7607.218</v>
      </c>
      <c r="D5175" s="7" t="n">
        <f aca="false">AVERAGE(B4976:B5175)</f>
        <v>7184.0957</v>
      </c>
      <c r="E5175" s="7" t="n">
        <f aca="false">B5175/MAX(B4924:B5175)-1</f>
        <v>-0.0100791325504549</v>
      </c>
      <c r="F5175" s="7" t="str">
        <f aca="false">IFERROR(INDEX(02_轉折點45個!B:B,MATCH(A5175,02_轉折點45個!A:A,0)),"")</f>
        <v/>
      </c>
      <c r="G5175" s="7" t="s">
        <v>5494</v>
      </c>
    </row>
    <row r="5176" customFormat="false" ht="15" hidden="false" customHeight="false" outlineLevel="0" collapsed="false">
      <c r="A5176" s="7" t="s">
        <v>1453</v>
      </c>
      <c r="B5176" s="7" t="n">
        <v>8016.95</v>
      </c>
      <c r="C5176" s="7" t="n">
        <f aca="false">AVERAGE(B5127:B5176)</f>
        <v>7617.492</v>
      </c>
      <c r="D5176" s="7" t="n">
        <f aca="false">AVERAGE(B4977:B5176)</f>
        <v>7187.41635</v>
      </c>
      <c r="E5176" s="7" t="n">
        <f aca="false">B5176/MAX(B4925:B5176)-1</f>
        <v>0</v>
      </c>
      <c r="F5176" s="7" t="str">
        <f aca="false">IFERROR(INDEX(02_轉折點45個!B:B,MATCH(A5176,02_轉折點45個!A:A,0)),"")</f>
        <v/>
      </c>
      <c r="G5176" s="7" t="s">
        <v>5494</v>
      </c>
    </row>
    <row r="5177" customFormat="false" ht="15" hidden="false" customHeight="false" outlineLevel="0" collapsed="false">
      <c r="A5177" s="7" t="s">
        <v>6072</v>
      </c>
      <c r="B5177" s="7" t="n">
        <v>7989.08</v>
      </c>
      <c r="C5177" s="7" t="n">
        <f aca="false">AVERAGE(B5128:B5177)</f>
        <v>7625.6708</v>
      </c>
      <c r="D5177" s="7" t="n">
        <f aca="false">AVERAGE(B4978:B5177)</f>
        <v>7190.50365</v>
      </c>
      <c r="E5177" s="7" t="n">
        <f aca="false">B5177/MAX(B4926:B5177)-1</f>
        <v>-0.00347638441053022</v>
      </c>
      <c r="F5177" s="7" t="str">
        <f aca="false">IFERROR(INDEX(02_轉折點45個!B:B,MATCH(A5177,02_轉折點45個!A:A,0)),"")</f>
        <v/>
      </c>
      <c r="G5177" s="7" t="s">
        <v>5494</v>
      </c>
    </row>
    <row r="5178" customFormat="false" ht="15" hidden="false" customHeight="false" outlineLevel="0" collapsed="false">
      <c r="A5178" s="7" t="s">
        <v>6073</v>
      </c>
      <c r="B5178" s="7" t="n">
        <v>7952.47</v>
      </c>
      <c r="C5178" s="7" t="n">
        <f aca="false">AVERAGE(B5129:B5178)</f>
        <v>7634.6466</v>
      </c>
      <c r="D5178" s="7" t="n">
        <f aca="false">AVERAGE(B4979:B5178)</f>
        <v>7195.0435</v>
      </c>
      <c r="E5178" s="7" t="n">
        <f aca="false">B5178/MAX(B4927:B5178)-1</f>
        <v>-0.00804295898065965</v>
      </c>
      <c r="F5178" s="7" t="str">
        <f aca="false">IFERROR(INDEX(02_轉折點45個!B:B,MATCH(A5178,02_轉折點45個!A:A,0)),"")</f>
        <v/>
      </c>
      <c r="G5178" s="7" t="s">
        <v>5494</v>
      </c>
    </row>
    <row r="5179" customFormat="false" ht="15" hidden="false" customHeight="false" outlineLevel="0" collapsed="false">
      <c r="A5179" s="7" t="s">
        <v>6074</v>
      </c>
      <c r="B5179" s="7" t="n">
        <v>7848.78</v>
      </c>
      <c r="C5179" s="7" t="n">
        <f aca="false">AVERAGE(B5130:B5179)</f>
        <v>7644.0882</v>
      </c>
      <c r="D5179" s="7" t="n">
        <f aca="false">AVERAGE(B4980:B5179)</f>
        <v>7199.46725</v>
      </c>
      <c r="E5179" s="7" t="n">
        <f aca="false">B5179/MAX(B4928:B5179)-1</f>
        <v>-0.0209768053935724</v>
      </c>
      <c r="F5179" s="7" t="str">
        <f aca="false">IFERROR(INDEX(02_轉折點45個!B:B,MATCH(A5179,02_轉折點45個!A:A,0)),"")</f>
        <v/>
      </c>
      <c r="G5179" s="7" t="s">
        <v>5494</v>
      </c>
    </row>
    <row r="5180" customFormat="false" ht="15" hidden="false" customHeight="false" outlineLevel="0" collapsed="false">
      <c r="A5180" s="7" t="s">
        <v>1454</v>
      </c>
      <c r="B5180" s="7" t="n">
        <v>7801.15</v>
      </c>
      <c r="C5180" s="7" t="n">
        <f aca="false">AVERAGE(B5131:B5180)</f>
        <v>7651.0908</v>
      </c>
      <c r="D5180" s="7" t="n">
        <f aca="false">AVERAGE(B4981:B5180)</f>
        <v>7202.68695</v>
      </c>
      <c r="E5180" s="7" t="n">
        <f aca="false">B5180/MAX(B4929:B5180)-1</f>
        <v>-0.0269179675562402</v>
      </c>
      <c r="F5180" s="7" t="str">
        <f aca="false">IFERROR(INDEX(02_轉折點45個!B:B,MATCH(A5180,02_轉折點45個!A:A,0)),"")</f>
        <v/>
      </c>
      <c r="G5180" s="7" t="s">
        <v>5494</v>
      </c>
    </row>
    <row r="5181" customFormat="false" ht="15" hidden="false" customHeight="false" outlineLevel="0" collapsed="false">
      <c r="A5181" s="7" t="s">
        <v>1455</v>
      </c>
      <c r="B5181" s="7" t="n">
        <v>7692.8</v>
      </c>
      <c r="C5181" s="7" t="n">
        <f aca="false">AVERAGE(B5132:B5181)</f>
        <v>7656.5336</v>
      </c>
      <c r="D5181" s="7" t="n">
        <f aca="false">AVERAGE(B4982:B5181)</f>
        <v>7205.8076</v>
      </c>
      <c r="E5181" s="7" t="n">
        <f aca="false">B5181/MAX(B4930:B5181)-1</f>
        <v>-0.0404330824066509</v>
      </c>
      <c r="F5181" s="7" t="str">
        <f aca="false">IFERROR(INDEX(02_轉折點45個!B:B,MATCH(A5181,02_轉折點45個!A:A,0)),"")</f>
        <v/>
      </c>
      <c r="G5181" s="7" t="s">
        <v>5494</v>
      </c>
    </row>
    <row r="5182" customFormat="false" ht="15" hidden="false" customHeight="false" outlineLevel="0" collapsed="false">
      <c r="A5182" s="7" t="s">
        <v>1456</v>
      </c>
      <c r="B5182" s="7" t="n">
        <v>7415.69</v>
      </c>
      <c r="C5182" s="7" t="n">
        <f aca="false">AVERAGE(B5133:B5182)</f>
        <v>7658.6888</v>
      </c>
      <c r="D5182" s="7" t="n">
        <f aca="false">AVERAGE(B4983:B5182)</f>
        <v>7206.5039</v>
      </c>
      <c r="E5182" s="7" t="n">
        <f aca="false">B5182/MAX(B4931:B5182)-1</f>
        <v>-0.0749985967231928</v>
      </c>
      <c r="F5182" s="7" t="str">
        <f aca="false">IFERROR(INDEX(02_轉折點45個!B:B,MATCH(A5182,02_轉折點45個!A:A,0)),"")</f>
        <v/>
      </c>
      <c r="G5182" s="7" t="s">
        <v>5494</v>
      </c>
    </row>
    <row r="5183" customFormat="false" ht="15" hidden="false" customHeight="false" outlineLevel="0" collapsed="false">
      <c r="A5183" s="7" t="s">
        <v>1457</v>
      </c>
      <c r="B5183" s="7" t="n">
        <v>7521.32</v>
      </c>
      <c r="C5183" s="7" t="n">
        <f aca="false">AVERAGE(B5134:B5183)</f>
        <v>7663.096</v>
      </c>
      <c r="D5183" s="7" t="n">
        <f aca="false">AVERAGE(B4984:B5183)</f>
        <v>7207.71735</v>
      </c>
      <c r="E5183" s="7" t="n">
        <f aca="false">B5183/MAX(B4932:B5183)-1</f>
        <v>-0.0618227630208496</v>
      </c>
      <c r="F5183" s="7" t="str">
        <f aca="false">IFERROR(INDEX(02_轉折點45個!B:B,MATCH(A5183,02_轉折點45個!A:A,0)),"")</f>
        <v/>
      </c>
      <c r="G5183" s="7" t="s">
        <v>5494</v>
      </c>
    </row>
    <row r="5184" customFormat="false" ht="15" hidden="false" customHeight="false" outlineLevel="0" collapsed="false">
      <c r="A5184" s="7" t="s">
        <v>1458</v>
      </c>
      <c r="B5184" s="7" t="n">
        <v>7551.9</v>
      </c>
      <c r="C5184" s="7" t="n">
        <f aca="false">AVERAGE(B5135:B5184)</f>
        <v>7668.5664</v>
      </c>
      <c r="D5184" s="7" t="n">
        <f aca="false">AVERAGE(B4985:B5184)</f>
        <v>7209.8964</v>
      </c>
      <c r="E5184" s="7" t="n">
        <f aca="false">B5184/MAX(B4933:B5184)-1</f>
        <v>-0.0580083448194139</v>
      </c>
      <c r="F5184" s="7" t="str">
        <f aca="false">IFERROR(INDEX(02_轉折點45個!B:B,MATCH(A5184,02_轉折點45個!A:A,0)),"")</f>
        <v/>
      </c>
      <c r="G5184" s="7" t="s">
        <v>5494</v>
      </c>
    </row>
    <row r="5185" customFormat="false" ht="15" hidden="false" customHeight="false" outlineLevel="0" collapsed="false">
      <c r="A5185" s="7" t="s">
        <v>1459</v>
      </c>
      <c r="B5185" s="7" t="n">
        <v>7724.83</v>
      </c>
      <c r="C5185" s="7" t="n">
        <f aca="false">AVERAGE(B5136:B5185)</f>
        <v>7678.7258</v>
      </c>
      <c r="D5185" s="7" t="n">
        <f aca="false">AVERAGE(B4986:B5185)</f>
        <v>7212.9844</v>
      </c>
      <c r="E5185" s="7" t="n">
        <f aca="false">B5185/MAX(B4934:B5185)-1</f>
        <v>-0.0364377974167233</v>
      </c>
      <c r="F5185" s="7" t="str">
        <f aca="false">IFERROR(INDEX(02_轉折點45個!B:B,MATCH(A5185,02_轉折點45個!A:A,0)),"")</f>
        <v/>
      </c>
      <c r="G5185" s="7" t="s">
        <v>5494</v>
      </c>
    </row>
    <row r="5186" customFormat="false" ht="15" hidden="false" customHeight="false" outlineLevel="0" collapsed="false">
      <c r="A5186" s="7" t="s">
        <v>1460</v>
      </c>
      <c r="B5186" s="7" t="n">
        <v>7646.27</v>
      </c>
      <c r="C5186" s="7" t="n">
        <f aca="false">AVERAGE(B5137:B5186)</f>
        <v>7686.7432</v>
      </c>
      <c r="D5186" s="7" t="n">
        <f aca="false">AVERAGE(B4987:B5186)</f>
        <v>7215.5097</v>
      </c>
      <c r="E5186" s="7" t="n">
        <f aca="false">B5186/MAX(B4935:B5186)-1</f>
        <v>-0.0462370352814973</v>
      </c>
      <c r="F5186" s="7" t="str">
        <f aca="false">IFERROR(INDEX(02_轉折點45個!B:B,MATCH(A5186,02_轉折點45個!A:A,0)),"")</f>
        <v/>
      </c>
      <c r="G5186" s="7" t="s">
        <v>5494</v>
      </c>
    </row>
    <row r="5187" customFormat="false" ht="15" hidden="false" customHeight="false" outlineLevel="0" collapsed="false">
      <c r="A5187" s="7" t="s">
        <v>1461</v>
      </c>
      <c r="B5187" s="7" t="n">
        <v>7561.68</v>
      </c>
      <c r="C5187" s="7" t="n">
        <f aca="false">AVERAGE(B5138:B5187)</f>
        <v>7695.4176</v>
      </c>
      <c r="D5187" s="7" t="n">
        <f aca="false">AVERAGE(B4988:B5187)</f>
        <v>7217.72475</v>
      </c>
      <c r="E5187" s="7" t="n">
        <f aca="false">B5187/MAX(B4936:B5187)-1</f>
        <v>-0.0567884295149651</v>
      </c>
      <c r="F5187" s="7" t="str">
        <f aca="false">IFERROR(INDEX(02_轉折點45個!B:B,MATCH(A5187,02_轉折點45個!A:A,0)),"")</f>
        <v/>
      </c>
      <c r="G5187" s="7" t="s">
        <v>5494</v>
      </c>
    </row>
    <row r="5188" customFormat="false" ht="15" hidden="false" customHeight="false" outlineLevel="0" collapsed="false">
      <c r="A5188" s="7" t="s">
        <v>1462</v>
      </c>
      <c r="B5188" s="7" t="n">
        <v>7728.15</v>
      </c>
      <c r="C5188" s="7" t="n">
        <f aca="false">AVERAGE(B5139:B5188)</f>
        <v>7710.4202</v>
      </c>
      <c r="D5188" s="7" t="n">
        <f aca="false">AVERAGE(B4989:B5188)</f>
        <v>7222.41975</v>
      </c>
      <c r="E5188" s="7" t="n">
        <f aca="false">B5188/MAX(B4937:B5188)-1</f>
        <v>-0.036023674838935</v>
      </c>
      <c r="F5188" s="7" t="str">
        <f aca="false">IFERROR(INDEX(02_轉折點45個!B:B,MATCH(A5188,02_轉折點45個!A:A,0)),"")</f>
        <v/>
      </c>
      <c r="G5188" s="7" t="s">
        <v>5494</v>
      </c>
    </row>
    <row r="5189" customFormat="false" ht="15" hidden="false" customHeight="false" outlineLevel="0" collapsed="false">
      <c r="A5189" s="7" t="s">
        <v>1463</v>
      </c>
      <c r="B5189" s="7" t="n">
        <v>7490.13</v>
      </c>
      <c r="C5189" s="7" t="n">
        <f aca="false">AVERAGE(B5140:B5189)</f>
        <v>7716.8878</v>
      </c>
      <c r="D5189" s="7" t="n">
        <f aca="false">AVERAGE(B4990:B5189)</f>
        <v>7224.78845</v>
      </c>
      <c r="E5189" s="7" t="n">
        <f aca="false">B5189/MAX(B4938:B5189)-1</f>
        <v>-0.0657132700091681</v>
      </c>
      <c r="F5189" s="7" t="str">
        <f aca="false">IFERROR(INDEX(02_轉折點45個!B:B,MATCH(A5189,02_轉折點45個!A:A,0)),"")</f>
        <v/>
      </c>
      <c r="G5189" s="7" t="s">
        <v>5494</v>
      </c>
    </row>
    <row r="5190" customFormat="false" ht="15" hidden="false" customHeight="false" outlineLevel="0" collapsed="false">
      <c r="A5190" s="7" t="s">
        <v>6075</v>
      </c>
      <c r="B5190" s="7" t="n">
        <v>7484.89</v>
      </c>
      <c r="C5190" s="7" t="n">
        <f aca="false">AVERAGE(B5141:B5190)</f>
        <v>7722.1676</v>
      </c>
      <c r="D5190" s="7" t="n">
        <f aca="false">AVERAGE(B4991:B5190)</f>
        <v>7227.9509</v>
      </c>
      <c r="E5190" s="7" t="n">
        <f aca="false">B5190/MAX(B4939:B5190)-1</f>
        <v>-0.0663668851620628</v>
      </c>
      <c r="F5190" s="7" t="str">
        <f aca="false">IFERROR(INDEX(02_轉折點45個!B:B,MATCH(A5190,02_轉折點45個!A:A,0)),"")</f>
        <v/>
      </c>
      <c r="G5190" s="7" t="s">
        <v>5494</v>
      </c>
    </row>
    <row r="5191" customFormat="false" ht="15" hidden="false" customHeight="false" outlineLevel="0" collapsed="false">
      <c r="A5191" s="7" t="s">
        <v>1464</v>
      </c>
      <c r="B5191" s="7" t="n">
        <v>7604.11</v>
      </c>
      <c r="C5191" s="7" t="n">
        <f aca="false">AVERAGE(B5142:B5191)</f>
        <v>7728.7312</v>
      </c>
      <c r="D5191" s="7" t="n">
        <f aca="false">AVERAGE(B4992:B5191)</f>
        <v>7232.40195</v>
      </c>
      <c r="E5191" s="7" t="n">
        <f aca="false">B5191/MAX(B4940:B5191)-1</f>
        <v>-0.0514958930765441</v>
      </c>
      <c r="F5191" s="7" t="str">
        <f aca="false">IFERROR(INDEX(02_轉折點45個!B:B,MATCH(A5191,02_轉折點45個!A:A,0)),"")</f>
        <v/>
      </c>
      <c r="G5191" s="7" t="s">
        <v>5494</v>
      </c>
    </row>
    <row r="5192" customFormat="false" ht="15" hidden="false" customHeight="false" outlineLevel="0" collapsed="false">
      <c r="A5192" s="7" t="s">
        <v>1465</v>
      </c>
      <c r="B5192" s="7" t="n">
        <v>7719.32</v>
      </c>
      <c r="C5192" s="7" t="n">
        <f aca="false">AVERAGE(B5143:B5192)</f>
        <v>7734.7718</v>
      </c>
      <c r="D5192" s="7" t="n">
        <f aca="false">AVERAGE(B4993:B5192)</f>
        <v>7236.94795</v>
      </c>
      <c r="E5192" s="7" t="n">
        <f aca="false">B5192/MAX(B4941:B5192)-1</f>
        <v>-0.0371250912129925</v>
      </c>
      <c r="F5192" s="7" t="str">
        <f aca="false">IFERROR(INDEX(02_轉折點45個!B:B,MATCH(A5192,02_轉折點45個!A:A,0)),"")</f>
        <v/>
      </c>
      <c r="G5192" s="7" t="s">
        <v>5494</v>
      </c>
    </row>
    <row r="5193" customFormat="false" ht="15" hidden="false" customHeight="false" outlineLevel="0" collapsed="false">
      <c r="A5193" s="7" t="s">
        <v>1466</v>
      </c>
      <c r="B5193" s="7" t="n">
        <v>7664.47</v>
      </c>
      <c r="C5193" s="7" t="n">
        <f aca="false">AVERAGE(B5144:B5193)</f>
        <v>7738.0226</v>
      </c>
      <c r="D5193" s="7" t="n">
        <f aca="false">AVERAGE(B4994:B5193)</f>
        <v>7240.4348</v>
      </c>
      <c r="E5193" s="7" t="n">
        <f aca="false">B5193/MAX(B4942:B5193)-1</f>
        <v>-0.0439668452466336</v>
      </c>
      <c r="F5193" s="7" t="str">
        <f aca="false">IFERROR(INDEX(02_轉折點45個!B:B,MATCH(A5193,02_轉折點45個!A:A,0)),"")</f>
        <v/>
      </c>
      <c r="G5193" s="7" t="s">
        <v>5494</v>
      </c>
    </row>
    <row r="5194" customFormat="false" ht="15" hidden="false" customHeight="false" outlineLevel="0" collapsed="false">
      <c r="A5194" s="7" t="s">
        <v>6076</v>
      </c>
      <c r="B5194" s="7" t="n">
        <v>7733.22</v>
      </c>
      <c r="C5194" s="7" t="n">
        <f aca="false">AVERAGE(B5145:B5194)</f>
        <v>7742.41</v>
      </c>
      <c r="D5194" s="7" t="n">
        <f aca="false">AVERAGE(B4995:B5194)</f>
        <v>7243.75505</v>
      </c>
      <c r="E5194" s="7" t="n">
        <f aca="false">B5194/MAX(B4943:B5194)-1</f>
        <v>-0.0353912647577944</v>
      </c>
      <c r="F5194" s="7" t="str">
        <f aca="false">IFERROR(INDEX(02_轉折點45個!B:B,MATCH(A5194,02_轉折點45個!A:A,0)),"")</f>
        <v/>
      </c>
      <c r="G5194" s="7" t="s">
        <v>5494</v>
      </c>
    </row>
    <row r="5195" customFormat="false" ht="15" hidden="false" customHeight="false" outlineLevel="0" collapsed="false">
      <c r="A5195" s="7" t="s">
        <v>1467</v>
      </c>
      <c r="B5195" s="7" t="n">
        <v>7707.43</v>
      </c>
      <c r="C5195" s="7" t="n">
        <f aca="false">AVERAGE(B5146:B5195)</f>
        <v>7747.1128</v>
      </c>
      <c r="D5195" s="7" t="n">
        <f aca="false">AVERAGE(B4996:B5195)</f>
        <v>7247.46575</v>
      </c>
      <c r="E5195" s="7" t="n">
        <f aca="false">B5195/MAX(B4944:B5195)-1</f>
        <v>-0.0386081988786259</v>
      </c>
      <c r="F5195" s="7" t="str">
        <f aca="false">IFERROR(INDEX(02_轉折點45個!B:B,MATCH(A5195,02_轉折點45個!A:A,0)),"")</f>
        <v/>
      </c>
      <c r="G5195" s="7" t="s">
        <v>5494</v>
      </c>
    </row>
    <row r="5196" customFormat="false" ht="15" hidden="false" customHeight="false" outlineLevel="0" collapsed="false">
      <c r="A5196" s="7" t="s">
        <v>1468</v>
      </c>
      <c r="B5196" s="7" t="n">
        <v>7464.99</v>
      </c>
      <c r="C5196" s="7" t="n">
        <f aca="false">AVERAGE(B5147:B5196)</f>
        <v>7746.199</v>
      </c>
      <c r="D5196" s="7" t="n">
        <f aca="false">AVERAGE(B4997:B5196)</f>
        <v>7250.10525</v>
      </c>
      <c r="E5196" s="7" t="n">
        <f aca="false">B5196/MAX(B4945:B5196)-1</f>
        <v>-0.0688491259144687</v>
      </c>
      <c r="F5196" s="7" t="str">
        <f aca="false">IFERROR(INDEX(02_轉折點45個!B:B,MATCH(A5196,02_轉折點45個!A:A,0)),"")</f>
        <v/>
      </c>
      <c r="G5196" s="7" t="s">
        <v>5494</v>
      </c>
    </row>
    <row r="5197" customFormat="false" ht="15" hidden="false" customHeight="false" outlineLevel="0" collapsed="false">
      <c r="A5197" s="7" t="s">
        <v>6077</v>
      </c>
      <c r="B5197" s="7" t="n">
        <v>7575.02</v>
      </c>
      <c r="C5197" s="7" t="n">
        <f aca="false">AVERAGE(B5148:B5197)</f>
        <v>7748.1172</v>
      </c>
      <c r="D5197" s="7" t="n">
        <f aca="false">AVERAGE(B4998:B5197)</f>
        <v>7253.0361</v>
      </c>
      <c r="E5197" s="7" t="n">
        <f aca="false">B5197/MAX(B4946:B5197)-1</f>
        <v>-0.0551244550608397</v>
      </c>
      <c r="F5197" s="7" t="str">
        <f aca="false">IFERROR(INDEX(02_轉折點45個!B:B,MATCH(A5197,02_轉折點45個!A:A,0)),"")</f>
        <v/>
      </c>
      <c r="G5197" s="7" t="s">
        <v>5494</v>
      </c>
    </row>
    <row r="5198" customFormat="false" ht="15" hidden="false" customHeight="false" outlineLevel="0" collapsed="false">
      <c r="A5198" s="7" t="s">
        <v>6078</v>
      </c>
      <c r="B5198" s="7" t="n">
        <v>7566.03</v>
      </c>
      <c r="C5198" s="7" t="n">
        <f aca="false">AVERAGE(B5149:B5198)</f>
        <v>7748.9074</v>
      </c>
      <c r="D5198" s="7" t="n">
        <f aca="false">AVERAGE(B4999:B5198)</f>
        <v>7254.8506</v>
      </c>
      <c r="E5198" s="7" t="n">
        <f aca="false">B5198/MAX(B4947:B5198)-1</f>
        <v>-0.0562458291494895</v>
      </c>
      <c r="F5198" s="7" t="str">
        <f aca="false">IFERROR(INDEX(02_轉折點45個!B:B,MATCH(A5198,02_轉折點45個!A:A,0)),"")</f>
        <v/>
      </c>
      <c r="G5198" s="7" t="s">
        <v>5494</v>
      </c>
    </row>
    <row r="5199" customFormat="false" ht="15" hidden="false" customHeight="false" outlineLevel="0" collapsed="false">
      <c r="A5199" s="7" t="s">
        <v>6079</v>
      </c>
      <c r="B5199" s="7" t="n">
        <v>7587.9</v>
      </c>
      <c r="C5199" s="7" t="n">
        <f aca="false">AVERAGE(B5150:B5199)</f>
        <v>7747.9574</v>
      </c>
      <c r="D5199" s="7" t="n">
        <f aca="false">AVERAGE(B5000:B5199)</f>
        <v>7256.99715</v>
      </c>
      <c r="E5199" s="7" t="n">
        <f aca="false">B5199/MAX(B4948:B5199)-1</f>
        <v>-0.0535178590361671</v>
      </c>
      <c r="F5199" s="7" t="str">
        <f aca="false">IFERROR(INDEX(02_轉折點45個!B:B,MATCH(A5199,02_轉折點45個!A:A,0)),"")</f>
        <v/>
      </c>
      <c r="G5199" s="7" t="s">
        <v>5494</v>
      </c>
    </row>
    <row r="5200" customFormat="false" ht="15" hidden="false" customHeight="false" outlineLevel="0" collapsed="false">
      <c r="A5200" s="7" t="s">
        <v>1469</v>
      </c>
      <c r="B5200" s="7" t="n">
        <v>7702.31</v>
      </c>
      <c r="C5200" s="7" t="n">
        <f aca="false">AVERAGE(B5151:B5200)</f>
        <v>7748.6488</v>
      </c>
      <c r="D5200" s="7" t="n">
        <f aca="false">AVERAGE(B5001:B5200)</f>
        <v>7260.31295</v>
      </c>
      <c r="E5200" s="7" t="n">
        <f aca="false">B5200/MAX(B4949:B5200)-1</f>
        <v>-0.0392468457455765</v>
      </c>
      <c r="F5200" s="7" t="str">
        <f aca="false">IFERROR(INDEX(02_轉折點45個!B:B,MATCH(A5200,02_轉折點45個!A:A,0)),"")</f>
        <v/>
      </c>
      <c r="G5200" s="7" t="s">
        <v>5494</v>
      </c>
    </row>
    <row r="5201" customFormat="false" ht="15" hidden="false" customHeight="false" outlineLevel="0" collapsed="false">
      <c r="A5201" s="7" t="s">
        <v>6080</v>
      </c>
      <c r="B5201" s="7" t="n">
        <v>7691</v>
      </c>
      <c r="C5201" s="7" t="n">
        <f aca="false">AVERAGE(B5152:B5201)</f>
        <v>7747.7078</v>
      </c>
      <c r="D5201" s="7" t="n">
        <f aca="false">AVERAGE(B5002:B5201)</f>
        <v>7264.62245</v>
      </c>
      <c r="E5201" s="7" t="n">
        <f aca="false">B5201/MAX(B4950:B5201)-1</f>
        <v>-0.0406576066958132</v>
      </c>
      <c r="F5201" s="7" t="str">
        <f aca="false">IFERROR(INDEX(02_轉折點45個!B:B,MATCH(A5201,02_轉折點45個!A:A,0)),"")</f>
        <v/>
      </c>
      <c r="G5201" s="7" t="s">
        <v>5494</v>
      </c>
    </row>
    <row r="5202" customFormat="false" ht="15" hidden="false" customHeight="false" outlineLevel="0" collapsed="false">
      <c r="A5202" s="7" t="s">
        <v>6081</v>
      </c>
      <c r="B5202" s="7" t="n">
        <v>7609.51</v>
      </c>
      <c r="C5202" s="7" t="n">
        <f aca="false">AVERAGE(B5153:B5202)</f>
        <v>7745.3224</v>
      </c>
      <c r="D5202" s="7" t="n">
        <f aca="false">AVERAGE(B5003:B5202)</f>
        <v>7268.51545</v>
      </c>
      <c r="E5202" s="7" t="n">
        <f aca="false">B5202/MAX(B4951:B5202)-1</f>
        <v>-0.050822320209057</v>
      </c>
      <c r="F5202" s="7" t="str">
        <f aca="false">IFERROR(INDEX(02_轉折點45個!B:B,MATCH(A5202,02_轉折點45個!A:A,0)),"")</f>
        <v/>
      </c>
      <c r="G5202" s="7" t="s">
        <v>5494</v>
      </c>
    </row>
    <row r="5203" customFormat="false" ht="15" hidden="false" customHeight="false" outlineLevel="0" collapsed="false">
      <c r="A5203" s="7" t="s">
        <v>1471</v>
      </c>
      <c r="B5203" s="7" t="n">
        <v>7719.25</v>
      </c>
      <c r="C5203" s="7" t="n">
        <f aca="false">AVERAGE(B5154:B5203)</f>
        <v>7745.247</v>
      </c>
      <c r="D5203" s="7" t="n">
        <f aca="false">AVERAGE(B5004:B5203)</f>
        <v>7273.26235</v>
      </c>
      <c r="E5203" s="7" t="n">
        <f aca="false">B5203/MAX(B4952:B5203)-1</f>
        <v>-0.0371338227131266</v>
      </c>
      <c r="F5203" s="7" t="str">
        <f aca="false">IFERROR(INDEX(02_轉折點45個!B:B,MATCH(A5203,02_轉折點45個!A:A,0)),"")</f>
        <v/>
      </c>
      <c r="G5203" s="7" t="s">
        <v>5494</v>
      </c>
    </row>
    <row r="5204" customFormat="false" ht="15" hidden="false" customHeight="false" outlineLevel="0" collapsed="false">
      <c r="A5204" s="7" t="s">
        <v>1472</v>
      </c>
      <c r="B5204" s="7" t="n">
        <v>7862.54</v>
      </c>
      <c r="C5204" s="7" t="n">
        <f aca="false">AVERAGE(B5155:B5204)</f>
        <v>7750.667</v>
      </c>
      <c r="D5204" s="7" t="n">
        <f aca="false">AVERAGE(B5005:B5204)</f>
        <v>7278.1228</v>
      </c>
      <c r="E5204" s="7" t="n">
        <f aca="false">B5204/MAX(B4953:B5204)-1</f>
        <v>-0.0192604419386425</v>
      </c>
      <c r="F5204" s="7" t="str">
        <f aca="false">IFERROR(INDEX(02_轉折點45個!B:B,MATCH(A5204,02_轉折點45個!A:A,0)),"")</f>
        <v/>
      </c>
      <c r="G5204" s="7" t="s">
        <v>5494</v>
      </c>
    </row>
    <row r="5205" customFormat="false" ht="15" hidden="false" customHeight="false" outlineLevel="0" collapsed="false">
      <c r="A5205" s="7" t="s">
        <v>6082</v>
      </c>
      <c r="B5205" s="7" t="n">
        <v>7852.54</v>
      </c>
      <c r="C5205" s="7" t="n">
        <f aca="false">AVERAGE(B5156:B5205)</f>
        <v>7755.1768</v>
      </c>
      <c r="D5205" s="7" t="n">
        <f aca="false">AVERAGE(B5006:B5205)</f>
        <v>7283.0504</v>
      </c>
      <c r="E5205" s="7" t="n">
        <f aca="false">B5205/MAX(B4954:B5205)-1</f>
        <v>-0.0205077991006555</v>
      </c>
      <c r="F5205" s="7" t="str">
        <f aca="false">IFERROR(INDEX(02_轉折點45個!B:B,MATCH(A5205,02_轉折點45個!A:A,0)),"")</f>
        <v/>
      </c>
      <c r="G5205" s="7" t="s">
        <v>5494</v>
      </c>
    </row>
    <row r="5206" customFormat="false" ht="15" hidden="false" customHeight="false" outlineLevel="0" collapsed="false">
      <c r="A5206" s="7" t="s">
        <v>6083</v>
      </c>
      <c r="B5206" s="7" t="n">
        <v>7832.4</v>
      </c>
      <c r="C5206" s="7" t="n">
        <f aca="false">AVERAGE(B5157:B5206)</f>
        <v>7758.6838</v>
      </c>
      <c r="D5206" s="7" t="n">
        <f aca="false">AVERAGE(B5007:B5206)</f>
        <v>7288.9978</v>
      </c>
      <c r="E5206" s="7" t="n">
        <f aca="false">B5206/MAX(B4955:B5206)-1</f>
        <v>-0.0230199764249497</v>
      </c>
      <c r="F5206" s="7" t="str">
        <f aca="false">IFERROR(INDEX(02_轉折點45個!B:B,MATCH(A5206,02_轉折點45個!A:A,0)),"")</f>
        <v/>
      </c>
      <c r="G5206" s="7" t="s">
        <v>5494</v>
      </c>
    </row>
    <row r="5207" customFormat="false" ht="15" hidden="false" customHeight="false" outlineLevel="0" collapsed="false">
      <c r="A5207" s="7" t="s">
        <v>6084</v>
      </c>
      <c r="B5207" s="7" t="n">
        <v>7814.74</v>
      </c>
      <c r="C5207" s="7" t="n">
        <f aca="false">AVERAGE(B5158:B5207)</f>
        <v>7761.557</v>
      </c>
      <c r="D5207" s="7" t="n">
        <f aca="false">AVERAGE(B5008:B5207)</f>
        <v>7295.4367</v>
      </c>
      <c r="E5207" s="7" t="n">
        <f aca="false">B5207/MAX(B4956:B5207)-1</f>
        <v>-0.0252228091730645</v>
      </c>
      <c r="F5207" s="7" t="str">
        <f aca="false">IFERROR(INDEX(02_轉折點45個!B:B,MATCH(A5207,02_轉折點45個!A:A,0)),"")</f>
        <v/>
      </c>
      <c r="G5207" s="7" t="s">
        <v>5494</v>
      </c>
    </row>
    <row r="5208" customFormat="false" ht="15" hidden="false" customHeight="false" outlineLevel="0" collapsed="false">
      <c r="A5208" s="7" t="s">
        <v>6085</v>
      </c>
      <c r="B5208" s="7" t="n">
        <v>7887.58</v>
      </c>
      <c r="C5208" s="7" t="n">
        <f aca="false">AVERAGE(B5159:B5208)</f>
        <v>7763.9458</v>
      </c>
      <c r="D5208" s="7" t="n">
        <f aca="false">AVERAGE(B5009:B5208)</f>
        <v>7301.9963</v>
      </c>
      <c r="E5208" s="7" t="n">
        <f aca="false">B5208/MAX(B4957:B5208)-1</f>
        <v>-0.0161370596049619</v>
      </c>
      <c r="F5208" s="7" t="str">
        <f aca="false">IFERROR(INDEX(02_轉折點45個!B:B,MATCH(A5208,02_轉折點45個!A:A,0)),"")</f>
        <v/>
      </c>
      <c r="G5208" s="7" t="s">
        <v>5494</v>
      </c>
    </row>
    <row r="5209" customFormat="false" ht="15" hidden="false" customHeight="false" outlineLevel="0" collapsed="false">
      <c r="A5209" s="7" t="s">
        <v>6086</v>
      </c>
      <c r="B5209" s="7" t="n">
        <v>7917.34</v>
      </c>
      <c r="C5209" s="7" t="n">
        <f aca="false">AVERAGE(B5160:B5209)</f>
        <v>7766.2962</v>
      </c>
      <c r="D5209" s="7" t="n">
        <f aca="false">AVERAGE(B5010:B5209)</f>
        <v>7308.94625</v>
      </c>
      <c r="E5209" s="7" t="n">
        <f aca="false">B5209/MAX(B4958:B5209)-1</f>
        <v>-0.0124249246908114</v>
      </c>
      <c r="F5209" s="7" t="str">
        <f aca="false">IFERROR(INDEX(02_轉折點45個!B:B,MATCH(A5209,02_轉折點45個!A:A,0)),"")</f>
        <v/>
      </c>
      <c r="G5209" s="7" t="s">
        <v>5494</v>
      </c>
    </row>
    <row r="5210" customFormat="false" ht="15" hidden="false" customHeight="false" outlineLevel="0" collapsed="false">
      <c r="A5210" s="7" t="s">
        <v>6087</v>
      </c>
      <c r="B5210" s="7" t="n">
        <v>7892.95</v>
      </c>
      <c r="C5210" s="7" t="n">
        <f aca="false">AVERAGE(B5161:B5210)</f>
        <v>7767.0014</v>
      </c>
      <c r="D5210" s="7" t="n">
        <f aca="false">AVERAGE(B5011:B5210)</f>
        <v>7315.0193</v>
      </c>
      <c r="E5210" s="7" t="n">
        <f aca="false">B5210/MAX(B4959:B5210)-1</f>
        <v>-0.015467228808961</v>
      </c>
      <c r="F5210" s="7" t="str">
        <f aca="false">IFERROR(INDEX(02_轉折點45個!B:B,MATCH(A5210,02_轉折點45個!A:A,0)),"")</f>
        <v/>
      </c>
      <c r="G5210" s="7" t="s">
        <v>5494</v>
      </c>
    </row>
    <row r="5211" customFormat="false" ht="15" hidden="false" customHeight="false" outlineLevel="0" collapsed="false">
      <c r="A5211" s="7" t="s">
        <v>6088</v>
      </c>
      <c r="B5211" s="7" t="n">
        <v>7852.41</v>
      </c>
      <c r="C5211" s="7" t="n">
        <f aca="false">AVERAGE(B5162:B5211)</f>
        <v>7767.2236</v>
      </c>
      <c r="D5211" s="7" t="n">
        <f aca="false">AVERAGE(B5012:B5211)</f>
        <v>7320.77615</v>
      </c>
      <c r="E5211" s="7" t="n">
        <f aca="false">B5211/MAX(B4960:B5211)-1</f>
        <v>-0.0205240147437616</v>
      </c>
      <c r="F5211" s="7" t="str">
        <f aca="false">IFERROR(INDEX(02_轉折點45個!B:B,MATCH(A5211,02_轉折點45個!A:A,0)),"")</f>
        <v/>
      </c>
      <c r="G5211" s="7" t="s">
        <v>5494</v>
      </c>
    </row>
    <row r="5212" customFormat="false" ht="15" hidden="false" customHeight="false" outlineLevel="0" collapsed="false">
      <c r="A5212" s="7" t="s">
        <v>6089</v>
      </c>
      <c r="B5212" s="7" t="n">
        <v>7888.79</v>
      </c>
      <c r="C5212" s="7" t="n">
        <f aca="false">AVERAGE(B5163:B5212)</f>
        <v>7769.2836</v>
      </c>
      <c r="D5212" s="7" t="n">
        <f aca="false">AVERAGE(B5013:B5212)</f>
        <v>7325.65345</v>
      </c>
      <c r="E5212" s="7" t="n">
        <f aca="false">B5212/MAX(B4961:B5212)-1</f>
        <v>-0.0159861293883584</v>
      </c>
      <c r="F5212" s="7" t="str">
        <f aca="false">IFERROR(INDEX(02_轉折點45個!B:B,MATCH(A5212,02_轉折點45個!A:A,0)),"")</f>
        <v/>
      </c>
      <c r="G5212" s="7" t="s">
        <v>5494</v>
      </c>
    </row>
    <row r="5213" customFormat="false" ht="15" hidden="false" customHeight="false" outlineLevel="0" collapsed="false">
      <c r="A5213" s="7" t="s">
        <v>6090</v>
      </c>
      <c r="B5213" s="7" t="n">
        <v>7888.56</v>
      </c>
      <c r="C5213" s="7" t="n">
        <f aca="false">AVERAGE(B5164:B5213)</f>
        <v>7770.5176</v>
      </c>
      <c r="D5213" s="7" t="n">
        <f aca="false">AVERAGE(B5014:B5213)</f>
        <v>7330.63425</v>
      </c>
      <c r="E5213" s="7" t="n">
        <f aca="false">B5213/MAX(B4962:B5213)-1</f>
        <v>-0.0160148186030846</v>
      </c>
      <c r="F5213" s="7" t="str">
        <f aca="false">IFERROR(INDEX(02_轉折點45個!B:B,MATCH(A5213,02_轉折點45個!A:A,0)),"")</f>
        <v/>
      </c>
      <c r="G5213" s="7" t="s">
        <v>5494</v>
      </c>
    </row>
    <row r="5214" customFormat="false" ht="15" hidden="false" customHeight="false" outlineLevel="0" collapsed="false">
      <c r="A5214" s="7" t="s">
        <v>6091</v>
      </c>
      <c r="B5214" s="7" t="n">
        <v>7901.79</v>
      </c>
      <c r="C5214" s="7" t="n">
        <f aca="false">AVERAGE(B5165:B5214)</f>
        <v>7770.4854</v>
      </c>
      <c r="D5214" s="7" t="n">
        <f aca="false">AVERAGE(B5015:B5214)</f>
        <v>7335.39815</v>
      </c>
      <c r="E5214" s="7" t="n">
        <f aca="false">B5214/MAX(B4963:B5214)-1</f>
        <v>-0.0143645650777415</v>
      </c>
      <c r="F5214" s="7" t="str">
        <f aca="false">IFERROR(INDEX(02_轉折點45個!B:B,MATCH(A5214,02_轉折點45個!A:A,0)),"")</f>
        <v/>
      </c>
      <c r="G5214" s="7" t="s">
        <v>5494</v>
      </c>
    </row>
    <row r="5215" customFormat="false" ht="15" hidden="false" customHeight="false" outlineLevel="0" collapsed="false">
      <c r="A5215" s="7" t="s">
        <v>6092</v>
      </c>
      <c r="B5215" s="7" t="n">
        <v>7823.55</v>
      </c>
      <c r="C5215" s="7" t="n">
        <f aca="false">AVERAGE(B5166:B5215)</f>
        <v>7769.0208</v>
      </c>
      <c r="D5215" s="7" t="n">
        <f aca="false">AVERAGE(B5016:B5215)</f>
        <v>7339.20525</v>
      </c>
      <c r="E5215" s="7" t="n">
        <f aca="false">B5215/MAX(B4964:B5215)-1</f>
        <v>-0.0241238875133311</v>
      </c>
      <c r="F5215" s="7" t="str">
        <f aca="false">IFERROR(INDEX(02_轉折點45個!B:B,MATCH(A5215,02_轉折點45個!A:A,0)),"")</f>
        <v/>
      </c>
      <c r="G5215" s="7" t="s">
        <v>5494</v>
      </c>
    </row>
    <row r="5216" customFormat="false" ht="15" hidden="false" customHeight="false" outlineLevel="0" collapsed="false">
      <c r="A5216" s="7" t="s">
        <v>1473</v>
      </c>
      <c r="B5216" s="7" t="n">
        <v>7818.61</v>
      </c>
      <c r="C5216" s="7" t="n">
        <f aca="false">AVERAGE(B5167:B5216)</f>
        <v>7766.5282</v>
      </c>
      <c r="D5216" s="7" t="n">
        <f aca="false">AVERAGE(B5017:B5216)</f>
        <v>7344.32225</v>
      </c>
      <c r="E5216" s="7" t="n">
        <f aca="false">B5216/MAX(B4965:B5216)-1</f>
        <v>-0.0247400819513656</v>
      </c>
      <c r="F5216" s="7" t="str">
        <f aca="false">IFERROR(INDEX(02_轉折點45個!B:B,MATCH(A5216,02_轉折點45個!A:A,0)),"")</f>
        <v/>
      </c>
      <c r="G5216" s="7" t="s">
        <v>5494</v>
      </c>
    </row>
    <row r="5217" customFormat="false" ht="15" hidden="false" customHeight="false" outlineLevel="0" collapsed="false">
      <c r="A5217" s="7" t="s">
        <v>6093</v>
      </c>
      <c r="B5217" s="7" t="n">
        <v>7710.04</v>
      </c>
      <c r="C5217" s="7" t="n">
        <f aca="false">AVERAGE(B5168:B5217)</f>
        <v>7761.3904</v>
      </c>
      <c r="D5217" s="7" t="n">
        <f aca="false">AVERAGE(B5018:B5217)</f>
        <v>7348.6782</v>
      </c>
      <c r="E5217" s="7" t="n">
        <f aca="false">B5217/MAX(B4966:B5217)-1</f>
        <v>-0.0382826386593405</v>
      </c>
      <c r="F5217" s="7" t="str">
        <f aca="false">IFERROR(INDEX(02_轉折點45個!B:B,MATCH(A5217,02_轉折點45個!A:A,0)),"")</f>
        <v/>
      </c>
      <c r="G5217" s="7" t="s">
        <v>5494</v>
      </c>
    </row>
    <row r="5218" customFormat="false" ht="15" hidden="false" customHeight="false" outlineLevel="0" collapsed="false">
      <c r="A5218" s="7" t="s">
        <v>6094</v>
      </c>
      <c r="B5218" s="7" t="n">
        <v>7803.54</v>
      </c>
      <c r="C5218" s="7" t="n">
        <f aca="false">AVERAGE(B5169:B5218)</f>
        <v>7758.9196</v>
      </c>
      <c r="D5218" s="7" t="n">
        <f aca="false">AVERAGE(B5019:B5218)</f>
        <v>7354.6295</v>
      </c>
      <c r="E5218" s="7" t="n">
        <f aca="false">B5218/MAX(B4967:B5218)-1</f>
        <v>-0.0266198491945191</v>
      </c>
      <c r="F5218" s="7" t="str">
        <f aca="false">IFERROR(INDEX(02_轉折點45個!B:B,MATCH(A5218,02_轉折點45個!A:A,0)),"")</f>
        <v/>
      </c>
      <c r="G5218" s="7" t="s">
        <v>5494</v>
      </c>
    </row>
    <row r="5219" customFormat="false" ht="15" hidden="false" customHeight="false" outlineLevel="0" collapsed="false">
      <c r="A5219" s="7" t="s">
        <v>6095</v>
      </c>
      <c r="B5219" s="7" t="n">
        <v>7771.99</v>
      </c>
      <c r="C5219" s="7" t="n">
        <f aca="false">AVERAGE(B5170:B5219)</f>
        <v>7756.5842</v>
      </c>
      <c r="D5219" s="7" t="n">
        <f aca="false">AVERAGE(B5020:B5219)</f>
        <v>7360.07575</v>
      </c>
      <c r="E5219" s="7" t="n">
        <f aca="false">B5219/MAX(B4968:B5219)-1</f>
        <v>-0.0305552610406701</v>
      </c>
      <c r="F5219" s="7" t="str">
        <f aca="false">IFERROR(INDEX(02_轉折點45個!B:B,MATCH(A5219,02_轉折點45個!A:A,0)),"")</f>
        <v/>
      </c>
      <c r="G5219" s="7" t="s">
        <v>5494</v>
      </c>
    </row>
    <row r="5220" customFormat="false" ht="15" hidden="false" customHeight="false" outlineLevel="0" collapsed="false">
      <c r="A5220" s="7" t="s">
        <v>6096</v>
      </c>
      <c r="B5220" s="7" t="n">
        <v>7681.58</v>
      </c>
      <c r="C5220" s="7" t="n">
        <f aca="false">AVERAGE(B5171:B5220)</f>
        <v>7752.1332</v>
      </c>
      <c r="D5220" s="7" t="n">
        <f aca="false">AVERAGE(B5021:B5220)</f>
        <v>7364.96245</v>
      </c>
      <c r="E5220" s="7" t="n">
        <f aca="false">B5220/MAX(B4969:B5220)-1</f>
        <v>-0.0418326171424295</v>
      </c>
      <c r="F5220" s="7" t="str">
        <f aca="false">IFERROR(INDEX(02_轉折點45個!B:B,MATCH(A5220,02_轉折點45個!A:A,0)),"")</f>
        <v/>
      </c>
      <c r="G5220" s="7" t="s">
        <v>5494</v>
      </c>
    </row>
    <row r="5221" customFormat="false" ht="15" hidden="false" customHeight="false" outlineLevel="0" collapsed="false">
      <c r="A5221" s="7" t="s">
        <v>6097</v>
      </c>
      <c r="B5221" s="7" t="n">
        <v>7749.45</v>
      </c>
      <c r="C5221" s="7" t="n">
        <f aca="false">AVERAGE(B5172:B5221)</f>
        <v>7750.4242</v>
      </c>
      <c r="D5221" s="7" t="n">
        <f aca="false">AVERAGE(B5022:B5221)</f>
        <v>7369.8899</v>
      </c>
      <c r="E5221" s="7" t="n">
        <f aca="false">B5221/MAX(B4970:B5221)-1</f>
        <v>-0.0333668040838474</v>
      </c>
      <c r="F5221" s="7" t="str">
        <f aca="false">IFERROR(INDEX(02_轉折點45個!B:B,MATCH(A5221,02_轉折點45個!A:A,0)),"")</f>
        <v/>
      </c>
      <c r="G5221" s="7" t="s">
        <v>5494</v>
      </c>
    </row>
    <row r="5222" customFormat="false" ht="15" hidden="false" customHeight="false" outlineLevel="0" collapsed="false">
      <c r="A5222" s="7" t="s">
        <v>6098</v>
      </c>
      <c r="B5222" s="7" t="n">
        <v>7684.14</v>
      </c>
      <c r="C5222" s="7" t="n">
        <f aca="false">AVERAGE(B5173:B5222)</f>
        <v>7746.0046</v>
      </c>
      <c r="D5222" s="7" t="n">
        <f aca="false">AVERAGE(B5023:B5222)</f>
        <v>7374.47075</v>
      </c>
      <c r="E5222" s="7" t="n">
        <f aca="false">B5222/MAX(B4971:B5222)-1</f>
        <v>-0.0415132937089541</v>
      </c>
      <c r="F5222" s="7" t="str">
        <f aca="false">IFERROR(INDEX(02_轉折點45個!B:B,MATCH(A5222,02_轉折點45個!A:A,0)),"")</f>
        <v/>
      </c>
      <c r="G5222" s="7" t="s">
        <v>5494</v>
      </c>
    </row>
    <row r="5223" customFormat="false" ht="15" hidden="false" customHeight="false" outlineLevel="0" collapsed="false">
      <c r="A5223" s="7" t="s">
        <v>6099</v>
      </c>
      <c r="B5223" s="7" t="n">
        <v>7550.79</v>
      </c>
      <c r="C5223" s="7" t="n">
        <f aca="false">AVERAGE(B5174:B5223)</f>
        <v>7737.9292</v>
      </c>
      <c r="D5223" s="7" t="n">
        <f aca="false">AVERAGE(B5024:B5223)</f>
        <v>7379.2499</v>
      </c>
      <c r="E5223" s="7" t="n">
        <f aca="false">B5223/MAX(B4972:B5223)-1</f>
        <v>-0.0581468014643973</v>
      </c>
      <c r="F5223" s="7" t="str">
        <f aca="false">IFERROR(INDEX(02_轉折點45個!B:B,MATCH(A5223,02_轉折點45個!A:A,0)),"")</f>
        <v/>
      </c>
      <c r="G5223" s="7" t="s">
        <v>5494</v>
      </c>
    </row>
    <row r="5224" customFormat="false" ht="15" hidden="false" customHeight="false" outlineLevel="0" collapsed="false">
      <c r="A5224" s="7" t="s">
        <v>1474</v>
      </c>
      <c r="B5224" s="7" t="n">
        <v>7638.39</v>
      </c>
      <c r="C5224" s="7" t="n">
        <f aca="false">AVERAGE(B5175:B5224)</f>
        <v>7730.4848</v>
      </c>
      <c r="D5224" s="7" t="n">
        <f aca="false">AVERAGE(B5025:B5224)</f>
        <v>7385.1999</v>
      </c>
      <c r="E5224" s="7" t="n">
        <f aca="false">B5224/MAX(B4973:B5224)-1</f>
        <v>-0.0472199527251636</v>
      </c>
      <c r="F5224" s="7" t="str">
        <f aca="false">IFERROR(INDEX(02_轉折點45個!B:B,MATCH(A5224,02_轉折點45個!A:A,0)),"")</f>
        <v/>
      </c>
      <c r="G5224" s="7" t="s">
        <v>5494</v>
      </c>
    </row>
    <row r="5225" customFormat="false" ht="15" hidden="false" customHeight="false" outlineLevel="0" collapsed="false">
      <c r="A5225" s="7" t="s">
        <v>6100</v>
      </c>
      <c r="B5225" s="7" t="n">
        <v>7754.1</v>
      </c>
      <c r="C5225" s="7" t="n">
        <f aca="false">AVERAGE(B5176:B5225)</f>
        <v>7726.9694</v>
      </c>
      <c r="D5225" s="7" t="n">
        <f aca="false">AVERAGE(B5026:B5225)</f>
        <v>7391.5128</v>
      </c>
      <c r="E5225" s="7" t="n">
        <f aca="false">B5225/MAX(B4974:B5225)-1</f>
        <v>-0.0327867830035112</v>
      </c>
      <c r="F5225" s="7" t="str">
        <f aca="false">IFERROR(INDEX(02_轉折點45個!B:B,MATCH(A5225,02_轉折點45個!A:A,0)),"")</f>
        <v/>
      </c>
      <c r="G5225" s="7" t="s">
        <v>5494</v>
      </c>
    </row>
    <row r="5226" customFormat="false" ht="15" hidden="false" customHeight="false" outlineLevel="0" collapsed="false">
      <c r="A5226" s="7" t="s">
        <v>6101</v>
      </c>
      <c r="B5226" s="7" t="n">
        <v>7725.13</v>
      </c>
      <c r="C5226" s="7" t="n">
        <f aca="false">AVERAGE(B5177:B5226)</f>
        <v>7721.133</v>
      </c>
      <c r="D5226" s="7" t="n">
        <f aca="false">AVERAGE(B5027:B5226)</f>
        <v>7398.4236</v>
      </c>
      <c r="E5226" s="7" t="n">
        <f aca="false">B5226/MAX(B4975:B5226)-1</f>
        <v>-0.0364003767018629</v>
      </c>
      <c r="F5226" s="7" t="str">
        <f aca="false">IFERROR(INDEX(02_轉折點45個!B:B,MATCH(A5226,02_轉折點45個!A:A,0)),"")</f>
        <v/>
      </c>
      <c r="G5226" s="7" t="s">
        <v>5494</v>
      </c>
    </row>
    <row r="5227" customFormat="false" ht="15" hidden="false" customHeight="false" outlineLevel="0" collapsed="false">
      <c r="A5227" s="7" t="s">
        <v>1475</v>
      </c>
      <c r="B5227" s="7" t="n">
        <v>7604.27</v>
      </c>
      <c r="C5227" s="7" t="n">
        <f aca="false">AVERAGE(B5178:B5227)</f>
        <v>7713.4368</v>
      </c>
      <c r="D5227" s="7" t="n">
        <f aca="false">AVERAGE(B5028:B5227)</f>
        <v>7405.229</v>
      </c>
      <c r="E5227" s="7" t="n">
        <f aca="false">B5227/MAX(B4976:B5227)-1</f>
        <v>-0.0514759353619518</v>
      </c>
      <c r="F5227" s="7" t="str">
        <f aca="false">IFERROR(INDEX(02_轉折點45個!B:B,MATCH(A5227,02_轉折點45個!A:A,0)),"")</f>
        <v/>
      </c>
      <c r="G5227" s="7" t="s">
        <v>5494</v>
      </c>
    </row>
    <row r="5228" customFormat="false" ht="15" hidden="false" customHeight="false" outlineLevel="0" collapsed="false">
      <c r="A5228" s="7" t="s">
        <v>1476</v>
      </c>
      <c r="B5228" s="7" t="n">
        <v>7690.53</v>
      </c>
      <c r="C5228" s="7" t="n">
        <f aca="false">AVERAGE(B5179:B5228)</f>
        <v>7708.198</v>
      </c>
      <c r="D5228" s="7" t="n">
        <f aca="false">AVERAGE(B5029:B5228)</f>
        <v>7413.44885</v>
      </c>
      <c r="E5228" s="7" t="n">
        <f aca="false">B5228/MAX(B4977:B5228)-1</f>
        <v>-0.0407162324824278</v>
      </c>
      <c r="F5228" s="7" t="str">
        <f aca="false">IFERROR(INDEX(02_轉折點45個!B:B,MATCH(A5228,02_轉折點45個!A:A,0)),"")</f>
        <v/>
      </c>
      <c r="G5228" s="7" t="s">
        <v>5494</v>
      </c>
    </row>
    <row r="5229" customFormat="false" ht="15" hidden="false" customHeight="false" outlineLevel="0" collapsed="false">
      <c r="A5229" s="7" t="s">
        <v>6102</v>
      </c>
      <c r="B5229" s="7" t="n">
        <v>7740.36</v>
      </c>
      <c r="C5229" s="7" t="n">
        <f aca="false">AVERAGE(B5180:B5229)</f>
        <v>7706.0296</v>
      </c>
      <c r="D5229" s="7" t="n">
        <f aca="false">AVERAGE(B5030:B5229)</f>
        <v>7422.6539</v>
      </c>
      <c r="E5229" s="7" t="n">
        <f aca="false">B5229/MAX(B4978:B5229)-1</f>
        <v>-0.0345006517441172</v>
      </c>
      <c r="F5229" s="7" t="str">
        <f aca="false">IFERROR(INDEX(02_轉折點45個!B:B,MATCH(A5229,02_轉折點45個!A:A,0)),"")</f>
        <v/>
      </c>
      <c r="G5229" s="7" t="s">
        <v>5494</v>
      </c>
    </row>
    <row r="5230" customFormat="false" ht="15" hidden="false" customHeight="false" outlineLevel="0" collapsed="false">
      <c r="A5230" s="7" t="s">
        <v>6103</v>
      </c>
      <c r="B5230" s="7" t="n">
        <v>7843.88</v>
      </c>
      <c r="C5230" s="7" t="n">
        <f aca="false">AVERAGE(B5181:B5230)</f>
        <v>7706.8842</v>
      </c>
      <c r="D5230" s="7" t="n">
        <f aca="false">AVERAGE(B5031:B5230)</f>
        <v>7430.55945</v>
      </c>
      <c r="E5230" s="7" t="n">
        <f aca="false">B5230/MAX(B4979:B5230)-1</f>
        <v>-0.0215880104029587</v>
      </c>
      <c r="F5230" s="7" t="str">
        <f aca="false">IFERROR(INDEX(02_轉折點45個!B:B,MATCH(A5230,02_轉折點45個!A:A,0)),"")</f>
        <v/>
      </c>
      <c r="G5230" s="7" t="s">
        <v>5494</v>
      </c>
    </row>
    <row r="5231" customFormat="false" ht="15" hidden="false" customHeight="false" outlineLevel="0" collapsed="false">
      <c r="A5231" s="7" t="s">
        <v>6104</v>
      </c>
      <c r="B5231" s="7" t="n">
        <v>7842.33</v>
      </c>
      <c r="C5231" s="7" t="n">
        <f aca="false">AVERAGE(B5182:B5231)</f>
        <v>7709.8748</v>
      </c>
      <c r="D5231" s="7" t="n">
        <f aca="false">AVERAGE(B5032:B5231)</f>
        <v>7438.3296</v>
      </c>
      <c r="E5231" s="7" t="n">
        <f aca="false">B5231/MAX(B4980:B5231)-1</f>
        <v>-0.0217813507630708</v>
      </c>
      <c r="F5231" s="7" t="str">
        <f aca="false">IFERROR(INDEX(02_轉折點45個!B:B,MATCH(A5231,02_轉折點45個!A:A,0)),"")</f>
        <v/>
      </c>
      <c r="G5231" s="7" t="s">
        <v>5494</v>
      </c>
    </row>
    <row r="5232" customFormat="false" ht="15" hidden="false" customHeight="false" outlineLevel="0" collapsed="false">
      <c r="A5232" s="7" t="s">
        <v>1477</v>
      </c>
      <c r="B5232" s="7" t="n">
        <v>7942.85</v>
      </c>
      <c r="C5232" s="7" t="n">
        <f aca="false">AVERAGE(B5183:B5232)</f>
        <v>7720.418</v>
      </c>
      <c r="D5232" s="7" t="n">
        <f aca="false">AVERAGE(B5033:B5232)</f>
        <v>7446.6175</v>
      </c>
      <c r="E5232" s="7" t="n">
        <f aca="false">B5232/MAX(B4981:B5232)-1</f>
        <v>-0.00924291657051612</v>
      </c>
      <c r="F5232" s="7" t="str">
        <f aca="false">IFERROR(INDEX(02_轉折點45個!B:B,MATCH(A5232,02_轉折點45個!A:A,0)),"")</f>
        <v/>
      </c>
      <c r="G5232" s="7" t="s">
        <v>5494</v>
      </c>
    </row>
    <row r="5233" customFormat="false" ht="15" hidden="false" customHeight="false" outlineLevel="0" collapsed="false">
      <c r="A5233" s="7" t="s">
        <v>6105</v>
      </c>
      <c r="B5233" s="7" t="n">
        <v>7920.21</v>
      </c>
      <c r="C5233" s="7" t="n">
        <f aca="false">AVERAGE(B5184:B5233)</f>
        <v>7728.3958</v>
      </c>
      <c r="D5233" s="7" t="n">
        <f aca="false">AVERAGE(B5034:B5233)</f>
        <v>7454.5687</v>
      </c>
      <c r="E5233" s="7" t="n">
        <f aca="false">B5233/MAX(B4982:B5233)-1</f>
        <v>-0.0120669331853136</v>
      </c>
      <c r="F5233" s="7" t="str">
        <f aca="false">IFERROR(INDEX(02_轉折點45個!B:B,MATCH(A5233,02_轉折點45個!A:A,0)),"")</f>
        <v/>
      </c>
      <c r="G5233" s="7" t="s">
        <v>5494</v>
      </c>
    </row>
    <row r="5234" customFormat="false" ht="15" hidden="false" customHeight="false" outlineLevel="0" collapsed="false">
      <c r="A5234" s="7" t="s">
        <v>6106</v>
      </c>
      <c r="B5234" s="7" t="n">
        <v>7942.14</v>
      </c>
      <c r="C5234" s="7" t="n">
        <f aca="false">AVERAGE(B5185:B5234)</f>
        <v>7736.2006</v>
      </c>
      <c r="D5234" s="7" t="n">
        <f aca="false">AVERAGE(B5035:B5234)</f>
        <v>7462.47505</v>
      </c>
      <c r="E5234" s="7" t="n">
        <f aca="false">B5234/MAX(B4983:B5234)-1</f>
        <v>-0.00933147892901909</v>
      </c>
      <c r="F5234" s="7" t="str">
        <f aca="false">IFERROR(INDEX(02_轉折點45個!B:B,MATCH(A5234,02_轉折點45個!A:A,0)),"")</f>
        <v/>
      </c>
      <c r="G5234" s="7" t="s">
        <v>5494</v>
      </c>
    </row>
    <row r="5235" customFormat="false" ht="15" hidden="false" customHeight="false" outlineLevel="0" collapsed="false">
      <c r="A5235" s="7" t="s">
        <v>1478</v>
      </c>
      <c r="B5235" s="7" t="n">
        <v>7868.49</v>
      </c>
      <c r="C5235" s="7" t="n">
        <f aca="false">AVERAGE(B5186:B5235)</f>
        <v>7739.0738</v>
      </c>
      <c r="D5235" s="7" t="n">
        <f aca="false">AVERAGE(B5036:B5235)</f>
        <v>7471.08185</v>
      </c>
      <c r="E5235" s="7" t="n">
        <f aca="false">B5235/MAX(B4984:B5235)-1</f>
        <v>-0.0185182644272448</v>
      </c>
      <c r="F5235" s="7" t="str">
        <f aca="false">IFERROR(INDEX(02_轉折點45個!B:B,MATCH(A5235,02_轉折點45個!A:A,0)),"")</f>
        <v/>
      </c>
      <c r="G5235" s="7" t="s">
        <v>5494</v>
      </c>
    </row>
    <row r="5236" customFormat="false" ht="15" hidden="false" customHeight="false" outlineLevel="0" collapsed="false">
      <c r="A5236" s="7" t="s">
        <v>6107</v>
      </c>
      <c r="B5236" s="7" t="n">
        <v>7940.33</v>
      </c>
      <c r="C5236" s="7" t="n">
        <f aca="false">AVERAGE(B5187:B5236)</f>
        <v>7744.955</v>
      </c>
      <c r="D5236" s="7" t="n">
        <f aca="false">AVERAGE(B5037:B5236)</f>
        <v>7478.67015</v>
      </c>
      <c r="E5236" s="7" t="n">
        <f aca="false">B5236/MAX(B4985:B5236)-1</f>
        <v>-0.00955725057534351</v>
      </c>
      <c r="F5236" s="7" t="str">
        <f aca="false">IFERROR(INDEX(02_轉折點45個!B:B,MATCH(A5236,02_轉折點45個!A:A,0)),"")</f>
        <v/>
      </c>
      <c r="G5236" s="7" t="s">
        <v>5494</v>
      </c>
    </row>
    <row r="5237" customFormat="false" ht="15" hidden="false" customHeight="false" outlineLevel="0" collapsed="false">
      <c r="A5237" s="7" t="s">
        <v>6108</v>
      </c>
      <c r="B5237" s="7" t="n">
        <v>7874.62</v>
      </c>
      <c r="C5237" s="7" t="n">
        <f aca="false">AVERAGE(B5188:B5237)</f>
        <v>7751.2138</v>
      </c>
      <c r="D5237" s="7" t="n">
        <f aca="false">AVERAGE(B5038:B5237)</f>
        <v>7485.602</v>
      </c>
      <c r="E5237" s="7" t="n">
        <f aca="false">B5237/MAX(B4986:B5237)-1</f>
        <v>-0.0177536344869308</v>
      </c>
      <c r="F5237" s="7" t="str">
        <f aca="false">IFERROR(INDEX(02_轉折點45個!B:B,MATCH(A5237,02_轉折點45個!A:A,0)),"")</f>
        <v/>
      </c>
      <c r="G5237" s="7" t="s">
        <v>5494</v>
      </c>
    </row>
    <row r="5238" customFormat="false" ht="15" hidden="false" customHeight="false" outlineLevel="0" collapsed="false">
      <c r="A5238" s="7" t="s">
        <v>6109</v>
      </c>
      <c r="B5238" s="7" t="n">
        <v>7889.47</v>
      </c>
      <c r="C5238" s="7" t="n">
        <f aca="false">AVERAGE(B5189:B5238)</f>
        <v>7754.4402</v>
      </c>
      <c r="D5238" s="7" t="n">
        <f aca="false">AVERAGE(B5039:B5238)</f>
        <v>7492.2901</v>
      </c>
      <c r="E5238" s="7" t="n">
        <f aca="false">B5238/MAX(B4987:B5238)-1</f>
        <v>-0.0159013091013415</v>
      </c>
      <c r="F5238" s="7" t="str">
        <f aca="false">IFERROR(INDEX(02_轉折點45個!B:B,MATCH(A5238,02_轉折點45個!A:A,0)),"")</f>
        <v/>
      </c>
      <c r="G5238" s="7" t="s">
        <v>5494</v>
      </c>
    </row>
    <row r="5239" customFormat="false" ht="15" hidden="false" customHeight="false" outlineLevel="0" collapsed="false">
      <c r="A5239" s="7" t="s">
        <v>6110</v>
      </c>
      <c r="B5239" s="7" t="n">
        <v>7966.72</v>
      </c>
      <c r="C5239" s="7" t="n">
        <f aca="false">AVERAGE(B5190:B5239)</f>
        <v>7763.972</v>
      </c>
      <c r="D5239" s="7" t="n">
        <f aca="false">AVERAGE(B5040:B5239)</f>
        <v>7499.12025</v>
      </c>
      <c r="E5239" s="7" t="n">
        <f aca="false">B5239/MAX(B4988:B5239)-1</f>
        <v>-0.00626547502479113</v>
      </c>
      <c r="F5239" s="7" t="str">
        <f aca="false">IFERROR(INDEX(02_轉折點45個!B:B,MATCH(A5239,02_轉折點45個!A:A,0)),"")</f>
        <v/>
      </c>
      <c r="G5239" s="7" t="s">
        <v>5494</v>
      </c>
    </row>
    <row r="5240" customFormat="false" ht="15" hidden="false" customHeight="false" outlineLevel="0" collapsed="false">
      <c r="A5240" s="7" t="s">
        <v>1479</v>
      </c>
      <c r="B5240" s="7" t="n">
        <v>8029.22</v>
      </c>
      <c r="C5240" s="7" t="n">
        <f aca="false">AVERAGE(B5191:B5240)</f>
        <v>7774.8586</v>
      </c>
      <c r="D5240" s="7" t="n">
        <f aca="false">AVERAGE(B5041:B5240)</f>
        <v>7506.16165</v>
      </c>
      <c r="E5240" s="7" t="n">
        <f aca="false">B5240/MAX(B4989:B5240)-1</f>
        <v>0</v>
      </c>
      <c r="F5240" s="7" t="str">
        <f aca="false">IFERROR(INDEX(02_轉折點45個!B:B,MATCH(A5240,02_轉折點45個!A:A,0)),"")</f>
        <v/>
      </c>
      <c r="G5240" s="7" t="s">
        <v>5494</v>
      </c>
    </row>
    <row r="5241" customFormat="false" ht="15" hidden="false" customHeight="false" outlineLevel="0" collapsed="false">
      <c r="A5241" s="7" t="s">
        <v>6111</v>
      </c>
      <c r="B5241" s="7" t="n">
        <v>8110.67</v>
      </c>
      <c r="C5241" s="7" t="n">
        <f aca="false">AVERAGE(B5192:B5241)</f>
        <v>7784.9898</v>
      </c>
      <c r="D5241" s="7" t="n">
        <f aca="false">AVERAGE(B5042:B5241)</f>
        <v>7513.708</v>
      </c>
      <c r="E5241" s="7" t="n">
        <f aca="false">B5241/MAX(B4990:B5241)-1</f>
        <v>0</v>
      </c>
      <c r="F5241" s="7" t="str">
        <f aca="false">IFERROR(INDEX(02_轉折點45個!B:B,MATCH(A5241,02_轉折點45個!A:A,0)),"")</f>
        <v/>
      </c>
      <c r="G5241" s="7" t="s">
        <v>5494</v>
      </c>
    </row>
    <row r="5242" customFormat="false" ht="15" hidden="false" customHeight="false" outlineLevel="0" collapsed="false">
      <c r="A5242" s="7" t="s">
        <v>6112</v>
      </c>
      <c r="B5242" s="7" t="n">
        <v>8047.51</v>
      </c>
      <c r="C5242" s="7" t="n">
        <f aca="false">AVERAGE(B5193:B5242)</f>
        <v>7791.5536</v>
      </c>
      <c r="D5242" s="7" t="n">
        <f aca="false">AVERAGE(B5043:B5242)</f>
        <v>7521.24035</v>
      </c>
      <c r="E5242" s="7" t="n">
        <f aca="false">B5242/MAX(B4991:B5242)-1</f>
        <v>-0.0077872728146996</v>
      </c>
      <c r="F5242" s="7" t="str">
        <f aca="false">IFERROR(INDEX(02_轉折點45個!B:B,MATCH(A5242,02_轉折點45個!A:A,0)),"")</f>
        <v/>
      </c>
      <c r="G5242" s="7" t="s">
        <v>5494</v>
      </c>
    </row>
    <row r="5243" customFormat="false" ht="15" hidden="false" customHeight="false" outlineLevel="0" collapsed="false">
      <c r="A5243" s="7" t="s">
        <v>6113</v>
      </c>
      <c r="B5243" s="7" t="n">
        <v>8083.11</v>
      </c>
      <c r="C5243" s="7" t="n">
        <f aca="false">AVERAGE(B5194:B5243)</f>
        <v>7799.9264</v>
      </c>
      <c r="D5243" s="7" t="n">
        <f aca="false">AVERAGE(B5044:B5243)</f>
        <v>7528.3077</v>
      </c>
      <c r="E5243" s="7" t="n">
        <f aca="false">B5243/MAX(B4992:B5243)-1</f>
        <v>-0.00339799301414068</v>
      </c>
      <c r="F5243" s="7" t="str">
        <f aca="false">IFERROR(INDEX(02_轉折點45個!B:B,MATCH(A5243,02_轉折點45個!A:A,0)),"")</f>
        <v/>
      </c>
      <c r="G5243" s="7" t="s">
        <v>5494</v>
      </c>
    </row>
    <row r="5244" customFormat="false" ht="15" hidden="false" customHeight="false" outlineLevel="0" collapsed="false">
      <c r="A5244" s="7" t="s">
        <v>6114</v>
      </c>
      <c r="B5244" s="7" t="n">
        <v>8083.83</v>
      </c>
      <c r="C5244" s="7" t="n">
        <f aca="false">AVERAGE(B5195:B5244)</f>
        <v>7806.9386</v>
      </c>
      <c r="D5244" s="7" t="n">
        <f aca="false">AVERAGE(B5045:B5244)</f>
        <v>7535.38405</v>
      </c>
      <c r="E5244" s="7" t="n">
        <f aca="false">B5244/MAX(B4993:B5244)-1</f>
        <v>-0.00330922106311815</v>
      </c>
      <c r="F5244" s="7" t="str">
        <f aca="false">IFERROR(INDEX(02_轉折點45個!B:B,MATCH(A5244,02_轉折點45個!A:A,0)),"")</f>
        <v/>
      </c>
      <c r="G5244" s="7" t="s">
        <v>5494</v>
      </c>
    </row>
    <row r="5245" customFormat="false" ht="15" hidden="false" customHeight="false" outlineLevel="0" collapsed="false">
      <c r="A5245" s="7" t="s">
        <v>6115</v>
      </c>
      <c r="B5245" s="7" t="n">
        <v>8161.17</v>
      </c>
      <c r="C5245" s="7" t="n">
        <f aca="false">AVERAGE(B5196:B5245)</f>
        <v>7816.0134</v>
      </c>
      <c r="D5245" s="7" t="n">
        <f aca="false">AVERAGE(B5046:B5245)</f>
        <v>7542.59765</v>
      </c>
      <c r="E5245" s="7" t="n">
        <f aca="false">B5245/MAX(B4994:B5245)-1</f>
        <v>0</v>
      </c>
      <c r="F5245" s="7" t="str">
        <f aca="false">IFERROR(INDEX(02_轉折點45個!B:B,MATCH(A5245,02_轉折點45個!A:A,0)),"")</f>
        <v/>
      </c>
      <c r="G5245" s="7" t="s">
        <v>5494</v>
      </c>
    </row>
    <row r="5246" customFormat="false" ht="15" hidden="false" customHeight="false" outlineLevel="0" collapsed="false">
      <c r="A5246" s="7" t="s">
        <v>6116</v>
      </c>
      <c r="B5246" s="7" t="n">
        <v>8210.66</v>
      </c>
      <c r="C5246" s="7" t="n">
        <f aca="false">AVERAGE(B5197:B5246)</f>
        <v>7830.9268</v>
      </c>
      <c r="D5246" s="7" t="n">
        <f aca="false">AVERAGE(B5047:B5246)</f>
        <v>7549.7279</v>
      </c>
      <c r="E5246" s="7" t="n">
        <f aca="false">B5246/MAX(B4995:B5246)-1</f>
        <v>0</v>
      </c>
      <c r="F5246" s="7" t="str">
        <f aca="false">IFERROR(INDEX(02_轉折點45個!B:B,MATCH(A5246,02_轉折點45個!A:A,0)),"")</f>
        <v/>
      </c>
      <c r="G5246" s="7" t="s">
        <v>5494</v>
      </c>
    </row>
    <row r="5247" customFormat="false" ht="15" hidden="false" customHeight="false" outlineLevel="0" collapsed="false">
      <c r="A5247" s="7" t="s">
        <v>6117</v>
      </c>
      <c r="B5247" s="7" t="n">
        <v>8210.18</v>
      </c>
      <c r="C5247" s="7" t="n">
        <f aca="false">AVERAGE(B5198:B5247)</f>
        <v>7843.63</v>
      </c>
      <c r="D5247" s="7" t="n">
        <f aca="false">AVERAGE(B5048:B5247)</f>
        <v>7557.54475</v>
      </c>
      <c r="E5247" s="7" t="n">
        <f aca="false">B5247/MAX(B4996:B5247)-1</f>
        <v>-5.84605866031929E-005</v>
      </c>
      <c r="F5247" s="7" t="str">
        <f aca="false">IFERROR(INDEX(02_轉折點45個!B:B,MATCH(A5247,02_轉折點45個!A:A,0)),"")</f>
        <v/>
      </c>
      <c r="G5247" s="7" t="s">
        <v>5494</v>
      </c>
    </row>
    <row r="5248" customFormat="false" ht="15" hidden="false" customHeight="false" outlineLevel="0" collapsed="false">
      <c r="A5248" s="7" t="s">
        <v>6118</v>
      </c>
      <c r="B5248" s="7" t="n">
        <v>8196.03</v>
      </c>
      <c r="C5248" s="7" t="n">
        <f aca="false">AVERAGE(B5199:B5248)</f>
        <v>7856.23</v>
      </c>
      <c r="D5248" s="7" t="n">
        <f aca="false">AVERAGE(B5049:B5248)</f>
        <v>7565.2311</v>
      </c>
      <c r="E5248" s="7" t="n">
        <f aca="false">B5248/MAX(B4997:B5248)-1</f>
        <v>-0.00178182996251208</v>
      </c>
      <c r="F5248" s="7" t="str">
        <f aca="false">IFERROR(INDEX(02_轉折點45個!B:B,MATCH(A5248,02_轉折點45個!A:A,0)),"")</f>
        <v/>
      </c>
      <c r="G5248" s="7" t="s">
        <v>5494</v>
      </c>
    </row>
    <row r="5249" customFormat="false" ht="15" hidden="false" customHeight="false" outlineLevel="0" collapsed="false">
      <c r="A5249" s="7" t="s">
        <v>6119</v>
      </c>
      <c r="B5249" s="7" t="n">
        <v>8219.65</v>
      </c>
      <c r="C5249" s="7" t="n">
        <f aca="false">AVERAGE(B5200:B5249)</f>
        <v>7868.865</v>
      </c>
      <c r="D5249" s="7" t="n">
        <f aca="false">AVERAGE(B5050:B5249)</f>
        <v>7572.8166</v>
      </c>
      <c r="E5249" s="7" t="n">
        <f aca="false">B5249/MAX(B4998:B5249)-1</f>
        <v>0</v>
      </c>
      <c r="F5249" s="7" t="str">
        <f aca="false">IFERROR(INDEX(02_轉折點45個!B:B,MATCH(A5249,02_轉折點45個!A:A,0)),"")</f>
        <v/>
      </c>
      <c r="G5249" s="7" t="s">
        <v>5494</v>
      </c>
    </row>
    <row r="5250" customFormat="false" ht="15" hidden="false" customHeight="false" outlineLevel="0" collapsed="false">
      <c r="A5250" s="7" t="s">
        <v>6120</v>
      </c>
      <c r="B5250" s="7" t="n">
        <v>8255.89</v>
      </c>
      <c r="C5250" s="7" t="n">
        <f aca="false">AVERAGE(B5201:B5250)</f>
        <v>7879.9366</v>
      </c>
      <c r="D5250" s="7" t="n">
        <f aca="false">AVERAGE(B5051:B5250)</f>
        <v>7580.1592</v>
      </c>
      <c r="E5250" s="7" t="n">
        <f aca="false">B5250/MAX(B4999:B5250)-1</f>
        <v>0</v>
      </c>
      <c r="F5250" s="7" t="str">
        <f aca="false">IFERROR(INDEX(02_轉折點45個!B:B,MATCH(A5250,02_轉折點45個!A:A,0)),"")</f>
        <v/>
      </c>
      <c r="G5250" s="7" t="s">
        <v>5494</v>
      </c>
    </row>
    <row r="5251" customFormat="false" ht="15" hidden="false" customHeight="false" outlineLevel="0" collapsed="false">
      <c r="A5251" s="7" t="s">
        <v>6121</v>
      </c>
      <c r="B5251" s="7" t="n">
        <v>8241.91</v>
      </c>
      <c r="C5251" s="7" t="n">
        <f aca="false">AVERAGE(B5202:B5251)</f>
        <v>7890.9548</v>
      </c>
      <c r="D5251" s="7" t="n">
        <f aca="false">AVERAGE(B5052:B5251)</f>
        <v>7587.8833</v>
      </c>
      <c r="E5251" s="7" t="n">
        <f aca="false">B5251/MAX(B5000:B5251)-1</f>
        <v>-0.00169333651490022</v>
      </c>
      <c r="F5251" s="7" t="str">
        <f aca="false">IFERROR(INDEX(02_轉折點45個!B:B,MATCH(A5251,02_轉折點45個!A:A,0)),"")</f>
        <v/>
      </c>
      <c r="G5251" s="7" t="s">
        <v>5494</v>
      </c>
    </row>
    <row r="5252" customFormat="false" ht="15" hidden="false" customHeight="false" outlineLevel="0" collapsed="false">
      <c r="A5252" s="7" t="s">
        <v>6122</v>
      </c>
      <c r="B5252" s="7" t="n">
        <v>8263.79</v>
      </c>
      <c r="C5252" s="7" t="n">
        <f aca="false">AVERAGE(B5203:B5252)</f>
        <v>7904.0404</v>
      </c>
      <c r="D5252" s="7" t="n">
        <f aca="false">AVERAGE(B5053:B5252)</f>
        <v>7596.0383</v>
      </c>
      <c r="E5252" s="7" t="n">
        <f aca="false">B5252/MAX(B5001:B5252)-1</f>
        <v>0</v>
      </c>
      <c r="F5252" s="7" t="str">
        <f aca="false">IFERROR(INDEX(02_轉折點45個!B:B,MATCH(A5252,02_轉折點45個!A:A,0)),"")</f>
        <v/>
      </c>
      <c r="G5252" s="7" t="s">
        <v>5494</v>
      </c>
    </row>
    <row r="5253" customFormat="false" ht="15" hidden="false" customHeight="false" outlineLevel="0" collapsed="false">
      <c r="A5253" s="7" t="s">
        <v>6123</v>
      </c>
      <c r="B5253" s="7" t="n">
        <v>8259.81</v>
      </c>
      <c r="C5253" s="7" t="n">
        <f aca="false">AVERAGE(B5204:B5253)</f>
        <v>7914.8516</v>
      </c>
      <c r="D5253" s="7" t="n">
        <f aca="false">AVERAGE(B5054:B5253)</f>
        <v>7603.2978</v>
      </c>
      <c r="E5253" s="7" t="n">
        <f aca="false">B5253/MAX(B5002:B5253)-1</f>
        <v>-0.000481619208619888</v>
      </c>
      <c r="F5253" s="7" t="str">
        <f aca="false">IFERROR(INDEX(02_轉折點45個!B:B,MATCH(A5253,02_轉折點45個!A:A,0)),"")</f>
        <v/>
      </c>
      <c r="G5253" s="7" t="s">
        <v>5494</v>
      </c>
    </row>
    <row r="5254" customFormat="false" ht="15" hidden="false" customHeight="false" outlineLevel="0" collapsed="false">
      <c r="A5254" s="7" t="s">
        <v>6124</v>
      </c>
      <c r="B5254" s="7" t="n">
        <v>8257.83</v>
      </c>
      <c r="C5254" s="7" t="n">
        <f aca="false">AVERAGE(B5205:B5254)</f>
        <v>7922.7574</v>
      </c>
      <c r="D5254" s="7" t="n">
        <f aca="false">AVERAGE(B5055:B5254)</f>
        <v>7610.05275</v>
      </c>
      <c r="E5254" s="7" t="n">
        <f aca="false">B5254/MAX(B5003:B5254)-1</f>
        <v>-0.000721218714415661</v>
      </c>
      <c r="F5254" s="7" t="str">
        <f aca="false">IFERROR(INDEX(02_轉折點45個!B:B,MATCH(A5254,02_轉折點45個!A:A,0)),"")</f>
        <v/>
      </c>
      <c r="G5254" s="7" t="s">
        <v>5494</v>
      </c>
    </row>
    <row r="5255" customFormat="false" ht="15" hidden="false" customHeight="false" outlineLevel="0" collapsed="false">
      <c r="A5255" s="7" t="s">
        <v>6125</v>
      </c>
      <c r="B5255" s="7" t="n">
        <v>8315.52</v>
      </c>
      <c r="C5255" s="7" t="n">
        <f aca="false">AVERAGE(B5206:B5255)</f>
        <v>7932.017</v>
      </c>
      <c r="D5255" s="7" t="n">
        <f aca="false">AVERAGE(B5056:B5255)</f>
        <v>7617.25275</v>
      </c>
      <c r="E5255" s="7" t="n">
        <f aca="false">B5255/MAX(B5004:B5255)-1</f>
        <v>0</v>
      </c>
      <c r="F5255" s="7" t="str">
        <f aca="false">IFERROR(INDEX(02_轉折點45個!B:B,MATCH(A5255,02_轉折點45個!A:A,0)),"")</f>
        <v/>
      </c>
      <c r="G5255" s="7" t="s">
        <v>5494</v>
      </c>
    </row>
    <row r="5256" customFormat="false" ht="15" hidden="false" customHeight="false" outlineLevel="0" collapsed="false">
      <c r="A5256" s="7" t="s">
        <v>6126</v>
      </c>
      <c r="B5256" s="7" t="n">
        <v>8328.48</v>
      </c>
      <c r="C5256" s="7" t="n">
        <f aca="false">AVERAGE(B5207:B5256)</f>
        <v>7941.9386</v>
      </c>
      <c r="D5256" s="7" t="n">
        <f aca="false">AVERAGE(B5057:B5256)</f>
        <v>7624.09535</v>
      </c>
      <c r="E5256" s="7" t="n">
        <f aca="false">B5256/MAX(B5005:B5256)-1</f>
        <v>0</v>
      </c>
      <c r="F5256" s="7" t="str">
        <f aca="false">IFERROR(INDEX(02_轉折點45個!B:B,MATCH(A5256,02_轉折點45個!A:A,0)),"")</f>
        <v/>
      </c>
      <c r="G5256" s="7" t="s">
        <v>5494</v>
      </c>
    </row>
    <row r="5257" customFormat="false" ht="15" hidden="false" customHeight="false" outlineLevel="0" collapsed="false">
      <c r="A5257" s="7" t="s">
        <v>6127</v>
      </c>
      <c r="B5257" s="7" t="n">
        <v>8338.74</v>
      </c>
      <c r="C5257" s="7" t="n">
        <f aca="false">AVERAGE(B5208:B5257)</f>
        <v>7952.4186</v>
      </c>
      <c r="D5257" s="7" t="n">
        <f aca="false">AVERAGE(B5058:B5257)</f>
        <v>7630.67145</v>
      </c>
      <c r="E5257" s="7" t="n">
        <f aca="false">B5257/MAX(B5006:B5257)-1</f>
        <v>0</v>
      </c>
      <c r="F5257" s="7" t="str">
        <f aca="false">IFERROR(INDEX(02_轉折點45個!B:B,MATCH(A5257,02_轉折點45個!A:A,0)),"")</f>
        <v/>
      </c>
      <c r="G5257" s="7" t="s">
        <v>5494</v>
      </c>
    </row>
    <row r="5258" customFormat="false" ht="15" hidden="false" customHeight="false" outlineLevel="0" collapsed="false">
      <c r="A5258" s="7" t="s">
        <v>6128</v>
      </c>
      <c r="B5258" s="7" t="n">
        <v>8283.75</v>
      </c>
      <c r="C5258" s="7" t="n">
        <f aca="false">AVERAGE(B5209:B5258)</f>
        <v>7960.342</v>
      </c>
      <c r="D5258" s="7" t="n">
        <f aca="false">AVERAGE(B5059:B5258)</f>
        <v>7637.1021</v>
      </c>
      <c r="E5258" s="7" t="n">
        <f aca="false">B5258/MAX(B5007:B5258)-1</f>
        <v>-0.00659452147446737</v>
      </c>
      <c r="F5258" s="7" t="str">
        <f aca="false">IFERROR(INDEX(02_轉折點45個!B:B,MATCH(A5258,02_轉折點45個!A:A,0)),"")</f>
        <v/>
      </c>
      <c r="G5258" s="7" t="s">
        <v>5494</v>
      </c>
    </row>
    <row r="5259" customFormat="false" ht="15" hidden="false" customHeight="false" outlineLevel="0" collapsed="false">
      <c r="A5259" s="7" t="s">
        <v>6129</v>
      </c>
      <c r="B5259" s="7" t="n">
        <v>8265.62</v>
      </c>
      <c r="C5259" s="7" t="n">
        <f aca="false">AVERAGE(B5210:B5259)</f>
        <v>7967.3076</v>
      </c>
      <c r="D5259" s="7" t="n">
        <f aca="false">AVERAGE(B5060:B5259)</f>
        <v>7643.9053</v>
      </c>
      <c r="E5259" s="7" t="n">
        <f aca="false">B5259/MAX(B5008:B5259)-1</f>
        <v>-0.00876871086039366</v>
      </c>
      <c r="F5259" s="7" t="str">
        <f aca="false">IFERROR(INDEX(02_轉折點45個!B:B,MATCH(A5259,02_轉折點45個!A:A,0)),"")</f>
        <v/>
      </c>
      <c r="G5259" s="7" t="s">
        <v>5494</v>
      </c>
    </row>
    <row r="5260" customFormat="false" ht="15" hidden="false" customHeight="false" outlineLevel="0" collapsed="false">
      <c r="A5260" s="7" t="s">
        <v>6130</v>
      </c>
      <c r="B5260" s="7" t="n">
        <v>8272.05</v>
      </c>
      <c r="C5260" s="7" t="n">
        <f aca="false">AVERAGE(B5211:B5260)</f>
        <v>7974.8896</v>
      </c>
      <c r="D5260" s="7" t="n">
        <f aca="false">AVERAGE(B5061:B5260)</f>
        <v>7650.6999</v>
      </c>
      <c r="E5260" s="7" t="n">
        <f aca="false">B5260/MAX(B5009:B5260)-1</f>
        <v>-0.00799761114988606</v>
      </c>
      <c r="F5260" s="7" t="str">
        <f aca="false">IFERROR(INDEX(02_轉折點45個!B:B,MATCH(A5260,02_轉折點45個!A:A,0)),"")</f>
        <v/>
      </c>
      <c r="G5260" s="7" t="s">
        <v>5494</v>
      </c>
    </row>
    <row r="5261" customFormat="false" ht="15" hidden="false" customHeight="false" outlineLevel="0" collapsed="false">
      <c r="A5261" s="7" t="s">
        <v>6131</v>
      </c>
      <c r="B5261" s="7" t="n">
        <v>8371.93</v>
      </c>
      <c r="C5261" s="7" t="n">
        <f aca="false">AVERAGE(B5212:B5261)</f>
        <v>7985.28</v>
      </c>
      <c r="D5261" s="7" t="n">
        <f aca="false">AVERAGE(B5062:B5261)</f>
        <v>7658.01365</v>
      </c>
      <c r="E5261" s="7" t="n">
        <f aca="false">B5261/MAX(B5010:B5261)-1</f>
        <v>0</v>
      </c>
      <c r="F5261" s="7" t="str">
        <f aca="false">IFERROR(INDEX(02_轉折點45個!B:B,MATCH(A5261,02_轉折點45個!A:A,0)),"")</f>
        <v/>
      </c>
      <c r="G5261" s="7" t="s">
        <v>5494</v>
      </c>
    </row>
    <row r="5262" customFormat="false" ht="15" hidden="false" customHeight="false" outlineLevel="0" collapsed="false">
      <c r="A5262" s="7" t="s">
        <v>6132</v>
      </c>
      <c r="B5262" s="7" t="n">
        <v>8385.75</v>
      </c>
      <c r="C5262" s="7" t="n">
        <f aca="false">AVERAGE(B5213:B5262)</f>
        <v>7995.2192</v>
      </c>
      <c r="D5262" s="7" t="n">
        <f aca="false">AVERAGE(B5063:B5262)</f>
        <v>7664.86905</v>
      </c>
      <c r="E5262" s="7" t="n">
        <f aca="false">B5262/MAX(B5011:B5262)-1</f>
        <v>0</v>
      </c>
      <c r="F5262" s="7" t="str">
        <f aca="false">IFERROR(INDEX(02_轉折點45個!B:B,MATCH(A5262,02_轉折點45個!A:A,0)),"")</f>
        <v/>
      </c>
      <c r="G5262" s="7" t="s">
        <v>5494</v>
      </c>
    </row>
    <row r="5263" customFormat="false" ht="15" hidden="false" customHeight="false" outlineLevel="0" collapsed="false">
      <c r="A5263" s="7" t="s">
        <v>6133</v>
      </c>
      <c r="B5263" s="7" t="n">
        <v>8444.71</v>
      </c>
      <c r="C5263" s="7" t="n">
        <f aca="false">AVERAGE(B5214:B5263)</f>
        <v>8006.3422</v>
      </c>
      <c r="D5263" s="7" t="n">
        <f aca="false">AVERAGE(B5064:B5263)</f>
        <v>7672.0132</v>
      </c>
      <c r="E5263" s="7" t="n">
        <f aca="false">B5263/MAX(B5012:B5263)-1</f>
        <v>0</v>
      </c>
      <c r="F5263" s="7" t="str">
        <f aca="false">IFERROR(INDEX(02_轉折點45個!B:B,MATCH(A5263,02_轉折點45個!A:A,0)),"")</f>
        <v/>
      </c>
      <c r="G5263" s="7" t="s">
        <v>5494</v>
      </c>
    </row>
    <row r="5264" customFormat="false" ht="15" hidden="false" customHeight="false" outlineLevel="0" collapsed="false">
      <c r="A5264" s="7" t="s">
        <v>6134</v>
      </c>
      <c r="B5264" s="7" t="n">
        <v>8403.68</v>
      </c>
      <c r="C5264" s="7" t="n">
        <f aca="false">AVERAGE(B5215:B5264)</f>
        <v>8016.38</v>
      </c>
      <c r="D5264" s="7" t="n">
        <f aca="false">AVERAGE(B5065:B5264)</f>
        <v>7678.9195</v>
      </c>
      <c r="E5264" s="7" t="n">
        <f aca="false">B5264/MAX(B5013:B5264)-1</f>
        <v>-0.00485866299730819</v>
      </c>
      <c r="F5264" s="7" t="str">
        <f aca="false">IFERROR(INDEX(02_轉折點45個!B:B,MATCH(A5264,02_轉折點45個!A:A,0)),"")</f>
        <v/>
      </c>
      <c r="G5264" s="7" t="s">
        <v>5494</v>
      </c>
    </row>
    <row r="5265" customFormat="false" ht="15" hidden="false" customHeight="false" outlineLevel="0" collapsed="false">
      <c r="A5265" s="7" t="s">
        <v>6135</v>
      </c>
      <c r="B5265" s="7" t="n">
        <v>8309.26</v>
      </c>
      <c r="C5265" s="7" t="n">
        <f aca="false">AVERAGE(B5216:B5265)</f>
        <v>8026.0942</v>
      </c>
      <c r="D5265" s="7" t="n">
        <f aca="false">AVERAGE(B5066:B5265)</f>
        <v>7685.1899</v>
      </c>
      <c r="E5265" s="7" t="n">
        <f aca="false">B5265/MAX(B5014:B5265)-1</f>
        <v>-0.0160396271748822</v>
      </c>
      <c r="F5265" s="7" t="str">
        <f aca="false">IFERROR(INDEX(02_轉折點45個!B:B,MATCH(A5265,02_轉折點45個!A:A,0)),"")</f>
        <v/>
      </c>
      <c r="G5265" s="7" t="s">
        <v>5494</v>
      </c>
    </row>
    <row r="5266" customFormat="false" ht="15" hidden="false" customHeight="false" outlineLevel="0" collapsed="false">
      <c r="A5266" s="7" t="s">
        <v>6136</v>
      </c>
      <c r="B5266" s="7" t="n">
        <v>8254.74</v>
      </c>
      <c r="C5266" s="7" t="n">
        <f aca="false">AVERAGE(B5217:B5266)</f>
        <v>8034.8168</v>
      </c>
      <c r="D5266" s="7" t="n">
        <f aca="false">AVERAGE(B5067:B5266)</f>
        <v>7691.13055</v>
      </c>
      <c r="E5266" s="7" t="n">
        <f aca="false">B5266/MAX(B5015:B5266)-1</f>
        <v>-0.0224957399365993</v>
      </c>
      <c r="F5266" s="7" t="str">
        <f aca="false">IFERROR(INDEX(02_轉折點45個!B:B,MATCH(A5266,02_轉折點45個!A:A,0)),"")</f>
        <v/>
      </c>
      <c r="G5266" s="7" t="s">
        <v>5494</v>
      </c>
    </row>
    <row r="5267" customFormat="false" ht="15" hidden="false" customHeight="false" outlineLevel="0" collapsed="false">
      <c r="A5267" s="7" t="s">
        <v>1480</v>
      </c>
      <c r="B5267" s="7" t="n">
        <v>8296.53</v>
      </c>
      <c r="C5267" s="7" t="n">
        <f aca="false">AVERAGE(B5218:B5267)</f>
        <v>8046.5466</v>
      </c>
      <c r="D5267" s="7" t="n">
        <f aca="false">AVERAGE(B5068:B5267)</f>
        <v>7697.3015</v>
      </c>
      <c r="E5267" s="7" t="n">
        <f aca="false">B5267/MAX(B5016:B5267)-1</f>
        <v>-0.017547079769465</v>
      </c>
      <c r="F5267" s="7" t="str">
        <f aca="false">IFERROR(INDEX(02_轉折點45個!B:B,MATCH(A5267,02_轉折點45個!A:A,0)),"")</f>
        <v/>
      </c>
      <c r="G5267" s="7" t="s">
        <v>5494</v>
      </c>
    </row>
    <row r="5268" customFormat="false" ht="15" hidden="false" customHeight="false" outlineLevel="0" collapsed="false">
      <c r="A5268" s="7" t="s">
        <v>1481</v>
      </c>
      <c r="B5268" s="7" t="n">
        <v>8308.4</v>
      </c>
      <c r="C5268" s="7" t="n">
        <f aca="false">AVERAGE(B5219:B5268)</f>
        <v>8056.6438</v>
      </c>
      <c r="D5268" s="7" t="n">
        <f aca="false">AVERAGE(B5069:B5268)</f>
        <v>7703.6677</v>
      </c>
      <c r="E5268" s="7" t="n">
        <f aca="false">B5268/MAX(B5017:B5268)-1</f>
        <v>-0.0161414660775798</v>
      </c>
      <c r="F5268" s="7" t="str">
        <f aca="false">IFERROR(INDEX(02_轉折點45個!B:B,MATCH(A5268,02_轉折點45個!A:A,0)),"")</f>
        <v/>
      </c>
      <c r="G5268" s="7" t="s">
        <v>5494</v>
      </c>
    </row>
    <row r="5269" customFormat="false" ht="15" hidden="false" customHeight="false" outlineLevel="0" collapsed="false">
      <c r="A5269" s="7" t="s">
        <v>1482</v>
      </c>
      <c r="B5269" s="7" t="n">
        <v>8397.37</v>
      </c>
      <c r="C5269" s="7" t="n">
        <f aca="false">AVERAGE(B5220:B5269)</f>
        <v>8069.1514</v>
      </c>
      <c r="D5269" s="7" t="n">
        <f aca="false">AVERAGE(B5070:B5269)</f>
        <v>7710.2014</v>
      </c>
      <c r="E5269" s="7" t="n">
        <f aca="false">B5269/MAX(B5018:B5269)-1</f>
        <v>-0.0056058763415201</v>
      </c>
      <c r="F5269" s="7" t="str">
        <f aca="false">IFERROR(INDEX(02_轉折點45個!B:B,MATCH(A5269,02_轉折點45個!A:A,0)),"")</f>
        <v/>
      </c>
      <c r="G5269" s="7" t="s">
        <v>5494</v>
      </c>
    </row>
    <row r="5270" customFormat="false" ht="15" hidden="false" customHeight="false" outlineLevel="0" collapsed="false">
      <c r="A5270" s="7" t="s">
        <v>6137</v>
      </c>
      <c r="B5270" s="7" t="n">
        <v>8362.74</v>
      </c>
      <c r="C5270" s="7" t="n">
        <f aca="false">AVERAGE(B5221:B5270)</f>
        <v>8082.7746</v>
      </c>
      <c r="D5270" s="7" t="n">
        <f aca="false">AVERAGE(B5071:B5270)</f>
        <v>7716.43795</v>
      </c>
      <c r="E5270" s="7" t="n">
        <f aca="false">B5270/MAX(B5019:B5270)-1</f>
        <v>-0.00970666843503198</v>
      </c>
      <c r="F5270" s="7" t="str">
        <f aca="false">IFERROR(INDEX(02_轉折點45個!B:B,MATCH(A5270,02_轉折點45個!A:A,0)),"")</f>
        <v/>
      </c>
      <c r="G5270" s="7" t="s">
        <v>5494</v>
      </c>
    </row>
    <row r="5271" customFormat="false" ht="15" hidden="false" customHeight="false" outlineLevel="0" collapsed="false">
      <c r="A5271" s="7" t="s">
        <v>1483</v>
      </c>
      <c r="B5271" s="7" t="n">
        <v>8354.29</v>
      </c>
      <c r="C5271" s="7" t="n">
        <f aca="false">AVERAGE(B5222:B5271)</f>
        <v>8094.8714</v>
      </c>
      <c r="D5271" s="7" t="n">
        <f aca="false">AVERAGE(B5072:B5271)</f>
        <v>7722.5933</v>
      </c>
      <c r="E5271" s="7" t="n">
        <f aca="false">B5271/MAX(B5020:B5271)-1</f>
        <v>-0.0107072948627008</v>
      </c>
      <c r="F5271" s="7" t="str">
        <f aca="false">IFERROR(INDEX(02_轉折點45個!B:B,MATCH(A5271,02_轉折點45個!A:A,0)),"")</f>
        <v/>
      </c>
      <c r="G5271" s="7" t="s">
        <v>5494</v>
      </c>
    </row>
    <row r="5272" customFormat="false" ht="15" hidden="false" customHeight="false" outlineLevel="0" collapsed="false">
      <c r="A5272" s="7" t="s">
        <v>6138</v>
      </c>
      <c r="B5272" s="7" t="n">
        <v>8402.61</v>
      </c>
      <c r="C5272" s="7" t="n">
        <f aca="false">AVERAGE(B5223:B5272)</f>
        <v>8109.2408</v>
      </c>
      <c r="D5272" s="7" t="n">
        <f aca="false">AVERAGE(B5073:B5272)</f>
        <v>7729.02135</v>
      </c>
      <c r="E5272" s="7" t="n">
        <f aca="false">B5272/MAX(B5021:B5272)-1</f>
        <v>-0.00498536953903672</v>
      </c>
      <c r="F5272" s="7" t="str">
        <f aca="false">IFERROR(INDEX(02_轉折點45個!B:B,MATCH(A5272,02_轉折點45個!A:A,0)),"")</f>
        <v/>
      </c>
      <c r="G5272" s="7" t="s">
        <v>5494</v>
      </c>
    </row>
    <row r="5273" customFormat="false" ht="15" hidden="false" customHeight="false" outlineLevel="0" collapsed="false">
      <c r="A5273" s="7" t="s">
        <v>1484</v>
      </c>
      <c r="B5273" s="7" t="n">
        <v>8466.89</v>
      </c>
      <c r="C5273" s="7" t="n">
        <f aca="false">AVERAGE(B5224:B5273)</f>
        <v>8127.5628</v>
      </c>
      <c r="D5273" s="7" t="n">
        <f aca="false">AVERAGE(B5074:B5273)</f>
        <v>7735.86815</v>
      </c>
      <c r="E5273" s="7" t="n">
        <f aca="false">B5273/MAX(B5022:B5273)-1</f>
        <v>0</v>
      </c>
      <c r="F5273" s="7" t="str">
        <f aca="false">IFERROR(INDEX(02_轉折點45個!B:B,MATCH(A5273,02_轉折點45個!A:A,0)),"")</f>
        <v/>
      </c>
      <c r="G5273" s="7" t="s">
        <v>5494</v>
      </c>
    </row>
    <row r="5274" customFormat="false" ht="15" hidden="false" customHeight="false" outlineLevel="0" collapsed="false">
      <c r="A5274" s="7" t="s">
        <v>1485</v>
      </c>
      <c r="B5274" s="7" t="n">
        <v>8487.71</v>
      </c>
      <c r="C5274" s="7" t="n">
        <f aca="false">AVERAGE(B5225:B5274)</f>
        <v>8144.5492</v>
      </c>
      <c r="D5274" s="7" t="n">
        <f aca="false">AVERAGE(B5075:B5274)</f>
        <v>7742.54885</v>
      </c>
      <c r="E5274" s="7" t="n">
        <f aca="false">B5274/MAX(B5023:B5274)-1</f>
        <v>0</v>
      </c>
      <c r="F5274" s="7" t="str">
        <f aca="false">IFERROR(INDEX(02_轉折點45個!B:B,MATCH(A5274,02_轉折點45個!A:A,0)),"")</f>
        <v/>
      </c>
      <c r="G5274" s="7" t="s">
        <v>5494</v>
      </c>
    </row>
    <row r="5275" customFormat="false" ht="15" hidden="false" customHeight="false" outlineLevel="0" collapsed="false">
      <c r="A5275" s="7" t="s">
        <v>1486</v>
      </c>
      <c r="B5275" s="7" t="n">
        <v>8570.33</v>
      </c>
      <c r="C5275" s="7" t="n">
        <f aca="false">AVERAGE(B5226:B5275)</f>
        <v>8160.8738</v>
      </c>
      <c r="D5275" s="7" t="n">
        <f aca="false">AVERAGE(B5076:B5275)</f>
        <v>7749.64635</v>
      </c>
      <c r="E5275" s="7" t="n">
        <f aca="false">B5275/MAX(B5024:B5275)-1</f>
        <v>0</v>
      </c>
      <c r="F5275" s="7" t="str">
        <f aca="false">IFERROR(INDEX(02_轉折點45個!B:B,MATCH(A5275,02_轉折點45個!A:A,0)),"")</f>
        <v/>
      </c>
      <c r="G5275" s="7" t="s">
        <v>5494</v>
      </c>
    </row>
    <row r="5276" customFormat="false" ht="15" hidden="false" customHeight="false" outlineLevel="0" collapsed="false">
      <c r="A5276" s="7" t="s">
        <v>1487</v>
      </c>
      <c r="B5276" s="7" t="n">
        <v>8575.7</v>
      </c>
      <c r="C5276" s="7" t="n">
        <f aca="false">AVERAGE(B5227:B5276)</f>
        <v>8177.8852</v>
      </c>
      <c r="D5276" s="7" t="n">
        <f aca="false">AVERAGE(B5077:B5276)</f>
        <v>7756.7409</v>
      </c>
      <c r="E5276" s="7" t="n">
        <f aca="false">B5276/MAX(B5025:B5276)-1</f>
        <v>0</v>
      </c>
      <c r="F5276" s="7" t="str">
        <f aca="false">IFERROR(INDEX(02_轉折點45個!B:B,MATCH(A5276,02_轉折點45個!A:A,0)),"")</f>
        <v/>
      </c>
      <c r="G5276" s="7" t="s">
        <v>5494</v>
      </c>
    </row>
    <row r="5277" customFormat="false" ht="15" hidden="false" customHeight="false" outlineLevel="0" collapsed="false">
      <c r="A5277" s="7" t="s">
        <v>1488</v>
      </c>
      <c r="B5277" s="7" t="n">
        <v>8580.62</v>
      </c>
      <c r="C5277" s="7" t="n">
        <f aca="false">AVERAGE(B5228:B5277)</f>
        <v>8197.4122</v>
      </c>
      <c r="D5277" s="7" t="n">
        <f aca="false">AVERAGE(B5078:B5277)</f>
        <v>7764.08165</v>
      </c>
      <c r="E5277" s="7" t="n">
        <f aca="false">B5277/MAX(B5026:B5277)-1</f>
        <v>0</v>
      </c>
      <c r="F5277" s="7" t="str">
        <f aca="false">IFERROR(INDEX(02_轉折點45個!B:B,MATCH(A5277,02_轉折點45個!A:A,0)),"")</f>
        <v/>
      </c>
      <c r="G5277" s="7" t="s">
        <v>5494</v>
      </c>
    </row>
    <row r="5278" customFormat="false" ht="15" hidden="false" customHeight="false" outlineLevel="0" collapsed="false">
      <c r="A5278" s="7" t="s">
        <v>6139</v>
      </c>
      <c r="B5278" s="7" t="n">
        <v>8641.29</v>
      </c>
      <c r="C5278" s="7" t="n">
        <f aca="false">AVERAGE(B5229:B5278)</f>
        <v>8216.4274</v>
      </c>
      <c r="D5278" s="7" t="n">
        <f aca="false">AVERAGE(B5079:B5278)</f>
        <v>7772.1537</v>
      </c>
      <c r="E5278" s="7" t="n">
        <f aca="false">B5278/MAX(B5027:B5278)-1</f>
        <v>0</v>
      </c>
      <c r="F5278" s="7" t="str">
        <f aca="false">IFERROR(INDEX(02_轉折點45個!B:B,MATCH(A5278,02_轉折點45個!A:A,0)),"")</f>
        <v/>
      </c>
      <c r="G5278" s="7" t="s">
        <v>5494</v>
      </c>
    </row>
    <row r="5279" customFormat="false" ht="15" hidden="false" customHeight="false" outlineLevel="0" collapsed="false">
      <c r="A5279" s="7" t="s">
        <v>6140</v>
      </c>
      <c r="B5279" s="7" t="n">
        <v>8678.49</v>
      </c>
      <c r="C5279" s="7" t="n">
        <f aca="false">AVERAGE(B5230:B5279)</f>
        <v>8235.19</v>
      </c>
      <c r="D5279" s="7" t="n">
        <f aca="false">AVERAGE(B5080:B5279)</f>
        <v>7780.4677</v>
      </c>
      <c r="E5279" s="7" t="n">
        <f aca="false">B5279/MAX(B5028:B5279)-1</f>
        <v>0</v>
      </c>
      <c r="F5279" s="7" t="str">
        <f aca="false">IFERROR(INDEX(02_轉折點45個!B:B,MATCH(A5279,02_轉折點45個!A:A,0)),"")</f>
        <v/>
      </c>
      <c r="G5279" s="7" t="s">
        <v>5494</v>
      </c>
    </row>
    <row r="5280" customFormat="false" ht="15" hidden="false" customHeight="false" outlineLevel="0" collapsed="false">
      <c r="A5280" s="7" t="s">
        <v>6141</v>
      </c>
      <c r="B5280" s="7" t="n">
        <v>8696.01</v>
      </c>
      <c r="C5280" s="7" t="n">
        <f aca="false">AVERAGE(B5231:B5280)</f>
        <v>8252.2326</v>
      </c>
      <c r="D5280" s="7" t="n">
        <f aca="false">AVERAGE(B5081:B5280)</f>
        <v>7788.12765</v>
      </c>
      <c r="E5280" s="7" t="n">
        <f aca="false">B5280/MAX(B5029:B5280)-1</f>
        <v>0</v>
      </c>
      <c r="F5280" s="7" t="str">
        <f aca="false">IFERROR(INDEX(02_轉折點45個!B:B,MATCH(A5280,02_轉折點45個!A:A,0)),"")</f>
        <v/>
      </c>
      <c r="G5280" s="7" t="s">
        <v>5494</v>
      </c>
    </row>
    <row r="5281" customFormat="false" ht="15" hidden="false" customHeight="false" outlineLevel="0" collapsed="false">
      <c r="A5281" s="7" t="s">
        <v>6142</v>
      </c>
      <c r="B5281" s="7" t="n">
        <v>8699.51</v>
      </c>
      <c r="C5281" s="7" t="n">
        <f aca="false">AVERAGE(B5232:B5281)</f>
        <v>8269.3762</v>
      </c>
      <c r="D5281" s="7" t="n">
        <f aca="false">AVERAGE(B5082:B5281)</f>
        <v>7795.6188</v>
      </c>
      <c r="E5281" s="7" t="n">
        <f aca="false">B5281/MAX(B5030:B5281)-1</f>
        <v>0</v>
      </c>
      <c r="F5281" s="7" t="str">
        <f aca="false">IFERROR(INDEX(02_轉折點45個!B:B,MATCH(A5281,02_轉折點45個!A:A,0)),"")</f>
        <v/>
      </c>
      <c r="G5281" s="7" t="s">
        <v>5494</v>
      </c>
    </row>
    <row r="5282" customFormat="false" ht="15" hidden="false" customHeight="false" outlineLevel="0" collapsed="false">
      <c r="A5282" s="7" t="s">
        <v>6143</v>
      </c>
      <c r="B5282" s="7" t="n">
        <v>8778.31</v>
      </c>
      <c r="C5282" s="7" t="n">
        <f aca="false">AVERAGE(B5233:B5282)</f>
        <v>8286.0854</v>
      </c>
      <c r="D5282" s="7" t="n">
        <f aca="false">AVERAGE(B5083:B5282)</f>
        <v>7803.22545</v>
      </c>
      <c r="E5282" s="7" t="n">
        <f aca="false">B5282/MAX(B5031:B5282)-1</f>
        <v>0</v>
      </c>
      <c r="F5282" s="7" t="str">
        <f aca="false">IFERROR(INDEX(02_轉折點45個!B:B,MATCH(A5282,02_轉折點45個!A:A,0)),"")</f>
        <v/>
      </c>
      <c r="G5282" s="7" t="s">
        <v>5494</v>
      </c>
    </row>
    <row r="5283" customFormat="false" ht="15" hidden="false" customHeight="false" outlineLevel="0" collapsed="false">
      <c r="A5283" s="7" t="s">
        <v>6144</v>
      </c>
      <c r="B5283" s="7" t="n">
        <v>8770.98</v>
      </c>
      <c r="C5283" s="7" t="n">
        <f aca="false">AVERAGE(B5234:B5283)</f>
        <v>8303.1008</v>
      </c>
      <c r="D5283" s="7" t="n">
        <f aca="false">AVERAGE(B5084:B5283)</f>
        <v>7810.8653</v>
      </c>
      <c r="E5283" s="7" t="n">
        <f aca="false">B5283/MAX(B5032:B5283)-1</f>
        <v>-0.000835012661890455</v>
      </c>
      <c r="F5283" s="7" t="str">
        <f aca="false">IFERROR(INDEX(02_轉折點45個!B:B,MATCH(A5283,02_轉折點45個!A:A,0)),"")</f>
        <v/>
      </c>
      <c r="G5283" s="7" t="s">
        <v>5494</v>
      </c>
    </row>
    <row r="5284" customFormat="false" ht="15" hidden="false" customHeight="false" outlineLevel="0" collapsed="false">
      <c r="A5284" s="7" t="s">
        <v>6145</v>
      </c>
      <c r="B5284" s="7" t="n">
        <v>8709.73</v>
      </c>
      <c r="C5284" s="7" t="n">
        <f aca="false">AVERAGE(B5235:B5284)</f>
        <v>8318.4526</v>
      </c>
      <c r="D5284" s="7" t="n">
        <f aca="false">AVERAGE(B5085:B5284)</f>
        <v>7817.879</v>
      </c>
      <c r="E5284" s="7" t="n">
        <f aca="false">B5284/MAX(B5033:B5284)-1</f>
        <v>-0.00781243770156215</v>
      </c>
      <c r="F5284" s="7" t="str">
        <f aca="false">IFERROR(INDEX(02_轉折點45個!B:B,MATCH(A5284,02_轉折點45個!A:A,0)),"")</f>
        <v/>
      </c>
      <c r="G5284" s="7" t="s">
        <v>5494</v>
      </c>
    </row>
    <row r="5285" customFormat="false" ht="15" hidden="false" customHeight="false" outlineLevel="0" collapsed="false">
      <c r="A5285" s="7" t="s">
        <v>6146</v>
      </c>
      <c r="B5285" s="7" t="n">
        <v>8733.07</v>
      </c>
      <c r="C5285" s="7" t="n">
        <f aca="false">AVERAGE(B5236:B5285)</f>
        <v>8335.7442</v>
      </c>
      <c r="D5285" s="7" t="n">
        <f aca="false">AVERAGE(B5086:B5285)</f>
        <v>7824.91295</v>
      </c>
      <c r="E5285" s="7" t="n">
        <f aca="false">B5285/MAX(B5034:B5285)-1</f>
        <v>-0.0051536115721591</v>
      </c>
      <c r="F5285" s="7" t="str">
        <f aca="false">IFERROR(INDEX(02_轉折點45個!B:B,MATCH(A5285,02_轉折點45個!A:A,0)),"")</f>
        <v/>
      </c>
      <c r="G5285" s="7" t="s">
        <v>5494</v>
      </c>
    </row>
    <row r="5286" customFormat="false" ht="15" hidden="false" customHeight="false" outlineLevel="0" collapsed="false">
      <c r="A5286" s="7" t="s">
        <v>1489</v>
      </c>
      <c r="B5286" s="7" t="n">
        <v>8872.22</v>
      </c>
      <c r="C5286" s="7" t="n">
        <f aca="false">AVERAGE(B5237:B5286)</f>
        <v>8354.382</v>
      </c>
      <c r="D5286" s="7" t="n">
        <f aca="false">AVERAGE(B5087:B5286)</f>
        <v>7832.52765</v>
      </c>
      <c r="E5286" s="7" t="n">
        <f aca="false">B5286/MAX(B5035:B5286)-1</f>
        <v>0</v>
      </c>
      <c r="F5286" s="7" t="str">
        <f aca="false">IFERROR(INDEX(02_轉折點45個!B:B,MATCH(A5286,02_轉折點45個!A:A,0)),"")</f>
        <v/>
      </c>
      <c r="G5286" s="7" t="s">
        <v>5494</v>
      </c>
    </row>
    <row r="5287" customFormat="false" ht="15" hidden="false" customHeight="false" outlineLevel="0" collapsed="false">
      <c r="A5287" s="7" t="s">
        <v>6147</v>
      </c>
      <c r="B5287" s="7" t="n">
        <v>8793.9</v>
      </c>
      <c r="C5287" s="7" t="n">
        <f aca="false">AVERAGE(B5238:B5287)</f>
        <v>8372.7676</v>
      </c>
      <c r="D5287" s="7" t="n">
        <f aca="false">AVERAGE(B5088:B5287)</f>
        <v>7839.5934</v>
      </c>
      <c r="E5287" s="7" t="n">
        <f aca="false">B5287/MAX(B5036:B5287)-1</f>
        <v>-0.00882755387039547</v>
      </c>
      <c r="F5287" s="7" t="str">
        <f aca="false">IFERROR(INDEX(02_轉折點45個!B:B,MATCH(A5287,02_轉折點45個!A:A,0)),"")</f>
        <v/>
      </c>
      <c r="G5287" s="7" t="s">
        <v>5494</v>
      </c>
    </row>
    <row r="5288" customFormat="false" ht="15" hidden="false" customHeight="false" outlineLevel="0" collapsed="false">
      <c r="A5288" s="7" t="s">
        <v>6148</v>
      </c>
      <c r="B5288" s="7" t="n">
        <v>8848.52</v>
      </c>
      <c r="C5288" s="7" t="n">
        <f aca="false">AVERAGE(B5239:B5288)</f>
        <v>8391.9486</v>
      </c>
      <c r="D5288" s="7" t="n">
        <f aca="false">AVERAGE(B5089:B5288)</f>
        <v>7846.36965</v>
      </c>
      <c r="E5288" s="7" t="n">
        <f aca="false">B5288/MAX(B5037:B5288)-1</f>
        <v>-0.00267125927896272</v>
      </c>
      <c r="F5288" s="7" t="str">
        <f aca="false">IFERROR(INDEX(02_轉折點45個!B:B,MATCH(A5288,02_轉折點45個!A:A,0)),"")</f>
        <v/>
      </c>
      <c r="G5288" s="7" t="s">
        <v>5494</v>
      </c>
    </row>
    <row r="5289" customFormat="false" ht="15" hidden="false" customHeight="false" outlineLevel="0" collapsed="false">
      <c r="A5289" s="7" t="s">
        <v>6149</v>
      </c>
      <c r="B5289" s="7" t="n">
        <v>8846.45</v>
      </c>
      <c r="C5289" s="7" t="n">
        <f aca="false">AVERAGE(B5240:B5289)</f>
        <v>8409.5432</v>
      </c>
      <c r="D5289" s="7" t="n">
        <f aca="false">AVERAGE(B5090:B5289)</f>
        <v>7853.9716</v>
      </c>
      <c r="E5289" s="7" t="n">
        <f aca="false">B5289/MAX(B5038:B5289)-1</f>
        <v>-0.00290457179826453</v>
      </c>
      <c r="F5289" s="7" t="str">
        <f aca="false">IFERROR(INDEX(02_轉折點45個!B:B,MATCH(A5289,02_轉折點45個!A:A,0)),"")</f>
        <v/>
      </c>
      <c r="G5289" s="7" t="s">
        <v>5494</v>
      </c>
    </row>
    <row r="5290" customFormat="false" ht="15" hidden="false" customHeight="false" outlineLevel="0" collapsed="false">
      <c r="A5290" s="7" t="s">
        <v>1490</v>
      </c>
      <c r="B5290" s="7" t="n">
        <v>8912.37</v>
      </c>
      <c r="C5290" s="7" t="n">
        <f aca="false">AVERAGE(B5241:B5290)</f>
        <v>8427.2062</v>
      </c>
      <c r="D5290" s="7" t="n">
        <f aca="false">AVERAGE(B5091:B5290)</f>
        <v>7861.94865</v>
      </c>
      <c r="E5290" s="7" t="n">
        <f aca="false">B5290/MAX(B5039:B5290)-1</f>
        <v>0</v>
      </c>
      <c r="F5290" s="7" t="str">
        <f aca="false">IFERROR(INDEX(02_轉折點45個!B:B,MATCH(A5290,02_轉折點45個!A:A,0)),"")</f>
        <v/>
      </c>
      <c r="G5290" s="7" t="s">
        <v>5494</v>
      </c>
    </row>
    <row r="5291" customFormat="false" ht="15" hidden="false" customHeight="false" outlineLevel="0" collapsed="false">
      <c r="A5291" s="7" t="s">
        <v>6150</v>
      </c>
      <c r="B5291" s="7" t="n">
        <v>8989.63</v>
      </c>
      <c r="C5291" s="7" t="n">
        <f aca="false">AVERAGE(B5242:B5291)</f>
        <v>8444.7854</v>
      </c>
      <c r="D5291" s="7" t="n">
        <f aca="false">AVERAGE(B5092:B5291)</f>
        <v>7870.14105</v>
      </c>
      <c r="E5291" s="7" t="n">
        <f aca="false">B5291/MAX(B5040:B5291)-1</f>
        <v>0</v>
      </c>
      <c r="F5291" s="7" t="str">
        <f aca="false">IFERROR(INDEX(02_轉折點45個!B:B,MATCH(A5291,02_轉折點45個!A:A,0)),"")</f>
        <v/>
      </c>
      <c r="G5291" s="7" t="s">
        <v>5494</v>
      </c>
    </row>
    <row r="5292" customFormat="false" ht="15" hidden="false" customHeight="false" outlineLevel="0" collapsed="false">
      <c r="A5292" s="7" t="s">
        <v>6151</v>
      </c>
      <c r="B5292" s="7" t="n">
        <v>8966.64</v>
      </c>
      <c r="C5292" s="7" t="n">
        <f aca="false">AVERAGE(B5243:B5292)</f>
        <v>8463.168</v>
      </c>
      <c r="D5292" s="7" t="n">
        <f aca="false">AVERAGE(B5093:B5292)</f>
        <v>7878.4333</v>
      </c>
      <c r="E5292" s="7" t="n">
        <f aca="false">B5292/MAX(B5041:B5292)-1</f>
        <v>-0.00255739112733222</v>
      </c>
      <c r="F5292" s="7" t="str">
        <f aca="false">IFERROR(INDEX(02_轉折點45個!B:B,MATCH(A5292,02_轉折點45個!A:A,0)),"")</f>
        <v/>
      </c>
      <c r="G5292" s="7" t="s">
        <v>5494</v>
      </c>
    </row>
    <row r="5293" customFormat="false" ht="15" hidden="false" customHeight="false" outlineLevel="0" collapsed="false">
      <c r="A5293" s="7" t="s">
        <v>1491</v>
      </c>
      <c r="B5293" s="7" t="n">
        <v>9070.65</v>
      </c>
      <c r="C5293" s="7" t="n">
        <f aca="false">AVERAGE(B5244:B5293)</f>
        <v>8482.9188</v>
      </c>
      <c r="D5293" s="7" t="n">
        <f aca="false">AVERAGE(B5094:B5293)</f>
        <v>7887.1842</v>
      </c>
      <c r="E5293" s="7" t="n">
        <f aca="false">B5293/MAX(B5042:B5293)-1</f>
        <v>0</v>
      </c>
      <c r="F5293" s="7" t="str">
        <f aca="false">IFERROR(INDEX(02_轉折點45個!B:B,MATCH(A5293,02_轉折點45個!A:A,0)),"")</f>
        <v/>
      </c>
      <c r="G5293" s="7" t="s">
        <v>5494</v>
      </c>
    </row>
    <row r="5294" customFormat="false" ht="15" hidden="false" customHeight="false" outlineLevel="0" collapsed="false">
      <c r="A5294" s="7" t="s">
        <v>6152</v>
      </c>
      <c r="B5294" s="7" t="n">
        <v>9033.42</v>
      </c>
      <c r="C5294" s="7" t="n">
        <f aca="false">AVERAGE(B5245:B5294)</f>
        <v>8501.9106</v>
      </c>
      <c r="D5294" s="7" t="n">
        <f aca="false">AVERAGE(B5095:B5294)</f>
        <v>7895.45745</v>
      </c>
      <c r="E5294" s="7" t="n">
        <f aca="false">B5294/MAX(B5043:B5294)-1</f>
        <v>-0.00410444675960375</v>
      </c>
      <c r="F5294" s="7" t="str">
        <f aca="false">IFERROR(INDEX(02_轉折點45個!B:B,MATCH(A5294,02_轉折點45個!A:A,0)),"")</f>
        <v/>
      </c>
      <c r="G5294" s="7" t="s">
        <v>5494</v>
      </c>
    </row>
    <row r="5295" customFormat="false" ht="15" hidden="false" customHeight="false" outlineLevel="0" collapsed="false">
      <c r="A5295" s="7" t="s">
        <v>6153</v>
      </c>
      <c r="B5295" s="7" t="n">
        <v>9035.67</v>
      </c>
      <c r="C5295" s="7" t="n">
        <f aca="false">AVERAGE(B5246:B5295)</f>
        <v>8519.4006</v>
      </c>
      <c r="D5295" s="7" t="n">
        <f aca="false">AVERAGE(B5096:B5295)</f>
        <v>7903.2437</v>
      </c>
      <c r="E5295" s="7" t="n">
        <f aca="false">B5295/MAX(B5044:B5295)-1</f>
        <v>-0.00385639397397097</v>
      </c>
      <c r="F5295" s="7" t="str">
        <f aca="false">IFERROR(INDEX(02_轉折點45個!B:B,MATCH(A5295,02_轉折點45個!A:A,0)),"")</f>
        <v/>
      </c>
      <c r="G5295" s="7" t="s">
        <v>5494</v>
      </c>
    </row>
    <row r="5296" customFormat="false" ht="15" hidden="false" customHeight="false" outlineLevel="0" collapsed="false">
      <c r="A5296" s="7" t="s">
        <v>6154</v>
      </c>
      <c r="B5296" s="7" t="n">
        <v>9125</v>
      </c>
      <c r="C5296" s="7" t="n">
        <f aca="false">AVERAGE(B5247:B5296)</f>
        <v>8537.6874</v>
      </c>
      <c r="D5296" s="7" t="n">
        <f aca="false">AVERAGE(B5097:B5296)</f>
        <v>7911.3705</v>
      </c>
      <c r="E5296" s="7" t="n">
        <f aca="false">B5296/MAX(B5045:B5296)-1</f>
        <v>0</v>
      </c>
      <c r="F5296" s="7" t="str">
        <f aca="false">IFERROR(INDEX(02_轉折點45個!B:B,MATCH(A5296,02_轉折點45個!A:A,0)),"")</f>
        <v/>
      </c>
      <c r="G5296" s="7" t="s">
        <v>5494</v>
      </c>
    </row>
    <row r="5297" customFormat="false" ht="15" hidden="false" customHeight="false" outlineLevel="0" collapsed="false">
      <c r="A5297" s="7" t="s">
        <v>6155</v>
      </c>
      <c r="B5297" s="7" t="n">
        <v>9173.73</v>
      </c>
      <c r="C5297" s="7" t="n">
        <f aca="false">AVERAGE(B5248:B5297)</f>
        <v>8556.9584</v>
      </c>
      <c r="D5297" s="7" t="n">
        <f aca="false">AVERAGE(B5098:B5297)</f>
        <v>7919.5143</v>
      </c>
      <c r="E5297" s="7" t="n">
        <f aca="false">B5297/MAX(B5046:B5297)-1</f>
        <v>0</v>
      </c>
      <c r="F5297" s="7" t="str">
        <f aca="false">IFERROR(INDEX(02_轉折點45個!B:B,MATCH(A5297,02_轉折點45個!A:A,0)),"")</f>
        <v/>
      </c>
      <c r="G5297" s="7" t="s">
        <v>5494</v>
      </c>
    </row>
    <row r="5298" customFormat="false" ht="15" hidden="false" customHeight="false" outlineLevel="0" collapsed="false">
      <c r="A5298" s="7" t="s">
        <v>6156</v>
      </c>
      <c r="B5298" s="7" t="n">
        <v>9166.63</v>
      </c>
      <c r="C5298" s="7" t="n">
        <f aca="false">AVERAGE(B5249:B5298)</f>
        <v>8576.3704</v>
      </c>
      <c r="D5298" s="7" t="n">
        <f aca="false">AVERAGE(B5099:B5298)</f>
        <v>7927.6446</v>
      </c>
      <c r="E5298" s="7" t="n">
        <f aca="false">B5298/MAX(B5047:B5298)-1</f>
        <v>-0.000773949091590898</v>
      </c>
      <c r="F5298" s="7" t="str">
        <f aca="false">IFERROR(INDEX(02_轉折點45個!B:B,MATCH(A5298,02_轉折點45個!A:A,0)),"")</f>
        <v/>
      </c>
      <c r="G5298" s="7" t="s">
        <v>5494</v>
      </c>
    </row>
    <row r="5299" customFormat="false" ht="15" hidden="false" customHeight="false" outlineLevel="0" collapsed="false">
      <c r="A5299" s="7" t="s">
        <v>6157</v>
      </c>
      <c r="B5299" s="7" t="n">
        <v>9188.58</v>
      </c>
      <c r="C5299" s="7" t="n">
        <f aca="false">AVERAGE(B5250:B5299)</f>
        <v>8595.749</v>
      </c>
      <c r="D5299" s="7" t="n">
        <f aca="false">AVERAGE(B5100:B5299)</f>
        <v>7935.6933</v>
      </c>
      <c r="E5299" s="7" t="n">
        <f aca="false">B5299/MAX(B5048:B5299)-1</f>
        <v>0</v>
      </c>
      <c r="F5299" s="7" t="str">
        <f aca="false">IFERROR(INDEX(02_轉折點45個!B:B,MATCH(A5299,02_轉折點45個!A:A,0)),"")</f>
        <v/>
      </c>
      <c r="G5299" s="7" t="s">
        <v>5494</v>
      </c>
    </row>
    <row r="5300" customFormat="false" ht="15" hidden="false" customHeight="false" outlineLevel="0" collapsed="false">
      <c r="A5300" s="7" t="s">
        <v>6158</v>
      </c>
      <c r="B5300" s="7" t="n">
        <v>9216.98</v>
      </c>
      <c r="C5300" s="7" t="n">
        <f aca="false">AVERAGE(B5251:B5300)</f>
        <v>8614.9708</v>
      </c>
      <c r="D5300" s="7" t="n">
        <f aca="false">AVERAGE(B5101:B5300)</f>
        <v>7943.7795</v>
      </c>
      <c r="E5300" s="7" t="n">
        <f aca="false">B5300/MAX(B5049:B5300)-1</f>
        <v>0</v>
      </c>
      <c r="F5300" s="7" t="str">
        <f aca="false">IFERROR(INDEX(02_轉折點45個!B:B,MATCH(A5300,02_轉折點45個!A:A,0)),"")</f>
        <v/>
      </c>
      <c r="G5300" s="7" t="s">
        <v>5494</v>
      </c>
    </row>
    <row r="5301" customFormat="false" ht="15" hidden="false" customHeight="false" outlineLevel="0" collapsed="false">
      <c r="A5301" s="7" t="s">
        <v>6159</v>
      </c>
      <c r="B5301" s="7" t="n">
        <v>9141.47</v>
      </c>
      <c r="C5301" s="7" t="n">
        <f aca="false">AVERAGE(B5252:B5301)</f>
        <v>8632.962</v>
      </c>
      <c r="D5301" s="7" t="n">
        <f aca="false">AVERAGE(B5102:B5301)</f>
        <v>7951.6444</v>
      </c>
      <c r="E5301" s="7" t="n">
        <f aca="false">B5301/MAX(B5050:B5301)-1</f>
        <v>-0.00819248821197405</v>
      </c>
      <c r="F5301" s="7" t="str">
        <f aca="false">IFERROR(INDEX(02_轉折點45個!B:B,MATCH(A5301,02_轉折點45個!A:A,0)),"")</f>
        <v/>
      </c>
      <c r="G5301" s="7" t="s">
        <v>5494</v>
      </c>
    </row>
    <row r="5302" customFormat="false" ht="15" hidden="false" customHeight="false" outlineLevel="0" collapsed="false">
      <c r="A5302" s="7" t="s">
        <v>1492</v>
      </c>
      <c r="B5302" s="7" t="n">
        <v>8952.18</v>
      </c>
      <c r="C5302" s="7" t="n">
        <f aca="false">AVERAGE(B5253:B5302)</f>
        <v>8646.7298</v>
      </c>
      <c r="D5302" s="7" t="n">
        <f aca="false">AVERAGE(B5103:B5302)</f>
        <v>7958.34785</v>
      </c>
      <c r="E5302" s="7" t="n">
        <f aca="false">B5302/MAX(B5051:B5302)-1</f>
        <v>-0.0287295838767144</v>
      </c>
      <c r="F5302" s="7" t="str">
        <f aca="false">IFERROR(INDEX(02_轉折點45個!B:B,MATCH(A5302,02_轉折點45個!A:A,0)),"")</f>
        <v/>
      </c>
      <c r="G5302" s="7" t="s">
        <v>5494</v>
      </c>
    </row>
    <row r="5303" customFormat="false" ht="15" hidden="false" customHeight="false" outlineLevel="0" collapsed="false">
      <c r="A5303" s="7" t="s">
        <v>6160</v>
      </c>
      <c r="B5303" s="7" t="n">
        <v>9090.93</v>
      </c>
      <c r="C5303" s="7" t="n">
        <f aca="false">AVERAGE(B5254:B5303)</f>
        <v>8663.3522</v>
      </c>
      <c r="D5303" s="7" t="n">
        <f aca="false">AVERAGE(B5104:B5303)</f>
        <v>7965.82805</v>
      </c>
      <c r="E5303" s="7" t="n">
        <f aca="false">B5303/MAX(B5052:B5303)-1</f>
        <v>-0.0136758461014345</v>
      </c>
      <c r="F5303" s="7" t="str">
        <f aca="false">IFERROR(INDEX(02_轉折點45個!B:B,MATCH(A5303,02_轉折點45個!A:A,0)),"")</f>
        <v/>
      </c>
      <c r="G5303" s="7" t="s">
        <v>5494</v>
      </c>
    </row>
    <row r="5304" customFormat="false" ht="15" hidden="false" customHeight="false" outlineLevel="0" collapsed="false">
      <c r="A5304" s="7" t="s">
        <v>1493</v>
      </c>
      <c r="B5304" s="7" t="n">
        <v>9101.61</v>
      </c>
      <c r="C5304" s="7" t="n">
        <f aca="false">AVERAGE(B5255:B5304)</f>
        <v>8680.2278</v>
      </c>
      <c r="D5304" s="7" t="n">
        <f aca="false">AVERAGE(B5105:B5304)</f>
        <v>7973.19535</v>
      </c>
      <c r="E5304" s="7" t="n">
        <f aca="false">B5304/MAX(B5053:B5304)-1</f>
        <v>-0.0125171151505156</v>
      </c>
      <c r="F5304" s="7" t="str">
        <f aca="false">IFERROR(INDEX(02_轉折點45個!B:B,MATCH(A5304,02_轉折點45個!A:A,0)),"")</f>
        <v/>
      </c>
      <c r="G5304" s="7" t="s">
        <v>5494</v>
      </c>
    </row>
    <row r="5305" customFormat="false" ht="15" hidden="false" customHeight="false" outlineLevel="0" collapsed="false">
      <c r="A5305" s="7" t="s">
        <v>6161</v>
      </c>
      <c r="B5305" s="7" t="n">
        <v>9136.09</v>
      </c>
      <c r="C5305" s="7" t="n">
        <f aca="false">AVERAGE(B5256:B5305)</f>
        <v>8696.6392</v>
      </c>
      <c r="D5305" s="7" t="n">
        <f aca="false">AVERAGE(B5106:B5305)</f>
        <v>7980.7302</v>
      </c>
      <c r="E5305" s="7" t="n">
        <f aca="false">B5305/MAX(B5054:B5305)-1</f>
        <v>-0.00877619350372894</v>
      </c>
      <c r="F5305" s="7" t="str">
        <f aca="false">IFERROR(INDEX(02_轉折點45個!B:B,MATCH(A5305,02_轉折點45個!A:A,0)),"")</f>
        <v/>
      </c>
      <c r="G5305" s="7" t="s">
        <v>5494</v>
      </c>
    </row>
    <row r="5306" customFormat="false" ht="15" hidden="false" customHeight="false" outlineLevel="0" collapsed="false">
      <c r="A5306" s="7" t="s">
        <v>1494</v>
      </c>
      <c r="B5306" s="7" t="n">
        <v>8991.51</v>
      </c>
      <c r="C5306" s="7" t="n">
        <f aca="false">AVERAGE(B5257:B5306)</f>
        <v>8709.8998</v>
      </c>
      <c r="D5306" s="7" t="n">
        <f aca="false">AVERAGE(B5107:B5306)</f>
        <v>7987.4141</v>
      </c>
      <c r="E5306" s="7" t="n">
        <f aca="false">B5306/MAX(B5055:B5306)-1</f>
        <v>-0.0244624595040891</v>
      </c>
      <c r="F5306" s="7" t="str">
        <f aca="false">IFERROR(INDEX(02_轉折點45個!B:B,MATCH(A5306,02_轉折點45個!A:A,0)),"")</f>
        <v/>
      </c>
      <c r="G5306" s="7" t="s">
        <v>5494</v>
      </c>
    </row>
    <row r="5307" customFormat="false" ht="15" hidden="false" customHeight="false" outlineLevel="0" collapsed="false">
      <c r="A5307" s="7" t="s">
        <v>6162</v>
      </c>
      <c r="B5307" s="7" t="n">
        <v>9126.23</v>
      </c>
      <c r="C5307" s="7" t="n">
        <f aca="false">AVERAGE(B5258:B5307)</f>
        <v>8725.6496</v>
      </c>
      <c r="D5307" s="7" t="n">
        <f aca="false">AVERAGE(B5108:B5307)</f>
        <v>7994.64165</v>
      </c>
      <c r="E5307" s="7" t="n">
        <f aca="false">B5307/MAX(B5056:B5307)-1</f>
        <v>-0.00984595822058854</v>
      </c>
      <c r="F5307" s="7" t="str">
        <f aca="false">IFERROR(INDEX(02_轉折點45個!B:B,MATCH(A5307,02_轉折點45個!A:A,0)),"")</f>
        <v/>
      </c>
      <c r="G5307" s="7" t="s">
        <v>5494</v>
      </c>
    </row>
    <row r="5308" customFormat="false" ht="15" hidden="false" customHeight="false" outlineLevel="0" collapsed="false">
      <c r="A5308" s="7" t="s">
        <v>1495</v>
      </c>
      <c r="B5308" s="7" t="n">
        <v>9334.06</v>
      </c>
      <c r="C5308" s="7" t="n">
        <f aca="false">AVERAGE(B5259:B5308)</f>
        <v>8746.6558</v>
      </c>
      <c r="D5308" s="7" t="n">
        <f aca="false">AVERAGE(B5109:B5308)</f>
        <v>8002.86335</v>
      </c>
      <c r="E5308" s="7" t="n">
        <f aca="false">B5308/MAX(B5057:B5308)-1</f>
        <v>0</v>
      </c>
      <c r="F5308" s="7" t="str">
        <f aca="false">IFERROR(INDEX(02_轉折點45個!B:B,MATCH(A5308,02_轉折點45個!A:A,0)),"")</f>
        <v/>
      </c>
      <c r="G5308" s="7" t="s">
        <v>5494</v>
      </c>
    </row>
    <row r="5309" customFormat="false" ht="15" hidden="false" customHeight="false" outlineLevel="0" collapsed="false">
      <c r="A5309" s="7" t="s">
        <v>1496</v>
      </c>
      <c r="B5309" s="7" t="n">
        <v>9367.48</v>
      </c>
      <c r="C5309" s="7" t="n">
        <f aca="false">AVERAGE(B5260:B5309)</f>
        <v>8768.693</v>
      </c>
      <c r="D5309" s="7" t="n">
        <f aca="false">AVERAGE(B5110:B5309)</f>
        <v>8011.1333</v>
      </c>
      <c r="E5309" s="7" t="n">
        <f aca="false">B5309/MAX(B5058:B5309)-1</f>
        <v>0</v>
      </c>
      <c r="F5309" s="7" t="str">
        <f aca="false">IFERROR(INDEX(02_轉折點45個!B:B,MATCH(A5309,02_轉折點45個!A:A,0)),"")</f>
        <v/>
      </c>
      <c r="G5309" s="7" t="s">
        <v>5494</v>
      </c>
    </row>
    <row r="5310" customFormat="false" ht="15" hidden="false" customHeight="false" outlineLevel="0" collapsed="false">
      <c r="A5310" s="7" t="s">
        <v>1497</v>
      </c>
      <c r="B5310" s="7" t="n">
        <v>9445.92</v>
      </c>
      <c r="C5310" s="7" t="n">
        <f aca="false">AVERAGE(B5261:B5310)</f>
        <v>8792.1704</v>
      </c>
      <c r="D5310" s="7" t="n">
        <f aca="false">AVERAGE(B5111:B5310)</f>
        <v>8019.30935</v>
      </c>
      <c r="E5310" s="7" t="n">
        <f aca="false">B5310/MAX(B5059:B5310)-1</f>
        <v>0</v>
      </c>
      <c r="F5310" s="7" t="str">
        <f aca="false">IFERROR(INDEX(02_轉折點45個!B:B,MATCH(A5310,02_轉折點45個!A:A,0)),"")</f>
        <v/>
      </c>
      <c r="G5310" s="7" t="s">
        <v>5494</v>
      </c>
    </row>
    <row r="5311" customFormat="false" ht="15" hidden="false" customHeight="false" outlineLevel="0" collapsed="false">
      <c r="A5311" s="7" t="s">
        <v>6163</v>
      </c>
      <c r="B5311" s="7" t="n">
        <v>9401.1</v>
      </c>
      <c r="C5311" s="7" t="n">
        <f aca="false">AVERAGE(B5262:B5311)</f>
        <v>8812.7538</v>
      </c>
      <c r="D5311" s="7" t="n">
        <f aca="false">AVERAGE(B5112:B5311)</f>
        <v>8027.3928</v>
      </c>
      <c r="E5311" s="7" t="n">
        <f aca="false">B5311/MAX(B5060:B5311)-1</f>
        <v>-0.00474490573708009</v>
      </c>
      <c r="F5311" s="7" t="str">
        <f aca="false">IFERROR(INDEX(02_轉折點45個!B:B,MATCH(A5311,02_轉折點45個!A:A,0)),"")</f>
        <v/>
      </c>
      <c r="G5311" s="7" t="s">
        <v>5494</v>
      </c>
    </row>
    <row r="5312" customFormat="false" ht="15" hidden="false" customHeight="false" outlineLevel="0" collapsed="false">
      <c r="A5312" s="7" t="s">
        <v>1498</v>
      </c>
      <c r="B5312" s="7" t="n">
        <v>9516.84</v>
      </c>
      <c r="C5312" s="7" t="n">
        <f aca="false">AVERAGE(B5263:B5312)</f>
        <v>8835.3756</v>
      </c>
      <c r="D5312" s="7" t="n">
        <f aca="false">AVERAGE(B5113:B5312)</f>
        <v>8035.8924</v>
      </c>
      <c r="E5312" s="7" t="n">
        <f aca="false">B5312/MAX(B5061:B5312)-1</f>
        <v>0</v>
      </c>
      <c r="F5312" s="7" t="str">
        <f aca="false">IFERROR(INDEX(02_轉折點45個!B:B,MATCH(A5312,02_轉折點45個!A:A,0)),"")</f>
        <v/>
      </c>
      <c r="G5312" s="7" t="s">
        <v>5494</v>
      </c>
    </row>
    <row r="5313" customFormat="false" ht="15" hidden="false" customHeight="false" outlineLevel="0" collapsed="false">
      <c r="A5313" s="7" t="s">
        <v>1499</v>
      </c>
      <c r="B5313" s="7" t="n">
        <v>9517.86</v>
      </c>
      <c r="C5313" s="7" t="n">
        <f aca="false">AVERAGE(B5264:B5313)</f>
        <v>8856.8386</v>
      </c>
      <c r="D5313" s="7" t="n">
        <f aca="false">AVERAGE(B5114:B5313)</f>
        <v>8044.3483</v>
      </c>
      <c r="E5313" s="7" t="n">
        <f aca="false">B5313/MAX(B5062:B5313)-1</f>
        <v>0</v>
      </c>
      <c r="F5313" s="7" t="str">
        <f aca="false">IFERROR(INDEX(02_轉折點45個!B:B,MATCH(A5313,02_轉折點45個!A:A,0)),"")</f>
        <v/>
      </c>
      <c r="G5313" s="7" t="s">
        <v>5494</v>
      </c>
    </row>
    <row r="5314" customFormat="false" ht="15" hidden="false" customHeight="false" outlineLevel="0" collapsed="false">
      <c r="A5314" s="7" t="s">
        <v>1500</v>
      </c>
      <c r="B5314" s="7" t="n">
        <v>9613.2</v>
      </c>
      <c r="C5314" s="7" t="n">
        <f aca="false">AVERAGE(B5265:B5314)</f>
        <v>8881.029</v>
      </c>
      <c r="D5314" s="7" t="n">
        <f aca="false">AVERAGE(B5115:B5314)</f>
        <v>8053.2191</v>
      </c>
      <c r="E5314" s="7" t="n">
        <f aca="false">B5314/MAX(B5063:B5314)-1</f>
        <v>0</v>
      </c>
      <c r="F5314" s="7" t="str">
        <f aca="false">IFERROR(INDEX(02_轉折點45個!B:B,MATCH(A5314,02_轉折點45個!A:A,0)),"")</f>
        <v/>
      </c>
      <c r="G5314" s="7" t="s">
        <v>5494</v>
      </c>
    </row>
    <row r="5315" customFormat="false" ht="15" hidden="false" customHeight="false" outlineLevel="0" collapsed="false">
      <c r="A5315" s="7" t="s">
        <v>6164</v>
      </c>
      <c r="B5315" s="7" t="n">
        <v>9595.7</v>
      </c>
      <c r="C5315" s="7" t="n">
        <f aca="false">AVERAGE(B5266:B5315)</f>
        <v>8906.7578</v>
      </c>
      <c r="D5315" s="7" t="n">
        <f aca="false">AVERAGE(B5116:B5315)</f>
        <v>8062.2903</v>
      </c>
      <c r="E5315" s="7" t="n">
        <f aca="false">B5315/MAX(B5064:B5315)-1</f>
        <v>-0.00182041359796947</v>
      </c>
      <c r="F5315" s="7" t="str">
        <f aca="false">IFERROR(INDEX(02_轉折點45個!B:B,MATCH(A5315,02_轉折點45個!A:A,0)),"")</f>
        <v/>
      </c>
      <c r="G5315" s="7" t="s">
        <v>5494</v>
      </c>
    </row>
    <row r="5316" customFormat="false" ht="15" hidden="false" customHeight="false" outlineLevel="0" collapsed="false">
      <c r="A5316" s="7" t="s">
        <v>1501</v>
      </c>
      <c r="B5316" s="7" t="n">
        <v>9623.58</v>
      </c>
      <c r="C5316" s="7" t="n">
        <f aca="false">AVERAGE(B5267:B5316)</f>
        <v>8934.1346</v>
      </c>
      <c r="D5316" s="7" t="n">
        <f aca="false">AVERAGE(B5117:B5316)</f>
        <v>8071.64895</v>
      </c>
      <c r="E5316" s="7" t="n">
        <f aca="false">B5316/MAX(B5065:B5316)-1</f>
        <v>0</v>
      </c>
      <c r="F5316" s="7" t="str">
        <f aca="false">IFERROR(INDEX(02_轉折點45個!B:B,MATCH(A5316,02_轉折點45個!A:A,0)),"")</f>
        <v/>
      </c>
      <c r="G5316" s="7" t="s">
        <v>5494</v>
      </c>
    </row>
    <row r="5317" customFormat="false" ht="15" hidden="false" customHeight="false" outlineLevel="0" collapsed="false">
      <c r="A5317" s="7" t="s">
        <v>1502</v>
      </c>
      <c r="B5317" s="7" t="n">
        <v>9629.8</v>
      </c>
      <c r="C5317" s="7" t="n">
        <f aca="false">AVERAGE(B5268:B5317)</f>
        <v>8960.8</v>
      </c>
      <c r="D5317" s="7" t="n">
        <f aca="false">AVERAGE(B5118:B5317)</f>
        <v>8081.17765</v>
      </c>
      <c r="E5317" s="7" t="n">
        <f aca="false">B5317/MAX(B5066:B5317)-1</f>
        <v>0</v>
      </c>
      <c r="F5317" s="7" t="str">
        <f aca="false">IFERROR(INDEX(02_轉折點45個!B:B,MATCH(A5317,02_轉折點45個!A:A,0)),"")</f>
        <v/>
      </c>
      <c r="G5317" s="7" t="s">
        <v>5494</v>
      </c>
    </row>
    <row r="5318" customFormat="false" ht="15" hidden="false" customHeight="false" outlineLevel="0" collapsed="false">
      <c r="A5318" s="7" t="s">
        <v>148</v>
      </c>
      <c r="B5318" s="7" t="n">
        <v>9718.73</v>
      </c>
      <c r="C5318" s="7" t="n">
        <f aca="false">AVERAGE(B5269:B5318)</f>
        <v>8989.0066</v>
      </c>
      <c r="D5318" s="7" t="n">
        <f aca="false">AVERAGE(B5119:B5318)</f>
        <v>8090.54265</v>
      </c>
      <c r="E5318" s="7" t="n">
        <f aca="false">B5318/MAX(B5067:B5318)-1</f>
        <v>0</v>
      </c>
      <c r="F5318" s="7" t="str">
        <f aca="false">IFERROR(INDEX(02_轉折點45個!B:B,MATCH(A5318,02_轉折點45個!A:A,0)),"")</f>
        <v>TOP</v>
      </c>
      <c r="G5318" s="7" t="s">
        <v>5494</v>
      </c>
    </row>
    <row r="5319" customFormat="false" ht="15" hidden="false" customHeight="false" outlineLevel="0" collapsed="false">
      <c r="A5319" s="7" t="s">
        <v>6165</v>
      </c>
      <c r="B5319" s="7" t="n">
        <v>9627.83</v>
      </c>
      <c r="C5319" s="7" t="n">
        <f aca="false">AVERAGE(B5270:B5319)</f>
        <v>9013.6158</v>
      </c>
      <c r="D5319" s="7" t="n">
        <f aca="false">AVERAGE(B5120:B5319)</f>
        <v>8099.71135</v>
      </c>
      <c r="E5319" s="7" t="n">
        <f aca="false">B5319/MAX(B5068:B5319)-1</f>
        <v>-0.00935307390986262</v>
      </c>
      <c r="F5319" s="7" t="str">
        <f aca="false">IFERROR(INDEX(02_轉折點45個!B:B,MATCH(A5319,02_轉折點45個!A:A,0)),"")</f>
        <v/>
      </c>
      <c r="G5319" s="7" t="s">
        <v>5494</v>
      </c>
    </row>
    <row r="5320" customFormat="false" ht="15" hidden="false" customHeight="false" outlineLevel="0" collapsed="false">
      <c r="A5320" s="7" t="s">
        <v>6166</v>
      </c>
      <c r="B5320" s="7" t="n">
        <v>9446.69</v>
      </c>
      <c r="C5320" s="7" t="n">
        <f aca="false">AVERAGE(B5271:B5320)</f>
        <v>9035.2948</v>
      </c>
      <c r="D5320" s="7" t="n">
        <f aca="false">AVERAGE(B5121:B5320)</f>
        <v>8108.74405</v>
      </c>
      <c r="E5320" s="7" t="n">
        <f aca="false">B5320/MAX(B5069:B5320)-1</f>
        <v>-0.0279913116219916</v>
      </c>
      <c r="F5320" s="7" t="str">
        <f aca="false">IFERROR(INDEX(02_轉折點45個!B:B,MATCH(A5320,02_轉折點45個!A:A,0)),"")</f>
        <v/>
      </c>
      <c r="G5320" s="7" t="s">
        <v>5494</v>
      </c>
    </row>
    <row r="5321" customFormat="false" ht="15" hidden="false" customHeight="false" outlineLevel="0" collapsed="false">
      <c r="A5321" s="7" t="s">
        <v>1503</v>
      </c>
      <c r="B5321" s="7" t="n">
        <v>9079.63</v>
      </c>
      <c r="C5321" s="7" t="n">
        <f aca="false">AVERAGE(B5272:B5321)</f>
        <v>9049.8016</v>
      </c>
      <c r="D5321" s="7" t="n">
        <f aca="false">AVERAGE(B5122:B5321)</f>
        <v>8116.05445</v>
      </c>
      <c r="E5321" s="7" t="n">
        <f aca="false">B5321/MAX(B5070:B5321)-1</f>
        <v>-0.0657596208558114</v>
      </c>
      <c r="F5321" s="7" t="str">
        <f aca="false">IFERROR(INDEX(02_轉折點45個!B:B,MATCH(A5321,02_轉折點45個!A:A,0)),"")</f>
        <v/>
      </c>
      <c r="G5321" s="7" t="s">
        <v>5494</v>
      </c>
    </row>
    <row r="5322" customFormat="false" ht="15" hidden="false" customHeight="false" outlineLevel="0" collapsed="false">
      <c r="A5322" s="7" t="s">
        <v>6167</v>
      </c>
      <c r="B5322" s="7" t="n">
        <v>8834.87</v>
      </c>
      <c r="C5322" s="7" t="n">
        <f aca="false">AVERAGE(B5273:B5322)</f>
        <v>9058.4468</v>
      </c>
      <c r="D5322" s="7" t="n">
        <f aca="false">AVERAGE(B5123:B5322)</f>
        <v>8122.31505</v>
      </c>
      <c r="E5322" s="7" t="n">
        <f aca="false">B5322/MAX(B5071:B5322)-1</f>
        <v>-0.0909439813638201</v>
      </c>
      <c r="F5322" s="7" t="str">
        <f aca="false">IFERROR(INDEX(02_轉折點45個!B:B,MATCH(A5322,02_轉折點45個!A:A,0)),"")</f>
        <v/>
      </c>
      <c r="G5322" s="7" t="s">
        <v>5494</v>
      </c>
    </row>
    <row r="5323" customFormat="false" ht="15" hidden="false" customHeight="false" outlineLevel="0" collapsed="false">
      <c r="A5323" s="7" t="s">
        <v>1504</v>
      </c>
      <c r="B5323" s="7" t="n">
        <v>8873.76</v>
      </c>
      <c r="C5323" s="7" t="n">
        <f aca="false">AVERAGE(B5274:B5323)</f>
        <v>9066.5842</v>
      </c>
      <c r="D5323" s="7" t="n">
        <f aca="false">AVERAGE(B5124:B5323)</f>
        <v>8128.7512</v>
      </c>
      <c r="E5323" s="7" t="n">
        <f aca="false">B5323/MAX(B5072:B5323)-1</f>
        <v>-0.0869424297207556</v>
      </c>
      <c r="F5323" s="7" t="str">
        <f aca="false">IFERROR(INDEX(02_轉折點45個!B:B,MATCH(A5323,02_轉折點45個!A:A,0)),"")</f>
        <v/>
      </c>
      <c r="G5323" s="7" t="s">
        <v>5494</v>
      </c>
    </row>
    <row r="5324" customFormat="false" ht="15" hidden="false" customHeight="false" outlineLevel="0" collapsed="false">
      <c r="A5324" s="7" t="s">
        <v>1505</v>
      </c>
      <c r="B5324" s="7" t="n">
        <v>8436.67</v>
      </c>
      <c r="C5324" s="7" t="n">
        <f aca="false">AVERAGE(B5275:B5324)</f>
        <v>9065.5634</v>
      </c>
      <c r="D5324" s="7" t="n">
        <f aca="false">AVERAGE(B5125:B5324)</f>
        <v>8134.3139</v>
      </c>
      <c r="E5324" s="7" t="n">
        <f aca="false">B5324/MAX(B5073:B5324)-1</f>
        <v>-0.131916412946959</v>
      </c>
      <c r="F5324" s="7" t="str">
        <f aca="false">IFERROR(INDEX(02_轉折點45個!B:B,MATCH(A5324,02_轉折點45個!A:A,0)),"")</f>
        <v/>
      </c>
      <c r="G5324" s="7" t="s">
        <v>5494</v>
      </c>
    </row>
    <row r="5325" customFormat="false" ht="15" hidden="false" customHeight="false" outlineLevel="0" collapsed="false">
      <c r="A5325" s="7" t="s">
        <v>6168</v>
      </c>
      <c r="B5325" s="7" t="n">
        <v>8461.83</v>
      </c>
      <c r="C5325" s="7" t="n">
        <f aca="false">AVERAGE(B5276:B5325)</f>
        <v>9063.3934</v>
      </c>
      <c r="D5325" s="7" t="n">
        <f aca="false">AVERAGE(B5126:B5325)</f>
        <v>8139.61365</v>
      </c>
      <c r="E5325" s="7" t="n">
        <f aca="false">B5325/MAX(B5074:B5325)-1</f>
        <v>-0.129327597330104</v>
      </c>
      <c r="F5325" s="7" t="str">
        <f aca="false">IFERROR(INDEX(02_轉折點45個!B:B,MATCH(A5325,02_轉折點45個!A:A,0)),"")</f>
        <v/>
      </c>
      <c r="G5325" s="7" t="s">
        <v>5494</v>
      </c>
    </row>
    <row r="5326" customFormat="false" ht="15" hidden="false" customHeight="false" outlineLevel="0" collapsed="false">
      <c r="A5326" s="7" t="s">
        <v>1507</v>
      </c>
      <c r="B5326" s="7" t="n">
        <v>8877.98</v>
      </c>
      <c r="C5326" s="7" t="n">
        <f aca="false">AVERAGE(B5277:B5326)</f>
        <v>9069.439</v>
      </c>
      <c r="D5326" s="7" t="n">
        <f aca="false">AVERAGE(B5127:B5326)</f>
        <v>8146.4873</v>
      </c>
      <c r="E5326" s="7" t="n">
        <f aca="false">B5326/MAX(B5075:B5326)-1</f>
        <v>-0.0865082166085487</v>
      </c>
      <c r="F5326" s="7" t="str">
        <f aca="false">IFERROR(INDEX(02_轉折點45個!B:B,MATCH(A5326,02_轉折點45個!A:A,0)),"")</f>
        <v/>
      </c>
      <c r="G5326" s="7" t="s">
        <v>5494</v>
      </c>
    </row>
    <row r="5327" customFormat="false" ht="15" hidden="false" customHeight="false" outlineLevel="0" collapsed="false">
      <c r="A5327" s="7" t="s">
        <v>6169</v>
      </c>
      <c r="B5327" s="7" t="n">
        <v>8594.49</v>
      </c>
      <c r="C5327" s="7" t="n">
        <f aca="false">AVERAGE(B5278:B5327)</f>
        <v>9069.7164</v>
      </c>
      <c r="D5327" s="7" t="n">
        <f aca="false">AVERAGE(B5128:B5327)</f>
        <v>8151.55905</v>
      </c>
      <c r="E5327" s="7" t="n">
        <f aca="false">B5327/MAX(B5076:B5327)-1</f>
        <v>-0.115677665703235</v>
      </c>
      <c r="F5327" s="7" t="str">
        <f aca="false">IFERROR(INDEX(02_轉折點45個!B:B,MATCH(A5327,02_轉折點45個!A:A,0)),"")</f>
        <v/>
      </c>
      <c r="G5327" s="7" t="s">
        <v>5494</v>
      </c>
    </row>
    <row r="5328" customFormat="false" ht="15" hidden="false" customHeight="false" outlineLevel="0" collapsed="false">
      <c r="A5328" s="7" t="s">
        <v>1508</v>
      </c>
      <c r="B5328" s="7" t="n">
        <v>8949.28</v>
      </c>
      <c r="C5328" s="7" t="n">
        <f aca="false">AVERAGE(B5279:B5328)</f>
        <v>9075.8762</v>
      </c>
      <c r="D5328" s="7" t="n">
        <f aca="false">AVERAGE(B5129:B5328)</f>
        <v>8158.78705</v>
      </c>
      <c r="E5328" s="7" t="n">
        <f aca="false">B5328/MAX(B5077:B5328)-1</f>
        <v>-0.0791718671060929</v>
      </c>
      <c r="F5328" s="7" t="str">
        <f aca="false">IFERROR(INDEX(02_轉折點45個!B:B,MATCH(A5328,02_轉折點45個!A:A,0)),"")</f>
        <v/>
      </c>
      <c r="G5328" s="7" t="s">
        <v>5494</v>
      </c>
    </row>
    <row r="5329" customFormat="false" ht="15" hidden="false" customHeight="false" outlineLevel="0" collapsed="false">
      <c r="A5329" s="7" t="s">
        <v>6170</v>
      </c>
      <c r="B5329" s="7" t="n">
        <v>8671.66</v>
      </c>
      <c r="C5329" s="7" t="n">
        <f aca="false">AVERAGE(B5280:B5329)</f>
        <v>9075.7396</v>
      </c>
      <c r="D5329" s="7" t="n">
        <f aca="false">AVERAGE(B5130:B5329)</f>
        <v>8165.26185</v>
      </c>
      <c r="E5329" s="7" t="n">
        <f aca="false">B5329/MAX(B5078:B5329)-1</f>
        <v>-0.107737327819581</v>
      </c>
      <c r="F5329" s="7" t="str">
        <f aca="false">IFERROR(INDEX(02_轉折點45個!B:B,MATCH(A5329,02_轉折點45個!A:A,0)),"")</f>
        <v/>
      </c>
      <c r="G5329" s="7" t="s">
        <v>5494</v>
      </c>
    </row>
    <row r="5330" customFormat="false" ht="15" hidden="false" customHeight="false" outlineLevel="0" collapsed="false">
      <c r="A5330" s="7" t="s">
        <v>6171</v>
      </c>
      <c r="B5330" s="7" t="n">
        <v>8530.34</v>
      </c>
      <c r="C5330" s="7" t="n">
        <f aca="false">AVERAGE(B5281:B5330)</f>
        <v>9072.4262</v>
      </c>
      <c r="D5330" s="7" t="n">
        <f aca="false">AVERAGE(B5131:B5330)</f>
        <v>8170.65845</v>
      </c>
      <c r="E5330" s="7" t="n">
        <f aca="false">B5330/MAX(B5079:B5330)-1</f>
        <v>-0.122278322373396</v>
      </c>
      <c r="F5330" s="7" t="str">
        <f aca="false">IFERROR(INDEX(02_轉折點45個!B:B,MATCH(A5330,02_轉折點45個!A:A,0)),"")</f>
        <v/>
      </c>
      <c r="G5330" s="7" t="s">
        <v>5494</v>
      </c>
    </row>
    <row r="5331" customFormat="false" ht="15" hidden="false" customHeight="false" outlineLevel="0" collapsed="false">
      <c r="A5331" s="7" t="s">
        <v>1509</v>
      </c>
      <c r="B5331" s="7" t="n">
        <v>7948.03</v>
      </c>
      <c r="C5331" s="7" t="n">
        <f aca="false">AVERAGE(B5282:B5331)</f>
        <v>9057.3966</v>
      </c>
      <c r="D5331" s="7" t="n">
        <f aca="false">AVERAGE(B5132:B5331)</f>
        <v>8173.2953</v>
      </c>
      <c r="E5331" s="7" t="n">
        <f aca="false">B5331/MAX(B5080:B5331)-1</f>
        <v>-0.182194587152848</v>
      </c>
      <c r="F5331" s="7" t="str">
        <f aca="false">IFERROR(INDEX(02_轉折點45個!B:B,MATCH(A5331,02_轉折點45個!A:A,0)),"")</f>
        <v/>
      </c>
      <c r="G5331" s="7" t="s">
        <v>5494</v>
      </c>
    </row>
    <row r="5332" customFormat="false" ht="15" hidden="false" customHeight="false" outlineLevel="0" collapsed="false">
      <c r="A5332" s="7" t="s">
        <v>1510</v>
      </c>
      <c r="B5332" s="7" t="n">
        <v>8372.27</v>
      </c>
      <c r="C5332" s="7" t="n">
        <f aca="false">AVERAGE(B5283:B5332)</f>
        <v>9049.2758</v>
      </c>
      <c r="D5332" s="7" t="n">
        <f aca="false">AVERAGE(B5133:B5332)</f>
        <v>8178.617</v>
      </c>
      <c r="E5332" s="7" t="n">
        <f aca="false">B5332/MAX(B5081:B5332)-1</f>
        <v>-0.138542793142725</v>
      </c>
      <c r="F5332" s="7" t="str">
        <f aca="false">IFERROR(INDEX(02_轉折點45個!B:B,MATCH(A5332,02_轉折點45個!A:A,0)),"")</f>
        <v/>
      </c>
      <c r="G5332" s="7" t="s">
        <v>5494</v>
      </c>
    </row>
    <row r="5333" customFormat="false" ht="15" hidden="false" customHeight="false" outlineLevel="0" collapsed="false">
      <c r="A5333" s="7" t="s">
        <v>1511</v>
      </c>
      <c r="B5333" s="7" t="n">
        <v>8006.12</v>
      </c>
      <c r="C5333" s="7" t="n">
        <f aca="false">AVERAGE(B5284:B5333)</f>
        <v>9033.9786</v>
      </c>
      <c r="D5333" s="7" t="n">
        <f aca="false">AVERAGE(B5134:B5333)</f>
        <v>8182.1428</v>
      </c>
      <c r="E5333" s="7" t="n">
        <f aca="false">B5333/MAX(B5082:B5333)-1</f>
        <v>-0.176217468743344</v>
      </c>
      <c r="F5333" s="7" t="str">
        <f aca="false">IFERROR(INDEX(02_轉折點45個!B:B,MATCH(A5333,02_轉折點45個!A:A,0)),"")</f>
        <v/>
      </c>
      <c r="G5333" s="7" t="s">
        <v>5494</v>
      </c>
    </row>
    <row r="5334" customFormat="false" ht="15" hidden="false" customHeight="false" outlineLevel="0" collapsed="false">
      <c r="A5334" s="7" t="s">
        <v>6172</v>
      </c>
      <c r="B5334" s="7" t="n">
        <v>7263.65</v>
      </c>
      <c r="C5334" s="7" t="n">
        <f aca="false">AVERAGE(B5285:B5334)</f>
        <v>9005.057</v>
      </c>
      <c r="D5334" s="7" t="n">
        <f aca="false">AVERAGE(B5135:B5334)</f>
        <v>8182.06915</v>
      </c>
      <c r="E5334" s="7" t="n">
        <f aca="false">B5334/MAX(B5083:B5334)-1</f>
        <v>-0.25261325296618</v>
      </c>
      <c r="F5334" s="7" t="str">
        <f aca="false">IFERROR(INDEX(02_轉折點45個!B:B,MATCH(A5334,02_轉折點45個!A:A,0)),"")</f>
        <v/>
      </c>
      <c r="G5334" s="7" t="s">
        <v>5494</v>
      </c>
    </row>
    <row r="5335" customFormat="false" ht="15" hidden="false" customHeight="false" outlineLevel="0" collapsed="false">
      <c r="A5335" s="7" t="s">
        <v>1512</v>
      </c>
      <c r="B5335" s="7" t="n">
        <v>7995.26</v>
      </c>
      <c r="C5335" s="7" t="n">
        <f aca="false">AVERAGE(B5286:B5335)</f>
        <v>8990.3008</v>
      </c>
      <c r="D5335" s="7" t="n">
        <f aca="false">AVERAGE(B5136:B5335)</f>
        <v>8185.96115</v>
      </c>
      <c r="E5335" s="7" t="n">
        <f aca="false">B5335/MAX(B5084:B5335)-1</f>
        <v>-0.177334898695611</v>
      </c>
      <c r="F5335" s="7" t="str">
        <f aca="false">IFERROR(INDEX(02_轉折點45個!B:B,MATCH(A5335,02_轉折點45個!A:A,0)),"")</f>
        <v/>
      </c>
      <c r="G5335" s="7" t="s">
        <v>5494</v>
      </c>
    </row>
    <row r="5336" customFormat="false" ht="15" hidden="false" customHeight="false" outlineLevel="0" collapsed="false">
      <c r="A5336" s="7" t="s">
        <v>6173</v>
      </c>
      <c r="B5336" s="7" t="n">
        <v>7020.38</v>
      </c>
      <c r="C5336" s="7" t="n">
        <f aca="false">AVERAGE(B5287:B5336)</f>
        <v>8953.264</v>
      </c>
      <c r="D5336" s="7" t="n">
        <f aca="false">AVERAGE(B5137:B5336)</f>
        <v>8184.83605</v>
      </c>
      <c r="E5336" s="7" t="n">
        <f aca="false">B5336/MAX(B5085:B5336)-1</f>
        <v>-0.277644301261585</v>
      </c>
      <c r="F5336" s="7" t="str">
        <f aca="false">IFERROR(INDEX(02_轉折點45個!B:B,MATCH(A5336,02_轉折點45個!A:A,0)),"")</f>
        <v/>
      </c>
      <c r="G5336" s="7" t="s">
        <v>5494</v>
      </c>
    </row>
    <row r="5337" customFormat="false" ht="15" hidden="false" customHeight="false" outlineLevel="0" collapsed="false">
      <c r="A5337" s="7" t="s">
        <v>6174</v>
      </c>
      <c r="B5337" s="7" t="n">
        <v>7473.95</v>
      </c>
      <c r="C5337" s="7" t="n">
        <f aca="false">AVERAGE(B5288:B5337)</f>
        <v>8926.865</v>
      </c>
      <c r="D5337" s="7" t="n">
        <f aca="false">AVERAGE(B5138:B5337)</f>
        <v>8186.566</v>
      </c>
      <c r="E5337" s="7" t="n">
        <f aca="false">B5337/MAX(B5086:B5337)-1</f>
        <v>-0.230974623227521</v>
      </c>
      <c r="F5337" s="7" t="str">
        <f aca="false">IFERROR(INDEX(02_轉折點45個!B:B,MATCH(A5337,02_轉折點45個!A:A,0)),"")</f>
        <v/>
      </c>
      <c r="G5337" s="7" t="s">
        <v>5494</v>
      </c>
    </row>
    <row r="5338" customFormat="false" ht="15" hidden="false" customHeight="false" outlineLevel="0" collapsed="false">
      <c r="A5338" s="7" t="s">
        <v>6175</v>
      </c>
      <c r="B5338" s="7" t="n">
        <v>7175.18</v>
      </c>
      <c r="C5338" s="7" t="n">
        <f aca="false">AVERAGE(B5289:B5338)</f>
        <v>8893.3982</v>
      </c>
      <c r="D5338" s="7" t="n">
        <f aca="false">AVERAGE(B5139:B5338)</f>
        <v>8187.5518</v>
      </c>
      <c r="E5338" s="7" t="n">
        <f aca="false">B5338/MAX(B5087:B5338)-1</f>
        <v>-0.261716294207165</v>
      </c>
      <c r="F5338" s="7" t="str">
        <f aca="false">IFERROR(INDEX(02_轉折點45個!B:B,MATCH(A5338,02_轉折點45個!A:A,0)),"")</f>
        <v/>
      </c>
      <c r="G5338" s="7" t="s">
        <v>5494</v>
      </c>
    </row>
    <row r="5339" customFormat="false" ht="15" hidden="false" customHeight="false" outlineLevel="0" collapsed="false">
      <c r="A5339" s="7" t="s">
        <v>6176</v>
      </c>
      <c r="B5339" s="7" t="n">
        <v>7288.52</v>
      </c>
      <c r="C5339" s="7" t="n">
        <f aca="false">AVERAGE(B5290:B5339)</f>
        <v>8862.2396</v>
      </c>
      <c r="D5339" s="7" t="n">
        <f aca="false">AVERAGE(B5140:B5339)</f>
        <v>8188.16065</v>
      </c>
      <c r="E5339" s="7" t="n">
        <f aca="false">B5339/MAX(B5088:B5339)-1</f>
        <v>-0.250054276639026</v>
      </c>
      <c r="F5339" s="7" t="str">
        <f aca="false">IFERROR(INDEX(02_轉折點45個!B:B,MATCH(A5339,02_轉折點45個!A:A,0)),"")</f>
        <v/>
      </c>
      <c r="G5339" s="7" t="s">
        <v>5494</v>
      </c>
    </row>
    <row r="5340" customFormat="false" ht="15" hidden="false" customHeight="false" outlineLevel="0" collapsed="false">
      <c r="A5340" s="7" t="s">
        <v>149</v>
      </c>
      <c r="B5340" s="7" t="n">
        <v>6994.29</v>
      </c>
      <c r="C5340" s="7" t="n">
        <f aca="false">AVERAGE(B5291:B5340)</f>
        <v>8823.878</v>
      </c>
      <c r="D5340" s="7" t="n">
        <f aca="false">AVERAGE(B5141:B5340)</f>
        <v>8187.0276</v>
      </c>
      <c r="E5340" s="7" t="n">
        <f aca="false">B5340/MAX(B5089:B5340)-1</f>
        <v>-0.280328808393689</v>
      </c>
      <c r="F5340" s="7" t="str">
        <f aca="false">IFERROR(INDEX(02_轉折點45個!B:B,MATCH(A5340,02_轉折點45個!A:A,0)),"")</f>
        <v>BOTTOM</v>
      </c>
      <c r="G5340" s="7" t="s">
        <v>5494</v>
      </c>
    </row>
    <row r="5341" customFormat="false" ht="15" hidden="false" customHeight="false" outlineLevel="0" collapsed="false">
      <c r="A5341" s="7" t="s">
        <v>1513</v>
      </c>
      <c r="B5341" s="7" t="n">
        <v>7006.92</v>
      </c>
      <c r="C5341" s="7" t="n">
        <f aca="false">AVERAGE(B5292:B5341)</f>
        <v>8784.2238</v>
      </c>
      <c r="D5341" s="7" t="n">
        <f aca="false">AVERAGE(B5142:B5341)</f>
        <v>8185.68255</v>
      </c>
      <c r="E5341" s="7" t="n">
        <f aca="false">B5341/MAX(B5090:B5341)-1</f>
        <v>-0.279029255880141</v>
      </c>
      <c r="F5341" s="7" t="str">
        <f aca="false">IFERROR(INDEX(02_轉折點45個!B:B,MATCH(A5341,02_轉折點45個!A:A,0)),"")</f>
        <v/>
      </c>
      <c r="G5341" s="7" t="s">
        <v>5494</v>
      </c>
    </row>
    <row r="5342" customFormat="false" ht="15" hidden="false" customHeight="false" outlineLevel="0" collapsed="false">
      <c r="A5342" s="7" t="s">
        <v>6177</v>
      </c>
      <c r="B5342" s="7" t="n">
        <v>7553.83</v>
      </c>
      <c r="C5342" s="7" t="n">
        <f aca="false">AVERAGE(B5293:B5342)</f>
        <v>8755.9676</v>
      </c>
      <c r="D5342" s="7" t="n">
        <f aca="false">AVERAGE(B5143:B5342)</f>
        <v>8186.36525</v>
      </c>
      <c r="E5342" s="7" t="n">
        <f aca="false">B5342/MAX(B5091:B5342)-1</f>
        <v>-0.222755442326312</v>
      </c>
      <c r="F5342" s="7" t="str">
        <f aca="false">IFERROR(INDEX(02_轉折點45個!B:B,MATCH(A5342,02_轉折點45個!A:A,0)),"")</f>
        <v/>
      </c>
      <c r="G5342" s="7" t="s">
        <v>5494</v>
      </c>
    </row>
    <row r="5343" customFormat="false" ht="15" hidden="false" customHeight="false" outlineLevel="0" collapsed="false">
      <c r="A5343" s="7" t="s">
        <v>6178</v>
      </c>
      <c r="B5343" s="7" t="n">
        <v>7469.62</v>
      </c>
      <c r="C5343" s="7" t="n">
        <f aca="false">AVERAGE(B5294:B5343)</f>
        <v>8723.947</v>
      </c>
      <c r="D5343" s="7" t="n">
        <f aca="false">AVERAGE(B5144:B5343)</f>
        <v>8186.2037</v>
      </c>
      <c r="E5343" s="7" t="n">
        <f aca="false">B5343/MAX(B5092:B5343)-1</f>
        <v>-0.231420154690994</v>
      </c>
      <c r="F5343" s="7" t="str">
        <f aca="false">IFERROR(INDEX(02_轉折點45個!B:B,MATCH(A5343,02_轉折點45個!A:A,0)),"")</f>
        <v/>
      </c>
      <c r="G5343" s="7" t="s">
        <v>5494</v>
      </c>
    </row>
    <row r="5344" customFormat="false" ht="15" hidden="false" customHeight="false" outlineLevel="0" collapsed="false">
      <c r="A5344" s="7" t="s">
        <v>1514</v>
      </c>
      <c r="B5344" s="7" t="n">
        <v>7897.13</v>
      </c>
      <c r="C5344" s="7" t="n">
        <f aca="false">AVERAGE(B5295:B5344)</f>
        <v>8701.2212</v>
      </c>
      <c r="D5344" s="7" t="n">
        <f aca="false">AVERAGE(B5145:B5344)</f>
        <v>8188.1201</v>
      </c>
      <c r="E5344" s="7" t="n">
        <f aca="false">B5344/MAX(B5093:B5344)-1</f>
        <v>-0.187431896965962</v>
      </c>
      <c r="F5344" s="7" t="str">
        <f aca="false">IFERROR(INDEX(02_轉折點45個!B:B,MATCH(A5344,02_轉折點45個!A:A,0)),"")</f>
        <v/>
      </c>
      <c r="G5344" s="7" t="s">
        <v>5494</v>
      </c>
    </row>
    <row r="5345" customFormat="false" ht="15" hidden="false" customHeight="false" outlineLevel="0" collapsed="false">
      <c r="A5345" s="7" t="s">
        <v>1515</v>
      </c>
      <c r="B5345" s="7" t="n">
        <v>7588.37</v>
      </c>
      <c r="C5345" s="7" t="n">
        <f aca="false">AVERAGE(B5296:B5345)</f>
        <v>8672.2752</v>
      </c>
      <c r="D5345" s="7" t="n">
        <f aca="false">AVERAGE(B5146:B5345)</f>
        <v>8188.7005</v>
      </c>
      <c r="E5345" s="7" t="n">
        <f aca="false">B5345/MAX(B5094:B5345)-1</f>
        <v>-0.219201480028769</v>
      </c>
      <c r="F5345" s="7" t="str">
        <f aca="false">IFERROR(INDEX(02_轉折點45個!B:B,MATCH(A5345,02_轉折點45個!A:A,0)),"")</f>
        <v/>
      </c>
      <c r="G5345" s="7" t="s">
        <v>5494</v>
      </c>
    </row>
    <row r="5346" customFormat="false" ht="15" hidden="false" customHeight="false" outlineLevel="0" collapsed="false">
      <c r="A5346" s="7" t="s">
        <v>6179</v>
      </c>
      <c r="B5346" s="7" t="n">
        <v>7889.01</v>
      </c>
      <c r="C5346" s="7" t="n">
        <f aca="false">AVERAGE(B5297:B5346)</f>
        <v>8647.5554</v>
      </c>
      <c r="D5346" s="7" t="n">
        <f aca="false">AVERAGE(B5147:B5346)</f>
        <v>8190.59215</v>
      </c>
      <c r="E5346" s="7" t="n">
        <f aca="false">B5346/MAX(B5095:B5346)-1</f>
        <v>-0.188267397077602</v>
      </c>
      <c r="F5346" s="7" t="str">
        <f aca="false">IFERROR(INDEX(02_轉折點45個!B:B,MATCH(A5346,02_轉折點45個!A:A,0)),"")</f>
        <v/>
      </c>
      <c r="G5346" s="7" t="s">
        <v>5494</v>
      </c>
    </row>
    <row r="5347" customFormat="false" ht="15" hidden="false" customHeight="false" outlineLevel="0" collapsed="false">
      <c r="A5347" s="7" t="s">
        <v>1516</v>
      </c>
      <c r="B5347" s="7" t="n">
        <v>7813.5</v>
      </c>
      <c r="C5347" s="7" t="n">
        <f aca="false">AVERAGE(B5298:B5347)</f>
        <v>8620.3508</v>
      </c>
      <c r="D5347" s="7" t="n">
        <f aca="false">AVERAGE(B5148:B5347)</f>
        <v>8192.2641</v>
      </c>
      <c r="E5347" s="7" t="n">
        <f aca="false">B5347/MAX(B5096:B5347)-1</f>
        <v>-0.19603693075124</v>
      </c>
      <c r="F5347" s="7" t="str">
        <f aca="false">IFERROR(INDEX(02_轉折點45個!B:B,MATCH(A5347,02_轉折點45個!A:A,0)),"")</f>
        <v/>
      </c>
      <c r="G5347" s="7" t="s">
        <v>5494</v>
      </c>
    </row>
    <row r="5348" customFormat="false" ht="15" hidden="false" customHeight="false" outlineLevel="0" collapsed="false">
      <c r="A5348" s="7" t="s">
        <v>6180</v>
      </c>
      <c r="B5348" s="7" t="n">
        <v>7486.29</v>
      </c>
      <c r="C5348" s="7" t="n">
        <f aca="false">AVERAGE(B5299:B5348)</f>
        <v>8586.744</v>
      </c>
      <c r="D5348" s="7" t="n">
        <f aca="false">AVERAGE(B5149:B5348)</f>
        <v>8192.06295</v>
      </c>
      <c r="E5348" s="7" t="n">
        <f aca="false">B5348/MAX(B5097:B5348)-1</f>
        <v>-0.229704910003673</v>
      </c>
      <c r="F5348" s="7" t="str">
        <f aca="false">IFERROR(INDEX(02_轉折點45個!B:B,MATCH(A5348,02_轉折點45個!A:A,0)),"")</f>
        <v/>
      </c>
      <c r="G5348" s="7" t="s">
        <v>5494</v>
      </c>
    </row>
    <row r="5349" customFormat="false" ht="15" hidden="false" customHeight="false" outlineLevel="0" collapsed="false">
      <c r="A5349" s="7" t="s">
        <v>6181</v>
      </c>
      <c r="B5349" s="7" t="n">
        <v>7635.66</v>
      </c>
      <c r="C5349" s="7" t="n">
        <f aca="false">AVERAGE(B5300:B5349)</f>
        <v>8555.6856</v>
      </c>
      <c r="D5349" s="7" t="n">
        <f aca="false">AVERAGE(B5150:B5349)</f>
        <v>8192.06425</v>
      </c>
      <c r="E5349" s="7" t="n">
        <f aca="false">B5349/MAX(B5098:B5349)-1</f>
        <v>-0.214335617925387</v>
      </c>
      <c r="F5349" s="7" t="str">
        <f aca="false">IFERROR(INDEX(02_轉折點45個!B:B,MATCH(A5349,02_轉折點45個!A:A,0)),"")</f>
        <v/>
      </c>
      <c r="G5349" s="7" t="s">
        <v>5494</v>
      </c>
    </row>
    <row r="5350" customFormat="false" ht="15" hidden="false" customHeight="false" outlineLevel="0" collapsed="false">
      <c r="A5350" s="7" t="s">
        <v>1517</v>
      </c>
      <c r="B5350" s="7" t="n">
        <v>7528.11</v>
      </c>
      <c r="C5350" s="7" t="n">
        <f aca="false">AVERAGE(B5301:B5350)</f>
        <v>8521.9082</v>
      </c>
      <c r="D5350" s="7" t="n">
        <f aca="false">AVERAGE(B5151:B5350)</f>
        <v>8191.3661</v>
      </c>
      <c r="E5350" s="7" t="n">
        <f aca="false">B5350/MAX(B5099:B5350)-1</f>
        <v>-0.225401878640522</v>
      </c>
      <c r="F5350" s="7" t="str">
        <f aca="false">IFERROR(INDEX(02_轉折點45個!B:B,MATCH(A5350,02_轉折點45個!A:A,0)),"")</f>
        <v/>
      </c>
      <c r="G5350" s="7" t="s">
        <v>5494</v>
      </c>
    </row>
    <row r="5351" customFormat="false" ht="15" hidden="false" customHeight="false" outlineLevel="0" collapsed="false">
      <c r="A5351" s="7" t="s">
        <v>1518</v>
      </c>
      <c r="B5351" s="7" t="n">
        <v>8081.66</v>
      </c>
      <c r="C5351" s="7" t="n">
        <f aca="false">AVERAGE(B5302:B5351)</f>
        <v>8500.712</v>
      </c>
      <c r="D5351" s="7" t="n">
        <f aca="false">AVERAGE(B5152:B5351)</f>
        <v>8193.08415</v>
      </c>
      <c r="E5351" s="7" t="n">
        <f aca="false">B5351/MAX(B5100:B5351)-1</f>
        <v>-0.168444848246633</v>
      </c>
      <c r="F5351" s="7" t="str">
        <f aca="false">IFERROR(INDEX(02_轉折點45個!B:B,MATCH(A5351,02_轉折點45個!A:A,0)),"")</f>
        <v/>
      </c>
      <c r="G5351" s="7" t="s">
        <v>5494</v>
      </c>
    </row>
    <row r="5352" customFormat="false" ht="15" hidden="false" customHeight="false" outlineLevel="0" collapsed="false">
      <c r="A5352" s="7" t="s">
        <v>6182</v>
      </c>
      <c r="B5352" s="7" t="n">
        <v>8049.31</v>
      </c>
      <c r="C5352" s="7" t="n">
        <f aca="false">AVERAGE(B5303:B5352)</f>
        <v>8482.6546</v>
      </c>
      <c r="D5352" s="7" t="n">
        <f aca="false">AVERAGE(B5153:B5352)</f>
        <v>8194.6868</v>
      </c>
      <c r="E5352" s="7" t="n">
        <f aca="false">B5352/MAX(B5101:B5352)-1</f>
        <v>-0.171773472459879</v>
      </c>
      <c r="F5352" s="7" t="str">
        <f aca="false">IFERROR(INDEX(02_轉折點45個!B:B,MATCH(A5352,02_轉折點45個!A:A,0)),"")</f>
        <v/>
      </c>
      <c r="G5352" s="7" t="s">
        <v>5494</v>
      </c>
    </row>
    <row r="5353" customFormat="false" ht="15" hidden="false" customHeight="false" outlineLevel="0" collapsed="false">
      <c r="A5353" s="7" t="s">
        <v>1519</v>
      </c>
      <c r="B5353" s="7" t="n">
        <v>8229.54</v>
      </c>
      <c r="C5353" s="7" t="n">
        <f aca="false">AVERAGE(B5304:B5353)</f>
        <v>8465.4268</v>
      </c>
      <c r="D5353" s="7" t="n">
        <f aca="false">AVERAGE(B5154:B5353)</f>
        <v>8197.2194</v>
      </c>
      <c r="E5353" s="7" t="n">
        <f aca="false">B5353/MAX(B5102:B5353)-1</f>
        <v>-0.153228868380951</v>
      </c>
      <c r="F5353" s="7" t="str">
        <f aca="false">IFERROR(INDEX(02_轉折點45個!B:B,MATCH(A5353,02_轉折點45個!A:A,0)),"")</f>
        <v/>
      </c>
      <c r="G5353" s="7" t="s">
        <v>5494</v>
      </c>
    </row>
    <row r="5354" customFormat="false" ht="15" hidden="false" customHeight="false" outlineLevel="0" collapsed="false">
      <c r="A5354" s="7" t="s">
        <v>6183</v>
      </c>
      <c r="B5354" s="7" t="n">
        <v>8238.53</v>
      </c>
      <c r="C5354" s="7" t="n">
        <f aca="false">AVERAGE(B5305:B5354)</f>
        <v>8448.1652</v>
      </c>
      <c r="D5354" s="7" t="n">
        <f aca="false">AVERAGE(B5155:B5354)</f>
        <v>8200.45435</v>
      </c>
      <c r="E5354" s="7" t="n">
        <f aca="false">B5354/MAX(B5103:B5354)-1</f>
        <v>-0.152303850400207</v>
      </c>
      <c r="F5354" s="7" t="str">
        <f aca="false">IFERROR(INDEX(02_轉折點45個!B:B,MATCH(A5354,02_轉折點45個!A:A,0)),"")</f>
        <v/>
      </c>
      <c r="G5354" s="7" t="s">
        <v>5494</v>
      </c>
    </row>
    <row r="5355" customFormat="false" ht="15" hidden="false" customHeight="false" outlineLevel="0" collapsed="false">
      <c r="A5355" s="7" t="s">
        <v>6184</v>
      </c>
      <c r="B5355" s="7" t="n">
        <v>8332.74</v>
      </c>
      <c r="C5355" s="7" t="n">
        <f aca="false">AVERAGE(B5306:B5355)</f>
        <v>8432.0982</v>
      </c>
      <c r="D5355" s="7" t="n">
        <f aca="false">AVERAGE(B5156:B5355)</f>
        <v>8203.9828</v>
      </c>
      <c r="E5355" s="7" t="n">
        <f aca="false">B5355/MAX(B5104:B5355)-1</f>
        <v>-0.142610197011338</v>
      </c>
      <c r="F5355" s="7" t="str">
        <f aca="false">IFERROR(INDEX(02_轉折點45個!B:B,MATCH(A5355,02_轉折點45個!A:A,0)),"")</f>
        <v/>
      </c>
      <c r="G5355" s="7" t="s">
        <v>5494</v>
      </c>
    </row>
    <row r="5356" customFormat="false" ht="15" hidden="false" customHeight="false" outlineLevel="0" collapsed="false">
      <c r="A5356" s="7" t="s">
        <v>1520</v>
      </c>
      <c r="B5356" s="7" t="n">
        <v>8692.16</v>
      </c>
      <c r="C5356" s="7" t="n">
        <f aca="false">AVERAGE(B5307:B5356)</f>
        <v>8426.1112</v>
      </c>
      <c r="D5356" s="7" t="n">
        <f aca="false">AVERAGE(B5157:B5356)</f>
        <v>8209.15835</v>
      </c>
      <c r="E5356" s="7" t="n">
        <f aca="false">B5356/MAX(B5105:B5356)-1</f>
        <v>-0.105627998719997</v>
      </c>
      <c r="F5356" s="7" t="str">
        <f aca="false">IFERROR(INDEX(02_轉折點45個!B:B,MATCH(A5356,02_轉折點45個!A:A,0)),"")</f>
        <v/>
      </c>
      <c r="G5356" s="7" t="s">
        <v>5494</v>
      </c>
    </row>
    <row r="5357" customFormat="false" ht="15" hidden="false" customHeight="false" outlineLevel="0" collapsed="false">
      <c r="A5357" s="7" t="s">
        <v>6185</v>
      </c>
      <c r="B5357" s="7" t="n">
        <v>8591.96</v>
      </c>
      <c r="C5357" s="7" t="n">
        <f aca="false">AVERAGE(B5308:B5357)</f>
        <v>8415.4258</v>
      </c>
      <c r="D5357" s="7" t="n">
        <f aca="false">AVERAGE(B5158:B5357)</f>
        <v>8213.76275</v>
      </c>
      <c r="E5357" s="7" t="n">
        <f aca="false">B5357/MAX(B5106:B5357)-1</f>
        <v>-0.115937987782354</v>
      </c>
      <c r="F5357" s="7" t="str">
        <f aca="false">IFERROR(INDEX(02_轉折點45個!B:B,MATCH(A5357,02_轉折點45個!A:A,0)),"")</f>
        <v/>
      </c>
      <c r="G5357" s="7" t="s">
        <v>5494</v>
      </c>
    </row>
    <row r="5358" customFormat="false" ht="15" hidden="false" customHeight="false" outlineLevel="0" collapsed="false">
      <c r="A5358" s="7" t="s">
        <v>6186</v>
      </c>
      <c r="B5358" s="7" t="n">
        <v>8757.83</v>
      </c>
      <c r="C5358" s="7" t="n">
        <f aca="false">AVERAGE(B5309:B5358)</f>
        <v>8403.9012</v>
      </c>
      <c r="D5358" s="7" t="n">
        <f aca="false">AVERAGE(B5159:B5358)</f>
        <v>8218.7112</v>
      </c>
      <c r="E5358" s="7" t="n">
        <f aca="false">B5358/MAX(B5107:B5358)-1</f>
        <v>-0.0988709430141592</v>
      </c>
      <c r="F5358" s="7" t="str">
        <f aca="false">IFERROR(INDEX(02_轉折點45個!B:B,MATCH(A5358,02_轉折點45個!A:A,0)),"")</f>
        <v/>
      </c>
      <c r="G5358" s="7" t="s">
        <v>5494</v>
      </c>
    </row>
    <row r="5359" customFormat="false" ht="15" hidden="false" customHeight="false" outlineLevel="0" collapsed="false">
      <c r="A5359" s="7" t="s">
        <v>6187</v>
      </c>
      <c r="B5359" s="7" t="n">
        <v>8832.41</v>
      </c>
      <c r="C5359" s="7" t="n">
        <f aca="false">AVERAGE(B5310:B5359)</f>
        <v>8393.1998</v>
      </c>
      <c r="D5359" s="7" t="n">
        <f aca="false">AVERAGE(B5160:B5359)</f>
        <v>8223.87415</v>
      </c>
      <c r="E5359" s="7" t="n">
        <f aca="false">B5359/MAX(B5108:B5359)-1</f>
        <v>-0.0911971008557703</v>
      </c>
      <c r="F5359" s="7" t="str">
        <f aca="false">IFERROR(INDEX(02_轉折點45個!B:B,MATCH(A5359,02_轉折點45個!A:A,0)),"")</f>
        <v/>
      </c>
      <c r="G5359" s="7" t="s">
        <v>5494</v>
      </c>
    </row>
    <row r="5360" customFormat="false" ht="15" hidden="false" customHeight="false" outlineLevel="0" collapsed="false">
      <c r="A5360" s="7" t="s">
        <v>6188</v>
      </c>
      <c r="B5360" s="7" t="n">
        <v>8726.51</v>
      </c>
      <c r="C5360" s="7" t="n">
        <f aca="false">AVERAGE(B5311:B5360)</f>
        <v>8378.8116</v>
      </c>
      <c r="D5360" s="7" t="n">
        <f aca="false">AVERAGE(B5161:B5360)</f>
        <v>8228.21825</v>
      </c>
      <c r="E5360" s="7" t="n">
        <f aca="false">B5360/MAX(B5109:B5360)-1</f>
        <v>-0.102093586301914</v>
      </c>
      <c r="F5360" s="7" t="str">
        <f aca="false">IFERROR(INDEX(02_轉折點45個!B:B,MATCH(A5360,02_轉折點45個!A:A,0)),"")</f>
        <v/>
      </c>
      <c r="G5360" s="7" t="s">
        <v>5494</v>
      </c>
    </row>
    <row r="5361" customFormat="false" ht="15" hidden="false" customHeight="false" outlineLevel="0" collapsed="false">
      <c r="A5361" s="7" t="s">
        <v>6189</v>
      </c>
      <c r="B5361" s="7" t="n">
        <v>8403</v>
      </c>
      <c r="C5361" s="7" t="n">
        <f aca="false">AVERAGE(B5312:B5361)</f>
        <v>8358.8496</v>
      </c>
      <c r="D5361" s="7" t="n">
        <f aca="false">AVERAGE(B5162:B5361)</f>
        <v>8231.02675</v>
      </c>
      <c r="E5361" s="7" t="n">
        <f aca="false">B5361/MAX(B5110:B5361)-1</f>
        <v>-0.135380857375398</v>
      </c>
      <c r="F5361" s="7" t="str">
        <f aca="false">IFERROR(INDEX(02_轉折點45個!B:B,MATCH(A5361,02_轉折點45個!A:A,0)),"")</f>
        <v/>
      </c>
      <c r="G5361" s="7" t="s">
        <v>5494</v>
      </c>
    </row>
    <row r="5362" customFormat="false" ht="15" hidden="false" customHeight="false" outlineLevel="0" collapsed="false">
      <c r="A5362" s="7" t="s">
        <v>1521</v>
      </c>
      <c r="B5362" s="7" t="n">
        <v>8664.64</v>
      </c>
      <c r="C5362" s="7" t="n">
        <f aca="false">AVERAGE(B5313:B5362)</f>
        <v>8341.8056</v>
      </c>
      <c r="D5362" s="7" t="n">
        <f aca="false">AVERAGE(B5163:B5362)</f>
        <v>8235.421</v>
      </c>
      <c r="E5362" s="7" t="n">
        <f aca="false">B5362/MAX(B5111:B5362)-1</f>
        <v>-0.108459644418561</v>
      </c>
      <c r="F5362" s="7" t="str">
        <f aca="false">IFERROR(INDEX(02_轉折點45個!B:B,MATCH(A5362,02_轉折點45個!A:A,0)),"")</f>
        <v/>
      </c>
      <c r="G5362" s="7" t="s">
        <v>5494</v>
      </c>
    </row>
    <row r="5363" customFormat="false" ht="15" hidden="false" customHeight="false" outlineLevel="0" collapsed="false">
      <c r="A5363" s="7" t="s">
        <v>6190</v>
      </c>
      <c r="B5363" s="7" t="n">
        <v>8641.5</v>
      </c>
      <c r="C5363" s="7" t="n">
        <f aca="false">AVERAGE(B5314:B5363)</f>
        <v>8324.2784</v>
      </c>
      <c r="D5363" s="7" t="n">
        <f aca="false">AVERAGE(B5164:B5363)</f>
        <v>8239.4942</v>
      </c>
      <c r="E5363" s="7" t="n">
        <f aca="false">B5363/MAX(B5112:B5363)-1</f>
        <v>-0.11084061394853</v>
      </c>
      <c r="F5363" s="7" t="str">
        <f aca="false">IFERROR(INDEX(02_轉折點45個!B:B,MATCH(A5363,02_轉折點45個!A:A,0)),"")</f>
        <v/>
      </c>
      <c r="G5363" s="7" t="s">
        <v>5494</v>
      </c>
    </row>
    <row r="5364" customFormat="false" ht="15" hidden="false" customHeight="false" outlineLevel="0" collapsed="false">
      <c r="A5364" s="7" t="s">
        <v>1522</v>
      </c>
      <c r="B5364" s="7" t="n">
        <v>8786.6</v>
      </c>
      <c r="C5364" s="7" t="n">
        <f aca="false">AVERAGE(B5315:B5364)</f>
        <v>8307.7464</v>
      </c>
      <c r="D5364" s="7" t="n">
        <f aca="false">AVERAGE(B5165:B5364)</f>
        <v>8243.9102</v>
      </c>
      <c r="E5364" s="7" t="n">
        <f aca="false">B5364/MAX(B5113:B5364)-1</f>
        <v>-0.0959106796875723</v>
      </c>
      <c r="F5364" s="7" t="str">
        <f aca="false">IFERROR(INDEX(02_轉折點45個!B:B,MATCH(A5364,02_轉折點45個!A:A,0)),"")</f>
        <v/>
      </c>
      <c r="G5364" s="7" t="s">
        <v>5494</v>
      </c>
    </row>
    <row r="5365" customFormat="false" ht="15" hidden="false" customHeight="false" outlineLevel="0" collapsed="false">
      <c r="A5365" s="7" t="s">
        <v>6191</v>
      </c>
      <c r="B5365" s="7" t="n">
        <v>8837.66</v>
      </c>
      <c r="C5365" s="7" t="n">
        <f aca="false">AVERAGE(B5316:B5365)</f>
        <v>8292.5856</v>
      </c>
      <c r="D5365" s="7" t="n">
        <f aca="false">AVERAGE(B5166:B5365)</f>
        <v>8248.6146</v>
      </c>
      <c r="E5365" s="7" t="n">
        <f aca="false">B5365/MAX(B5114:B5365)-1</f>
        <v>-0.0906569068180719</v>
      </c>
      <c r="F5365" s="7" t="str">
        <f aca="false">IFERROR(INDEX(02_轉折點45個!B:B,MATCH(A5365,02_轉折點45個!A:A,0)),"")</f>
        <v/>
      </c>
      <c r="G5365" s="7" t="s">
        <v>5494</v>
      </c>
    </row>
    <row r="5366" customFormat="false" ht="15" hidden="false" customHeight="false" outlineLevel="0" collapsed="false">
      <c r="A5366" s="7" t="s">
        <v>6192</v>
      </c>
      <c r="B5366" s="7" t="n">
        <v>8677.6</v>
      </c>
      <c r="C5366" s="7" t="n">
        <f aca="false">AVERAGE(B5317:B5366)</f>
        <v>8273.666</v>
      </c>
      <c r="D5366" s="7" t="n">
        <f aca="false">AVERAGE(B5167:B5366)</f>
        <v>8252.2864</v>
      </c>
      <c r="E5366" s="7" t="n">
        <f aca="false">B5366/MAX(B5115:B5366)-1</f>
        <v>-0.107126136851214</v>
      </c>
      <c r="F5366" s="7" t="str">
        <f aca="false">IFERROR(INDEX(02_轉折點45個!B:B,MATCH(A5366,02_轉折點45個!A:A,0)),"")</f>
        <v/>
      </c>
      <c r="G5366" s="7" t="s">
        <v>5494</v>
      </c>
    </row>
    <row r="5367" customFormat="false" ht="15" hidden="false" customHeight="false" outlineLevel="0" collapsed="false">
      <c r="A5367" s="7" t="s">
        <v>6193</v>
      </c>
      <c r="B5367" s="7" t="n">
        <v>8982.76</v>
      </c>
      <c r="C5367" s="7" t="n">
        <f aca="false">AVERAGE(B5318:B5367)</f>
        <v>8260.7252</v>
      </c>
      <c r="D5367" s="7" t="n">
        <f aca="false">AVERAGE(B5168:B5367)</f>
        <v>8257.36555</v>
      </c>
      <c r="E5367" s="7" t="n">
        <f aca="false">B5367/MAX(B5116:B5367)-1</f>
        <v>-0.0757269725571139</v>
      </c>
      <c r="F5367" s="7" t="str">
        <f aca="false">IFERROR(INDEX(02_轉折點45個!B:B,MATCH(A5367,02_轉折點45個!A:A,0)),"")</f>
        <v/>
      </c>
      <c r="G5367" s="7" t="s">
        <v>5494</v>
      </c>
    </row>
    <row r="5368" customFormat="false" ht="15" hidden="false" customHeight="false" outlineLevel="0" collapsed="false">
      <c r="A5368" s="7" t="s">
        <v>1523</v>
      </c>
      <c r="B5368" s="7" t="n">
        <v>9000.51</v>
      </c>
      <c r="C5368" s="7" t="n">
        <f aca="false">AVERAGE(B5319:B5368)</f>
        <v>8246.3608</v>
      </c>
      <c r="D5368" s="7" t="n">
        <f aca="false">AVERAGE(B5169:B5368)</f>
        <v>8262.7327</v>
      </c>
      <c r="E5368" s="7" t="n">
        <f aca="false">B5368/MAX(B5117:B5368)-1</f>
        <v>-0.0739006022391814</v>
      </c>
      <c r="F5368" s="7" t="str">
        <f aca="false">IFERROR(INDEX(02_轉折點45個!B:B,MATCH(A5368,02_轉折點45個!A:A,0)),"")</f>
        <v/>
      </c>
      <c r="G5368" s="7" t="s">
        <v>5494</v>
      </c>
    </row>
    <row r="5369" customFormat="false" ht="15" hidden="false" customHeight="false" outlineLevel="0" collapsed="false">
      <c r="A5369" s="7" t="s">
        <v>6194</v>
      </c>
      <c r="B5369" s="7" t="n">
        <v>8718.18</v>
      </c>
      <c r="C5369" s="7" t="n">
        <f aca="false">AVERAGE(B5320:B5369)</f>
        <v>8228.1678</v>
      </c>
      <c r="D5369" s="7" t="n">
        <f aca="false">AVERAGE(B5170:B5369)</f>
        <v>8266.8798</v>
      </c>
      <c r="E5369" s="7" t="n">
        <f aca="false">B5369/MAX(B5118:B5369)-1</f>
        <v>-0.102950694175062</v>
      </c>
      <c r="F5369" s="7" t="str">
        <f aca="false">IFERROR(INDEX(02_轉折點45個!B:B,MATCH(A5369,02_轉折點45個!A:A,0)),"")</f>
        <v/>
      </c>
      <c r="G5369" s="7" t="s">
        <v>5494</v>
      </c>
    </row>
    <row r="5370" customFormat="false" ht="15" hidden="false" customHeight="false" outlineLevel="0" collapsed="false">
      <c r="A5370" s="7" t="s">
        <v>6195</v>
      </c>
      <c r="B5370" s="7" t="n">
        <v>8834.11</v>
      </c>
      <c r="C5370" s="7" t="n">
        <f aca="false">AVERAGE(B5321:B5370)</f>
        <v>8215.9162</v>
      </c>
      <c r="D5370" s="7" t="n">
        <f aca="false">AVERAGE(B5171:B5370)</f>
        <v>8271.5297</v>
      </c>
      <c r="E5370" s="7" t="n">
        <f aca="false">B5370/MAX(B5119:B5370)-1</f>
        <v>-0.0910221808816583</v>
      </c>
      <c r="F5370" s="7" t="str">
        <f aca="false">IFERROR(INDEX(02_轉折點45個!B:B,MATCH(A5370,02_轉折點45個!A:A,0)),"")</f>
        <v/>
      </c>
      <c r="G5370" s="7" t="s">
        <v>5494</v>
      </c>
    </row>
    <row r="5371" customFormat="false" ht="15" hidden="false" customHeight="false" outlineLevel="0" collapsed="false">
      <c r="A5371" s="7" t="s">
        <v>6196</v>
      </c>
      <c r="B5371" s="7" t="n">
        <v>8930.62</v>
      </c>
      <c r="C5371" s="7" t="n">
        <f aca="false">AVERAGE(B5322:B5371)</f>
        <v>8212.936</v>
      </c>
      <c r="D5371" s="7" t="n">
        <f aca="false">AVERAGE(B5172:B5371)</f>
        <v>8277.0083</v>
      </c>
      <c r="E5371" s="7" t="n">
        <f aca="false">B5371/MAX(B5120:B5371)-1</f>
        <v>-0.0810918710572265</v>
      </c>
      <c r="F5371" s="7" t="str">
        <f aca="false">IFERROR(INDEX(02_轉折點45個!B:B,MATCH(A5371,02_轉折點45個!A:A,0)),"")</f>
        <v/>
      </c>
      <c r="G5371" s="7" t="s">
        <v>5494</v>
      </c>
    </row>
    <row r="5372" customFormat="false" ht="15" hidden="false" customHeight="false" outlineLevel="0" collapsed="false">
      <c r="A5372" s="7" t="s">
        <v>6197</v>
      </c>
      <c r="B5372" s="7" t="n">
        <v>8984.86</v>
      </c>
      <c r="C5372" s="7" t="n">
        <f aca="false">AVERAGE(B5323:B5372)</f>
        <v>8215.9358</v>
      </c>
      <c r="D5372" s="7" t="n">
        <f aca="false">AVERAGE(B5173:B5372)</f>
        <v>8282.407</v>
      </c>
      <c r="E5372" s="7" t="n">
        <f aca="false">B5372/MAX(B5121:B5372)-1</f>
        <v>-0.0755108949420346</v>
      </c>
      <c r="F5372" s="7" t="str">
        <f aca="false">IFERROR(INDEX(02_轉折點45個!B:B,MATCH(A5372,02_轉折點45個!A:A,0)),"")</f>
        <v/>
      </c>
      <c r="G5372" s="7" t="s">
        <v>5494</v>
      </c>
    </row>
    <row r="5373" customFormat="false" ht="15" hidden="false" customHeight="false" outlineLevel="0" collapsed="false">
      <c r="A5373" s="7" t="s">
        <v>6198</v>
      </c>
      <c r="B5373" s="7" t="n">
        <v>9101.88</v>
      </c>
      <c r="C5373" s="7" t="n">
        <f aca="false">AVERAGE(B5324:B5373)</f>
        <v>8220.4982</v>
      </c>
      <c r="D5373" s="7" t="n">
        <f aca="false">AVERAGE(B5174:B5373)</f>
        <v>8288.1436</v>
      </c>
      <c r="E5373" s="7" t="n">
        <f aca="false">B5373/MAX(B5122:B5373)-1</f>
        <v>-0.0634702270769947</v>
      </c>
      <c r="F5373" s="7" t="str">
        <f aca="false">IFERROR(INDEX(02_轉折點45個!B:B,MATCH(A5373,02_轉折點45個!A:A,0)),"")</f>
        <v/>
      </c>
      <c r="G5373" s="7" t="s">
        <v>5494</v>
      </c>
    </row>
    <row r="5374" customFormat="false" ht="15" hidden="false" customHeight="false" outlineLevel="0" collapsed="false">
      <c r="A5374" s="7" t="s">
        <v>6199</v>
      </c>
      <c r="B5374" s="7" t="n">
        <v>9220.35</v>
      </c>
      <c r="C5374" s="7" t="n">
        <f aca="false">AVERAGE(B5325:B5374)</f>
        <v>8236.1718</v>
      </c>
      <c r="D5374" s="7" t="n">
        <f aca="false">AVERAGE(B5175:B5374)</f>
        <v>8294.1923</v>
      </c>
      <c r="E5374" s="7" t="n">
        <f aca="false">B5374/MAX(B5123:B5374)-1</f>
        <v>-0.0512803627634474</v>
      </c>
      <c r="F5374" s="7" t="str">
        <f aca="false">IFERROR(INDEX(02_轉折點45個!B:B,MATCH(A5374,02_轉折點45個!A:A,0)),"")</f>
        <v/>
      </c>
      <c r="G5374" s="7" t="s">
        <v>5494</v>
      </c>
    </row>
    <row r="5375" customFormat="false" ht="15" hidden="false" customHeight="false" outlineLevel="0" collapsed="false">
      <c r="A5375" s="7" t="s">
        <v>1524</v>
      </c>
      <c r="B5375" s="7" t="n">
        <v>9298.92</v>
      </c>
      <c r="C5375" s="7" t="n">
        <f aca="false">AVERAGE(B5326:B5375)</f>
        <v>8252.9136</v>
      </c>
      <c r="D5375" s="7" t="n">
        <f aca="false">AVERAGE(B5176:B5375)</f>
        <v>8301.03755</v>
      </c>
      <c r="E5375" s="7" t="n">
        <f aca="false">B5375/MAX(B5124:B5375)-1</f>
        <v>-0.0431959731364077</v>
      </c>
      <c r="F5375" s="7" t="str">
        <f aca="false">IFERROR(INDEX(02_轉折點45個!B:B,MATCH(A5375,02_轉折點45個!A:A,0)),"")</f>
        <v/>
      </c>
      <c r="G5375" s="7" t="s">
        <v>5494</v>
      </c>
    </row>
    <row r="5376" customFormat="false" ht="15" hidden="false" customHeight="false" outlineLevel="0" collapsed="false">
      <c r="A5376" s="7" t="s">
        <v>1525</v>
      </c>
      <c r="B5376" s="7" t="n">
        <v>9112.45</v>
      </c>
      <c r="C5376" s="7" t="n">
        <f aca="false">AVERAGE(B5327:B5376)</f>
        <v>8257.603</v>
      </c>
      <c r="D5376" s="7" t="n">
        <f aca="false">AVERAGE(B5177:B5376)</f>
        <v>8306.51505</v>
      </c>
      <c r="E5376" s="7" t="n">
        <f aca="false">B5376/MAX(B5125:B5376)-1</f>
        <v>-0.0623826364144285</v>
      </c>
      <c r="F5376" s="7" t="str">
        <f aca="false">IFERROR(INDEX(02_轉折點45個!B:B,MATCH(A5376,02_轉折點45個!A:A,0)),"")</f>
        <v/>
      </c>
      <c r="G5376" s="7" t="s">
        <v>5494</v>
      </c>
    </row>
    <row r="5377" customFormat="false" ht="15" hidden="false" customHeight="false" outlineLevel="0" collapsed="false">
      <c r="A5377" s="7" t="s">
        <v>6200</v>
      </c>
      <c r="B5377" s="7" t="n">
        <v>9000.08</v>
      </c>
      <c r="C5377" s="7" t="n">
        <f aca="false">AVERAGE(B5328:B5377)</f>
        <v>8265.7148</v>
      </c>
      <c r="D5377" s="7" t="n">
        <f aca="false">AVERAGE(B5178:B5377)</f>
        <v>8311.57005</v>
      </c>
      <c r="E5377" s="7" t="n">
        <f aca="false">B5377/MAX(B5126:B5377)-1</f>
        <v>-0.0739448467032214</v>
      </c>
      <c r="F5377" s="7" t="str">
        <f aca="false">IFERROR(INDEX(02_轉折點45個!B:B,MATCH(A5377,02_轉折點45個!A:A,0)),"")</f>
        <v/>
      </c>
      <c r="G5377" s="7" t="s">
        <v>5494</v>
      </c>
    </row>
    <row r="5378" customFormat="false" ht="15" hidden="false" customHeight="false" outlineLevel="0" collapsed="false">
      <c r="A5378" s="7" t="s">
        <v>6201</v>
      </c>
      <c r="B5378" s="7" t="n">
        <v>9094.42</v>
      </c>
      <c r="C5378" s="7" t="n">
        <f aca="false">AVERAGE(B5329:B5378)</f>
        <v>8268.6176</v>
      </c>
      <c r="D5378" s="7" t="n">
        <f aca="false">AVERAGE(B5179:B5378)</f>
        <v>8317.2798</v>
      </c>
      <c r="E5378" s="7" t="n">
        <f aca="false">B5378/MAX(B5127:B5378)-1</f>
        <v>-0.0642378170810383</v>
      </c>
      <c r="F5378" s="7" t="str">
        <f aca="false">IFERROR(INDEX(02_轉折點45個!B:B,MATCH(A5378,02_轉折點45個!A:A,0)),"")</f>
        <v/>
      </c>
      <c r="G5378" s="7" t="s">
        <v>5494</v>
      </c>
    </row>
    <row r="5379" customFormat="false" ht="15" hidden="false" customHeight="false" outlineLevel="0" collapsed="false">
      <c r="A5379" s="7" t="s">
        <v>6202</v>
      </c>
      <c r="B5379" s="7" t="n">
        <v>9152.64</v>
      </c>
      <c r="C5379" s="7" t="n">
        <f aca="false">AVERAGE(B5330:B5379)</f>
        <v>8278.2372</v>
      </c>
      <c r="D5379" s="7" t="n">
        <f aca="false">AVERAGE(B5180:B5379)</f>
        <v>8323.7991</v>
      </c>
      <c r="E5379" s="7" t="n">
        <f aca="false">B5379/MAX(B5128:B5379)-1</f>
        <v>-0.0582473224382198</v>
      </c>
      <c r="F5379" s="7" t="str">
        <f aca="false">IFERROR(INDEX(02_轉折點45個!B:B,MATCH(A5379,02_轉折點45個!A:A,0)),"")</f>
        <v/>
      </c>
      <c r="G5379" s="7" t="s">
        <v>5494</v>
      </c>
    </row>
    <row r="5380" customFormat="false" ht="15" hidden="false" customHeight="false" outlineLevel="0" collapsed="false">
      <c r="A5380" s="7" t="s">
        <v>1526</v>
      </c>
      <c r="B5380" s="7" t="n">
        <v>9331.93</v>
      </c>
      <c r="C5380" s="7" t="n">
        <f aca="false">AVERAGE(B5331:B5380)</f>
        <v>8294.269</v>
      </c>
      <c r="D5380" s="7" t="n">
        <f aca="false">AVERAGE(B5181:B5380)</f>
        <v>8331.453</v>
      </c>
      <c r="E5380" s="7" t="n">
        <f aca="false">B5380/MAX(B5129:B5380)-1</f>
        <v>-0.0397994388155654</v>
      </c>
      <c r="F5380" s="7" t="str">
        <f aca="false">IFERROR(INDEX(02_轉折點45個!B:B,MATCH(A5380,02_轉折點45個!A:A,0)),"")</f>
        <v/>
      </c>
      <c r="G5380" s="7" t="s">
        <v>5494</v>
      </c>
    </row>
    <row r="5381" customFormat="false" ht="15" hidden="false" customHeight="false" outlineLevel="0" collapsed="false">
      <c r="A5381" s="7" t="s">
        <v>1527</v>
      </c>
      <c r="B5381" s="7" t="n">
        <v>9298.54</v>
      </c>
      <c r="C5381" s="7" t="n">
        <f aca="false">AVERAGE(B5332:B5381)</f>
        <v>8321.2792</v>
      </c>
      <c r="D5381" s="7" t="n">
        <f aca="false">AVERAGE(B5182:B5381)</f>
        <v>8339.4817</v>
      </c>
      <c r="E5381" s="7" t="n">
        <f aca="false">B5381/MAX(B5130:B5381)-1</f>
        <v>-0.0432350728953267</v>
      </c>
      <c r="F5381" s="7" t="str">
        <f aca="false">IFERROR(INDEX(02_轉折點45個!B:B,MATCH(A5381,02_轉折點45個!A:A,0)),"")</f>
        <v/>
      </c>
      <c r="G5381" s="7" t="s">
        <v>5494</v>
      </c>
    </row>
    <row r="5382" customFormat="false" ht="15" hidden="false" customHeight="false" outlineLevel="0" collapsed="false">
      <c r="A5382" s="7" t="s">
        <v>1528</v>
      </c>
      <c r="B5382" s="7" t="n">
        <v>9485.02</v>
      </c>
      <c r="C5382" s="7" t="n">
        <f aca="false">AVERAGE(B5333:B5382)</f>
        <v>8343.5342</v>
      </c>
      <c r="D5382" s="7" t="n">
        <f aca="false">AVERAGE(B5183:B5382)</f>
        <v>8349.82835</v>
      </c>
      <c r="E5382" s="7" t="n">
        <f aca="false">B5382/MAX(B5131:B5382)-1</f>
        <v>-0.0240473806762817</v>
      </c>
      <c r="F5382" s="7" t="str">
        <f aca="false">IFERROR(INDEX(02_轉折點45個!B:B,MATCH(A5382,02_轉折點45個!A:A,0)),"")</f>
        <v/>
      </c>
      <c r="G5382" s="7" t="s">
        <v>5494</v>
      </c>
    </row>
    <row r="5383" customFormat="false" ht="15" hidden="false" customHeight="false" outlineLevel="0" collapsed="false">
      <c r="A5383" s="7" t="s">
        <v>1529</v>
      </c>
      <c r="B5383" s="7" t="n">
        <v>9377.99</v>
      </c>
      <c r="C5383" s="7" t="n">
        <f aca="false">AVERAGE(B5334:B5383)</f>
        <v>8370.9716</v>
      </c>
      <c r="D5383" s="7" t="n">
        <f aca="false">AVERAGE(B5184:B5383)</f>
        <v>8359.1117</v>
      </c>
      <c r="E5383" s="7" t="n">
        <f aca="false">B5383/MAX(B5132:B5383)-1</f>
        <v>-0.0350601364581586</v>
      </c>
      <c r="F5383" s="7" t="str">
        <f aca="false">IFERROR(INDEX(02_轉折點45個!B:B,MATCH(A5383,02_轉折點45個!A:A,0)),"")</f>
        <v/>
      </c>
      <c r="G5383" s="7" t="s">
        <v>5494</v>
      </c>
    </row>
    <row r="5384" customFormat="false" ht="15" hidden="false" customHeight="false" outlineLevel="0" collapsed="false">
      <c r="A5384" s="7" t="s">
        <v>1530</v>
      </c>
      <c r="B5384" s="7" t="n">
        <v>9413.99</v>
      </c>
      <c r="C5384" s="7" t="n">
        <f aca="false">AVERAGE(B5335:B5384)</f>
        <v>8413.9784</v>
      </c>
      <c r="D5384" s="7" t="n">
        <f aca="false">AVERAGE(B5185:B5384)</f>
        <v>8368.42215</v>
      </c>
      <c r="E5384" s="7" t="n">
        <f aca="false">B5384/MAX(B5133:B5384)-1</f>
        <v>-0.0313559487710843</v>
      </c>
      <c r="F5384" s="7" t="str">
        <f aca="false">IFERROR(INDEX(02_轉折點45個!B:B,MATCH(A5384,02_轉折點45個!A:A,0)),"")</f>
        <v/>
      </c>
      <c r="G5384" s="7" t="s">
        <v>5494</v>
      </c>
    </row>
    <row r="5385" customFormat="false" ht="15" hidden="false" customHeight="false" outlineLevel="0" collapsed="false">
      <c r="A5385" s="7" t="s">
        <v>6203</v>
      </c>
      <c r="B5385" s="7" t="n">
        <v>9389.98</v>
      </c>
      <c r="C5385" s="7" t="n">
        <f aca="false">AVERAGE(B5336:B5385)</f>
        <v>8441.8728</v>
      </c>
      <c r="D5385" s="7" t="n">
        <f aca="false">AVERAGE(B5186:B5385)</f>
        <v>8376.7479</v>
      </c>
      <c r="E5385" s="7" t="n">
        <f aca="false">B5385/MAX(B5134:B5385)-1</f>
        <v>-0.033826436170158</v>
      </c>
      <c r="F5385" s="7" t="str">
        <f aca="false">IFERROR(INDEX(02_轉折點45個!B:B,MATCH(A5385,02_轉折點45個!A:A,0)),"")</f>
        <v/>
      </c>
      <c r="G5385" s="7" t="s">
        <v>5494</v>
      </c>
    </row>
    <row r="5386" customFormat="false" ht="15" hidden="false" customHeight="false" outlineLevel="0" collapsed="false">
      <c r="A5386" s="7" t="s">
        <v>6204</v>
      </c>
      <c r="B5386" s="7" t="n">
        <v>9442.05</v>
      </c>
      <c r="C5386" s="7" t="n">
        <f aca="false">AVERAGE(B5337:B5386)</f>
        <v>8490.3062</v>
      </c>
      <c r="D5386" s="7" t="n">
        <f aca="false">AVERAGE(B5187:B5386)</f>
        <v>8385.7268</v>
      </c>
      <c r="E5386" s="7" t="n">
        <f aca="false">B5386/MAX(B5135:B5386)-1</f>
        <v>-0.0284687402572147</v>
      </c>
      <c r="F5386" s="7" t="str">
        <f aca="false">IFERROR(INDEX(02_轉折點45個!B:B,MATCH(A5386,02_轉折點45個!A:A,0)),"")</f>
        <v/>
      </c>
      <c r="G5386" s="7" t="s">
        <v>5494</v>
      </c>
    </row>
    <row r="5387" customFormat="false" ht="15" hidden="false" customHeight="false" outlineLevel="0" collapsed="false">
      <c r="A5387" s="7" t="s">
        <v>1531</v>
      </c>
      <c r="B5387" s="7" t="n">
        <v>9416.71</v>
      </c>
      <c r="C5387" s="7" t="n">
        <f aca="false">AVERAGE(B5338:B5387)</f>
        <v>8529.1614</v>
      </c>
      <c r="D5387" s="7" t="n">
        <f aca="false">AVERAGE(B5188:B5387)</f>
        <v>8395.00195</v>
      </c>
      <c r="E5387" s="7" t="n">
        <f aca="false">B5387/MAX(B5136:B5387)-1</f>
        <v>-0.0310760768125054</v>
      </c>
      <c r="F5387" s="7" t="str">
        <f aca="false">IFERROR(INDEX(02_轉折點45個!B:B,MATCH(A5387,02_轉折點45個!A:A,0)),"")</f>
        <v/>
      </c>
      <c r="G5387" s="7" t="s">
        <v>5494</v>
      </c>
    </row>
    <row r="5388" customFormat="false" ht="15" hidden="false" customHeight="false" outlineLevel="0" collapsed="false">
      <c r="A5388" s="7" t="s">
        <v>6205</v>
      </c>
      <c r="B5388" s="7" t="n">
        <v>9555.53</v>
      </c>
      <c r="C5388" s="7" t="n">
        <f aca="false">AVERAGE(B5339:B5388)</f>
        <v>8576.7684</v>
      </c>
      <c r="D5388" s="7" t="n">
        <f aca="false">AVERAGE(B5189:B5388)</f>
        <v>8404.13885</v>
      </c>
      <c r="E5388" s="7" t="n">
        <f aca="false">B5388/MAX(B5137:B5388)-1</f>
        <v>-0.0167923175147369</v>
      </c>
      <c r="F5388" s="7" t="str">
        <f aca="false">IFERROR(INDEX(02_轉折點45個!B:B,MATCH(A5388,02_轉折點45個!A:A,0)),"")</f>
        <v/>
      </c>
      <c r="G5388" s="7" t="s">
        <v>5494</v>
      </c>
    </row>
    <row r="5389" customFormat="false" ht="15" hidden="false" customHeight="false" outlineLevel="0" collapsed="false">
      <c r="A5389" s="7" t="s">
        <v>6206</v>
      </c>
      <c r="B5389" s="7" t="n">
        <v>9598.89</v>
      </c>
      <c r="C5389" s="7" t="n">
        <f aca="false">AVERAGE(B5340:B5389)</f>
        <v>8622.9758</v>
      </c>
      <c r="D5389" s="7" t="n">
        <f aca="false">AVERAGE(B5190:B5389)</f>
        <v>8414.68265</v>
      </c>
      <c r="E5389" s="7" t="n">
        <f aca="false">B5389/MAX(B5138:B5389)-1</f>
        <v>-0.0123308292338609</v>
      </c>
      <c r="F5389" s="7" t="str">
        <f aca="false">IFERROR(INDEX(02_轉折點45個!B:B,MATCH(A5389,02_轉折點45個!A:A,0)),"")</f>
        <v/>
      </c>
      <c r="G5389" s="7" t="s">
        <v>5494</v>
      </c>
    </row>
    <row r="5390" customFormat="false" ht="15" hidden="false" customHeight="false" outlineLevel="0" collapsed="false">
      <c r="A5390" s="7" t="s">
        <v>6207</v>
      </c>
      <c r="B5390" s="7" t="n">
        <v>9657.31</v>
      </c>
      <c r="C5390" s="7" t="n">
        <f aca="false">AVERAGE(B5341:B5390)</f>
        <v>8676.2362</v>
      </c>
      <c r="D5390" s="7" t="n">
        <f aca="false">AVERAGE(B5191:B5390)</f>
        <v>8425.54475</v>
      </c>
      <c r="E5390" s="7" t="n">
        <f aca="false">B5390/MAX(B5139:B5390)-1</f>
        <v>-0.00631975577055854</v>
      </c>
      <c r="F5390" s="7" t="str">
        <f aca="false">IFERROR(INDEX(02_轉折點45個!B:B,MATCH(A5390,02_轉折點45個!A:A,0)),"")</f>
        <v/>
      </c>
      <c r="G5390" s="7" t="s">
        <v>5494</v>
      </c>
    </row>
    <row r="5391" customFormat="false" ht="15" hidden="false" customHeight="false" outlineLevel="0" collapsed="false">
      <c r="A5391" s="7" t="s">
        <v>6208</v>
      </c>
      <c r="B5391" s="7" t="n">
        <v>9704.69</v>
      </c>
      <c r="C5391" s="7" t="n">
        <f aca="false">AVERAGE(B5342:B5391)</f>
        <v>8730.1916</v>
      </c>
      <c r="D5391" s="7" t="n">
        <f aca="false">AVERAGE(B5192:B5391)</f>
        <v>8436.04765</v>
      </c>
      <c r="E5391" s="7" t="n">
        <f aca="false">B5391/MAX(B5140:B5391)-1</f>
        <v>-0.00144463319795884</v>
      </c>
      <c r="F5391" s="7" t="str">
        <f aca="false">IFERROR(INDEX(02_轉折點45個!B:B,MATCH(A5391,02_轉折點45個!A:A,0)),"")</f>
        <v/>
      </c>
      <c r="G5391" s="7" t="s">
        <v>5494</v>
      </c>
    </row>
    <row r="5392" customFormat="false" ht="15" hidden="false" customHeight="false" outlineLevel="0" collapsed="false">
      <c r="A5392" s="7" t="s">
        <v>6209</v>
      </c>
      <c r="B5392" s="7" t="n">
        <v>9629.66</v>
      </c>
      <c r="C5392" s="7" t="n">
        <f aca="false">AVERAGE(B5343:B5392)</f>
        <v>8771.7082</v>
      </c>
      <c r="D5392" s="7" t="n">
        <f aca="false">AVERAGE(B5193:B5392)</f>
        <v>8445.59935</v>
      </c>
      <c r="E5392" s="7" t="n">
        <f aca="false">B5392/MAX(B5141:B5392)-1</f>
        <v>-0.0091647777024364</v>
      </c>
      <c r="F5392" s="7" t="str">
        <f aca="false">IFERROR(INDEX(02_轉折點45個!B:B,MATCH(A5392,02_轉折點45個!A:A,0)),"")</f>
        <v/>
      </c>
      <c r="G5392" s="7" t="s">
        <v>5494</v>
      </c>
    </row>
    <row r="5393" customFormat="false" ht="15" hidden="false" customHeight="false" outlineLevel="0" collapsed="false">
      <c r="A5393" s="7" t="s">
        <v>1533</v>
      </c>
      <c r="B5393" s="7" t="n">
        <v>9824.39</v>
      </c>
      <c r="C5393" s="7" t="n">
        <f aca="false">AVERAGE(B5344:B5393)</f>
        <v>8818.8036</v>
      </c>
      <c r="D5393" s="7" t="n">
        <f aca="false">AVERAGE(B5194:B5393)</f>
        <v>8456.39895</v>
      </c>
      <c r="E5393" s="7" t="n">
        <f aca="false">B5393/MAX(B5142:B5393)-1</f>
        <v>0</v>
      </c>
      <c r="F5393" s="7" t="str">
        <f aca="false">IFERROR(INDEX(02_轉折點45個!B:B,MATCH(A5393,02_轉折點45個!A:A,0)),"")</f>
        <v/>
      </c>
      <c r="G5393" s="7" t="s">
        <v>5494</v>
      </c>
    </row>
    <row r="5394" customFormat="false" ht="15" hidden="false" customHeight="false" outlineLevel="0" collapsed="false">
      <c r="A5394" s="7" t="s">
        <v>1534</v>
      </c>
      <c r="B5394" s="7" t="n">
        <v>9901.52</v>
      </c>
      <c r="C5394" s="7" t="n">
        <f aca="false">AVERAGE(B5345:B5394)</f>
        <v>8858.8914</v>
      </c>
      <c r="D5394" s="7" t="n">
        <f aca="false">AVERAGE(B5195:B5394)</f>
        <v>8467.24045</v>
      </c>
      <c r="E5394" s="7" t="n">
        <f aca="false">B5394/MAX(B5143:B5394)-1</f>
        <v>0</v>
      </c>
      <c r="F5394" s="7" t="str">
        <f aca="false">IFERROR(INDEX(02_轉折點45個!B:B,MATCH(A5394,02_轉折點45個!A:A,0)),"")</f>
        <v/>
      </c>
      <c r="G5394" s="7" t="s">
        <v>5494</v>
      </c>
    </row>
    <row r="5395" customFormat="false" ht="15" hidden="false" customHeight="false" outlineLevel="0" collapsed="false">
      <c r="A5395" s="7" t="s">
        <v>1535</v>
      </c>
      <c r="B5395" s="7" t="n">
        <v>9967.17</v>
      </c>
      <c r="C5395" s="7" t="n">
        <f aca="false">AVERAGE(B5346:B5395)</f>
        <v>8906.4674</v>
      </c>
      <c r="D5395" s="7" t="n">
        <f aca="false">AVERAGE(B5196:B5395)</f>
        <v>8478.53915</v>
      </c>
      <c r="E5395" s="7" t="n">
        <f aca="false">B5395/MAX(B5144:B5395)-1</f>
        <v>0</v>
      </c>
      <c r="F5395" s="7" t="str">
        <f aca="false">IFERROR(INDEX(02_轉折點45個!B:B,MATCH(A5395,02_轉折點45個!A:A,0)),"")</f>
        <v/>
      </c>
      <c r="G5395" s="7" t="s">
        <v>5494</v>
      </c>
    </row>
    <row r="5396" customFormat="false" ht="15" hidden="false" customHeight="false" outlineLevel="0" collapsed="false">
      <c r="A5396" s="7" t="s">
        <v>6210</v>
      </c>
      <c r="B5396" s="7" t="n">
        <v>10094.26</v>
      </c>
      <c r="C5396" s="7" t="n">
        <f aca="false">AVERAGE(B5347:B5396)</f>
        <v>8950.5724</v>
      </c>
      <c r="D5396" s="7" t="n">
        <f aca="false">AVERAGE(B5197:B5396)</f>
        <v>8491.6855</v>
      </c>
      <c r="E5396" s="7" t="n">
        <f aca="false">B5396/MAX(B5145:B5396)-1</f>
        <v>0</v>
      </c>
      <c r="F5396" s="7" t="str">
        <f aca="false">IFERROR(INDEX(02_轉折點45個!B:B,MATCH(A5396,02_轉折點45個!A:A,0)),"")</f>
        <v/>
      </c>
      <c r="G5396" s="7" t="s">
        <v>5494</v>
      </c>
    </row>
    <row r="5397" customFormat="false" ht="15" hidden="false" customHeight="false" outlineLevel="0" collapsed="false">
      <c r="A5397" s="7" t="s">
        <v>1536</v>
      </c>
      <c r="B5397" s="7" t="n">
        <v>9588.48</v>
      </c>
      <c r="C5397" s="7" t="n">
        <f aca="false">AVERAGE(B5348:B5397)</f>
        <v>8986.072</v>
      </c>
      <c r="D5397" s="7" t="n">
        <f aca="false">AVERAGE(B5198:B5397)</f>
        <v>8501.7528</v>
      </c>
      <c r="E5397" s="7" t="n">
        <f aca="false">B5397/MAX(B5146:B5397)-1</f>
        <v>-0.0501057036375129</v>
      </c>
      <c r="F5397" s="7" t="str">
        <f aca="false">IFERROR(INDEX(02_轉折點45個!B:B,MATCH(A5397,02_轉折點45個!A:A,0)),"")</f>
        <v/>
      </c>
      <c r="G5397" s="7" t="s">
        <v>5494</v>
      </c>
    </row>
    <row r="5398" customFormat="false" ht="15" hidden="false" customHeight="false" outlineLevel="0" collapsed="false">
      <c r="A5398" s="7" t="s">
        <v>1537</v>
      </c>
      <c r="B5398" s="7" t="n">
        <v>9663.78</v>
      </c>
      <c r="C5398" s="7" t="n">
        <f aca="false">AVERAGE(B5349:B5398)</f>
        <v>9029.6218</v>
      </c>
      <c r="D5398" s="7" t="n">
        <f aca="false">AVERAGE(B5199:B5398)</f>
        <v>8512.24155</v>
      </c>
      <c r="E5398" s="7" t="n">
        <f aca="false">B5398/MAX(B5147:B5398)-1</f>
        <v>-0.0426460186284086</v>
      </c>
      <c r="F5398" s="7" t="str">
        <f aca="false">IFERROR(INDEX(02_轉折點45個!B:B,MATCH(A5398,02_轉折點45個!A:A,0)),"")</f>
        <v/>
      </c>
      <c r="G5398" s="7" t="s">
        <v>5494</v>
      </c>
    </row>
    <row r="5399" customFormat="false" ht="15" hidden="false" customHeight="false" outlineLevel="0" collapsed="false">
      <c r="A5399" s="7" t="s">
        <v>1538</v>
      </c>
      <c r="B5399" s="7" t="n">
        <v>9776.89</v>
      </c>
      <c r="C5399" s="7" t="n">
        <f aca="false">AVERAGE(B5350:B5399)</f>
        <v>9072.4464</v>
      </c>
      <c r="D5399" s="7" t="n">
        <f aca="false">AVERAGE(B5200:B5399)</f>
        <v>8523.1865</v>
      </c>
      <c r="E5399" s="7" t="n">
        <f aca="false">B5399/MAX(B5148:B5399)-1</f>
        <v>-0.0314406405224356</v>
      </c>
      <c r="F5399" s="7" t="str">
        <f aca="false">IFERROR(INDEX(02_轉折點45個!B:B,MATCH(A5399,02_轉折點45個!A:A,0)),"")</f>
        <v/>
      </c>
      <c r="G5399" s="7" t="s">
        <v>5494</v>
      </c>
    </row>
    <row r="5400" customFormat="false" ht="15" hidden="false" customHeight="false" outlineLevel="0" collapsed="false">
      <c r="A5400" s="7" t="s">
        <v>6211</v>
      </c>
      <c r="B5400" s="7" t="n">
        <v>9949.37</v>
      </c>
      <c r="C5400" s="7" t="n">
        <f aca="false">AVERAGE(B5351:B5400)</f>
        <v>9120.8716</v>
      </c>
      <c r="D5400" s="7" t="n">
        <f aca="false">AVERAGE(B5201:B5400)</f>
        <v>8534.4218</v>
      </c>
      <c r="E5400" s="7" t="n">
        <f aca="false">B5400/MAX(B5149:B5400)-1</f>
        <v>-0.0143537020049017</v>
      </c>
      <c r="F5400" s="7" t="str">
        <f aca="false">IFERROR(INDEX(02_轉折點45個!B:B,MATCH(A5400,02_轉折點45個!A:A,0)),"")</f>
        <v/>
      </c>
      <c r="G5400" s="7" t="s">
        <v>5494</v>
      </c>
    </row>
    <row r="5401" customFormat="false" ht="15" hidden="false" customHeight="false" outlineLevel="0" collapsed="false">
      <c r="A5401" s="7" t="s">
        <v>1539</v>
      </c>
      <c r="B5401" s="7" t="n">
        <v>9982.48</v>
      </c>
      <c r="C5401" s="7" t="n">
        <f aca="false">AVERAGE(B5352:B5401)</f>
        <v>9158.888</v>
      </c>
      <c r="D5401" s="7" t="n">
        <f aca="false">AVERAGE(B5202:B5401)</f>
        <v>8545.8792</v>
      </c>
      <c r="E5401" s="7" t="n">
        <f aca="false">B5401/MAX(B5150:B5401)-1</f>
        <v>-0.0110736200573396</v>
      </c>
      <c r="F5401" s="7" t="str">
        <f aca="false">IFERROR(INDEX(02_轉折點45個!B:B,MATCH(A5401,02_轉折點45個!A:A,0)),"")</f>
        <v/>
      </c>
      <c r="G5401" s="7" t="s">
        <v>5494</v>
      </c>
    </row>
    <row r="5402" customFormat="false" ht="15" hidden="false" customHeight="false" outlineLevel="0" collapsed="false">
      <c r="A5402" s="7" t="s">
        <v>6212</v>
      </c>
      <c r="B5402" s="7" t="n">
        <v>10012.05</v>
      </c>
      <c r="C5402" s="7" t="n">
        <f aca="false">AVERAGE(B5353:B5402)</f>
        <v>9198.1428</v>
      </c>
      <c r="D5402" s="7" t="n">
        <f aca="false">AVERAGE(B5203:B5402)</f>
        <v>8557.8919</v>
      </c>
      <c r="E5402" s="7" t="n">
        <f aca="false">B5402/MAX(B5151:B5402)-1</f>
        <v>-0.00814423246478702</v>
      </c>
      <c r="F5402" s="7" t="str">
        <f aca="false">IFERROR(INDEX(02_轉折點45個!B:B,MATCH(A5402,02_轉折點45個!A:A,0)),"")</f>
        <v/>
      </c>
      <c r="G5402" s="7" t="s">
        <v>5494</v>
      </c>
    </row>
    <row r="5403" customFormat="false" ht="15" hidden="false" customHeight="false" outlineLevel="0" collapsed="false">
      <c r="A5403" s="7" t="s">
        <v>6213</v>
      </c>
      <c r="B5403" s="7" t="n">
        <v>10008.64</v>
      </c>
      <c r="C5403" s="7" t="n">
        <f aca="false">AVERAGE(B5354:B5403)</f>
        <v>9233.7248</v>
      </c>
      <c r="D5403" s="7" t="n">
        <f aca="false">AVERAGE(B5204:B5403)</f>
        <v>8569.33885</v>
      </c>
      <c r="E5403" s="7" t="n">
        <f aca="false">B5403/MAX(B5152:B5403)-1</f>
        <v>-0.00848204821353926</v>
      </c>
      <c r="F5403" s="7" t="str">
        <f aca="false">IFERROR(INDEX(02_轉折點45個!B:B,MATCH(A5403,02_轉折點45個!A:A,0)),"")</f>
        <v/>
      </c>
      <c r="G5403" s="7" t="s">
        <v>5494</v>
      </c>
    </row>
    <row r="5404" customFormat="false" ht="15" hidden="false" customHeight="false" outlineLevel="0" collapsed="false">
      <c r="A5404" s="7" t="s">
        <v>1540</v>
      </c>
      <c r="B5404" s="7" t="n">
        <v>10130.33</v>
      </c>
      <c r="C5404" s="7" t="n">
        <f aca="false">AVERAGE(B5355:B5404)</f>
        <v>9271.5608</v>
      </c>
      <c r="D5404" s="7" t="n">
        <f aca="false">AVERAGE(B5205:B5404)</f>
        <v>8580.6778</v>
      </c>
      <c r="E5404" s="7" t="n">
        <f aca="false">B5404/MAX(B5153:B5404)-1</f>
        <v>0</v>
      </c>
      <c r="F5404" s="7" t="str">
        <f aca="false">IFERROR(INDEX(02_轉折點45個!B:B,MATCH(A5404,02_轉折點45個!A:A,0)),"")</f>
        <v/>
      </c>
      <c r="G5404" s="7" t="s">
        <v>5494</v>
      </c>
    </row>
    <row r="5405" customFormat="false" ht="15" hidden="false" customHeight="false" outlineLevel="0" collapsed="false">
      <c r="A5405" s="7" t="s">
        <v>1541</v>
      </c>
      <c r="B5405" s="7" t="n">
        <v>10209.82</v>
      </c>
      <c r="C5405" s="7" t="n">
        <f aca="false">AVERAGE(B5356:B5405)</f>
        <v>9309.1024</v>
      </c>
      <c r="D5405" s="7" t="n">
        <f aca="false">AVERAGE(B5206:B5405)</f>
        <v>8592.4642</v>
      </c>
      <c r="E5405" s="7" t="n">
        <f aca="false">B5405/MAX(B5154:B5405)-1</f>
        <v>0</v>
      </c>
      <c r="F5405" s="7" t="str">
        <f aca="false">IFERROR(INDEX(02_轉折點45個!B:B,MATCH(A5405,02_轉折點45個!A:A,0)),"")</f>
        <v/>
      </c>
      <c r="G5405" s="7" t="s">
        <v>5494</v>
      </c>
    </row>
    <row r="5406" customFormat="false" ht="15" hidden="false" customHeight="false" outlineLevel="0" collapsed="false">
      <c r="A5406" s="7" t="s">
        <v>1542</v>
      </c>
      <c r="B5406" s="7" t="n">
        <v>10002.7</v>
      </c>
      <c r="C5406" s="7" t="n">
        <f aca="false">AVERAGE(B5357:B5406)</f>
        <v>9335.3132</v>
      </c>
      <c r="D5406" s="7" t="n">
        <f aca="false">AVERAGE(B5207:B5406)</f>
        <v>8603.3157</v>
      </c>
      <c r="E5406" s="7" t="n">
        <f aca="false">B5406/MAX(B5155:B5406)-1</f>
        <v>-0.02028635176722</v>
      </c>
      <c r="F5406" s="7" t="str">
        <f aca="false">IFERROR(INDEX(02_轉折點45個!B:B,MATCH(A5406,02_轉折點45個!A:A,0)),"")</f>
        <v/>
      </c>
      <c r="G5406" s="7" t="s">
        <v>5494</v>
      </c>
    </row>
    <row r="5407" customFormat="false" ht="15" hidden="false" customHeight="false" outlineLevel="0" collapsed="false">
      <c r="A5407" s="7" t="s">
        <v>6214</v>
      </c>
      <c r="B5407" s="7" t="n">
        <v>10101.83</v>
      </c>
      <c r="C5407" s="7" t="n">
        <f aca="false">AVERAGE(B5358:B5407)</f>
        <v>9365.5106</v>
      </c>
      <c r="D5407" s="7" t="n">
        <f aca="false">AVERAGE(B5208:B5407)</f>
        <v>8614.75115</v>
      </c>
      <c r="E5407" s="7" t="n">
        <f aca="false">B5407/MAX(B5156:B5407)-1</f>
        <v>-0.0105770718778587</v>
      </c>
      <c r="F5407" s="7" t="str">
        <f aca="false">IFERROR(INDEX(02_轉折點45個!B:B,MATCH(A5407,02_轉折點45個!A:A,0)),"")</f>
        <v/>
      </c>
      <c r="G5407" s="7" t="s">
        <v>5494</v>
      </c>
    </row>
    <row r="5408" customFormat="false" ht="15" hidden="false" customHeight="false" outlineLevel="0" collapsed="false">
      <c r="A5408" s="7" t="s">
        <v>1543</v>
      </c>
      <c r="B5408" s="7" t="n">
        <v>9849.36</v>
      </c>
      <c r="C5408" s="7" t="n">
        <f aca="false">AVERAGE(B5359:B5408)</f>
        <v>9387.3412</v>
      </c>
      <c r="D5408" s="7" t="n">
        <f aca="false">AVERAGE(B5209:B5408)</f>
        <v>8624.56005</v>
      </c>
      <c r="E5408" s="7" t="n">
        <f aca="false">B5408/MAX(B5157:B5408)-1</f>
        <v>-0.0353052257532454</v>
      </c>
      <c r="F5408" s="7" t="str">
        <f aca="false">IFERROR(INDEX(02_轉折點45個!B:B,MATCH(A5408,02_轉折點45個!A:A,0)),"")</f>
        <v/>
      </c>
      <c r="G5408" s="7" t="s">
        <v>5494</v>
      </c>
    </row>
    <row r="5409" customFormat="false" ht="15" hidden="false" customHeight="false" outlineLevel="0" collapsed="false">
      <c r="A5409" s="7" t="s">
        <v>6215</v>
      </c>
      <c r="B5409" s="7" t="n">
        <v>9961.16</v>
      </c>
      <c r="C5409" s="7" t="n">
        <f aca="false">AVERAGE(B5360:B5409)</f>
        <v>9409.9162</v>
      </c>
      <c r="D5409" s="7" t="n">
        <f aca="false">AVERAGE(B5210:B5409)</f>
        <v>8634.77915</v>
      </c>
      <c r="E5409" s="7" t="n">
        <f aca="false">B5409/MAX(B5158:B5409)-1</f>
        <v>-0.0243549837313488</v>
      </c>
      <c r="F5409" s="7" t="str">
        <f aca="false">IFERROR(INDEX(02_轉折點45個!B:B,MATCH(A5409,02_轉折點45個!A:A,0)),"")</f>
        <v/>
      </c>
      <c r="G5409" s="7" t="s">
        <v>5494</v>
      </c>
    </row>
    <row r="5410" customFormat="false" ht="15" hidden="false" customHeight="false" outlineLevel="0" collapsed="false">
      <c r="A5410" s="7" t="s">
        <v>1544</v>
      </c>
      <c r="B5410" s="7" t="n">
        <v>10156.85</v>
      </c>
      <c r="C5410" s="7" t="n">
        <f aca="false">AVERAGE(B5361:B5410)</f>
        <v>9438.523</v>
      </c>
      <c r="D5410" s="7" t="n">
        <f aca="false">AVERAGE(B5211:B5410)</f>
        <v>8646.09865</v>
      </c>
      <c r="E5410" s="7" t="n">
        <f aca="false">B5410/MAX(B5159:B5410)-1</f>
        <v>-0.00518814239624199</v>
      </c>
      <c r="F5410" s="7" t="str">
        <f aca="false">IFERROR(INDEX(02_轉折點45個!B:B,MATCH(A5410,02_轉折點45個!A:A,0)),"")</f>
        <v/>
      </c>
      <c r="G5410" s="7" t="s">
        <v>5494</v>
      </c>
    </row>
    <row r="5411" customFormat="false" ht="15" hidden="false" customHeight="false" outlineLevel="0" collapsed="false">
      <c r="A5411" s="7" t="s">
        <v>1545</v>
      </c>
      <c r="B5411" s="7" t="n">
        <v>10279.25</v>
      </c>
      <c r="C5411" s="7" t="n">
        <f aca="false">AVERAGE(B5362:B5411)</f>
        <v>9476.048</v>
      </c>
      <c r="D5411" s="7" t="n">
        <f aca="false">AVERAGE(B5212:B5411)</f>
        <v>8658.23285</v>
      </c>
      <c r="E5411" s="7" t="n">
        <f aca="false">B5411/MAX(B5160:B5411)-1</f>
        <v>0</v>
      </c>
      <c r="F5411" s="7" t="str">
        <f aca="false">IFERROR(INDEX(02_轉折點45個!B:B,MATCH(A5411,02_轉折點45個!A:A,0)),"")</f>
        <v/>
      </c>
      <c r="G5411" s="7" t="s">
        <v>5494</v>
      </c>
    </row>
    <row r="5412" customFormat="false" ht="15" hidden="false" customHeight="false" outlineLevel="0" collapsed="false">
      <c r="A5412" s="7" t="s">
        <v>1546</v>
      </c>
      <c r="B5412" s="7" t="n">
        <v>10341.89</v>
      </c>
      <c r="C5412" s="7" t="n">
        <f aca="false">AVERAGE(B5363:B5412)</f>
        <v>9509.593</v>
      </c>
      <c r="D5412" s="7" t="n">
        <f aca="false">AVERAGE(B5213:B5412)</f>
        <v>8670.49835</v>
      </c>
      <c r="E5412" s="7" t="n">
        <f aca="false">B5412/MAX(B5161:B5412)-1</f>
        <v>0</v>
      </c>
      <c r="F5412" s="7" t="str">
        <f aca="false">IFERROR(INDEX(02_轉折點45個!B:B,MATCH(A5412,02_轉折點45個!A:A,0)),"")</f>
        <v/>
      </c>
      <c r="G5412" s="7" t="s">
        <v>5494</v>
      </c>
    </row>
    <row r="5413" customFormat="false" ht="15" hidden="false" customHeight="false" outlineLevel="0" collapsed="false">
      <c r="A5413" s="7" t="s">
        <v>1547</v>
      </c>
      <c r="B5413" s="7" t="n">
        <v>10604.06</v>
      </c>
      <c r="C5413" s="7" t="n">
        <f aca="false">AVERAGE(B5364:B5413)</f>
        <v>9548.8442</v>
      </c>
      <c r="D5413" s="7" t="n">
        <f aca="false">AVERAGE(B5214:B5413)</f>
        <v>8684.07585</v>
      </c>
      <c r="E5413" s="7" t="n">
        <f aca="false">B5413/MAX(B5162:B5413)-1</f>
        <v>0</v>
      </c>
      <c r="F5413" s="7" t="str">
        <f aca="false">IFERROR(INDEX(02_轉折點45個!B:B,MATCH(A5413,02_轉折點45個!A:A,0)),"")</f>
        <v/>
      </c>
      <c r="G5413" s="7" t="s">
        <v>5494</v>
      </c>
    </row>
    <row r="5414" customFormat="false" ht="15" hidden="false" customHeight="false" outlineLevel="0" collapsed="false">
      <c r="A5414" s="7" t="s">
        <v>6216</v>
      </c>
      <c r="B5414" s="7" t="n">
        <v>10524.01</v>
      </c>
      <c r="C5414" s="7" t="n">
        <f aca="false">AVERAGE(B5365:B5414)</f>
        <v>9583.5924</v>
      </c>
      <c r="D5414" s="7" t="n">
        <f aca="false">AVERAGE(B5215:B5414)</f>
        <v>8697.18695</v>
      </c>
      <c r="E5414" s="7" t="n">
        <f aca="false">B5414/MAX(B5163:B5414)-1</f>
        <v>-0.00754899538478648</v>
      </c>
      <c r="F5414" s="7" t="str">
        <f aca="false">IFERROR(INDEX(02_轉折點45個!B:B,MATCH(A5414,02_轉折點45個!A:A,0)),"")</f>
        <v/>
      </c>
      <c r="G5414" s="7" t="s">
        <v>5494</v>
      </c>
    </row>
    <row r="5415" customFormat="false" ht="15" hidden="false" customHeight="false" outlineLevel="0" collapsed="false">
      <c r="A5415" s="7" t="s">
        <v>6217</v>
      </c>
      <c r="B5415" s="7" t="n">
        <v>10666.7</v>
      </c>
      <c r="C5415" s="7" t="n">
        <f aca="false">AVERAGE(B5366:B5415)</f>
        <v>9620.1732</v>
      </c>
      <c r="D5415" s="7" t="n">
        <f aca="false">AVERAGE(B5216:B5415)</f>
        <v>8711.4027</v>
      </c>
      <c r="E5415" s="7" t="n">
        <f aca="false">B5415/MAX(B5164:B5415)-1</f>
        <v>0</v>
      </c>
      <c r="F5415" s="7" t="str">
        <f aca="false">IFERROR(INDEX(02_轉折點45個!B:B,MATCH(A5415,02_轉折點45個!A:A,0)),"")</f>
        <v/>
      </c>
      <c r="G5415" s="7" t="s">
        <v>5494</v>
      </c>
    </row>
    <row r="5416" customFormat="false" ht="15" hidden="false" customHeight="false" outlineLevel="0" collapsed="false">
      <c r="A5416" s="7" t="s">
        <v>6218</v>
      </c>
      <c r="B5416" s="7" t="n">
        <v>10754.59</v>
      </c>
      <c r="C5416" s="7" t="n">
        <f aca="false">AVERAGE(B5367:B5416)</f>
        <v>9661.713</v>
      </c>
      <c r="D5416" s="7" t="n">
        <f aca="false">AVERAGE(B5217:B5416)</f>
        <v>8726.0826</v>
      </c>
      <c r="E5416" s="7" t="n">
        <f aca="false">B5416/MAX(B5165:B5416)-1</f>
        <v>0</v>
      </c>
      <c r="F5416" s="7" t="str">
        <f aca="false">IFERROR(INDEX(02_轉折點45個!B:B,MATCH(A5416,02_轉折點45個!A:A,0)),"")</f>
        <v/>
      </c>
      <c r="G5416" s="7" t="s">
        <v>5494</v>
      </c>
    </row>
    <row r="5417" customFormat="false" ht="15" hidden="false" customHeight="false" outlineLevel="0" collapsed="false">
      <c r="A5417" s="7" t="s">
        <v>6219</v>
      </c>
      <c r="B5417" s="7" t="n">
        <v>10836.33</v>
      </c>
      <c r="C5417" s="7" t="n">
        <f aca="false">AVERAGE(B5368:B5417)</f>
        <v>9698.7844</v>
      </c>
      <c r="D5417" s="7" t="n">
        <f aca="false">AVERAGE(B5218:B5417)</f>
        <v>8741.71405</v>
      </c>
      <c r="E5417" s="7" t="n">
        <f aca="false">B5417/MAX(B5166:B5417)-1</f>
        <v>0</v>
      </c>
      <c r="F5417" s="7" t="str">
        <f aca="false">IFERROR(INDEX(02_轉折點45個!B:B,MATCH(A5417,02_轉折點45個!A:A,0)),"")</f>
        <v/>
      </c>
      <c r="G5417" s="7" t="s">
        <v>5494</v>
      </c>
    </row>
    <row r="5418" customFormat="false" ht="15" hidden="false" customHeight="false" outlineLevel="0" collapsed="false">
      <c r="A5418" s="7" t="s">
        <v>1548</v>
      </c>
      <c r="B5418" s="7" t="n">
        <v>10602.21</v>
      </c>
      <c r="C5418" s="7" t="n">
        <f aca="false">AVERAGE(B5369:B5418)</f>
        <v>9730.8184</v>
      </c>
      <c r="D5418" s="7" t="n">
        <f aca="false">AVERAGE(B5219:B5418)</f>
        <v>8755.7074</v>
      </c>
      <c r="E5418" s="7" t="n">
        <f aca="false">B5418/MAX(B5167:B5418)-1</f>
        <v>-0.0216051006198594</v>
      </c>
      <c r="F5418" s="7" t="str">
        <f aca="false">IFERROR(INDEX(02_轉折點45個!B:B,MATCH(A5418,02_轉折點45個!A:A,0)),"")</f>
        <v/>
      </c>
      <c r="G5418" s="7" t="s">
        <v>5494</v>
      </c>
    </row>
    <row r="5419" customFormat="false" ht="15" hidden="false" customHeight="false" outlineLevel="0" collapsed="false">
      <c r="A5419" s="7" t="s">
        <v>6220</v>
      </c>
      <c r="B5419" s="7" t="n">
        <v>10689.52</v>
      </c>
      <c r="C5419" s="7" t="n">
        <f aca="false">AVERAGE(B5370:B5419)</f>
        <v>9770.2452</v>
      </c>
      <c r="D5419" s="7" t="n">
        <f aca="false">AVERAGE(B5220:B5419)</f>
        <v>8770.29505</v>
      </c>
      <c r="E5419" s="7" t="n">
        <f aca="false">B5419/MAX(B5168:B5419)-1</f>
        <v>-0.0135479447377479</v>
      </c>
      <c r="F5419" s="7" t="str">
        <f aca="false">IFERROR(INDEX(02_轉折點45個!B:B,MATCH(A5419,02_轉折點45個!A:A,0)),"")</f>
        <v/>
      </c>
      <c r="G5419" s="7" t="s">
        <v>5494</v>
      </c>
    </row>
    <row r="5420" customFormat="false" ht="15" hidden="false" customHeight="false" outlineLevel="0" collapsed="false">
      <c r="A5420" s="7" t="s">
        <v>1549</v>
      </c>
      <c r="B5420" s="7" t="n">
        <v>10701.68</v>
      </c>
      <c r="C5420" s="7" t="n">
        <f aca="false">AVERAGE(B5371:B5420)</f>
        <v>9807.5966</v>
      </c>
      <c r="D5420" s="7" t="n">
        <f aca="false">AVERAGE(B5221:B5420)</f>
        <v>8785.39555</v>
      </c>
      <c r="E5420" s="7" t="n">
        <f aca="false">B5420/MAX(B5169:B5420)-1</f>
        <v>-0.0124257936035539</v>
      </c>
      <c r="F5420" s="7" t="str">
        <f aca="false">IFERROR(INDEX(02_轉折點45個!B:B,MATCH(A5420,02_轉折點45個!A:A,0)),"")</f>
        <v/>
      </c>
      <c r="G5420" s="7" t="s">
        <v>5494</v>
      </c>
    </row>
    <row r="5421" customFormat="false" ht="15" hidden="false" customHeight="false" outlineLevel="0" collapsed="false">
      <c r="A5421" s="7" t="s">
        <v>1550</v>
      </c>
      <c r="B5421" s="7" t="n">
        <v>10626.46</v>
      </c>
      <c r="C5421" s="7" t="n">
        <f aca="false">AVERAGE(B5372:B5421)</f>
        <v>9841.5134</v>
      </c>
      <c r="D5421" s="7" t="n">
        <f aca="false">AVERAGE(B5222:B5421)</f>
        <v>8799.7806</v>
      </c>
      <c r="E5421" s="7" t="n">
        <f aca="false">B5421/MAX(B5170:B5421)-1</f>
        <v>-0.0193672581030664</v>
      </c>
      <c r="F5421" s="7" t="str">
        <f aca="false">IFERROR(INDEX(02_轉折點45個!B:B,MATCH(A5421,02_轉折點45個!A:A,0)),"")</f>
        <v/>
      </c>
      <c r="G5421" s="7" t="s">
        <v>5494</v>
      </c>
    </row>
    <row r="5422" customFormat="false" ht="15" hidden="false" customHeight="false" outlineLevel="0" collapsed="false">
      <c r="A5422" s="7" t="s">
        <v>1551</v>
      </c>
      <c r="B5422" s="7" t="n">
        <v>10645.22</v>
      </c>
      <c r="C5422" s="7" t="n">
        <f aca="false">AVERAGE(B5373:B5422)</f>
        <v>9874.7206</v>
      </c>
      <c r="D5422" s="7" t="n">
        <f aca="false">AVERAGE(B5223:B5422)</f>
        <v>8814.586</v>
      </c>
      <c r="E5422" s="7" t="n">
        <f aca="false">B5422/MAX(B5171:B5422)-1</f>
        <v>-0.0176360446756421</v>
      </c>
      <c r="F5422" s="7" t="str">
        <f aca="false">IFERROR(INDEX(02_轉折點45個!B:B,MATCH(A5422,02_轉折點45個!A:A,0)),"")</f>
        <v/>
      </c>
      <c r="G5422" s="7" t="s">
        <v>5494</v>
      </c>
    </row>
    <row r="5423" customFormat="false" ht="15" hidden="false" customHeight="false" outlineLevel="0" collapsed="false">
      <c r="A5423" s="7" t="s">
        <v>6221</v>
      </c>
      <c r="B5423" s="7" t="n">
        <v>10952.08</v>
      </c>
      <c r="C5423" s="7" t="n">
        <f aca="false">AVERAGE(B5374:B5423)</f>
        <v>9911.7246</v>
      </c>
      <c r="D5423" s="7" t="n">
        <f aca="false">AVERAGE(B5224:B5423)</f>
        <v>8831.59245</v>
      </c>
      <c r="E5423" s="7" t="n">
        <f aca="false">B5423/MAX(B5172:B5423)-1</f>
        <v>0</v>
      </c>
      <c r="F5423" s="7" t="str">
        <f aca="false">IFERROR(INDEX(02_轉折點45個!B:B,MATCH(A5423,02_轉折點45個!A:A,0)),"")</f>
        <v/>
      </c>
      <c r="G5423" s="7" t="s">
        <v>5494</v>
      </c>
    </row>
    <row r="5424" customFormat="false" ht="15" hidden="false" customHeight="false" outlineLevel="0" collapsed="false">
      <c r="A5424" s="7" t="s">
        <v>6222</v>
      </c>
      <c r="B5424" s="7" t="n">
        <v>10833.07</v>
      </c>
      <c r="C5424" s="7" t="n">
        <f aca="false">AVERAGE(B5375:B5424)</f>
        <v>9943.979</v>
      </c>
      <c r="D5424" s="7" t="n">
        <f aca="false">AVERAGE(B5225:B5424)</f>
        <v>8847.56585</v>
      </c>
      <c r="E5424" s="7" t="n">
        <f aca="false">B5424/MAX(B5173:B5424)-1</f>
        <v>-0.0108664290253541</v>
      </c>
      <c r="F5424" s="7" t="str">
        <f aca="false">IFERROR(INDEX(02_轉折點45個!B:B,MATCH(A5424,02_轉折點45個!A:A,0)),"")</f>
        <v/>
      </c>
      <c r="G5424" s="7" t="s">
        <v>5494</v>
      </c>
    </row>
    <row r="5425" customFormat="false" ht="15" hidden="false" customHeight="false" outlineLevel="0" collapsed="false">
      <c r="A5425" s="7" t="s">
        <v>6223</v>
      </c>
      <c r="B5425" s="7" t="n">
        <v>10870.75</v>
      </c>
      <c r="C5425" s="7" t="n">
        <f aca="false">AVERAGE(B5376:B5425)</f>
        <v>9975.4156</v>
      </c>
      <c r="D5425" s="7" t="n">
        <f aca="false">AVERAGE(B5226:B5425)</f>
        <v>8863.1491</v>
      </c>
      <c r="E5425" s="7" t="n">
        <f aca="false">B5425/MAX(B5174:B5425)-1</f>
        <v>-0.00742598666189431</v>
      </c>
      <c r="F5425" s="7" t="str">
        <f aca="false">IFERROR(INDEX(02_轉折點45個!B:B,MATCH(A5425,02_轉折點45個!A:A,0)),"")</f>
        <v/>
      </c>
      <c r="G5425" s="7" t="s">
        <v>5494</v>
      </c>
    </row>
    <row r="5426" customFormat="false" ht="15" hidden="false" customHeight="false" outlineLevel="0" collapsed="false">
      <c r="A5426" s="7" t="s">
        <v>1552</v>
      </c>
      <c r="B5426" s="7" t="n">
        <v>10580.59</v>
      </c>
      <c r="C5426" s="7" t="n">
        <f aca="false">AVERAGE(B5377:B5426)</f>
        <v>10004.7784</v>
      </c>
      <c r="D5426" s="7" t="n">
        <f aca="false">AVERAGE(B5227:B5426)</f>
        <v>8877.4264</v>
      </c>
      <c r="E5426" s="7" t="n">
        <f aca="false">B5426/MAX(B5175:B5426)-1</f>
        <v>-0.033919584225097</v>
      </c>
      <c r="F5426" s="7" t="str">
        <f aca="false">IFERROR(INDEX(02_轉折點45個!B:B,MATCH(A5426,02_轉折點45個!A:A,0)),"")</f>
        <v/>
      </c>
      <c r="G5426" s="7" t="s">
        <v>5494</v>
      </c>
    </row>
    <row r="5427" customFormat="false" ht="15" hidden="false" customHeight="false" outlineLevel="0" collapsed="false">
      <c r="A5427" s="7" t="s">
        <v>6224</v>
      </c>
      <c r="B5427" s="7" t="n">
        <v>10483.13</v>
      </c>
      <c r="C5427" s="7" t="n">
        <f aca="false">AVERAGE(B5378:B5427)</f>
        <v>10034.4394</v>
      </c>
      <c r="D5427" s="7" t="n">
        <f aca="false">AVERAGE(B5228:B5427)</f>
        <v>8891.8207</v>
      </c>
      <c r="E5427" s="7" t="n">
        <f aca="false">B5427/MAX(B5176:B5427)-1</f>
        <v>-0.0428183504868482</v>
      </c>
      <c r="F5427" s="7" t="str">
        <f aca="false">IFERROR(INDEX(02_轉折點45個!B:B,MATCH(A5427,02_轉折點45個!A:A,0)),"")</f>
        <v/>
      </c>
      <c r="G5427" s="7" t="s">
        <v>5494</v>
      </c>
    </row>
    <row r="5428" customFormat="false" ht="15" hidden="false" customHeight="false" outlineLevel="0" collapsed="false">
      <c r="A5428" s="7" t="s">
        <v>1553</v>
      </c>
      <c r="B5428" s="7" t="n">
        <v>10674.38</v>
      </c>
      <c r="C5428" s="7" t="n">
        <f aca="false">AVERAGE(B5379:B5428)</f>
        <v>10066.0386</v>
      </c>
      <c r="D5428" s="7" t="n">
        <f aca="false">AVERAGE(B5229:B5428)</f>
        <v>8906.73995</v>
      </c>
      <c r="E5428" s="7" t="n">
        <f aca="false">B5428/MAX(B5177:B5428)-1</f>
        <v>-0.0253559141277274</v>
      </c>
      <c r="F5428" s="7" t="str">
        <f aca="false">IFERROR(INDEX(02_轉折點45個!B:B,MATCH(A5428,02_轉折點45個!A:A,0)),"")</f>
        <v/>
      </c>
      <c r="G5428" s="7" t="s">
        <v>5494</v>
      </c>
    </row>
    <row r="5429" customFormat="false" ht="15" hidden="false" customHeight="false" outlineLevel="0" collapsed="false">
      <c r="A5429" s="7" t="s">
        <v>1554</v>
      </c>
      <c r="B5429" s="7" t="n">
        <v>10532.5</v>
      </c>
      <c r="C5429" s="7" t="n">
        <f aca="false">AVERAGE(B5380:B5429)</f>
        <v>10093.6358</v>
      </c>
      <c r="D5429" s="7" t="n">
        <f aca="false">AVERAGE(B5230:B5429)</f>
        <v>8920.70065</v>
      </c>
      <c r="E5429" s="7" t="n">
        <f aca="false">B5429/MAX(B5178:B5429)-1</f>
        <v>-0.0383105309676336</v>
      </c>
      <c r="F5429" s="7" t="str">
        <f aca="false">IFERROR(INDEX(02_轉折點45個!B:B,MATCH(A5429,02_轉折點45個!A:A,0)),"")</f>
        <v/>
      </c>
      <c r="G5429" s="7" t="s">
        <v>5494</v>
      </c>
    </row>
    <row r="5430" customFormat="false" ht="15" hidden="false" customHeight="false" outlineLevel="0" collapsed="false">
      <c r="A5430" s="7" t="s">
        <v>6225</v>
      </c>
      <c r="B5430" s="7" t="n">
        <v>10662.98</v>
      </c>
      <c r="C5430" s="7" t="n">
        <f aca="false">AVERAGE(B5381:B5430)</f>
        <v>10120.2568</v>
      </c>
      <c r="D5430" s="7" t="n">
        <f aca="false">AVERAGE(B5231:B5430)</f>
        <v>8934.79615</v>
      </c>
      <c r="E5430" s="7" t="n">
        <f aca="false">B5430/MAX(B5179:B5430)-1</f>
        <v>-0.0263968122950161</v>
      </c>
      <c r="F5430" s="7" t="str">
        <f aca="false">IFERROR(INDEX(02_轉折點45個!B:B,MATCH(A5430,02_轉折點45個!A:A,0)),"")</f>
        <v/>
      </c>
      <c r="G5430" s="7" t="s">
        <v>5494</v>
      </c>
    </row>
    <row r="5431" customFormat="false" ht="15" hidden="false" customHeight="false" outlineLevel="0" collapsed="false">
      <c r="A5431" s="7" t="s">
        <v>6226</v>
      </c>
      <c r="B5431" s="7" t="n">
        <v>10715.51</v>
      </c>
      <c r="C5431" s="7" t="n">
        <f aca="false">AVERAGE(B5382:B5431)</f>
        <v>10148.5962</v>
      </c>
      <c r="D5431" s="7" t="n">
        <f aca="false">AVERAGE(B5232:B5431)</f>
        <v>8949.16205</v>
      </c>
      <c r="E5431" s="7" t="n">
        <f aca="false">B5431/MAX(B5180:B5431)-1</f>
        <v>-0.0216004631083776</v>
      </c>
      <c r="F5431" s="7" t="str">
        <f aca="false">IFERROR(INDEX(02_轉折點45個!B:B,MATCH(A5431,02_轉折點45個!A:A,0)),"")</f>
        <v/>
      </c>
      <c r="G5431" s="7" t="s">
        <v>5494</v>
      </c>
    </row>
    <row r="5432" customFormat="false" ht="15" hidden="false" customHeight="false" outlineLevel="0" collapsed="false">
      <c r="A5432" s="7" t="s">
        <v>6227</v>
      </c>
      <c r="B5432" s="7" t="n">
        <v>10905.88</v>
      </c>
      <c r="C5432" s="7" t="n">
        <f aca="false">AVERAGE(B5383:B5432)</f>
        <v>10177.0134</v>
      </c>
      <c r="D5432" s="7" t="n">
        <f aca="false">AVERAGE(B5233:B5432)</f>
        <v>8963.9772</v>
      </c>
      <c r="E5432" s="7" t="n">
        <f aca="false">B5432/MAX(B5181:B5432)-1</f>
        <v>-0.00421837678322301</v>
      </c>
      <c r="F5432" s="7" t="str">
        <f aca="false">IFERROR(INDEX(02_轉折點45個!B:B,MATCH(A5432,02_轉折點45個!A:A,0)),"")</f>
        <v/>
      </c>
      <c r="G5432" s="7" t="s">
        <v>5494</v>
      </c>
    </row>
    <row r="5433" customFormat="false" ht="15" hidden="false" customHeight="false" outlineLevel="0" collapsed="false">
      <c r="A5433" s="7" t="s">
        <v>1555</v>
      </c>
      <c r="B5433" s="7" t="n">
        <v>11055.08</v>
      </c>
      <c r="C5433" s="7" t="n">
        <f aca="false">AVERAGE(B5384:B5433)</f>
        <v>10210.5552</v>
      </c>
      <c r="D5433" s="7" t="n">
        <f aca="false">AVERAGE(B5234:B5433)</f>
        <v>8979.65155</v>
      </c>
      <c r="E5433" s="7" t="n">
        <f aca="false">B5433/MAX(B5182:B5433)-1</f>
        <v>0</v>
      </c>
      <c r="F5433" s="7" t="str">
        <f aca="false">IFERROR(INDEX(02_轉折點45個!B:B,MATCH(A5433,02_轉折點45個!A:A,0)),"")</f>
        <v/>
      </c>
      <c r="G5433" s="7" t="s">
        <v>5494</v>
      </c>
    </row>
    <row r="5434" customFormat="false" ht="15" hidden="false" customHeight="false" outlineLevel="0" collapsed="false">
      <c r="A5434" s="7" t="s">
        <v>1556</v>
      </c>
      <c r="B5434" s="7" t="n">
        <v>11096.54</v>
      </c>
      <c r="C5434" s="7" t="n">
        <f aca="false">AVERAGE(B5385:B5434)</f>
        <v>10244.2062</v>
      </c>
      <c r="D5434" s="7" t="n">
        <f aca="false">AVERAGE(B5235:B5434)</f>
        <v>8995.42355</v>
      </c>
      <c r="E5434" s="7" t="n">
        <f aca="false">B5434/MAX(B5183:B5434)-1</f>
        <v>0</v>
      </c>
      <c r="F5434" s="7" t="str">
        <f aca="false">IFERROR(INDEX(02_轉折點45個!B:B,MATCH(A5434,02_轉折點45個!A:A,0)),"")</f>
        <v/>
      </c>
      <c r="G5434" s="7" t="s">
        <v>5494</v>
      </c>
    </row>
    <row r="5435" customFormat="false" ht="15" hidden="false" customHeight="false" outlineLevel="0" collapsed="false">
      <c r="A5435" s="7" t="s">
        <v>1557</v>
      </c>
      <c r="B5435" s="7" t="n">
        <v>11125.44</v>
      </c>
      <c r="C5435" s="7" t="n">
        <f aca="false">AVERAGE(B5386:B5435)</f>
        <v>10278.9154</v>
      </c>
      <c r="D5435" s="7" t="n">
        <f aca="false">AVERAGE(B5236:B5435)</f>
        <v>9011.7083</v>
      </c>
      <c r="E5435" s="7" t="n">
        <f aca="false">B5435/MAX(B5184:B5435)-1</f>
        <v>0</v>
      </c>
      <c r="F5435" s="7" t="str">
        <f aca="false">IFERROR(INDEX(02_轉折點45個!B:B,MATCH(A5435,02_轉折點45個!A:A,0)),"")</f>
        <v/>
      </c>
      <c r="G5435" s="7" t="s">
        <v>5494</v>
      </c>
    </row>
    <row r="5436" customFormat="false" ht="15" hidden="false" customHeight="false" outlineLevel="0" collapsed="false">
      <c r="A5436" s="7" t="s">
        <v>6228</v>
      </c>
      <c r="B5436" s="7" t="n">
        <v>11267.08</v>
      </c>
      <c r="C5436" s="7" t="n">
        <f aca="false">AVERAGE(B5387:B5436)</f>
        <v>10315.416</v>
      </c>
      <c r="D5436" s="7" t="n">
        <f aca="false">AVERAGE(B5237:B5436)</f>
        <v>9028.34205</v>
      </c>
      <c r="E5436" s="7" t="n">
        <f aca="false">B5436/MAX(B5185:B5436)-1</f>
        <v>0</v>
      </c>
      <c r="F5436" s="7" t="str">
        <f aca="false">IFERROR(INDEX(02_轉折點45個!B:B,MATCH(A5436,02_轉折點45個!A:A,0)),"")</f>
        <v/>
      </c>
      <c r="G5436" s="7" t="s">
        <v>5494</v>
      </c>
    </row>
    <row r="5437" customFormat="false" ht="15" hidden="false" customHeight="false" outlineLevel="0" collapsed="false">
      <c r="A5437" s="7" t="s">
        <v>6229</v>
      </c>
      <c r="B5437" s="7" t="n">
        <v>11139.39</v>
      </c>
      <c r="C5437" s="7" t="n">
        <f aca="false">AVERAGE(B5388:B5437)</f>
        <v>10349.8696</v>
      </c>
      <c r="D5437" s="7" t="n">
        <f aca="false">AVERAGE(B5238:B5437)</f>
        <v>9044.6659</v>
      </c>
      <c r="E5437" s="7" t="n">
        <f aca="false">B5437/MAX(B5186:B5437)-1</f>
        <v>-0.0113330161852051</v>
      </c>
      <c r="F5437" s="7" t="str">
        <f aca="false">IFERROR(INDEX(02_轉折點45個!B:B,MATCH(A5437,02_轉折點45個!A:A,0)),"")</f>
        <v/>
      </c>
      <c r="G5437" s="7" t="s">
        <v>5494</v>
      </c>
    </row>
    <row r="5438" customFormat="false" ht="15" hidden="false" customHeight="false" outlineLevel="0" collapsed="false">
      <c r="A5438" s="7" t="s">
        <v>6230</v>
      </c>
      <c r="B5438" s="7" t="n">
        <v>11085.17</v>
      </c>
      <c r="C5438" s="7" t="n">
        <f aca="false">AVERAGE(B5389:B5438)</f>
        <v>10380.4624</v>
      </c>
      <c r="D5438" s="7" t="n">
        <f aca="false">AVERAGE(B5239:B5438)</f>
        <v>9060.6444</v>
      </c>
      <c r="E5438" s="7" t="n">
        <f aca="false">B5438/MAX(B5187:B5438)-1</f>
        <v>-0.0161452656766438</v>
      </c>
      <c r="F5438" s="7" t="str">
        <f aca="false">IFERROR(INDEX(02_轉折點45個!B:B,MATCH(A5438,02_轉折點45個!A:A,0)),"")</f>
        <v/>
      </c>
      <c r="G5438" s="7" t="s">
        <v>5494</v>
      </c>
    </row>
    <row r="5439" customFormat="false" ht="15" hidden="false" customHeight="false" outlineLevel="0" collapsed="false">
      <c r="A5439" s="7" t="s">
        <v>6231</v>
      </c>
      <c r="B5439" s="7" t="n">
        <v>10876.08</v>
      </c>
      <c r="C5439" s="7" t="n">
        <f aca="false">AVERAGE(B5390:B5439)</f>
        <v>10406.0062</v>
      </c>
      <c r="D5439" s="7" t="n">
        <f aca="false">AVERAGE(B5240:B5439)</f>
        <v>9075.1912</v>
      </c>
      <c r="E5439" s="7" t="n">
        <f aca="false">B5439/MAX(B5188:B5439)-1</f>
        <v>-0.0347028688888337</v>
      </c>
      <c r="F5439" s="7" t="str">
        <f aca="false">IFERROR(INDEX(02_轉折點45個!B:B,MATCH(A5439,02_轉折點45個!A:A,0)),"")</f>
        <v/>
      </c>
      <c r="G5439" s="7" t="s">
        <v>5494</v>
      </c>
    </row>
    <row r="5440" customFormat="false" ht="15" hidden="false" customHeight="false" outlineLevel="0" collapsed="false">
      <c r="A5440" s="7" t="s">
        <v>6232</v>
      </c>
      <c r="B5440" s="7" t="n">
        <v>11157.72</v>
      </c>
      <c r="C5440" s="7" t="n">
        <f aca="false">AVERAGE(B5391:B5440)</f>
        <v>10436.0144</v>
      </c>
      <c r="D5440" s="7" t="n">
        <f aca="false">AVERAGE(B5241:B5440)</f>
        <v>9090.8337</v>
      </c>
      <c r="E5440" s="7" t="n">
        <f aca="false">B5440/MAX(B5189:B5440)-1</f>
        <v>-0.0097061527920278</v>
      </c>
      <c r="F5440" s="7" t="str">
        <f aca="false">IFERROR(INDEX(02_轉折點45個!B:B,MATCH(A5440,02_轉折點45個!A:A,0)),"")</f>
        <v/>
      </c>
      <c r="G5440" s="7" t="s">
        <v>5494</v>
      </c>
    </row>
    <row r="5441" customFormat="false" ht="15" hidden="false" customHeight="false" outlineLevel="0" collapsed="false">
      <c r="A5441" s="7" t="s">
        <v>1558</v>
      </c>
      <c r="B5441" s="7" t="n">
        <v>11178.37</v>
      </c>
      <c r="C5441" s="7" t="n">
        <f aca="false">AVERAGE(B5392:B5441)</f>
        <v>10465.488</v>
      </c>
      <c r="D5441" s="7" t="n">
        <f aca="false">AVERAGE(B5242:B5441)</f>
        <v>9106.1722</v>
      </c>
      <c r="E5441" s="7" t="n">
        <f aca="false">B5441/MAX(B5190:B5441)-1</f>
        <v>-0.00787337979316727</v>
      </c>
      <c r="F5441" s="7" t="str">
        <f aca="false">IFERROR(INDEX(02_轉折點45個!B:B,MATCH(A5441,02_轉折點45個!A:A,0)),"")</f>
        <v/>
      </c>
      <c r="G5441" s="7" t="s">
        <v>5494</v>
      </c>
    </row>
    <row r="5442" customFormat="false" ht="15" hidden="false" customHeight="false" outlineLevel="0" collapsed="false">
      <c r="A5442" s="7" t="s">
        <v>6233</v>
      </c>
      <c r="B5442" s="7" t="n">
        <v>11164.45</v>
      </c>
      <c r="C5442" s="7" t="n">
        <f aca="false">AVERAGE(B5393:B5442)</f>
        <v>10496.1838</v>
      </c>
      <c r="D5442" s="7" t="n">
        <f aca="false">AVERAGE(B5243:B5442)</f>
        <v>9121.7569</v>
      </c>
      <c r="E5442" s="7" t="n">
        <f aca="false">B5442/MAX(B5191:B5442)-1</f>
        <v>-0.00910883742726587</v>
      </c>
      <c r="F5442" s="7" t="str">
        <f aca="false">IFERROR(INDEX(02_轉折點45個!B:B,MATCH(A5442,02_轉折點45個!A:A,0)),"")</f>
        <v/>
      </c>
      <c r="G5442" s="7" t="s">
        <v>5494</v>
      </c>
    </row>
    <row r="5443" customFormat="false" ht="15" hidden="false" customHeight="false" outlineLevel="0" collapsed="false">
      <c r="A5443" s="7" t="s">
        <v>6234</v>
      </c>
      <c r="B5443" s="7" t="n">
        <v>11288.57</v>
      </c>
      <c r="C5443" s="7" t="n">
        <f aca="false">AVERAGE(B5394:B5443)</f>
        <v>10525.4674</v>
      </c>
      <c r="D5443" s="7" t="n">
        <f aca="false">AVERAGE(B5244:B5443)</f>
        <v>9137.7842</v>
      </c>
      <c r="E5443" s="7" t="n">
        <f aca="false">B5443/MAX(B5192:B5443)-1</f>
        <v>0</v>
      </c>
      <c r="F5443" s="7" t="str">
        <f aca="false">IFERROR(INDEX(02_轉折點45個!B:B,MATCH(A5443,02_轉折點45個!A:A,0)),"")</f>
        <v/>
      </c>
      <c r="G5443" s="7" t="s">
        <v>5494</v>
      </c>
    </row>
    <row r="5444" customFormat="false" ht="15" hidden="false" customHeight="false" outlineLevel="0" collapsed="false">
      <c r="A5444" s="7" t="s">
        <v>6235</v>
      </c>
      <c r="B5444" s="7" t="n">
        <v>11399.03</v>
      </c>
      <c r="C5444" s="7" t="n">
        <f aca="false">AVERAGE(B5395:B5444)</f>
        <v>10555.4176</v>
      </c>
      <c r="D5444" s="7" t="n">
        <f aca="false">AVERAGE(B5245:B5444)</f>
        <v>9154.3602</v>
      </c>
      <c r="E5444" s="7" t="n">
        <f aca="false">B5444/MAX(B5193:B5444)-1</f>
        <v>0</v>
      </c>
      <c r="F5444" s="7" t="str">
        <f aca="false">IFERROR(INDEX(02_轉折點45個!B:B,MATCH(A5444,02_轉折點45個!A:A,0)),"")</f>
        <v/>
      </c>
      <c r="G5444" s="7" t="s">
        <v>5494</v>
      </c>
    </row>
    <row r="5445" customFormat="false" ht="15" hidden="false" customHeight="false" outlineLevel="0" collapsed="false">
      <c r="A5445" s="7" t="s">
        <v>6236</v>
      </c>
      <c r="B5445" s="7" t="n">
        <v>11318.64</v>
      </c>
      <c r="C5445" s="7" t="n">
        <f aca="false">AVERAGE(B5396:B5445)</f>
        <v>10582.447</v>
      </c>
      <c r="D5445" s="7" t="n">
        <f aca="false">AVERAGE(B5246:B5445)</f>
        <v>9170.14755</v>
      </c>
      <c r="E5445" s="7" t="n">
        <f aca="false">B5445/MAX(B5194:B5445)-1</f>
        <v>-0.0070523544547213</v>
      </c>
      <c r="F5445" s="7" t="str">
        <f aca="false">IFERROR(INDEX(02_轉折點45個!B:B,MATCH(A5445,02_轉折點45個!A:A,0)),"")</f>
        <v/>
      </c>
      <c r="G5445" s="7" t="s">
        <v>5494</v>
      </c>
    </row>
    <row r="5446" customFormat="false" ht="15" hidden="false" customHeight="false" outlineLevel="0" collapsed="false">
      <c r="A5446" s="7" t="s">
        <v>1559</v>
      </c>
      <c r="B5446" s="7" t="n">
        <v>11477.05</v>
      </c>
      <c r="C5446" s="7" t="n">
        <f aca="false">AVERAGE(B5397:B5446)</f>
        <v>10610.1028</v>
      </c>
      <c r="D5446" s="7" t="n">
        <f aca="false">AVERAGE(B5247:B5446)</f>
        <v>9186.4795</v>
      </c>
      <c r="E5446" s="7" t="n">
        <f aca="false">B5446/MAX(B5195:B5446)-1</f>
        <v>0</v>
      </c>
      <c r="F5446" s="7" t="str">
        <f aca="false">IFERROR(INDEX(02_轉折點45個!B:B,MATCH(A5446,02_轉折點45個!A:A,0)),"")</f>
        <v/>
      </c>
      <c r="G5446" s="7" t="s">
        <v>5494</v>
      </c>
    </row>
    <row r="5447" customFormat="false" ht="15" hidden="false" customHeight="false" outlineLevel="0" collapsed="false">
      <c r="A5447" s="7" t="s">
        <v>6237</v>
      </c>
      <c r="B5447" s="7" t="n">
        <v>11555.16</v>
      </c>
      <c r="C5447" s="7" t="n">
        <f aca="false">AVERAGE(B5398:B5447)</f>
        <v>10649.4364</v>
      </c>
      <c r="D5447" s="7" t="n">
        <f aca="false">AVERAGE(B5248:B5447)</f>
        <v>9203.2044</v>
      </c>
      <c r="E5447" s="7" t="n">
        <f aca="false">B5447/MAX(B5196:B5447)-1</f>
        <v>0</v>
      </c>
      <c r="F5447" s="7" t="str">
        <f aca="false">IFERROR(INDEX(02_轉折點45個!B:B,MATCH(A5447,02_轉折點45個!A:A,0)),"")</f>
        <v/>
      </c>
      <c r="G5447" s="7" t="s">
        <v>5494</v>
      </c>
    </row>
    <row r="5448" customFormat="false" ht="15" hidden="false" customHeight="false" outlineLevel="0" collapsed="false">
      <c r="A5448" s="7" t="s">
        <v>6238</v>
      </c>
      <c r="B5448" s="7" t="n">
        <v>11626.17</v>
      </c>
      <c r="C5448" s="7" t="n">
        <f aca="false">AVERAGE(B5399:B5448)</f>
        <v>10688.6842</v>
      </c>
      <c r="D5448" s="7" t="n">
        <f aca="false">AVERAGE(B5249:B5448)</f>
        <v>9220.3551</v>
      </c>
      <c r="E5448" s="7" t="n">
        <f aca="false">B5448/MAX(B5197:B5448)-1</f>
        <v>0</v>
      </c>
      <c r="F5448" s="7" t="str">
        <f aca="false">IFERROR(INDEX(02_轉折點45個!B:B,MATCH(A5448,02_轉折點45個!A:A,0)),"")</f>
        <v/>
      </c>
      <c r="G5448" s="7" t="s">
        <v>5494</v>
      </c>
    </row>
    <row r="5449" customFormat="false" ht="15" hidden="false" customHeight="false" outlineLevel="0" collapsed="false">
      <c r="A5449" s="7" t="s">
        <v>6239</v>
      </c>
      <c r="B5449" s="7" t="n">
        <v>11721.81</v>
      </c>
      <c r="C5449" s="7" t="n">
        <f aca="false">AVERAGE(B5400:B5449)</f>
        <v>10727.5826</v>
      </c>
      <c r="D5449" s="7" t="n">
        <f aca="false">AVERAGE(B5250:B5449)</f>
        <v>9237.8659</v>
      </c>
      <c r="E5449" s="7" t="n">
        <f aca="false">B5449/MAX(B5198:B5449)-1</f>
        <v>0</v>
      </c>
      <c r="F5449" s="7" t="str">
        <f aca="false">IFERROR(INDEX(02_轉折點45個!B:B,MATCH(A5449,02_轉折點45個!A:A,0)),"")</f>
        <v/>
      </c>
      <c r="G5449" s="7" t="s">
        <v>5494</v>
      </c>
    </row>
    <row r="5450" customFormat="false" ht="15" hidden="false" customHeight="false" outlineLevel="0" collapsed="false">
      <c r="A5450" s="7" t="s">
        <v>6240</v>
      </c>
      <c r="B5450" s="7" t="n">
        <v>11971.94</v>
      </c>
      <c r="C5450" s="7" t="n">
        <f aca="false">AVERAGE(B5401:B5450)</f>
        <v>10768.034</v>
      </c>
      <c r="D5450" s="7" t="n">
        <f aca="false">AVERAGE(B5251:B5450)</f>
        <v>9256.44615</v>
      </c>
      <c r="E5450" s="7" t="n">
        <f aca="false">B5450/MAX(B5199:B5450)-1</f>
        <v>0</v>
      </c>
      <c r="F5450" s="7" t="str">
        <f aca="false">IFERROR(INDEX(02_轉折點45個!B:B,MATCH(A5450,02_轉折點45個!A:A,0)),"")</f>
        <v/>
      </c>
      <c r="G5450" s="7" t="s">
        <v>5494</v>
      </c>
    </row>
    <row r="5451" customFormat="false" ht="15" hidden="false" customHeight="false" outlineLevel="0" collapsed="false">
      <c r="A5451" s="7" t="s">
        <v>6241</v>
      </c>
      <c r="B5451" s="7" t="n">
        <v>11926.16</v>
      </c>
      <c r="C5451" s="7" t="n">
        <f aca="false">AVERAGE(B5402:B5451)</f>
        <v>10806.9076</v>
      </c>
      <c r="D5451" s="7" t="n">
        <f aca="false">AVERAGE(B5252:B5451)</f>
        <v>9274.8674</v>
      </c>
      <c r="E5451" s="7" t="n">
        <f aca="false">B5451/MAX(B5200:B5451)-1</f>
        <v>-0.00382394165022548</v>
      </c>
      <c r="F5451" s="7" t="str">
        <f aca="false">IFERROR(INDEX(02_轉折點45個!B:B,MATCH(A5451,02_轉折點45個!A:A,0)),"")</f>
        <v/>
      </c>
      <c r="G5451" s="7" t="s">
        <v>5494</v>
      </c>
    </row>
    <row r="5452" customFormat="false" ht="15" hidden="false" customHeight="false" outlineLevel="0" collapsed="false">
      <c r="A5452" s="7" t="s">
        <v>6242</v>
      </c>
      <c r="B5452" s="7" t="n">
        <v>11995.85</v>
      </c>
      <c r="C5452" s="7" t="n">
        <f aca="false">AVERAGE(B5403:B5452)</f>
        <v>10846.5836</v>
      </c>
      <c r="D5452" s="7" t="n">
        <f aca="false">AVERAGE(B5253:B5452)</f>
        <v>9293.5277</v>
      </c>
      <c r="E5452" s="7" t="n">
        <f aca="false">B5452/MAX(B5201:B5452)-1</f>
        <v>0</v>
      </c>
      <c r="F5452" s="7" t="str">
        <f aca="false">IFERROR(INDEX(02_轉折點45個!B:B,MATCH(A5452,02_轉折點45個!A:A,0)),"")</f>
        <v/>
      </c>
      <c r="G5452" s="7" t="s">
        <v>5494</v>
      </c>
    </row>
    <row r="5453" customFormat="false" ht="15" hidden="false" customHeight="false" outlineLevel="0" collapsed="false">
      <c r="A5453" s="7" t="s">
        <v>6243</v>
      </c>
      <c r="B5453" s="7" t="n">
        <v>12110.7</v>
      </c>
      <c r="C5453" s="7" t="n">
        <f aca="false">AVERAGE(B5404:B5453)</f>
        <v>10888.6248</v>
      </c>
      <c r="D5453" s="7" t="n">
        <f aca="false">AVERAGE(B5254:B5453)</f>
        <v>9312.78215</v>
      </c>
      <c r="E5453" s="7" t="n">
        <f aca="false">B5453/MAX(B5202:B5453)-1</f>
        <v>0</v>
      </c>
      <c r="F5453" s="7" t="str">
        <f aca="false">IFERROR(INDEX(02_轉折點45個!B:B,MATCH(A5453,02_轉折點45個!A:A,0)),"")</f>
        <v/>
      </c>
      <c r="G5453" s="7" t="s">
        <v>5494</v>
      </c>
    </row>
    <row r="5454" customFormat="false" ht="15" hidden="false" customHeight="false" outlineLevel="0" collapsed="false">
      <c r="A5454" s="7" t="s">
        <v>6244</v>
      </c>
      <c r="B5454" s="7" t="n">
        <v>12292.86</v>
      </c>
      <c r="C5454" s="7" t="n">
        <f aca="false">AVERAGE(B5405:B5454)</f>
        <v>10931.8754</v>
      </c>
      <c r="D5454" s="7" t="n">
        <f aca="false">AVERAGE(B5255:B5454)</f>
        <v>9332.9573</v>
      </c>
      <c r="E5454" s="7" t="n">
        <f aca="false">B5454/MAX(B5203:B5454)-1</f>
        <v>0</v>
      </c>
      <c r="F5454" s="7" t="str">
        <f aca="false">IFERROR(INDEX(02_轉折點45個!B:B,MATCH(A5454,02_轉折點45個!A:A,0)),"")</f>
        <v/>
      </c>
      <c r="G5454" s="7" t="s">
        <v>5494</v>
      </c>
    </row>
    <row r="5455" customFormat="false" ht="15" hidden="false" customHeight="false" outlineLevel="0" collapsed="false">
      <c r="A5455" s="7" t="s">
        <v>6245</v>
      </c>
      <c r="B5455" s="7" t="n">
        <v>12420.54</v>
      </c>
      <c r="C5455" s="7" t="n">
        <f aca="false">AVERAGE(B5406:B5455)</f>
        <v>10976.0898</v>
      </c>
      <c r="D5455" s="7" t="n">
        <f aca="false">AVERAGE(B5256:B5455)</f>
        <v>9353.4824</v>
      </c>
      <c r="E5455" s="7" t="n">
        <f aca="false">B5455/MAX(B5204:B5455)-1</f>
        <v>0</v>
      </c>
      <c r="F5455" s="7" t="str">
        <f aca="false">IFERROR(INDEX(02_轉折點45個!B:B,MATCH(A5455,02_轉折點45個!A:A,0)),"")</f>
        <v/>
      </c>
      <c r="G5455" s="7" t="s">
        <v>5494</v>
      </c>
    </row>
    <row r="5456" customFormat="false" ht="15" hidden="false" customHeight="false" outlineLevel="0" collapsed="false">
      <c r="A5456" s="7" t="s">
        <v>1560</v>
      </c>
      <c r="B5456" s="7" t="n">
        <v>11771.37</v>
      </c>
      <c r="C5456" s="7" t="n">
        <f aca="false">AVERAGE(B5407:B5456)</f>
        <v>11011.4632</v>
      </c>
      <c r="D5456" s="7" t="n">
        <f aca="false">AVERAGE(B5257:B5456)</f>
        <v>9370.69685</v>
      </c>
      <c r="E5456" s="7" t="n">
        <f aca="false">B5456/MAX(B5205:B5456)-1</f>
        <v>-0.0522658435140502</v>
      </c>
      <c r="F5456" s="7" t="str">
        <f aca="false">IFERROR(INDEX(02_轉折點45個!B:B,MATCH(A5456,02_轉折點45個!A:A,0)),"")</f>
        <v/>
      </c>
      <c r="G5456" s="7" t="s">
        <v>5494</v>
      </c>
    </row>
    <row r="5457" customFormat="false" ht="15" hidden="false" customHeight="false" outlineLevel="0" collapsed="false">
      <c r="A5457" s="7" t="s">
        <v>1561</v>
      </c>
      <c r="B5457" s="7" t="n">
        <v>11622.13</v>
      </c>
      <c r="C5457" s="7" t="n">
        <f aca="false">AVERAGE(B5408:B5457)</f>
        <v>11041.8692</v>
      </c>
      <c r="D5457" s="7" t="n">
        <f aca="false">AVERAGE(B5258:B5457)</f>
        <v>9387.1138</v>
      </c>
      <c r="E5457" s="7" t="n">
        <f aca="false">B5457/MAX(B5206:B5457)-1</f>
        <v>-0.0642814241570818</v>
      </c>
      <c r="F5457" s="7" t="str">
        <f aca="false">IFERROR(INDEX(02_轉折點45個!B:B,MATCH(A5457,02_轉折點45個!A:A,0)),"")</f>
        <v/>
      </c>
      <c r="G5457" s="7" t="s">
        <v>5494</v>
      </c>
    </row>
    <row r="5458" customFormat="false" ht="15" hidden="false" customHeight="false" outlineLevel="0" collapsed="false">
      <c r="A5458" s="7" t="s">
        <v>1562</v>
      </c>
      <c r="B5458" s="7" t="n">
        <v>11068.26</v>
      </c>
      <c r="C5458" s="7" t="n">
        <f aca="false">AVERAGE(B5409:B5458)</f>
        <v>11066.2472</v>
      </c>
      <c r="D5458" s="7" t="n">
        <f aca="false">AVERAGE(B5259:B5458)</f>
        <v>9401.03635</v>
      </c>
      <c r="E5458" s="7" t="n">
        <f aca="false">B5458/MAX(B5207:B5458)-1</f>
        <v>-0.108874493379515</v>
      </c>
      <c r="F5458" s="7" t="str">
        <f aca="false">IFERROR(INDEX(02_轉折點45個!B:B,MATCH(A5458,02_轉折點45個!A:A,0)),"")</f>
        <v/>
      </c>
      <c r="G5458" s="7" t="s">
        <v>5494</v>
      </c>
    </row>
    <row r="5459" customFormat="false" ht="15" hidden="false" customHeight="false" outlineLevel="0" collapsed="false">
      <c r="A5459" s="7" t="s">
        <v>6246</v>
      </c>
      <c r="B5459" s="7" t="n">
        <v>11395.85</v>
      </c>
      <c r="C5459" s="7" t="n">
        <f aca="false">AVERAGE(B5410:B5459)</f>
        <v>11094.941</v>
      </c>
      <c r="D5459" s="7" t="n">
        <f aca="false">AVERAGE(B5260:B5459)</f>
        <v>9416.6875</v>
      </c>
      <c r="E5459" s="7" t="n">
        <f aca="false">B5459/MAX(B5208:B5459)-1</f>
        <v>-0.0824996336713219</v>
      </c>
      <c r="F5459" s="7" t="str">
        <f aca="false">IFERROR(INDEX(02_轉折點45個!B:B,MATCH(A5459,02_轉折點45個!A:A,0)),"")</f>
        <v/>
      </c>
      <c r="G5459" s="7" t="s">
        <v>5494</v>
      </c>
    </row>
    <row r="5460" customFormat="false" ht="15" hidden="false" customHeight="false" outlineLevel="0" collapsed="false">
      <c r="A5460" s="7" t="s">
        <v>6247</v>
      </c>
      <c r="B5460" s="7" t="n">
        <v>11154.12</v>
      </c>
      <c r="C5460" s="7" t="n">
        <f aca="false">AVERAGE(B5411:B5460)</f>
        <v>11114.8864</v>
      </c>
      <c r="D5460" s="7" t="n">
        <f aca="false">AVERAGE(B5261:B5460)</f>
        <v>9431.09785</v>
      </c>
      <c r="E5460" s="7" t="n">
        <f aca="false">B5460/MAX(B5209:B5460)-1</f>
        <v>-0.101961750455294</v>
      </c>
      <c r="F5460" s="7" t="str">
        <f aca="false">IFERROR(INDEX(02_轉折點45個!B:B,MATCH(A5460,02_轉折點45個!A:A,0)),"")</f>
        <v/>
      </c>
      <c r="G5460" s="7" t="s">
        <v>5494</v>
      </c>
    </row>
    <row r="5461" customFormat="false" ht="15" hidden="false" customHeight="false" outlineLevel="0" collapsed="false">
      <c r="A5461" s="7" t="s">
        <v>6248</v>
      </c>
      <c r="B5461" s="7" t="n">
        <v>11087.4</v>
      </c>
      <c r="C5461" s="7" t="n">
        <f aca="false">AVERAGE(B5412:B5461)</f>
        <v>11131.0494</v>
      </c>
      <c r="D5461" s="7" t="n">
        <f aca="false">AVERAGE(B5262:B5461)</f>
        <v>9444.6752</v>
      </c>
      <c r="E5461" s="7" t="n">
        <f aca="false">B5461/MAX(B5210:B5461)-1</f>
        <v>-0.1073334975774</v>
      </c>
      <c r="F5461" s="7" t="str">
        <f aca="false">IFERROR(INDEX(02_轉折點45個!B:B,MATCH(A5461,02_轉折點45個!A:A,0)),"")</f>
        <v/>
      </c>
      <c r="G5461" s="7" t="s">
        <v>5494</v>
      </c>
    </row>
    <row r="5462" customFormat="false" ht="15" hidden="false" customHeight="false" outlineLevel="0" collapsed="false">
      <c r="A5462" s="7" t="s">
        <v>6249</v>
      </c>
      <c r="B5462" s="7" t="n">
        <v>11277.76</v>
      </c>
      <c r="C5462" s="7" t="n">
        <f aca="false">AVERAGE(B5413:B5462)</f>
        <v>11149.7668</v>
      </c>
      <c r="D5462" s="7" t="n">
        <f aca="false">AVERAGE(B5263:B5462)</f>
        <v>9459.13525</v>
      </c>
      <c r="E5462" s="7" t="n">
        <f aca="false">B5462/MAX(B5211:B5462)-1</f>
        <v>-0.0920072718255407</v>
      </c>
      <c r="F5462" s="7" t="str">
        <f aca="false">IFERROR(INDEX(02_轉折點45個!B:B,MATCH(A5462,02_轉折點45個!A:A,0)),"")</f>
        <v/>
      </c>
      <c r="G5462" s="7" t="s">
        <v>5494</v>
      </c>
    </row>
    <row r="5463" customFormat="false" ht="15" hidden="false" customHeight="false" outlineLevel="0" collapsed="false">
      <c r="A5463" s="7" t="s">
        <v>6250</v>
      </c>
      <c r="B5463" s="7" t="n">
        <v>11438.87</v>
      </c>
      <c r="C5463" s="7" t="n">
        <f aca="false">AVERAGE(B5414:B5463)</f>
        <v>11166.463</v>
      </c>
      <c r="D5463" s="7" t="n">
        <f aca="false">AVERAGE(B5264:B5463)</f>
        <v>9474.10605</v>
      </c>
      <c r="E5463" s="7" t="n">
        <f aca="false">B5463/MAX(B5212:B5463)-1</f>
        <v>-0.079036016147446</v>
      </c>
      <c r="F5463" s="7" t="str">
        <f aca="false">IFERROR(INDEX(02_轉折點45個!B:B,MATCH(A5463,02_轉折點45個!A:A,0)),"")</f>
        <v/>
      </c>
      <c r="G5463" s="7" t="s">
        <v>5494</v>
      </c>
    </row>
    <row r="5464" customFormat="false" ht="15" hidden="false" customHeight="false" outlineLevel="0" collapsed="false">
      <c r="A5464" s="7" t="s">
        <v>6251</v>
      </c>
      <c r="B5464" s="7" t="n">
        <v>11247.6</v>
      </c>
      <c r="C5464" s="7" t="n">
        <f aca="false">AVERAGE(B5415:B5464)</f>
        <v>11180.9348</v>
      </c>
      <c r="D5464" s="7" t="n">
        <f aca="false">AVERAGE(B5265:B5464)</f>
        <v>9488.32565</v>
      </c>
      <c r="E5464" s="7" t="n">
        <f aca="false">B5464/MAX(B5213:B5464)-1</f>
        <v>-0.0944355076349338</v>
      </c>
      <c r="F5464" s="7" t="str">
        <f aca="false">IFERROR(INDEX(02_轉折點45個!B:B,MATCH(A5464,02_轉折點45個!A:A,0)),"")</f>
        <v/>
      </c>
      <c r="G5464" s="7" t="s">
        <v>5494</v>
      </c>
    </row>
    <row r="5465" customFormat="false" ht="15" hidden="false" customHeight="false" outlineLevel="0" collapsed="false">
      <c r="A5465" s="7" t="s">
        <v>6252</v>
      </c>
      <c r="B5465" s="7" t="n">
        <v>11080.95</v>
      </c>
      <c r="C5465" s="7" t="n">
        <f aca="false">AVERAGE(B5416:B5465)</f>
        <v>11189.2198</v>
      </c>
      <c r="D5465" s="7" t="n">
        <f aca="false">AVERAGE(B5266:B5465)</f>
        <v>9502.1841</v>
      </c>
      <c r="E5465" s="7" t="n">
        <f aca="false">B5465/MAX(B5214:B5465)-1</f>
        <v>-0.107852798670589</v>
      </c>
      <c r="F5465" s="7" t="str">
        <f aca="false">IFERROR(INDEX(02_轉折點45個!B:B,MATCH(A5465,02_轉折點45個!A:A,0)),"")</f>
        <v/>
      </c>
      <c r="G5465" s="7" t="s">
        <v>5494</v>
      </c>
    </row>
    <row r="5466" customFormat="false" ht="15" hidden="false" customHeight="false" outlineLevel="0" collapsed="false">
      <c r="A5466" s="7" t="s">
        <v>6253</v>
      </c>
      <c r="B5466" s="7" t="n">
        <v>10936.98</v>
      </c>
      <c r="C5466" s="7" t="n">
        <f aca="false">AVERAGE(B5417:B5466)</f>
        <v>11192.8676</v>
      </c>
      <c r="D5466" s="7" t="n">
        <f aca="false">AVERAGE(B5267:B5466)</f>
        <v>9515.5953</v>
      </c>
      <c r="E5466" s="7" t="n">
        <f aca="false">B5466/MAX(B5215:B5466)-1</f>
        <v>-0.119444082141356</v>
      </c>
      <c r="F5466" s="7" t="str">
        <f aca="false">IFERROR(INDEX(02_轉折點45個!B:B,MATCH(A5466,02_轉折點45個!A:A,0)),"")</f>
        <v/>
      </c>
      <c r="G5466" s="7" t="s">
        <v>5494</v>
      </c>
    </row>
    <row r="5467" customFormat="false" ht="15" hidden="false" customHeight="false" outlineLevel="0" collapsed="false">
      <c r="A5467" s="7" t="s">
        <v>6254</v>
      </c>
      <c r="B5467" s="7" t="n">
        <v>10980.22</v>
      </c>
      <c r="C5467" s="7" t="n">
        <f aca="false">AVERAGE(B5418:B5467)</f>
        <v>11195.7454</v>
      </c>
      <c r="D5467" s="7" t="n">
        <f aca="false">AVERAGE(B5268:B5467)</f>
        <v>9529.01375</v>
      </c>
      <c r="E5467" s="7" t="n">
        <f aca="false">B5467/MAX(B5216:B5467)-1</f>
        <v>-0.115962752022054</v>
      </c>
      <c r="F5467" s="7" t="str">
        <f aca="false">IFERROR(INDEX(02_轉折點45個!B:B,MATCH(A5467,02_轉折點45個!A:A,0)),"")</f>
        <v/>
      </c>
      <c r="G5467" s="7" t="s">
        <v>5494</v>
      </c>
    </row>
    <row r="5468" customFormat="false" ht="15" hidden="false" customHeight="false" outlineLevel="0" collapsed="false">
      <c r="A5468" s="7" t="s">
        <v>6255</v>
      </c>
      <c r="B5468" s="7" t="n">
        <v>11186.37</v>
      </c>
      <c r="C5468" s="7" t="n">
        <f aca="false">AVERAGE(B5419:B5468)</f>
        <v>11207.4286</v>
      </c>
      <c r="D5468" s="7" t="n">
        <f aca="false">AVERAGE(B5269:B5468)</f>
        <v>9543.4036</v>
      </c>
      <c r="E5468" s="7" t="n">
        <f aca="false">B5468/MAX(B5217:B5468)-1</f>
        <v>-0.0993652449893483</v>
      </c>
      <c r="F5468" s="7" t="str">
        <f aca="false">IFERROR(INDEX(02_轉折點45個!B:B,MATCH(A5468,02_轉折點45個!A:A,0)),"")</f>
        <v/>
      </c>
      <c r="G5468" s="7" t="s">
        <v>5494</v>
      </c>
    </row>
    <row r="5469" customFormat="false" ht="15" hidden="false" customHeight="false" outlineLevel="0" collapsed="false">
      <c r="A5469" s="7" t="s">
        <v>1563</v>
      </c>
      <c r="B5469" s="7" t="n">
        <v>10833.33</v>
      </c>
      <c r="C5469" s="7" t="n">
        <f aca="false">AVERAGE(B5420:B5469)</f>
        <v>11210.3048</v>
      </c>
      <c r="D5469" s="7" t="n">
        <f aca="false">AVERAGE(B5270:B5469)</f>
        <v>9555.5834</v>
      </c>
      <c r="E5469" s="7" t="n">
        <f aca="false">B5469/MAX(B5218:B5469)-1</f>
        <v>-0.12778912994121</v>
      </c>
      <c r="F5469" s="7" t="str">
        <f aca="false">IFERROR(INDEX(02_轉折點45個!B:B,MATCH(A5469,02_轉折點45個!A:A,0)),"")</f>
        <v/>
      </c>
      <c r="G5469" s="7" t="s">
        <v>5494</v>
      </c>
    </row>
    <row r="5470" customFormat="false" ht="15" hidden="false" customHeight="false" outlineLevel="0" collapsed="false">
      <c r="A5470" s="7" t="s">
        <v>6256</v>
      </c>
      <c r="B5470" s="7" t="n">
        <v>10896.47</v>
      </c>
      <c r="C5470" s="7" t="n">
        <f aca="false">AVERAGE(B5421:B5470)</f>
        <v>11214.2006</v>
      </c>
      <c r="D5470" s="7" t="n">
        <f aca="false">AVERAGE(B5271:B5470)</f>
        <v>9568.25205</v>
      </c>
      <c r="E5470" s="7" t="n">
        <f aca="false">B5470/MAX(B5219:B5470)-1</f>
        <v>-0.122705615053774</v>
      </c>
      <c r="F5470" s="7" t="str">
        <f aca="false">IFERROR(INDEX(02_轉折點45個!B:B,MATCH(A5470,02_轉折點45個!A:A,0)),"")</f>
        <v/>
      </c>
      <c r="G5470" s="7" t="s">
        <v>5494</v>
      </c>
    </row>
    <row r="5471" customFormat="false" ht="15" hidden="false" customHeight="false" outlineLevel="0" collapsed="false">
      <c r="A5471" s="7" t="s">
        <v>6257</v>
      </c>
      <c r="B5471" s="7" t="n">
        <v>11151.13</v>
      </c>
      <c r="C5471" s="7" t="n">
        <f aca="false">AVERAGE(B5422:B5471)</f>
        <v>11224.694</v>
      </c>
      <c r="D5471" s="7" t="n">
        <f aca="false">AVERAGE(B5272:B5471)</f>
        <v>9582.23625</v>
      </c>
      <c r="E5471" s="7" t="n">
        <f aca="false">B5471/MAX(B5220:B5471)-1</f>
        <v>-0.102202480729501</v>
      </c>
      <c r="F5471" s="7" t="str">
        <f aca="false">IFERROR(INDEX(02_轉折點45個!B:B,MATCH(A5471,02_轉折點45個!A:A,0)),"")</f>
        <v/>
      </c>
      <c r="G5471" s="7" t="s">
        <v>5494</v>
      </c>
    </row>
    <row r="5472" customFormat="false" ht="15" hidden="false" customHeight="false" outlineLevel="0" collapsed="false">
      <c r="A5472" s="7" t="s">
        <v>6258</v>
      </c>
      <c r="B5472" s="7" t="n">
        <v>11364.45</v>
      </c>
      <c r="C5472" s="7" t="n">
        <f aca="false">AVERAGE(B5423:B5472)</f>
        <v>11239.0786</v>
      </c>
      <c r="D5472" s="7" t="n">
        <f aca="false">AVERAGE(B5273:B5472)</f>
        <v>9597.04545</v>
      </c>
      <c r="E5472" s="7" t="n">
        <f aca="false">B5472/MAX(B5221:B5472)-1</f>
        <v>-0.0850277041094831</v>
      </c>
      <c r="F5472" s="7" t="str">
        <f aca="false">IFERROR(INDEX(02_轉折點45個!B:B,MATCH(A5472,02_轉折點45個!A:A,0)),"")</f>
        <v/>
      </c>
      <c r="G5472" s="7" t="s">
        <v>5494</v>
      </c>
    </row>
    <row r="5473" customFormat="false" ht="15" hidden="false" customHeight="false" outlineLevel="0" collapsed="false">
      <c r="A5473" s="7" t="s">
        <v>6259</v>
      </c>
      <c r="B5473" s="7" t="n">
        <v>11322.95</v>
      </c>
      <c r="C5473" s="7" t="n">
        <f aca="false">AVERAGE(B5424:B5473)</f>
        <v>11246.496</v>
      </c>
      <c r="D5473" s="7" t="n">
        <f aca="false">AVERAGE(B5274:B5473)</f>
        <v>9611.32575</v>
      </c>
      <c r="E5473" s="7" t="n">
        <f aca="false">B5473/MAX(B5222:B5473)-1</f>
        <v>-0.0883689437013205</v>
      </c>
      <c r="F5473" s="7" t="str">
        <f aca="false">IFERROR(INDEX(02_轉折點45個!B:B,MATCH(A5473,02_轉折點45個!A:A,0)),"")</f>
        <v/>
      </c>
      <c r="G5473" s="7" t="s">
        <v>5494</v>
      </c>
    </row>
    <row r="5474" customFormat="false" ht="15" hidden="false" customHeight="false" outlineLevel="0" collapsed="false">
      <c r="A5474" s="7" t="s">
        <v>6260</v>
      </c>
      <c r="B5474" s="7" t="n">
        <v>11418.06</v>
      </c>
      <c r="C5474" s="7" t="n">
        <f aca="false">AVERAGE(B5425:B5474)</f>
        <v>11258.1958</v>
      </c>
      <c r="D5474" s="7" t="n">
        <f aca="false">AVERAGE(B5275:B5474)</f>
        <v>9625.9775</v>
      </c>
      <c r="E5474" s="7" t="n">
        <f aca="false">B5474/MAX(B5223:B5474)-1</f>
        <v>-0.0807114666512085</v>
      </c>
      <c r="F5474" s="7" t="str">
        <f aca="false">IFERROR(INDEX(02_轉折點45個!B:B,MATCH(A5474,02_轉折點45個!A:A,0)),"")</f>
        <v/>
      </c>
      <c r="G5474" s="7" t="s">
        <v>5494</v>
      </c>
    </row>
    <row r="5475" customFormat="false" ht="15" hidden="false" customHeight="false" outlineLevel="0" collapsed="false">
      <c r="A5475" s="7" t="s">
        <v>6261</v>
      </c>
      <c r="B5475" s="7" t="n">
        <v>11583.2</v>
      </c>
      <c r="C5475" s="7" t="n">
        <f aca="false">AVERAGE(B5426:B5475)</f>
        <v>11272.4448</v>
      </c>
      <c r="D5475" s="7" t="n">
        <f aca="false">AVERAGE(B5276:B5475)</f>
        <v>9641.04185</v>
      </c>
      <c r="E5475" s="7" t="n">
        <f aca="false">B5475/MAX(B5224:B5475)-1</f>
        <v>-0.0674157484296174</v>
      </c>
      <c r="F5475" s="7" t="str">
        <f aca="false">IFERROR(INDEX(02_轉折點45個!B:B,MATCH(A5475,02_轉折點45個!A:A,0)),"")</f>
        <v/>
      </c>
      <c r="G5475" s="7" t="s">
        <v>5494</v>
      </c>
    </row>
    <row r="5476" customFormat="false" ht="15" hidden="false" customHeight="false" outlineLevel="0" collapsed="false">
      <c r="A5476" s="7" t="s">
        <v>6262</v>
      </c>
      <c r="B5476" s="7" t="n">
        <v>11255.69</v>
      </c>
      <c r="C5476" s="7" t="n">
        <f aca="false">AVERAGE(B5427:B5476)</f>
        <v>11285.9468</v>
      </c>
      <c r="D5476" s="7" t="n">
        <f aca="false">AVERAGE(B5277:B5476)</f>
        <v>9654.4418</v>
      </c>
      <c r="E5476" s="7" t="n">
        <f aca="false">B5476/MAX(B5225:B5476)-1</f>
        <v>-0.0937841671940189</v>
      </c>
      <c r="F5476" s="7" t="str">
        <f aca="false">IFERROR(INDEX(02_轉折點45個!B:B,MATCH(A5476,02_轉折點45個!A:A,0)),"")</f>
        <v/>
      </c>
      <c r="G5476" s="7" t="s">
        <v>5494</v>
      </c>
    </row>
    <row r="5477" customFormat="false" ht="15" hidden="false" customHeight="false" outlineLevel="0" collapsed="false">
      <c r="A5477" s="7" t="s">
        <v>1564</v>
      </c>
      <c r="B5477" s="7" t="n">
        <v>11509.06</v>
      </c>
      <c r="C5477" s="7" t="n">
        <f aca="false">AVERAGE(B5428:B5477)</f>
        <v>11306.4654</v>
      </c>
      <c r="D5477" s="7" t="n">
        <f aca="false">AVERAGE(B5278:B5477)</f>
        <v>9669.084</v>
      </c>
      <c r="E5477" s="7" t="n">
        <f aca="false">B5477/MAX(B5226:B5477)-1</f>
        <v>-0.0733848930883844</v>
      </c>
      <c r="F5477" s="7" t="str">
        <f aca="false">IFERROR(INDEX(02_轉折點45個!B:B,MATCH(A5477,02_轉折點45個!A:A,0)),"")</f>
        <v/>
      </c>
      <c r="G5477" s="7" t="s">
        <v>5494</v>
      </c>
    </row>
    <row r="5478" customFormat="false" ht="15" hidden="false" customHeight="false" outlineLevel="0" collapsed="false">
      <c r="A5478" s="7" t="s">
        <v>6263</v>
      </c>
      <c r="B5478" s="7" t="n">
        <v>11291.27</v>
      </c>
      <c r="C5478" s="7" t="n">
        <f aca="false">AVERAGE(B5429:B5478)</f>
        <v>11318.8032</v>
      </c>
      <c r="D5478" s="7" t="n">
        <f aca="false">AVERAGE(B5279:B5478)</f>
        <v>9682.3339</v>
      </c>
      <c r="E5478" s="7" t="n">
        <f aca="false">B5478/MAX(B5227:B5478)-1</f>
        <v>-0.0909195574427522</v>
      </c>
      <c r="F5478" s="7" t="str">
        <f aca="false">IFERROR(INDEX(02_轉折點45個!B:B,MATCH(A5478,02_轉折點45個!A:A,0)),"")</f>
        <v/>
      </c>
      <c r="G5478" s="7" t="s">
        <v>5494</v>
      </c>
    </row>
    <row r="5479" customFormat="false" ht="15" hidden="false" customHeight="false" outlineLevel="0" collapsed="false">
      <c r="A5479" s="7" t="s">
        <v>6264</v>
      </c>
      <c r="B5479" s="7" t="n">
        <v>11503.19</v>
      </c>
      <c r="C5479" s="7" t="n">
        <f aca="false">AVERAGE(B5430:B5479)</f>
        <v>11338.217</v>
      </c>
      <c r="D5479" s="7" t="n">
        <f aca="false">AVERAGE(B5280:B5479)</f>
        <v>9696.4574</v>
      </c>
      <c r="E5479" s="7" t="n">
        <f aca="false">B5479/MAX(B5228:B5479)-1</f>
        <v>-0.0738574973390851</v>
      </c>
      <c r="F5479" s="7" t="str">
        <f aca="false">IFERROR(INDEX(02_轉折點45個!B:B,MATCH(A5479,02_轉折點45個!A:A,0)),"")</f>
        <v/>
      </c>
      <c r="G5479" s="7" t="s">
        <v>5494</v>
      </c>
    </row>
    <row r="5480" customFormat="false" ht="15" hidden="false" customHeight="false" outlineLevel="0" collapsed="false">
      <c r="A5480" s="7" t="s">
        <v>6265</v>
      </c>
      <c r="B5480" s="7" t="n">
        <v>11550.94</v>
      </c>
      <c r="C5480" s="7" t="n">
        <f aca="false">AVERAGE(B5431:B5480)</f>
        <v>11355.9762</v>
      </c>
      <c r="D5480" s="7" t="n">
        <f aca="false">AVERAGE(B5281:B5480)</f>
        <v>9710.73205</v>
      </c>
      <c r="E5480" s="7" t="n">
        <f aca="false">B5480/MAX(B5229:B5480)-1</f>
        <v>-0.0700130590135373</v>
      </c>
      <c r="F5480" s="7" t="str">
        <f aca="false">IFERROR(INDEX(02_轉折點45個!B:B,MATCH(A5480,02_轉折點45個!A:A,0)),"")</f>
        <v/>
      </c>
      <c r="G5480" s="7" t="s">
        <v>5494</v>
      </c>
    </row>
    <row r="5481" customFormat="false" ht="15" hidden="false" customHeight="false" outlineLevel="0" collapsed="false">
      <c r="A5481" s="7" t="s">
        <v>6266</v>
      </c>
      <c r="B5481" s="7" t="n">
        <v>11725.85</v>
      </c>
      <c r="C5481" s="7" t="n">
        <f aca="false">AVERAGE(B5432:B5481)</f>
        <v>11376.183</v>
      </c>
      <c r="D5481" s="7" t="n">
        <f aca="false">AVERAGE(B5282:B5481)</f>
        <v>9725.86375</v>
      </c>
      <c r="E5481" s="7" t="n">
        <f aca="false">B5481/MAX(B5230:B5481)-1</f>
        <v>-0.0559307405314101</v>
      </c>
      <c r="F5481" s="7" t="str">
        <f aca="false">IFERROR(INDEX(02_轉折點45個!B:B,MATCH(A5481,02_轉折點45個!A:A,0)),"")</f>
        <v/>
      </c>
      <c r="G5481" s="7" t="s">
        <v>5494</v>
      </c>
    </row>
    <row r="5482" customFormat="false" ht="15" hidden="false" customHeight="false" outlineLevel="0" collapsed="false">
      <c r="A5482" s="7" t="s">
        <v>1565</v>
      </c>
      <c r="B5482" s="7" t="n">
        <v>12088.11</v>
      </c>
      <c r="C5482" s="7" t="n">
        <f aca="false">AVERAGE(B5433:B5482)</f>
        <v>11399.8276</v>
      </c>
      <c r="D5482" s="7" t="n">
        <f aca="false">AVERAGE(B5283:B5482)</f>
        <v>9742.41275</v>
      </c>
      <c r="E5482" s="7" t="n">
        <f aca="false">B5482/MAX(B5231:B5482)-1</f>
        <v>-0.0267645368075784</v>
      </c>
      <c r="F5482" s="7" t="str">
        <f aca="false">IFERROR(INDEX(02_轉折點45個!B:B,MATCH(A5482,02_轉折點45個!A:A,0)),"")</f>
        <v/>
      </c>
      <c r="G5482" s="7" t="s">
        <v>5494</v>
      </c>
    </row>
    <row r="5483" customFormat="false" ht="15" hidden="false" customHeight="false" outlineLevel="0" collapsed="false">
      <c r="A5483" s="7" t="s">
        <v>6267</v>
      </c>
      <c r="B5483" s="7" t="n">
        <v>12083.17</v>
      </c>
      <c r="C5483" s="7" t="n">
        <f aca="false">AVERAGE(B5434:B5483)</f>
        <v>11420.3894</v>
      </c>
      <c r="D5483" s="7" t="n">
        <f aca="false">AVERAGE(B5284:B5483)</f>
        <v>9758.9737</v>
      </c>
      <c r="E5483" s="7" t="n">
        <f aca="false">B5483/MAX(B5232:B5483)-1</f>
        <v>-0.0271622650867032</v>
      </c>
      <c r="F5483" s="7" t="str">
        <f aca="false">IFERROR(INDEX(02_轉折點45個!B:B,MATCH(A5483,02_轉折點45個!A:A,0)),"")</f>
        <v/>
      </c>
      <c r="G5483" s="7" t="s">
        <v>5494</v>
      </c>
    </row>
    <row r="5484" customFormat="false" ht="15" hidden="false" customHeight="false" outlineLevel="0" collapsed="false">
      <c r="A5484" s="7" t="s">
        <v>6268</v>
      </c>
      <c r="B5484" s="7" t="n">
        <v>11985.36</v>
      </c>
      <c r="C5484" s="7" t="n">
        <f aca="false">AVERAGE(B5435:B5484)</f>
        <v>11438.1658</v>
      </c>
      <c r="D5484" s="7" t="n">
        <f aca="false">AVERAGE(B5285:B5484)</f>
        <v>9775.35185</v>
      </c>
      <c r="E5484" s="7" t="n">
        <f aca="false">B5484/MAX(B5233:B5484)-1</f>
        <v>-0.0350371239897782</v>
      </c>
      <c r="F5484" s="7" t="str">
        <f aca="false">IFERROR(INDEX(02_轉折點45個!B:B,MATCH(A5484,02_轉折點45個!A:A,0)),"")</f>
        <v/>
      </c>
      <c r="G5484" s="7" t="s">
        <v>5494</v>
      </c>
    </row>
    <row r="5485" customFormat="false" ht="15" hidden="false" customHeight="false" outlineLevel="0" collapsed="false">
      <c r="A5485" s="7" t="s">
        <v>6269</v>
      </c>
      <c r="B5485" s="7" t="n">
        <v>11898.57</v>
      </c>
      <c r="C5485" s="7" t="n">
        <f aca="false">AVERAGE(B5436:B5485)</f>
        <v>11453.6284</v>
      </c>
      <c r="D5485" s="7" t="n">
        <f aca="false">AVERAGE(B5286:B5485)</f>
        <v>9791.17935</v>
      </c>
      <c r="E5485" s="7" t="n">
        <f aca="false">B5485/MAX(B5234:B5485)-1</f>
        <v>-0.0420247428855751</v>
      </c>
      <c r="F5485" s="7" t="str">
        <f aca="false">IFERROR(INDEX(02_轉折點45個!B:B,MATCH(A5485,02_轉折點45個!A:A,0)),"")</f>
        <v/>
      </c>
      <c r="G5485" s="7" t="s">
        <v>5494</v>
      </c>
    </row>
    <row r="5486" customFormat="false" ht="15" hidden="false" customHeight="false" outlineLevel="0" collapsed="false">
      <c r="A5486" s="7" t="s">
        <v>6270</v>
      </c>
      <c r="B5486" s="7" t="n">
        <v>11852.17</v>
      </c>
      <c r="C5486" s="7" t="n">
        <f aca="false">AVERAGE(B5437:B5486)</f>
        <v>11465.3302</v>
      </c>
      <c r="D5486" s="7" t="n">
        <f aca="false">AVERAGE(B5287:B5486)</f>
        <v>9806.0791</v>
      </c>
      <c r="E5486" s="7" t="n">
        <f aca="false">B5486/MAX(B5235:B5486)-1</f>
        <v>-0.0457604902846415</v>
      </c>
      <c r="F5486" s="7" t="str">
        <f aca="false">IFERROR(INDEX(02_轉折點45個!B:B,MATCH(A5486,02_轉折點45個!A:A,0)),"")</f>
        <v/>
      </c>
      <c r="G5486" s="7" t="s">
        <v>5494</v>
      </c>
    </row>
    <row r="5487" customFormat="false" ht="15" hidden="false" customHeight="false" outlineLevel="0" collapsed="false">
      <c r="A5487" s="7" t="s">
        <v>1566</v>
      </c>
      <c r="B5487" s="7" t="n">
        <v>11634.35</v>
      </c>
      <c r="C5487" s="7" t="n">
        <f aca="false">AVERAGE(B5438:B5487)</f>
        <v>11475.2294</v>
      </c>
      <c r="D5487" s="7" t="n">
        <f aca="false">AVERAGE(B5288:B5487)</f>
        <v>9820.28135</v>
      </c>
      <c r="E5487" s="7" t="n">
        <f aca="false">B5487/MAX(B5236:B5487)-1</f>
        <v>-0.0632975699929311</v>
      </c>
      <c r="F5487" s="7" t="str">
        <f aca="false">IFERROR(INDEX(02_轉折點45個!B:B,MATCH(A5487,02_轉折點45個!A:A,0)),"")</f>
        <v/>
      </c>
      <c r="G5487" s="7" t="s">
        <v>5494</v>
      </c>
    </row>
    <row r="5488" customFormat="false" ht="15" hidden="false" customHeight="false" outlineLevel="0" collapsed="false">
      <c r="A5488" s="7" t="s">
        <v>6271</v>
      </c>
      <c r="B5488" s="7" t="n">
        <v>11677.84</v>
      </c>
      <c r="C5488" s="7" t="n">
        <f aca="false">AVERAGE(B5439:B5488)</f>
        <v>11487.0828</v>
      </c>
      <c r="D5488" s="7" t="n">
        <f aca="false">AVERAGE(B5289:B5488)</f>
        <v>9834.42795</v>
      </c>
      <c r="E5488" s="7" t="n">
        <f aca="false">B5488/MAX(B5237:B5488)-1</f>
        <v>-0.0597961119242804</v>
      </c>
      <c r="F5488" s="7" t="str">
        <f aca="false">IFERROR(INDEX(02_轉折點45個!B:B,MATCH(A5488,02_轉折點45個!A:A,0)),"")</f>
        <v/>
      </c>
      <c r="G5488" s="7" t="s">
        <v>5494</v>
      </c>
    </row>
    <row r="5489" customFormat="false" ht="15" hidden="false" customHeight="false" outlineLevel="0" collapsed="false">
      <c r="A5489" s="7" t="s">
        <v>1567</v>
      </c>
      <c r="B5489" s="7" t="n">
        <v>11665.37</v>
      </c>
      <c r="C5489" s="7" t="n">
        <f aca="false">AVERAGE(B5440:B5489)</f>
        <v>11502.8686</v>
      </c>
      <c r="D5489" s="7" t="n">
        <f aca="false">AVERAGE(B5290:B5489)</f>
        <v>9848.52255</v>
      </c>
      <c r="E5489" s="7" t="n">
        <f aca="false">B5489/MAX(B5238:B5489)-1</f>
        <v>-0.0608000940377793</v>
      </c>
      <c r="F5489" s="7" t="str">
        <f aca="false">IFERROR(INDEX(02_轉折點45個!B:B,MATCH(A5489,02_轉折點45個!A:A,0)),"")</f>
        <v/>
      </c>
      <c r="G5489" s="7" t="s">
        <v>5494</v>
      </c>
    </row>
    <row r="5490" customFormat="false" ht="15" hidden="false" customHeight="false" outlineLevel="0" collapsed="false">
      <c r="A5490" s="7" t="s">
        <v>6272</v>
      </c>
      <c r="B5490" s="7" t="n">
        <v>11662.91</v>
      </c>
      <c r="C5490" s="7" t="n">
        <f aca="false">AVERAGE(B5441:B5490)</f>
        <v>11512.9724</v>
      </c>
      <c r="D5490" s="7" t="n">
        <f aca="false">AVERAGE(B5291:B5490)</f>
        <v>9862.27525</v>
      </c>
      <c r="E5490" s="7" t="n">
        <f aca="false">B5490/MAX(B5239:B5490)-1</f>
        <v>-0.0609981530593678</v>
      </c>
      <c r="F5490" s="7" t="str">
        <f aca="false">IFERROR(INDEX(02_轉折點45個!B:B,MATCH(A5490,02_轉折點45個!A:A,0)),"")</f>
        <v/>
      </c>
      <c r="G5490" s="7" t="s">
        <v>5494</v>
      </c>
    </row>
    <row r="5491" customFormat="false" ht="15" hidden="false" customHeight="false" outlineLevel="0" collapsed="false">
      <c r="A5491" s="7" t="s">
        <v>6273</v>
      </c>
      <c r="B5491" s="7" t="n">
        <v>11692.57</v>
      </c>
      <c r="C5491" s="7" t="n">
        <f aca="false">AVERAGE(B5442:B5491)</f>
        <v>11523.2564</v>
      </c>
      <c r="D5491" s="7" t="n">
        <f aca="false">AVERAGE(B5292:B5491)</f>
        <v>9875.78995</v>
      </c>
      <c r="E5491" s="7" t="n">
        <f aca="false">B5491/MAX(B5240:B5491)-1</f>
        <v>-0.0586101731486716</v>
      </c>
      <c r="F5491" s="7" t="str">
        <f aca="false">IFERROR(INDEX(02_轉折點45個!B:B,MATCH(A5491,02_轉折點45個!A:A,0)),"")</f>
        <v/>
      </c>
      <c r="G5491" s="7" t="s">
        <v>5494</v>
      </c>
    </row>
    <row r="5492" customFormat="false" ht="15" hidden="false" customHeight="false" outlineLevel="0" collapsed="false">
      <c r="A5492" s="7" t="s">
        <v>1568</v>
      </c>
      <c r="B5492" s="7" t="n">
        <v>11504.52</v>
      </c>
      <c r="C5492" s="7" t="n">
        <f aca="false">AVERAGE(B5443:B5492)</f>
        <v>11530.0578</v>
      </c>
      <c r="D5492" s="7" t="n">
        <f aca="false">AVERAGE(B5293:B5492)</f>
        <v>9888.47935</v>
      </c>
      <c r="E5492" s="7" t="n">
        <f aca="false">B5492/MAX(B5241:B5492)-1</f>
        <v>-0.0737504166485515</v>
      </c>
      <c r="F5492" s="7" t="str">
        <f aca="false">IFERROR(INDEX(02_轉折點45個!B:B,MATCH(A5492,02_轉折點45個!A:A,0)),"")</f>
        <v/>
      </c>
      <c r="G5492" s="7" t="s">
        <v>5494</v>
      </c>
    </row>
    <row r="5493" customFormat="false" ht="15" hidden="false" customHeight="false" outlineLevel="0" collapsed="false">
      <c r="A5493" s="7" t="s">
        <v>6274</v>
      </c>
      <c r="B5493" s="7" t="n">
        <v>11598.95</v>
      </c>
      <c r="C5493" s="7" t="n">
        <f aca="false">AVERAGE(B5444:B5493)</f>
        <v>11536.2654</v>
      </c>
      <c r="D5493" s="7" t="n">
        <f aca="false">AVERAGE(B5294:B5493)</f>
        <v>9901.12085</v>
      </c>
      <c r="E5493" s="7" t="n">
        <f aca="false">B5493/MAX(B5242:B5493)-1</f>
        <v>-0.066147687620667</v>
      </c>
      <c r="F5493" s="7" t="str">
        <f aca="false">IFERROR(INDEX(02_轉折點45個!B:B,MATCH(A5493,02_轉折點45個!A:A,0)),"")</f>
        <v/>
      </c>
      <c r="G5493" s="7" t="s">
        <v>5494</v>
      </c>
    </row>
    <row r="5494" customFormat="false" ht="15" hidden="false" customHeight="false" outlineLevel="0" collapsed="false">
      <c r="A5494" s="7" t="s">
        <v>1569</v>
      </c>
      <c r="B5494" s="7" t="n">
        <v>11142.76</v>
      </c>
      <c r="C5494" s="7" t="n">
        <f aca="false">AVERAGE(B5445:B5494)</f>
        <v>11531.14</v>
      </c>
      <c r="D5494" s="7" t="n">
        <f aca="false">AVERAGE(B5295:B5494)</f>
        <v>9911.66755</v>
      </c>
      <c r="E5494" s="7" t="n">
        <f aca="false">B5494/MAX(B5243:B5494)-1</f>
        <v>-0.102876364473686</v>
      </c>
      <c r="F5494" s="7" t="str">
        <f aca="false">IFERROR(INDEX(02_轉折點45個!B:B,MATCH(A5494,02_轉折點45個!A:A,0)),"")</f>
        <v/>
      </c>
      <c r="G5494" s="7" t="s">
        <v>5494</v>
      </c>
    </row>
    <row r="5495" customFormat="false" ht="15" hidden="false" customHeight="false" outlineLevel="0" collapsed="false">
      <c r="A5495" s="7" t="s">
        <v>6275</v>
      </c>
      <c r="B5495" s="7" t="n">
        <v>11350.74</v>
      </c>
      <c r="C5495" s="7" t="n">
        <f aca="false">AVERAGE(B5446:B5495)</f>
        <v>11531.782</v>
      </c>
      <c r="D5495" s="7" t="n">
        <f aca="false">AVERAGE(B5296:B5495)</f>
        <v>9923.2429</v>
      </c>
      <c r="E5495" s="7" t="n">
        <f aca="false">B5495/MAX(B5244:B5495)-1</f>
        <v>-0.0861315208517505</v>
      </c>
      <c r="F5495" s="7" t="str">
        <f aca="false">IFERROR(INDEX(02_轉折點45個!B:B,MATCH(A5495,02_轉折點45個!A:A,0)),"")</f>
        <v/>
      </c>
      <c r="G5495" s="7" t="s">
        <v>5494</v>
      </c>
    </row>
    <row r="5496" customFormat="false" ht="15" hidden="false" customHeight="false" outlineLevel="0" collapsed="false">
      <c r="A5496" s="7" t="s">
        <v>6276</v>
      </c>
      <c r="B5496" s="7" t="n">
        <v>11052.95</v>
      </c>
      <c r="C5496" s="7" t="n">
        <f aca="false">AVERAGE(B5447:B5496)</f>
        <v>11523.3</v>
      </c>
      <c r="D5496" s="7" t="n">
        <f aca="false">AVERAGE(B5297:B5496)</f>
        <v>9932.88265</v>
      </c>
      <c r="E5496" s="7" t="n">
        <f aca="false">B5496/MAX(B5245:B5496)-1</f>
        <v>-0.110107128997612</v>
      </c>
      <c r="F5496" s="7" t="str">
        <f aca="false">IFERROR(INDEX(02_轉折點45個!B:B,MATCH(A5496,02_轉折點45個!A:A,0)),"")</f>
        <v/>
      </c>
      <c r="G5496" s="7" t="s">
        <v>5494</v>
      </c>
    </row>
    <row r="5497" customFormat="false" ht="15" hidden="false" customHeight="false" outlineLevel="0" collapsed="false">
      <c r="A5497" s="7" t="s">
        <v>6277</v>
      </c>
      <c r="B5497" s="7" t="n">
        <v>11084.76</v>
      </c>
      <c r="C5497" s="7" t="n">
        <f aca="false">AVERAGE(B5448:B5497)</f>
        <v>11513.892</v>
      </c>
      <c r="D5497" s="7" t="n">
        <f aca="false">AVERAGE(B5298:B5497)</f>
        <v>9942.4378</v>
      </c>
      <c r="E5497" s="7" t="n">
        <f aca="false">B5497/MAX(B5246:B5497)-1</f>
        <v>-0.107546048722519</v>
      </c>
      <c r="F5497" s="7" t="str">
        <f aca="false">IFERROR(INDEX(02_轉折點45個!B:B,MATCH(A5497,02_轉折點45個!A:A,0)),"")</f>
        <v/>
      </c>
      <c r="G5497" s="7" t="s">
        <v>5494</v>
      </c>
    </row>
    <row r="5498" customFormat="false" ht="15" hidden="false" customHeight="false" outlineLevel="0" collapsed="false">
      <c r="A5498" s="7" t="s">
        <v>6278</v>
      </c>
      <c r="B5498" s="7" t="n">
        <v>11279.91</v>
      </c>
      <c r="C5498" s="7" t="n">
        <f aca="false">AVERAGE(B5449:B5498)</f>
        <v>11506.9668</v>
      </c>
      <c r="D5498" s="7" t="n">
        <f aca="false">AVERAGE(B5299:B5498)</f>
        <v>9953.0042</v>
      </c>
      <c r="E5498" s="7" t="n">
        <f aca="false">B5498/MAX(B5247:B5498)-1</f>
        <v>-0.0918341714611443</v>
      </c>
      <c r="F5498" s="7" t="str">
        <f aca="false">IFERROR(INDEX(02_轉折點45個!B:B,MATCH(A5498,02_轉折點45個!A:A,0)),"")</f>
        <v/>
      </c>
      <c r="G5498" s="7" t="s">
        <v>5494</v>
      </c>
    </row>
    <row r="5499" customFormat="false" ht="15" hidden="false" customHeight="false" outlineLevel="0" collapsed="false">
      <c r="A5499" s="7" t="s">
        <v>1570</v>
      </c>
      <c r="B5499" s="7" t="n">
        <v>11777.02</v>
      </c>
      <c r="C5499" s="7" t="n">
        <f aca="false">AVERAGE(B5450:B5499)</f>
        <v>11508.071</v>
      </c>
      <c r="D5499" s="7" t="n">
        <f aca="false">AVERAGE(B5300:B5499)</f>
        <v>9965.9464</v>
      </c>
      <c r="E5499" s="7" t="n">
        <f aca="false">B5499/MAX(B5248:B5499)-1</f>
        <v>-0.0518109518587759</v>
      </c>
      <c r="F5499" s="7" t="str">
        <f aca="false">IFERROR(INDEX(02_轉折點45個!B:B,MATCH(A5499,02_轉折點45個!A:A,0)),"")</f>
        <v/>
      </c>
      <c r="G5499" s="7" t="s">
        <v>5494</v>
      </c>
    </row>
    <row r="5500" customFormat="false" ht="15" hidden="false" customHeight="false" outlineLevel="0" collapsed="false">
      <c r="A5500" s="7" t="s">
        <v>1571</v>
      </c>
      <c r="B5500" s="7" t="n">
        <v>12078.07</v>
      </c>
      <c r="C5500" s="7" t="n">
        <f aca="false">AVERAGE(B5451:B5500)</f>
        <v>11510.1936</v>
      </c>
      <c r="D5500" s="7" t="n">
        <f aca="false">AVERAGE(B5301:B5500)</f>
        <v>9980.25185</v>
      </c>
      <c r="E5500" s="7" t="n">
        <f aca="false">B5500/MAX(B5249:B5500)-1</f>
        <v>-0.027572875253411</v>
      </c>
      <c r="F5500" s="7" t="str">
        <f aca="false">IFERROR(INDEX(02_轉折點45個!B:B,MATCH(A5500,02_轉折點45個!A:A,0)),"")</f>
        <v/>
      </c>
      <c r="G5500" s="7" t="s">
        <v>5494</v>
      </c>
    </row>
    <row r="5501" customFormat="false" ht="15" hidden="false" customHeight="false" outlineLevel="0" collapsed="false">
      <c r="A5501" s="7" t="s">
        <v>6279</v>
      </c>
      <c r="B5501" s="7" t="n">
        <v>12091.35</v>
      </c>
      <c r="C5501" s="7" t="n">
        <f aca="false">AVERAGE(B5452:B5501)</f>
        <v>11513.4974</v>
      </c>
      <c r="D5501" s="7" t="n">
        <f aca="false">AVERAGE(B5302:B5501)</f>
        <v>9995.00125</v>
      </c>
      <c r="E5501" s="7" t="n">
        <f aca="false">B5501/MAX(B5250:B5501)-1</f>
        <v>-0.0265036785840229</v>
      </c>
      <c r="F5501" s="7" t="str">
        <f aca="false">IFERROR(INDEX(02_轉折點45個!B:B,MATCH(A5501,02_轉折點45個!A:A,0)),"")</f>
        <v/>
      </c>
      <c r="G5501" s="7" t="s">
        <v>5494</v>
      </c>
    </row>
    <row r="5502" customFormat="false" ht="15" hidden="false" customHeight="false" outlineLevel="0" collapsed="false">
      <c r="A5502" s="7" t="s">
        <v>6280</v>
      </c>
      <c r="B5502" s="7" t="n">
        <v>11830.39</v>
      </c>
      <c r="C5502" s="7" t="n">
        <f aca="false">AVERAGE(B5453:B5502)</f>
        <v>11510.1882</v>
      </c>
      <c r="D5502" s="7" t="n">
        <f aca="false">AVERAGE(B5303:B5502)</f>
        <v>10009.3923</v>
      </c>
      <c r="E5502" s="7" t="n">
        <f aca="false">B5502/MAX(B5251:B5502)-1</f>
        <v>-0.0475140372318758</v>
      </c>
      <c r="F5502" s="7" t="str">
        <f aca="false">IFERROR(INDEX(02_轉折點45個!B:B,MATCH(A5502,02_轉折點45個!A:A,0)),"")</f>
        <v/>
      </c>
      <c r="G5502" s="7" t="s">
        <v>5494</v>
      </c>
    </row>
    <row r="5503" customFormat="false" ht="15" hidden="false" customHeight="false" outlineLevel="0" collapsed="false">
      <c r="A5503" s="7" t="s">
        <v>1572</v>
      </c>
      <c r="B5503" s="7" t="n">
        <v>11624.29</v>
      </c>
      <c r="C5503" s="7" t="n">
        <f aca="false">AVERAGE(B5454:B5503)</f>
        <v>11500.46</v>
      </c>
      <c r="D5503" s="7" t="n">
        <f aca="false">AVERAGE(B5304:B5503)</f>
        <v>10022.0591</v>
      </c>
      <c r="E5503" s="7" t="n">
        <f aca="false">B5503/MAX(B5252:B5503)-1</f>
        <v>-0.0641075186747114</v>
      </c>
      <c r="F5503" s="7" t="str">
        <f aca="false">IFERROR(INDEX(02_轉折點45個!B:B,MATCH(A5503,02_轉折點45個!A:A,0)),"")</f>
        <v/>
      </c>
      <c r="G5503" s="7" t="s">
        <v>5494</v>
      </c>
    </row>
    <row r="5504" customFormat="false" ht="15" hidden="false" customHeight="false" outlineLevel="0" collapsed="false">
      <c r="A5504" s="7" t="s">
        <v>1573</v>
      </c>
      <c r="B5504" s="7" t="n">
        <v>11892.93</v>
      </c>
      <c r="C5504" s="7" t="n">
        <f aca="false">AVERAGE(B5455:B5504)</f>
        <v>11492.4614</v>
      </c>
      <c r="D5504" s="7" t="n">
        <f aca="false">AVERAGE(B5305:B5504)</f>
        <v>10036.0157</v>
      </c>
      <c r="E5504" s="7" t="n">
        <f aca="false">B5504/MAX(B5253:B5504)-1</f>
        <v>-0.0424788294228754</v>
      </c>
      <c r="F5504" s="7" t="str">
        <f aca="false">IFERROR(INDEX(02_轉折點45個!B:B,MATCH(A5504,02_轉折點45個!A:A,0)),"")</f>
        <v/>
      </c>
      <c r="G5504" s="7" t="s">
        <v>5494</v>
      </c>
    </row>
    <row r="5505" customFormat="false" ht="15" hidden="false" customHeight="false" outlineLevel="0" collapsed="false">
      <c r="A5505" s="7" t="s">
        <v>6281</v>
      </c>
      <c r="B5505" s="7" t="n">
        <v>11827.14</v>
      </c>
      <c r="C5505" s="7" t="n">
        <f aca="false">AVERAGE(B5456:B5505)</f>
        <v>11480.5934</v>
      </c>
      <c r="D5505" s="7" t="n">
        <f aca="false">AVERAGE(B5306:B5505)</f>
        <v>10049.47095</v>
      </c>
      <c r="E5505" s="7" t="n">
        <f aca="false">B5505/MAX(B5254:B5505)-1</f>
        <v>-0.0477757005734052</v>
      </c>
      <c r="F5505" s="7" t="str">
        <f aca="false">IFERROR(INDEX(02_轉折點45個!B:B,MATCH(A5505,02_轉折點45個!A:A,0)),"")</f>
        <v/>
      </c>
      <c r="G5505" s="7" t="s">
        <v>5494</v>
      </c>
    </row>
    <row r="5506" customFormat="false" ht="15" hidden="false" customHeight="false" outlineLevel="0" collapsed="false">
      <c r="A5506" s="7" t="s">
        <v>6282</v>
      </c>
      <c r="B5506" s="7" t="n">
        <v>11937.84</v>
      </c>
      <c r="C5506" s="7" t="n">
        <f aca="false">AVERAGE(B5457:B5506)</f>
        <v>11483.9228</v>
      </c>
      <c r="D5506" s="7" t="n">
        <f aca="false">AVERAGE(B5307:B5506)</f>
        <v>10064.2026</v>
      </c>
      <c r="E5506" s="7" t="n">
        <f aca="false">B5506/MAX(B5255:B5506)-1</f>
        <v>-0.0388630446019256</v>
      </c>
      <c r="F5506" s="7" t="str">
        <f aca="false">IFERROR(INDEX(02_轉折點45個!B:B,MATCH(A5506,02_轉折點45個!A:A,0)),"")</f>
        <v/>
      </c>
      <c r="G5506" s="7" t="s">
        <v>5494</v>
      </c>
    </row>
    <row r="5507" customFormat="false" ht="15" hidden="false" customHeight="false" outlineLevel="0" collapsed="false">
      <c r="A5507" s="7" t="s">
        <v>6283</v>
      </c>
      <c r="B5507" s="7" t="n">
        <v>12013.38</v>
      </c>
      <c r="C5507" s="7" t="n">
        <f aca="false">AVERAGE(B5458:B5507)</f>
        <v>11491.7478</v>
      </c>
      <c r="D5507" s="7" t="n">
        <f aca="false">AVERAGE(B5308:B5507)</f>
        <v>10078.63835</v>
      </c>
      <c r="E5507" s="7" t="n">
        <f aca="false">B5507/MAX(B5256:B5507)-1</f>
        <v>-0.0327811834268077</v>
      </c>
      <c r="F5507" s="7" t="str">
        <f aca="false">IFERROR(INDEX(02_轉折點45個!B:B,MATCH(A5507,02_轉折點45個!A:A,0)),"")</f>
        <v/>
      </c>
      <c r="G5507" s="7" t="s">
        <v>5494</v>
      </c>
    </row>
    <row r="5508" customFormat="false" ht="15" hidden="false" customHeight="false" outlineLevel="0" collapsed="false">
      <c r="A5508" s="7" t="s">
        <v>6284</v>
      </c>
      <c r="B5508" s="7" t="n">
        <v>11977.49</v>
      </c>
      <c r="C5508" s="7" t="n">
        <f aca="false">AVERAGE(B5459:B5508)</f>
        <v>11509.9324</v>
      </c>
      <c r="D5508" s="7" t="n">
        <f aca="false">AVERAGE(B5309:B5508)</f>
        <v>10091.8555</v>
      </c>
      <c r="E5508" s="7" t="n">
        <f aca="false">B5508/MAX(B5257:B5508)-1</f>
        <v>-0.0356707518352665</v>
      </c>
      <c r="F5508" s="7" t="str">
        <f aca="false">IFERROR(INDEX(02_轉折點45個!B:B,MATCH(A5508,02_轉折點45個!A:A,0)),"")</f>
        <v/>
      </c>
      <c r="G5508" s="7" t="s">
        <v>5494</v>
      </c>
    </row>
    <row r="5509" customFormat="false" ht="15" hidden="false" customHeight="false" outlineLevel="0" collapsed="false">
      <c r="A5509" s="7" t="s">
        <v>6285</v>
      </c>
      <c r="B5509" s="7" t="n">
        <v>11894.71</v>
      </c>
      <c r="C5509" s="7" t="n">
        <f aca="false">AVERAGE(B5460:B5509)</f>
        <v>11519.9096</v>
      </c>
      <c r="D5509" s="7" t="n">
        <f aca="false">AVERAGE(B5310:B5509)</f>
        <v>10104.49165</v>
      </c>
      <c r="E5509" s="7" t="n">
        <f aca="false">B5509/MAX(B5258:B5509)-1</f>
        <v>-0.0423355184235147</v>
      </c>
      <c r="F5509" s="7" t="str">
        <f aca="false">IFERROR(INDEX(02_轉折點45個!B:B,MATCH(A5509,02_轉折點45個!A:A,0)),"")</f>
        <v/>
      </c>
      <c r="G5509" s="7" t="s">
        <v>5494</v>
      </c>
    </row>
    <row r="5510" customFormat="false" ht="15" hidden="false" customHeight="false" outlineLevel="0" collapsed="false">
      <c r="A5510" s="7" t="s">
        <v>6286</v>
      </c>
      <c r="B5510" s="7" t="n">
        <v>11985.43</v>
      </c>
      <c r="C5510" s="7" t="n">
        <f aca="false">AVERAGE(B5461:B5510)</f>
        <v>11536.5358</v>
      </c>
      <c r="D5510" s="7" t="n">
        <f aca="false">AVERAGE(B5311:B5510)</f>
        <v>10117.1892</v>
      </c>
      <c r="E5510" s="7" t="n">
        <f aca="false">B5510/MAX(B5259:B5510)-1</f>
        <v>-0.0350314881639607</v>
      </c>
      <c r="F5510" s="7" t="str">
        <f aca="false">IFERROR(INDEX(02_轉折點45個!B:B,MATCH(A5510,02_轉折點45個!A:A,0)),"")</f>
        <v/>
      </c>
      <c r="G5510" s="7" t="s">
        <v>5494</v>
      </c>
    </row>
    <row r="5511" customFormat="false" ht="15" hidden="false" customHeight="false" outlineLevel="0" collapsed="false">
      <c r="A5511" s="7" t="s">
        <v>6287</v>
      </c>
      <c r="B5511" s="7" t="n">
        <v>11906.44</v>
      </c>
      <c r="C5511" s="7" t="n">
        <f aca="false">AVERAGE(B5462:B5511)</f>
        <v>11552.9166</v>
      </c>
      <c r="D5511" s="7" t="n">
        <f aca="false">AVERAGE(B5312:B5511)</f>
        <v>10129.7159</v>
      </c>
      <c r="E5511" s="7" t="n">
        <f aca="false">B5511/MAX(B5260:B5511)-1</f>
        <v>-0.0413911150400869</v>
      </c>
      <c r="F5511" s="7" t="str">
        <f aca="false">IFERROR(INDEX(02_轉折點45個!B:B,MATCH(A5511,02_轉折點45個!A:A,0)),"")</f>
        <v/>
      </c>
      <c r="G5511" s="7" t="s">
        <v>5494</v>
      </c>
    </row>
    <row r="5512" customFormat="false" ht="15" hidden="false" customHeight="false" outlineLevel="0" collapsed="false">
      <c r="A5512" s="7" t="s">
        <v>6288</v>
      </c>
      <c r="B5512" s="7" t="n">
        <v>11905.94</v>
      </c>
      <c r="C5512" s="7" t="n">
        <f aca="false">AVERAGE(B5463:B5512)</f>
        <v>11565.4802</v>
      </c>
      <c r="D5512" s="7" t="n">
        <f aca="false">AVERAGE(B5313:B5512)</f>
        <v>10141.6614</v>
      </c>
      <c r="E5512" s="7" t="n">
        <f aca="false">B5512/MAX(B5261:B5512)-1</f>
        <v>-0.0414313709387837</v>
      </c>
      <c r="F5512" s="7" t="str">
        <f aca="false">IFERROR(INDEX(02_轉折點45個!B:B,MATCH(A5512,02_轉折點45個!A:A,0)),"")</f>
        <v/>
      </c>
      <c r="G5512" s="7" t="s">
        <v>5494</v>
      </c>
    </row>
    <row r="5513" customFormat="false" ht="15" hidden="false" customHeight="false" outlineLevel="0" collapsed="false">
      <c r="A5513" s="7" t="s">
        <v>6289</v>
      </c>
      <c r="B5513" s="7" t="n">
        <v>12079.81</v>
      </c>
      <c r="C5513" s="7" t="n">
        <f aca="false">AVERAGE(B5464:B5513)</f>
        <v>11578.299</v>
      </c>
      <c r="D5513" s="7" t="n">
        <f aca="false">AVERAGE(B5314:B5513)</f>
        <v>10154.47115</v>
      </c>
      <c r="E5513" s="7" t="n">
        <f aca="false">B5513/MAX(B5262:B5513)-1</f>
        <v>-0.027432784725946</v>
      </c>
      <c r="F5513" s="7" t="str">
        <f aca="false">IFERROR(INDEX(02_轉折點45個!B:B,MATCH(A5513,02_轉折點45個!A:A,0)),"")</f>
        <v/>
      </c>
      <c r="G5513" s="7" t="s">
        <v>5494</v>
      </c>
    </row>
    <row r="5514" customFormat="false" ht="15" hidden="false" customHeight="false" outlineLevel="0" collapsed="false">
      <c r="A5514" s="7" t="s">
        <v>6290</v>
      </c>
      <c r="B5514" s="7" t="n">
        <v>12152.22</v>
      </c>
      <c r="C5514" s="7" t="n">
        <f aca="false">AVERAGE(B5465:B5514)</f>
        <v>11596.3914</v>
      </c>
      <c r="D5514" s="7" t="n">
        <f aca="false">AVERAGE(B5315:B5514)</f>
        <v>10167.16625</v>
      </c>
      <c r="E5514" s="7" t="n">
        <f aca="false">B5514/MAX(B5263:B5514)-1</f>
        <v>-0.0216029254766702</v>
      </c>
      <c r="F5514" s="7" t="str">
        <f aca="false">IFERROR(INDEX(02_轉折點45個!B:B,MATCH(A5514,02_轉折點45個!A:A,0)),"")</f>
        <v/>
      </c>
      <c r="G5514" s="7" t="s">
        <v>5494</v>
      </c>
    </row>
    <row r="5515" customFormat="false" ht="15" hidden="false" customHeight="false" outlineLevel="0" collapsed="false">
      <c r="A5515" s="7" t="s">
        <v>6291</v>
      </c>
      <c r="B5515" s="7" t="n">
        <v>12258.21</v>
      </c>
      <c r="C5515" s="7" t="n">
        <f aca="false">AVERAGE(B5466:B5515)</f>
        <v>11619.9366</v>
      </c>
      <c r="D5515" s="7" t="n">
        <f aca="false">AVERAGE(B5316:B5515)</f>
        <v>10180.4788</v>
      </c>
      <c r="E5515" s="7" t="n">
        <f aca="false">B5515/MAX(B5264:B5515)-1</f>
        <v>-0.0130694800709149</v>
      </c>
      <c r="F5515" s="7" t="str">
        <f aca="false">IFERROR(INDEX(02_轉折點45個!B:B,MATCH(A5515,02_轉折點45個!A:A,0)),"")</f>
        <v/>
      </c>
      <c r="G5515" s="7" t="s">
        <v>5494</v>
      </c>
    </row>
    <row r="5516" customFormat="false" ht="15" hidden="false" customHeight="false" outlineLevel="0" collapsed="false">
      <c r="A5516" s="7" t="s">
        <v>1574</v>
      </c>
      <c r="B5516" s="7" t="n">
        <v>12268.32</v>
      </c>
      <c r="C5516" s="7" t="n">
        <f aca="false">AVERAGE(B5467:B5516)</f>
        <v>11646.5634</v>
      </c>
      <c r="D5516" s="7" t="n">
        <f aca="false">AVERAGE(B5317:B5516)</f>
        <v>10193.7025</v>
      </c>
      <c r="E5516" s="7" t="n">
        <f aca="false">B5516/MAX(B5265:B5516)-1</f>
        <v>-0.0122555057992648</v>
      </c>
      <c r="F5516" s="7" t="str">
        <f aca="false">IFERROR(INDEX(02_轉折點45個!B:B,MATCH(A5516,02_轉折點45個!A:A,0)),"")</f>
        <v/>
      </c>
      <c r="G5516" s="7" t="s">
        <v>5494</v>
      </c>
    </row>
    <row r="5517" customFormat="false" ht="15" hidden="false" customHeight="false" outlineLevel="0" collapsed="false">
      <c r="A5517" s="7" t="s">
        <v>1575</v>
      </c>
      <c r="B5517" s="7" t="n">
        <v>12455.33</v>
      </c>
      <c r="C5517" s="7" t="n">
        <f aca="false">AVERAGE(B5468:B5517)</f>
        <v>11676.0656</v>
      </c>
      <c r="D5517" s="7" t="n">
        <f aca="false">AVERAGE(B5318:B5517)</f>
        <v>10207.83015</v>
      </c>
      <c r="E5517" s="7" t="n">
        <f aca="false">B5517/MAX(B5266:B5517)-1</f>
        <v>0</v>
      </c>
      <c r="F5517" s="7" t="str">
        <f aca="false">IFERROR(INDEX(02_轉折點45個!B:B,MATCH(A5517,02_轉折點45個!A:A,0)),"")</f>
        <v/>
      </c>
      <c r="G5517" s="7" t="s">
        <v>5494</v>
      </c>
    </row>
    <row r="5518" customFormat="false" ht="15" hidden="false" customHeight="false" outlineLevel="0" collapsed="false">
      <c r="A5518" s="7" t="s">
        <v>1576</v>
      </c>
      <c r="B5518" s="7" t="n">
        <v>12456.41</v>
      </c>
      <c r="C5518" s="7" t="n">
        <f aca="false">AVERAGE(B5469:B5518)</f>
        <v>11701.4664</v>
      </c>
      <c r="D5518" s="7" t="n">
        <f aca="false">AVERAGE(B5319:B5518)</f>
        <v>10221.51855</v>
      </c>
      <c r="E5518" s="7" t="n">
        <f aca="false">B5518/MAX(B5267:B5518)-1</f>
        <v>0</v>
      </c>
      <c r="F5518" s="7" t="str">
        <f aca="false">IFERROR(INDEX(02_轉折點45個!B:B,MATCH(A5518,02_轉折點45個!A:A,0)),"")</f>
        <v/>
      </c>
      <c r="G5518" s="7" t="s">
        <v>5494</v>
      </c>
    </row>
    <row r="5519" customFormat="false" ht="15" hidden="false" customHeight="false" outlineLevel="0" collapsed="false">
      <c r="A5519" s="7" t="s">
        <v>1577</v>
      </c>
      <c r="B5519" s="7" t="n">
        <v>12467.13</v>
      </c>
      <c r="C5519" s="7" t="n">
        <f aca="false">AVERAGE(B5470:B5519)</f>
        <v>11734.1424</v>
      </c>
      <c r="D5519" s="7" t="n">
        <f aca="false">AVERAGE(B5320:B5519)</f>
        <v>10235.71505</v>
      </c>
      <c r="E5519" s="7" t="n">
        <f aca="false">B5519/MAX(B5268:B5519)-1</f>
        <v>0</v>
      </c>
      <c r="F5519" s="7" t="str">
        <f aca="false">IFERROR(INDEX(02_轉折點45個!B:B,MATCH(A5519,02_轉折點45個!A:A,0)),"")</f>
        <v/>
      </c>
      <c r="G5519" s="7" t="s">
        <v>5494</v>
      </c>
    </row>
    <row r="5520" customFormat="false" ht="15" hidden="false" customHeight="false" outlineLevel="0" collapsed="false">
      <c r="A5520" s="7" t="s">
        <v>1578</v>
      </c>
      <c r="B5520" s="7" t="n">
        <v>12528.48</v>
      </c>
      <c r="C5520" s="7" t="n">
        <f aca="false">AVERAGE(B5471:B5520)</f>
        <v>11766.7826</v>
      </c>
      <c r="D5520" s="7" t="n">
        <f aca="false">AVERAGE(B5321:B5520)</f>
        <v>10251.124</v>
      </c>
      <c r="E5520" s="7" t="n">
        <f aca="false">B5520/MAX(B5269:B5520)-1</f>
        <v>0</v>
      </c>
      <c r="F5520" s="7" t="str">
        <f aca="false">IFERROR(INDEX(02_轉折點45個!B:B,MATCH(A5520,02_轉折點45個!A:A,0)),"")</f>
        <v/>
      </c>
      <c r="G5520" s="7" t="s">
        <v>5494</v>
      </c>
    </row>
    <row r="5521" customFormat="false" ht="15" hidden="false" customHeight="false" outlineLevel="0" collapsed="false">
      <c r="A5521" s="7" t="s">
        <v>1579</v>
      </c>
      <c r="B5521" s="7" t="n">
        <v>12596.47</v>
      </c>
      <c r="C5521" s="7" t="n">
        <f aca="false">AVERAGE(B5472:B5521)</f>
        <v>11795.6894</v>
      </c>
      <c r="D5521" s="7" t="n">
        <f aca="false">AVERAGE(B5322:B5521)</f>
        <v>10268.7082</v>
      </c>
      <c r="E5521" s="7" t="n">
        <f aca="false">B5521/MAX(B5270:B5521)-1</f>
        <v>0</v>
      </c>
      <c r="F5521" s="7" t="str">
        <f aca="false">IFERROR(INDEX(02_轉折點45個!B:B,MATCH(A5521,02_轉折點45個!A:A,0)),"")</f>
        <v/>
      </c>
      <c r="G5521" s="7" t="s">
        <v>5494</v>
      </c>
    </row>
    <row r="5522" customFormat="false" ht="15" hidden="false" customHeight="false" outlineLevel="0" collapsed="false">
      <c r="A5522" s="7" t="s">
        <v>1580</v>
      </c>
      <c r="B5522" s="7" t="n">
        <v>12635.72</v>
      </c>
      <c r="C5522" s="7" t="n">
        <f aca="false">AVERAGE(B5473:B5522)</f>
        <v>11821.1148</v>
      </c>
      <c r="D5522" s="7" t="n">
        <f aca="false">AVERAGE(B5323:B5522)</f>
        <v>10287.71245</v>
      </c>
      <c r="E5522" s="7" t="n">
        <f aca="false">B5522/MAX(B5271:B5522)-1</f>
        <v>0</v>
      </c>
      <c r="F5522" s="7" t="str">
        <f aca="false">IFERROR(INDEX(02_轉折點45個!B:B,MATCH(A5522,02_轉折點45個!A:A,0)),"")</f>
        <v/>
      </c>
      <c r="G5522" s="7" t="s">
        <v>5494</v>
      </c>
    </row>
    <row r="5523" customFormat="false" ht="15" hidden="false" customHeight="false" outlineLevel="0" collapsed="false">
      <c r="A5523" s="7" t="s">
        <v>6292</v>
      </c>
      <c r="B5523" s="7" t="n">
        <v>12364.64</v>
      </c>
      <c r="C5523" s="7" t="n">
        <f aca="false">AVERAGE(B5474:B5523)</f>
        <v>11841.9486</v>
      </c>
      <c r="D5523" s="7" t="n">
        <f aca="false">AVERAGE(B5324:B5523)</f>
        <v>10305.16685</v>
      </c>
      <c r="E5523" s="7" t="n">
        <f aca="false">B5523/MAX(B5272:B5523)-1</f>
        <v>-0.0214534668384548</v>
      </c>
      <c r="F5523" s="7" t="str">
        <f aca="false">IFERROR(INDEX(02_轉折點45個!B:B,MATCH(A5523,02_轉折點45個!A:A,0)),"")</f>
        <v/>
      </c>
      <c r="G5523" s="7" t="s">
        <v>5494</v>
      </c>
    </row>
    <row r="5524" customFormat="false" ht="15" hidden="false" customHeight="false" outlineLevel="0" collapsed="false">
      <c r="A5524" s="7" t="s">
        <v>6293</v>
      </c>
      <c r="B5524" s="7" t="n">
        <v>12401.74</v>
      </c>
      <c r="C5524" s="7" t="n">
        <f aca="false">AVERAGE(B5475:B5524)</f>
        <v>11861.6222</v>
      </c>
      <c r="D5524" s="7" t="n">
        <f aca="false">AVERAGE(B5325:B5524)</f>
        <v>10324.9922</v>
      </c>
      <c r="E5524" s="7" t="n">
        <f aca="false">B5524/MAX(B5273:B5524)-1</f>
        <v>-0.0185173460633822</v>
      </c>
      <c r="F5524" s="7" t="str">
        <f aca="false">IFERROR(INDEX(02_轉折點45個!B:B,MATCH(A5524,02_轉折點45個!A:A,0)),"")</f>
        <v/>
      </c>
      <c r="G5524" s="7" t="s">
        <v>5494</v>
      </c>
    </row>
    <row r="5525" customFormat="false" ht="15" hidden="false" customHeight="false" outlineLevel="0" collapsed="false">
      <c r="A5525" s="7" t="s">
        <v>6294</v>
      </c>
      <c r="B5525" s="7" t="n">
        <v>12375.41</v>
      </c>
      <c r="C5525" s="7" t="n">
        <f aca="false">AVERAGE(B5476:B5525)</f>
        <v>11877.4664</v>
      </c>
      <c r="D5525" s="7" t="n">
        <f aca="false">AVERAGE(B5326:B5525)</f>
        <v>10344.5601</v>
      </c>
      <c r="E5525" s="7" t="n">
        <f aca="false">B5525/MAX(B5274:B5525)-1</f>
        <v>-0.020601121265745</v>
      </c>
      <c r="F5525" s="7" t="str">
        <f aca="false">IFERROR(INDEX(02_轉折點45個!B:B,MATCH(A5525,02_轉折點45個!A:A,0)),"")</f>
        <v/>
      </c>
      <c r="G5525" s="7" t="s">
        <v>5494</v>
      </c>
    </row>
    <row r="5526" customFormat="false" ht="15" hidden="false" customHeight="false" outlineLevel="0" collapsed="false">
      <c r="A5526" s="7" t="s">
        <v>1581</v>
      </c>
      <c r="B5526" s="7" t="n">
        <v>12462.21</v>
      </c>
      <c r="C5526" s="7" t="n">
        <f aca="false">AVERAGE(B5477:B5526)</f>
        <v>11901.5968</v>
      </c>
      <c r="D5526" s="7" t="n">
        <f aca="false">AVERAGE(B5327:B5526)</f>
        <v>10362.48125</v>
      </c>
      <c r="E5526" s="7" t="n">
        <f aca="false">B5526/MAX(B5275:B5526)-1</f>
        <v>-0.013731706622179</v>
      </c>
      <c r="F5526" s="7" t="str">
        <f aca="false">IFERROR(INDEX(02_轉折點45個!B:B,MATCH(A5526,02_轉折點45個!A:A,0)),"")</f>
        <v/>
      </c>
      <c r="G5526" s="7" t="s">
        <v>5494</v>
      </c>
    </row>
    <row r="5527" customFormat="false" ht="15" hidden="false" customHeight="false" outlineLevel="0" collapsed="false">
      <c r="A5527" s="7" t="s">
        <v>6295</v>
      </c>
      <c r="B5527" s="7" t="n">
        <v>12595.92</v>
      </c>
      <c r="C5527" s="7" t="n">
        <f aca="false">AVERAGE(B5478:B5527)</f>
        <v>11923.334</v>
      </c>
      <c r="D5527" s="7" t="n">
        <f aca="false">AVERAGE(B5328:B5527)</f>
        <v>10382.4884</v>
      </c>
      <c r="E5527" s="7" t="n">
        <f aca="false">B5527/MAX(B5276:B5527)-1</f>
        <v>-0.00314980072366267</v>
      </c>
      <c r="F5527" s="7" t="str">
        <f aca="false">IFERROR(INDEX(02_轉折點45個!B:B,MATCH(A5527,02_轉折點45個!A:A,0)),"")</f>
        <v/>
      </c>
      <c r="G5527" s="7" t="s">
        <v>5494</v>
      </c>
    </row>
    <row r="5528" customFormat="false" ht="15" hidden="false" customHeight="false" outlineLevel="0" collapsed="false">
      <c r="A5528" s="7" t="s">
        <v>6296</v>
      </c>
      <c r="B5528" s="7" t="n">
        <v>12668.16</v>
      </c>
      <c r="C5528" s="7" t="n">
        <f aca="false">AVERAGE(B5479:B5528)</f>
        <v>11950.8718</v>
      </c>
      <c r="D5528" s="7" t="n">
        <f aca="false">AVERAGE(B5329:B5528)</f>
        <v>10401.0828</v>
      </c>
      <c r="E5528" s="7" t="n">
        <f aca="false">B5528/MAX(B5277:B5528)-1</f>
        <v>0</v>
      </c>
      <c r="F5528" s="7" t="str">
        <f aca="false">IFERROR(INDEX(02_轉折點45個!B:B,MATCH(A5528,02_轉折點45個!A:A,0)),"")</f>
        <v/>
      </c>
      <c r="G5528" s="7" t="s">
        <v>5494</v>
      </c>
    </row>
    <row r="5529" customFormat="false" ht="15" hidden="false" customHeight="false" outlineLevel="0" collapsed="false">
      <c r="A5529" s="7" t="s">
        <v>6297</v>
      </c>
      <c r="B5529" s="7" t="n">
        <v>12752.06</v>
      </c>
      <c r="C5529" s="7" t="n">
        <f aca="false">AVERAGE(B5480:B5529)</f>
        <v>11975.8492</v>
      </c>
      <c r="D5529" s="7" t="n">
        <f aca="false">AVERAGE(B5330:B5529)</f>
        <v>10421.4848</v>
      </c>
      <c r="E5529" s="7" t="n">
        <f aca="false">B5529/MAX(B5278:B5529)-1</f>
        <v>0</v>
      </c>
      <c r="F5529" s="7" t="str">
        <f aca="false">IFERROR(INDEX(02_轉折點45個!B:B,MATCH(A5529,02_轉折點45個!A:A,0)),"")</f>
        <v/>
      </c>
      <c r="G5529" s="7" t="s">
        <v>5494</v>
      </c>
    </row>
    <row r="5530" customFormat="false" ht="15" hidden="false" customHeight="false" outlineLevel="0" collapsed="false">
      <c r="A5530" s="7" t="s">
        <v>6298</v>
      </c>
      <c r="B5530" s="7" t="n">
        <v>12738.18</v>
      </c>
      <c r="C5530" s="7" t="n">
        <f aca="false">AVERAGE(B5481:B5530)</f>
        <v>11999.594</v>
      </c>
      <c r="D5530" s="7" t="n">
        <f aca="false">AVERAGE(B5331:B5530)</f>
        <v>10442.524</v>
      </c>
      <c r="E5530" s="7" t="n">
        <f aca="false">B5530/MAX(B5279:B5530)-1</f>
        <v>-0.00108845159135063</v>
      </c>
      <c r="F5530" s="7" t="str">
        <f aca="false">IFERROR(INDEX(02_轉折點45個!B:B,MATCH(A5530,02_轉折點45個!A:A,0)),"")</f>
        <v/>
      </c>
      <c r="G5530" s="7" t="s">
        <v>5494</v>
      </c>
    </row>
    <row r="5531" customFormat="false" ht="15" hidden="false" customHeight="false" outlineLevel="0" collapsed="false">
      <c r="A5531" s="7" t="s">
        <v>6299</v>
      </c>
      <c r="B5531" s="7" t="n">
        <v>12690.26</v>
      </c>
      <c r="C5531" s="7" t="n">
        <f aca="false">AVERAGE(B5482:B5531)</f>
        <v>12018.8822</v>
      </c>
      <c r="D5531" s="7" t="n">
        <f aca="false">AVERAGE(B5332:B5531)</f>
        <v>10466.23515</v>
      </c>
      <c r="E5531" s="7" t="n">
        <f aca="false">B5531/MAX(B5280:B5531)-1</f>
        <v>-0.00484627581739727</v>
      </c>
      <c r="F5531" s="7" t="str">
        <f aca="false">IFERROR(INDEX(02_轉折點45個!B:B,MATCH(A5531,02_轉折點45個!A:A,0)),"")</f>
        <v/>
      </c>
      <c r="G5531" s="7" t="s">
        <v>5494</v>
      </c>
    </row>
    <row r="5532" customFormat="false" ht="15" hidden="false" customHeight="false" outlineLevel="0" collapsed="false">
      <c r="A5532" s="7" t="s">
        <v>6300</v>
      </c>
      <c r="B5532" s="7" t="n">
        <v>12717.56</v>
      </c>
      <c r="C5532" s="7" t="n">
        <f aca="false">AVERAGE(B5483:B5532)</f>
        <v>12031.4712</v>
      </c>
      <c r="D5532" s="7" t="n">
        <f aca="false">AVERAGE(B5333:B5532)</f>
        <v>10487.9616</v>
      </c>
      <c r="E5532" s="7" t="n">
        <f aca="false">B5532/MAX(B5281:B5532)-1</f>
        <v>-0.00270544523786742</v>
      </c>
      <c r="F5532" s="7" t="str">
        <f aca="false">IFERROR(INDEX(02_轉折點45個!B:B,MATCH(A5532,02_轉折點45個!A:A,0)),"")</f>
        <v/>
      </c>
      <c r="G5532" s="7" t="s">
        <v>5494</v>
      </c>
    </row>
    <row r="5533" customFormat="false" ht="15" hidden="false" customHeight="false" outlineLevel="0" collapsed="false">
      <c r="A5533" s="7" t="s">
        <v>6301</v>
      </c>
      <c r="B5533" s="7" t="n">
        <v>12653.14</v>
      </c>
      <c r="C5533" s="7" t="n">
        <f aca="false">AVERAGE(B5484:B5533)</f>
        <v>12042.8706</v>
      </c>
      <c r="D5533" s="7" t="n">
        <f aca="false">AVERAGE(B5334:B5533)</f>
        <v>10511.1967</v>
      </c>
      <c r="E5533" s="7" t="n">
        <f aca="false">B5533/MAX(B5282:B5533)-1</f>
        <v>-0.00775717805593768</v>
      </c>
      <c r="F5533" s="7" t="str">
        <f aca="false">IFERROR(INDEX(02_轉折點45個!B:B,MATCH(A5533,02_轉折點45個!A:A,0)),"")</f>
        <v/>
      </c>
      <c r="G5533" s="7" t="s">
        <v>5494</v>
      </c>
    </row>
    <row r="5534" customFormat="false" ht="15" hidden="false" customHeight="false" outlineLevel="0" collapsed="false">
      <c r="A5534" s="7" t="s">
        <v>6302</v>
      </c>
      <c r="B5534" s="7" t="n">
        <v>12711.01</v>
      </c>
      <c r="C5534" s="7" t="n">
        <f aca="false">AVERAGE(B5485:B5534)</f>
        <v>12057.3836</v>
      </c>
      <c r="D5534" s="7" t="n">
        <f aca="false">AVERAGE(B5335:B5534)</f>
        <v>10538.4335</v>
      </c>
      <c r="E5534" s="7" t="n">
        <f aca="false">B5534/MAX(B5283:B5534)-1</f>
        <v>-0.00321908773954949</v>
      </c>
      <c r="F5534" s="7" t="str">
        <f aca="false">IFERROR(INDEX(02_轉折點45個!B:B,MATCH(A5534,02_轉折點45個!A:A,0)),"")</f>
        <v/>
      </c>
      <c r="G5534" s="7" t="s">
        <v>5494</v>
      </c>
    </row>
    <row r="5535" customFormat="false" ht="15" hidden="false" customHeight="false" outlineLevel="0" collapsed="false">
      <c r="A5535" s="7" t="s">
        <v>1582</v>
      </c>
      <c r="B5535" s="7" t="n">
        <v>12838.86</v>
      </c>
      <c r="C5535" s="7" t="n">
        <f aca="false">AVERAGE(B5486:B5535)</f>
        <v>12076.1894</v>
      </c>
      <c r="D5535" s="7" t="n">
        <f aca="false">AVERAGE(B5336:B5535)</f>
        <v>10562.6515</v>
      </c>
      <c r="E5535" s="7" t="n">
        <f aca="false">B5535/MAX(B5284:B5535)-1</f>
        <v>0</v>
      </c>
      <c r="F5535" s="7" t="str">
        <f aca="false">IFERROR(INDEX(02_轉折點45個!B:B,MATCH(A5535,02_轉折點45個!A:A,0)),"")</f>
        <v/>
      </c>
      <c r="G5535" s="7" t="s">
        <v>5494</v>
      </c>
    </row>
    <row r="5536" customFormat="false" ht="15" hidden="false" customHeight="false" outlineLevel="0" collapsed="false">
      <c r="A5536" s="7" t="s">
        <v>1583</v>
      </c>
      <c r="B5536" s="7" t="n">
        <v>12843.49</v>
      </c>
      <c r="C5536" s="7" t="n">
        <f aca="false">AVERAGE(B5487:B5536)</f>
        <v>12096.0158</v>
      </c>
      <c r="D5536" s="7" t="n">
        <f aca="false">AVERAGE(B5337:B5536)</f>
        <v>10591.76705</v>
      </c>
      <c r="E5536" s="7" t="n">
        <f aca="false">B5536/MAX(B5285:B5536)-1</f>
        <v>0</v>
      </c>
      <c r="F5536" s="7" t="str">
        <f aca="false">IFERROR(INDEX(02_轉折點45個!B:B,MATCH(A5536,02_轉折點45個!A:A,0)),"")</f>
        <v/>
      </c>
      <c r="G5536" s="7" t="s">
        <v>5494</v>
      </c>
    </row>
    <row r="5537" customFormat="false" ht="15" hidden="false" customHeight="false" outlineLevel="0" collapsed="false">
      <c r="A5537" s="7" t="s">
        <v>1584</v>
      </c>
      <c r="B5537" s="7" t="n">
        <v>12845.36</v>
      </c>
      <c r="C5537" s="7" t="n">
        <f aca="false">AVERAGE(B5488:B5537)</f>
        <v>12120.236</v>
      </c>
      <c r="D5537" s="7" t="n">
        <f aca="false">AVERAGE(B5338:B5537)</f>
        <v>10618.6241</v>
      </c>
      <c r="E5537" s="7" t="n">
        <f aca="false">B5537/MAX(B5286:B5537)-1</f>
        <v>0</v>
      </c>
      <c r="F5537" s="7" t="str">
        <f aca="false">IFERROR(INDEX(02_轉折點45個!B:B,MATCH(A5537,02_轉折點45個!A:A,0)),"")</f>
        <v/>
      </c>
      <c r="G5537" s="7" t="s">
        <v>5494</v>
      </c>
    </row>
    <row r="5538" customFormat="false" ht="15" hidden="false" customHeight="false" outlineLevel="0" collapsed="false">
      <c r="A5538" s="7" t="s">
        <v>6303</v>
      </c>
      <c r="B5538" s="7" t="n">
        <v>12888.28</v>
      </c>
      <c r="C5538" s="7" t="n">
        <f aca="false">AVERAGE(B5489:B5538)</f>
        <v>12144.4448</v>
      </c>
      <c r="D5538" s="7" t="n">
        <f aca="false">AVERAGE(B5339:B5538)</f>
        <v>10647.1896</v>
      </c>
      <c r="E5538" s="7" t="n">
        <f aca="false">B5538/MAX(B5287:B5538)-1</f>
        <v>0</v>
      </c>
      <c r="F5538" s="7" t="str">
        <f aca="false">IFERROR(INDEX(02_轉折點45個!B:B,MATCH(A5538,02_轉折點45個!A:A,0)),"")</f>
        <v/>
      </c>
      <c r="G5538" s="7" t="s">
        <v>5494</v>
      </c>
    </row>
    <row r="5539" customFormat="false" ht="15" hidden="false" customHeight="false" outlineLevel="0" collapsed="false">
      <c r="A5539" s="7" t="s">
        <v>6304</v>
      </c>
      <c r="B5539" s="7" t="n">
        <v>12694.66</v>
      </c>
      <c r="C5539" s="7" t="n">
        <f aca="false">AVERAGE(B5490:B5539)</f>
        <v>12165.0306</v>
      </c>
      <c r="D5539" s="7" t="n">
        <f aca="false">AVERAGE(B5340:B5539)</f>
        <v>10674.2203</v>
      </c>
      <c r="E5539" s="7" t="n">
        <f aca="false">B5539/MAX(B5288:B5539)-1</f>
        <v>-0.0150229510842409</v>
      </c>
      <c r="F5539" s="7" t="str">
        <f aca="false">IFERROR(INDEX(02_轉折點45個!B:B,MATCH(A5539,02_轉折點45個!A:A,0)),"")</f>
        <v/>
      </c>
      <c r="G5539" s="7" t="s">
        <v>5494</v>
      </c>
    </row>
    <row r="5540" customFormat="false" ht="15" hidden="false" customHeight="false" outlineLevel="0" collapsed="false">
      <c r="A5540" s="7" t="s">
        <v>1585</v>
      </c>
      <c r="B5540" s="7" t="n">
        <v>12802.38</v>
      </c>
      <c r="C5540" s="7" t="n">
        <f aca="false">AVERAGE(B5491:B5540)</f>
        <v>12187.82</v>
      </c>
      <c r="D5540" s="7" t="n">
        <f aca="false">AVERAGE(B5341:B5540)</f>
        <v>10703.26075</v>
      </c>
      <c r="E5540" s="7" t="n">
        <f aca="false">B5540/MAX(B5289:B5540)-1</f>
        <v>-0.00666497003479138</v>
      </c>
      <c r="F5540" s="7" t="str">
        <f aca="false">IFERROR(INDEX(02_轉折點45個!B:B,MATCH(A5540,02_轉折點45個!A:A,0)),"")</f>
        <v/>
      </c>
      <c r="G5540" s="7" t="s">
        <v>5494</v>
      </c>
    </row>
    <row r="5541" customFormat="false" ht="15" hidden="false" customHeight="false" outlineLevel="0" collapsed="false">
      <c r="A5541" s="7" t="s">
        <v>6305</v>
      </c>
      <c r="B5541" s="7" t="n">
        <v>12623.35</v>
      </c>
      <c r="C5541" s="7" t="n">
        <f aca="false">AVERAGE(B5492:B5541)</f>
        <v>12206.4356</v>
      </c>
      <c r="D5541" s="7" t="n">
        <f aca="false">AVERAGE(B5342:B5541)</f>
        <v>10731.3429</v>
      </c>
      <c r="E5541" s="7" t="n">
        <f aca="false">B5541/MAX(B5290:B5541)-1</f>
        <v>-0.0205558848814582</v>
      </c>
      <c r="F5541" s="7" t="str">
        <f aca="false">IFERROR(INDEX(02_轉折點45個!B:B,MATCH(A5541,02_轉折點45個!A:A,0)),"")</f>
        <v/>
      </c>
      <c r="G5541" s="7" t="s">
        <v>5494</v>
      </c>
    </row>
    <row r="5542" customFormat="false" ht="15" hidden="false" customHeight="false" outlineLevel="0" collapsed="false">
      <c r="A5542" s="7" t="s">
        <v>1586</v>
      </c>
      <c r="B5542" s="7" t="n">
        <v>12939.57</v>
      </c>
      <c r="C5542" s="7" t="n">
        <f aca="false">AVERAGE(B5493:B5542)</f>
        <v>12235.1366</v>
      </c>
      <c r="D5542" s="7" t="n">
        <f aca="false">AVERAGE(B5343:B5542)</f>
        <v>10758.2716</v>
      </c>
      <c r="E5542" s="7" t="n">
        <f aca="false">B5542/MAX(B5291:B5542)-1</f>
        <v>0</v>
      </c>
      <c r="F5542" s="7" t="str">
        <f aca="false">IFERROR(INDEX(02_轉折點45個!B:B,MATCH(A5542,02_轉折點45個!A:A,0)),"")</f>
        <v/>
      </c>
      <c r="G5542" s="7" t="s">
        <v>5494</v>
      </c>
    </row>
    <row r="5543" customFormat="false" ht="15" hidden="false" customHeight="false" outlineLevel="0" collapsed="false">
      <c r="A5543" s="7" t="s">
        <v>6306</v>
      </c>
      <c r="B5543" s="7" t="n">
        <v>13105.2</v>
      </c>
      <c r="C5543" s="7" t="n">
        <f aca="false">AVERAGE(B5494:B5543)</f>
        <v>12265.2616</v>
      </c>
      <c r="D5543" s="7" t="n">
        <f aca="false">AVERAGE(B5344:B5543)</f>
        <v>10786.4495</v>
      </c>
      <c r="E5543" s="7" t="n">
        <f aca="false">B5543/MAX(B5292:B5543)-1</f>
        <v>0</v>
      </c>
      <c r="F5543" s="7" t="str">
        <f aca="false">IFERROR(INDEX(02_轉折點45個!B:B,MATCH(A5543,02_轉折點45個!A:A,0)),"")</f>
        <v/>
      </c>
      <c r="G5543" s="7" t="s">
        <v>5494</v>
      </c>
    </row>
    <row r="5544" customFormat="false" ht="15" hidden="false" customHeight="false" outlineLevel="0" collapsed="false">
      <c r="A5544" s="7" t="s">
        <v>6307</v>
      </c>
      <c r="B5544" s="7" t="n">
        <v>12902.49</v>
      </c>
      <c r="C5544" s="7" t="n">
        <f aca="false">AVERAGE(B5495:B5544)</f>
        <v>12300.4562</v>
      </c>
      <c r="D5544" s="7" t="n">
        <f aca="false">AVERAGE(B5345:B5544)</f>
        <v>10811.4763</v>
      </c>
      <c r="E5544" s="7" t="n">
        <f aca="false">B5544/MAX(B5293:B5544)-1</f>
        <v>-0.0154679058694259</v>
      </c>
      <c r="F5544" s="7" t="str">
        <f aca="false">IFERROR(INDEX(02_轉折點45個!B:B,MATCH(A5544,02_轉折點45個!A:A,0)),"")</f>
        <v/>
      </c>
      <c r="G5544" s="7" t="s">
        <v>5494</v>
      </c>
    </row>
    <row r="5545" customFormat="false" ht="15" hidden="false" customHeight="false" outlineLevel="0" collapsed="false">
      <c r="A5545" s="7" t="s">
        <v>6308</v>
      </c>
      <c r="B5545" s="7" t="n">
        <v>12892.09</v>
      </c>
      <c r="C5545" s="7" t="n">
        <f aca="false">AVERAGE(B5496:B5545)</f>
        <v>12331.2832</v>
      </c>
      <c r="D5545" s="7" t="n">
        <f aca="false">AVERAGE(B5346:B5545)</f>
        <v>10837.9949</v>
      </c>
      <c r="E5545" s="7" t="n">
        <f aca="false">B5545/MAX(B5294:B5545)-1</f>
        <v>-0.0162614839910875</v>
      </c>
      <c r="F5545" s="7" t="str">
        <f aca="false">IFERROR(INDEX(02_轉折點45個!B:B,MATCH(A5545,02_轉折點45個!A:A,0)),"")</f>
        <v/>
      </c>
      <c r="G5545" s="7" t="s">
        <v>5494</v>
      </c>
    </row>
    <row r="5546" customFormat="false" ht="15" hidden="false" customHeight="false" outlineLevel="0" collapsed="false">
      <c r="A5546" s="7" t="s">
        <v>6309</v>
      </c>
      <c r="B5546" s="7" t="n">
        <v>12973.63</v>
      </c>
      <c r="C5546" s="7" t="n">
        <f aca="false">AVERAGE(B5497:B5546)</f>
        <v>12369.6968</v>
      </c>
      <c r="D5546" s="7" t="n">
        <f aca="false">AVERAGE(B5347:B5546)</f>
        <v>10863.418</v>
      </c>
      <c r="E5546" s="7" t="n">
        <f aca="false">B5546/MAX(B5295:B5546)-1</f>
        <v>-0.010039526294906</v>
      </c>
      <c r="F5546" s="7" t="str">
        <f aca="false">IFERROR(INDEX(02_轉折點45個!B:B,MATCH(A5546,02_轉折點45個!A:A,0)),"")</f>
        <v/>
      </c>
      <c r="G5546" s="7" t="s">
        <v>5494</v>
      </c>
    </row>
    <row r="5547" customFormat="false" ht="15" hidden="false" customHeight="false" outlineLevel="0" collapsed="false">
      <c r="A5547" s="7" t="s">
        <v>6310</v>
      </c>
      <c r="B5547" s="7" t="n">
        <v>12898.69</v>
      </c>
      <c r="C5547" s="7" t="n">
        <f aca="false">AVERAGE(B5498:B5547)</f>
        <v>12405.9754</v>
      </c>
      <c r="D5547" s="7" t="n">
        <f aca="false">AVERAGE(B5348:B5547)</f>
        <v>10888.84395</v>
      </c>
      <c r="E5547" s="7" t="n">
        <f aca="false">B5547/MAX(B5296:B5547)-1</f>
        <v>-0.0157578671061869</v>
      </c>
      <c r="F5547" s="7" t="str">
        <f aca="false">IFERROR(INDEX(02_轉折點45個!B:B,MATCH(A5547,02_轉折點45個!A:A,0)),"")</f>
        <v/>
      </c>
      <c r="G5547" s="7" t="s">
        <v>5494</v>
      </c>
    </row>
    <row r="5548" customFormat="false" ht="15" hidden="false" customHeight="false" outlineLevel="0" collapsed="false">
      <c r="A5548" s="7" t="s">
        <v>6311</v>
      </c>
      <c r="B5548" s="7" t="n">
        <v>12803.93</v>
      </c>
      <c r="C5548" s="7" t="n">
        <f aca="false">AVERAGE(B5499:B5548)</f>
        <v>12436.4558</v>
      </c>
      <c r="D5548" s="7" t="n">
        <f aca="false">AVERAGE(B5349:B5548)</f>
        <v>10915.43215</v>
      </c>
      <c r="E5548" s="7" t="n">
        <f aca="false">B5548/MAX(B5297:B5548)-1</f>
        <v>-0.0229885846839423</v>
      </c>
      <c r="F5548" s="7" t="str">
        <f aca="false">IFERROR(INDEX(02_轉折點45個!B:B,MATCH(A5548,02_轉折點45個!A:A,0)),"")</f>
        <v/>
      </c>
      <c r="G5548" s="7" t="s">
        <v>5494</v>
      </c>
    </row>
    <row r="5549" customFormat="false" ht="15" hidden="false" customHeight="false" outlineLevel="0" collapsed="false">
      <c r="A5549" s="7" t="s">
        <v>6312</v>
      </c>
      <c r="B5549" s="7" t="n">
        <v>12996.54</v>
      </c>
      <c r="C5549" s="7" t="n">
        <f aca="false">AVERAGE(B5500:B5549)</f>
        <v>12460.8462</v>
      </c>
      <c r="D5549" s="7" t="n">
        <f aca="false">AVERAGE(B5350:B5549)</f>
        <v>10942.23655</v>
      </c>
      <c r="E5549" s="7" t="n">
        <f aca="false">B5549/MAX(B5298:B5549)-1</f>
        <v>-0.00829136525959162</v>
      </c>
      <c r="F5549" s="7" t="str">
        <f aca="false">IFERROR(INDEX(02_轉折點45個!B:B,MATCH(A5549,02_轉折點45個!A:A,0)),"")</f>
        <v/>
      </c>
      <c r="G5549" s="7" t="s">
        <v>5494</v>
      </c>
    </row>
    <row r="5550" customFormat="false" ht="15" hidden="false" customHeight="false" outlineLevel="0" collapsed="false">
      <c r="A5550" s="7" t="s">
        <v>1587</v>
      </c>
      <c r="B5550" s="7" t="n">
        <v>13296.45</v>
      </c>
      <c r="C5550" s="7" t="n">
        <f aca="false">AVERAGE(B5501:B5550)</f>
        <v>12485.2138</v>
      </c>
      <c r="D5550" s="7" t="n">
        <f aca="false">AVERAGE(B5351:B5550)</f>
        <v>10971.07825</v>
      </c>
      <c r="E5550" s="7" t="n">
        <f aca="false">B5550/MAX(B5299:B5550)-1</f>
        <v>0</v>
      </c>
      <c r="F5550" s="7" t="str">
        <f aca="false">IFERROR(INDEX(02_轉折點45個!B:B,MATCH(A5550,02_轉折點45個!A:A,0)),"")</f>
        <v/>
      </c>
      <c r="G5550" s="7" t="s">
        <v>5494</v>
      </c>
    </row>
    <row r="5551" customFormat="false" ht="15" hidden="false" customHeight="false" outlineLevel="0" collapsed="false">
      <c r="A5551" s="7" t="s">
        <v>6313</v>
      </c>
      <c r="B5551" s="7" t="n">
        <v>13404.99</v>
      </c>
      <c r="C5551" s="7" t="n">
        <f aca="false">AVERAGE(B5502:B5551)</f>
        <v>12511.4866</v>
      </c>
      <c r="D5551" s="7" t="n">
        <f aca="false">AVERAGE(B5352:B5551)</f>
        <v>10997.6949</v>
      </c>
      <c r="E5551" s="7" t="n">
        <f aca="false">B5551/MAX(B5300:B5551)-1</f>
        <v>0</v>
      </c>
      <c r="F5551" s="7" t="str">
        <f aca="false">IFERROR(INDEX(02_轉折點45個!B:B,MATCH(A5551,02_轉折點45個!A:A,0)),"")</f>
        <v/>
      </c>
      <c r="G5551" s="7" t="s">
        <v>5494</v>
      </c>
    </row>
    <row r="5552" customFormat="false" ht="15" hidden="false" customHeight="false" outlineLevel="0" collapsed="false">
      <c r="A5552" s="7" t="s">
        <v>6314</v>
      </c>
      <c r="B5552" s="7" t="n">
        <v>13366.4</v>
      </c>
      <c r="C5552" s="7" t="n">
        <f aca="false">AVERAGE(B5503:B5552)</f>
        <v>12542.2068</v>
      </c>
      <c r="D5552" s="7" t="n">
        <f aca="false">AVERAGE(B5353:B5552)</f>
        <v>11024.28035</v>
      </c>
      <c r="E5552" s="7" t="n">
        <f aca="false">B5552/MAX(B5301:B5552)-1</f>
        <v>-0.00287877872344555</v>
      </c>
      <c r="F5552" s="7" t="str">
        <f aca="false">IFERROR(INDEX(02_轉折點45個!B:B,MATCH(A5552,02_轉折點45個!A:A,0)),"")</f>
        <v/>
      </c>
      <c r="G5552" s="7" t="s">
        <v>5494</v>
      </c>
    </row>
    <row r="5553" customFormat="false" ht="15" hidden="false" customHeight="false" outlineLevel="0" collapsed="false">
      <c r="A5553" s="7" t="s">
        <v>6315</v>
      </c>
      <c r="B5553" s="7" t="n">
        <v>13483.29</v>
      </c>
      <c r="C5553" s="7" t="n">
        <f aca="false">AVERAGE(B5504:B5553)</f>
        <v>12579.3868</v>
      </c>
      <c r="D5553" s="7" t="n">
        <f aca="false">AVERAGE(B5354:B5553)</f>
        <v>11050.5491</v>
      </c>
      <c r="E5553" s="7" t="n">
        <f aca="false">B5553/MAX(B5302:B5553)-1</f>
        <v>0</v>
      </c>
      <c r="F5553" s="7" t="str">
        <f aca="false">IFERROR(INDEX(02_轉折點45個!B:B,MATCH(A5553,02_轉折點45個!A:A,0)),"")</f>
        <v/>
      </c>
      <c r="G5553" s="7" t="s">
        <v>5494</v>
      </c>
    </row>
    <row r="5554" customFormat="false" ht="15" hidden="false" customHeight="false" outlineLevel="0" collapsed="false">
      <c r="A5554" s="7" t="s">
        <v>6316</v>
      </c>
      <c r="B5554" s="7" t="n">
        <v>13490.19</v>
      </c>
      <c r="C5554" s="7" t="n">
        <f aca="false">AVERAGE(B5505:B5554)</f>
        <v>12611.332</v>
      </c>
      <c r="D5554" s="7" t="n">
        <f aca="false">AVERAGE(B5355:B5554)</f>
        <v>11076.8074</v>
      </c>
      <c r="E5554" s="7" t="n">
        <f aca="false">B5554/MAX(B5303:B5554)-1</f>
        <v>0</v>
      </c>
      <c r="F5554" s="7" t="str">
        <f aca="false">IFERROR(INDEX(02_轉折點45個!B:B,MATCH(A5554,02_轉折點45個!A:A,0)),"")</f>
        <v/>
      </c>
      <c r="G5554" s="7" t="s">
        <v>5494</v>
      </c>
    </row>
    <row r="5555" customFormat="false" ht="15" hidden="false" customHeight="false" outlineLevel="0" collapsed="false">
      <c r="A5555" s="7" t="s">
        <v>6317</v>
      </c>
      <c r="B5555" s="7" t="n">
        <v>13112.65</v>
      </c>
      <c r="C5555" s="7" t="n">
        <f aca="false">AVERAGE(B5506:B5555)</f>
        <v>12637.0422</v>
      </c>
      <c r="D5555" s="7" t="n">
        <f aca="false">AVERAGE(B5356:B5555)</f>
        <v>11100.70695</v>
      </c>
      <c r="E5555" s="7" t="n">
        <f aca="false">B5555/MAX(B5304:B5555)-1</f>
        <v>-0.0279862626100893</v>
      </c>
      <c r="F5555" s="7" t="str">
        <f aca="false">IFERROR(INDEX(02_轉折點45個!B:B,MATCH(A5555,02_轉折點45個!A:A,0)),"")</f>
        <v/>
      </c>
      <c r="G5555" s="7" t="s">
        <v>5494</v>
      </c>
    </row>
    <row r="5556" customFormat="false" ht="15" hidden="false" customHeight="false" outlineLevel="0" collapsed="false">
      <c r="A5556" s="7" t="s">
        <v>1588</v>
      </c>
      <c r="B5556" s="7" t="n">
        <v>13201.53</v>
      </c>
      <c r="C5556" s="7" t="n">
        <f aca="false">AVERAGE(B5507:B5556)</f>
        <v>12662.316</v>
      </c>
      <c r="D5556" s="7" t="n">
        <f aca="false">AVERAGE(B5357:B5556)</f>
        <v>11123.2538</v>
      </c>
      <c r="E5556" s="7" t="n">
        <f aca="false">B5556/MAX(B5305:B5556)-1</f>
        <v>-0.0213977712693446</v>
      </c>
      <c r="F5556" s="7" t="str">
        <f aca="false">IFERROR(INDEX(02_轉折點45個!B:B,MATCH(A5556,02_轉折點45個!A:A,0)),"")</f>
        <v/>
      </c>
      <c r="G5556" s="7" t="s">
        <v>5494</v>
      </c>
    </row>
    <row r="5557" customFormat="false" ht="15" hidden="false" customHeight="false" outlineLevel="0" collapsed="false">
      <c r="A5557" s="7" t="s">
        <v>1589</v>
      </c>
      <c r="B5557" s="7" t="n">
        <v>12925.38</v>
      </c>
      <c r="C5557" s="7" t="n">
        <f aca="false">AVERAGE(B5508:B5557)</f>
        <v>12680.556</v>
      </c>
      <c r="D5557" s="7" t="n">
        <f aca="false">AVERAGE(B5358:B5557)</f>
        <v>11144.9209</v>
      </c>
      <c r="E5557" s="7" t="n">
        <f aca="false">B5557/MAX(B5306:B5557)-1</f>
        <v>-0.0418682020045679</v>
      </c>
      <c r="F5557" s="7" t="str">
        <f aca="false">IFERROR(INDEX(02_轉折點45個!B:B,MATCH(A5557,02_轉折點45個!A:A,0)),"")</f>
        <v/>
      </c>
      <c r="G5557" s="7" t="s">
        <v>5494</v>
      </c>
    </row>
    <row r="5558" customFormat="false" ht="15" hidden="false" customHeight="false" outlineLevel="0" collapsed="false">
      <c r="A5558" s="7" t="s">
        <v>1590</v>
      </c>
      <c r="B5558" s="7" t="n">
        <v>13248.9</v>
      </c>
      <c r="C5558" s="7" t="n">
        <f aca="false">AVERAGE(B5509:B5558)</f>
        <v>12705.9842</v>
      </c>
      <c r="D5558" s="7" t="n">
        <f aca="false">AVERAGE(B5359:B5558)</f>
        <v>11167.37625</v>
      </c>
      <c r="E5558" s="7" t="n">
        <f aca="false">B5558/MAX(B5307:B5558)-1</f>
        <v>-0.0178863307336665</v>
      </c>
      <c r="F5558" s="7" t="str">
        <f aca="false">IFERROR(INDEX(02_轉折點45個!B:B,MATCH(A5558,02_轉折點45個!A:A,0)),"")</f>
        <v/>
      </c>
      <c r="G5558" s="7" t="s">
        <v>5494</v>
      </c>
    </row>
    <row r="5559" customFormat="false" ht="15" hidden="false" customHeight="false" outlineLevel="0" collapsed="false">
      <c r="A5559" s="7" t="s">
        <v>6318</v>
      </c>
      <c r="B5559" s="7" t="n">
        <v>13456.12</v>
      </c>
      <c r="C5559" s="7" t="n">
        <f aca="false">AVERAGE(B5510:B5559)</f>
        <v>12737.2124</v>
      </c>
      <c r="D5559" s="7" t="n">
        <f aca="false">AVERAGE(B5360:B5559)</f>
        <v>11190.4948</v>
      </c>
      <c r="E5559" s="7" t="n">
        <f aca="false">B5559/MAX(B5308:B5559)-1</f>
        <v>-0.00252553892865848</v>
      </c>
      <c r="F5559" s="7" t="str">
        <f aca="false">IFERROR(INDEX(02_轉折點45個!B:B,MATCH(A5559,02_轉折點45個!A:A,0)),"")</f>
        <v/>
      </c>
      <c r="G5559" s="7" t="s">
        <v>5494</v>
      </c>
    </row>
    <row r="5560" customFormat="false" ht="15" hidden="false" customHeight="false" outlineLevel="0" collapsed="false">
      <c r="A5560" s="7" t="s">
        <v>6319</v>
      </c>
      <c r="B5560" s="7" t="n">
        <v>13402.37</v>
      </c>
      <c r="C5560" s="7" t="n">
        <f aca="false">AVERAGE(B5511:B5560)</f>
        <v>12765.5512</v>
      </c>
      <c r="D5560" s="7" t="n">
        <f aca="false">AVERAGE(B5361:B5560)</f>
        <v>11213.8741</v>
      </c>
      <c r="E5560" s="7" t="n">
        <f aca="false">B5560/MAX(B5309:B5560)-1</f>
        <v>-0.00650991572394455</v>
      </c>
      <c r="F5560" s="7" t="str">
        <f aca="false">IFERROR(INDEX(02_轉折點45個!B:B,MATCH(A5560,02_轉折點45個!A:A,0)),"")</f>
        <v/>
      </c>
      <c r="G5560" s="7" t="s">
        <v>5494</v>
      </c>
    </row>
    <row r="5561" customFormat="false" ht="15" hidden="false" customHeight="false" outlineLevel="0" collapsed="false">
      <c r="A5561" s="7" t="s">
        <v>1591</v>
      </c>
      <c r="B5561" s="7" t="n">
        <v>13560.89</v>
      </c>
      <c r="C5561" s="7" t="n">
        <f aca="false">AVERAGE(B5512:B5561)</f>
        <v>12798.6402</v>
      </c>
      <c r="D5561" s="7" t="n">
        <f aca="false">AVERAGE(B5362:B5561)</f>
        <v>11239.66355</v>
      </c>
      <c r="E5561" s="7" t="n">
        <f aca="false">B5561/MAX(B5310:B5561)-1</f>
        <v>0</v>
      </c>
      <c r="F5561" s="7" t="str">
        <f aca="false">IFERROR(INDEX(02_轉折點45個!B:B,MATCH(A5561,02_轉折點45個!A:A,0)),"")</f>
        <v/>
      </c>
      <c r="G5561" s="7" t="s">
        <v>5494</v>
      </c>
    </row>
    <row r="5562" customFormat="false" ht="15" hidden="false" customHeight="false" outlineLevel="0" collapsed="false">
      <c r="A5562" s="7" t="s">
        <v>1592</v>
      </c>
      <c r="B5562" s="7" t="n">
        <v>13603.96</v>
      </c>
      <c r="C5562" s="7" t="n">
        <f aca="false">AVERAGE(B5513:B5562)</f>
        <v>12832.6006</v>
      </c>
      <c r="D5562" s="7" t="n">
        <f aca="false">AVERAGE(B5363:B5562)</f>
        <v>11264.36015</v>
      </c>
      <c r="E5562" s="7" t="n">
        <f aca="false">B5562/MAX(B5311:B5562)-1</f>
        <v>0</v>
      </c>
      <c r="F5562" s="7" t="str">
        <f aca="false">IFERROR(INDEX(02_轉折點45個!B:B,MATCH(A5562,02_轉折點45個!A:A,0)),"")</f>
        <v/>
      </c>
      <c r="G5562" s="7" t="s">
        <v>5494</v>
      </c>
    </row>
    <row r="5563" customFormat="false" ht="15" hidden="false" customHeight="false" outlineLevel="0" collapsed="false">
      <c r="A5563" s="7" t="s">
        <v>1593</v>
      </c>
      <c r="B5563" s="7" t="n">
        <v>13695.02</v>
      </c>
      <c r="C5563" s="7" t="n">
        <f aca="false">AVERAGE(B5514:B5563)</f>
        <v>12864.9048</v>
      </c>
      <c r="D5563" s="7" t="n">
        <f aca="false">AVERAGE(B5364:B5563)</f>
        <v>11289.62775</v>
      </c>
      <c r="E5563" s="7" t="n">
        <f aca="false">B5563/MAX(B5312:B5563)-1</f>
        <v>0</v>
      </c>
      <c r="F5563" s="7" t="str">
        <f aca="false">IFERROR(INDEX(02_轉折點45個!B:B,MATCH(A5563,02_轉折點45個!A:A,0)),"")</f>
        <v/>
      </c>
      <c r="G5563" s="7" t="s">
        <v>5494</v>
      </c>
    </row>
    <row r="5564" customFormat="false" ht="15" hidden="false" customHeight="false" outlineLevel="0" collapsed="false">
      <c r="A5564" s="7" t="s">
        <v>6320</v>
      </c>
      <c r="B5564" s="7" t="n">
        <v>13687.08</v>
      </c>
      <c r="C5564" s="7" t="n">
        <f aca="false">AVERAGE(B5515:B5564)</f>
        <v>12895.602</v>
      </c>
      <c r="D5564" s="7" t="n">
        <f aca="false">AVERAGE(B5365:B5564)</f>
        <v>11314.13015</v>
      </c>
      <c r="E5564" s="7" t="n">
        <f aca="false">B5564/MAX(B5313:B5564)-1</f>
        <v>-0.000579772793321998</v>
      </c>
      <c r="F5564" s="7" t="str">
        <f aca="false">IFERROR(INDEX(02_轉折點45個!B:B,MATCH(A5564,02_轉折點45個!A:A,0)),"")</f>
        <v/>
      </c>
      <c r="G5564" s="7" t="s">
        <v>5494</v>
      </c>
    </row>
    <row r="5565" customFormat="false" ht="15" hidden="false" customHeight="false" outlineLevel="0" collapsed="false">
      <c r="A5565" s="7" t="s">
        <v>6321</v>
      </c>
      <c r="B5565" s="7" t="n">
        <v>13655.27</v>
      </c>
      <c r="C5565" s="7" t="n">
        <f aca="false">AVERAGE(B5516:B5565)</f>
        <v>12923.5432</v>
      </c>
      <c r="D5565" s="7" t="n">
        <f aca="false">AVERAGE(B5366:B5565)</f>
        <v>11338.2182</v>
      </c>
      <c r="E5565" s="7" t="n">
        <f aca="false">B5565/MAX(B5314:B5565)-1</f>
        <v>-0.00290251492878435</v>
      </c>
      <c r="F5565" s="7" t="str">
        <f aca="false">IFERROR(INDEX(02_轉折點45個!B:B,MATCH(A5565,02_轉折點45個!A:A,0)),"")</f>
        <v/>
      </c>
      <c r="G5565" s="7" t="s">
        <v>5494</v>
      </c>
    </row>
    <row r="5566" customFormat="false" ht="15" hidden="false" customHeight="false" outlineLevel="0" collapsed="false">
      <c r="A5566" s="7" t="s">
        <v>1594</v>
      </c>
      <c r="B5566" s="7" t="n">
        <v>13734.35</v>
      </c>
      <c r="C5566" s="7" t="n">
        <f aca="false">AVERAGE(B5517:B5566)</f>
        <v>12952.8638</v>
      </c>
      <c r="D5566" s="7" t="n">
        <f aca="false">AVERAGE(B5367:B5566)</f>
        <v>11363.50195</v>
      </c>
      <c r="E5566" s="7" t="n">
        <f aca="false">B5566/MAX(B5315:B5566)-1</f>
        <v>0</v>
      </c>
      <c r="F5566" s="7" t="str">
        <f aca="false">IFERROR(INDEX(02_轉折點45個!B:B,MATCH(A5566,02_轉折點45個!A:A,0)),"")</f>
        <v/>
      </c>
      <c r="G5566" s="7" t="s">
        <v>5494</v>
      </c>
    </row>
    <row r="5567" customFormat="false" ht="15" hidden="false" customHeight="false" outlineLevel="0" collapsed="false">
      <c r="A5567" s="7" t="s">
        <v>1595</v>
      </c>
      <c r="B5567" s="7" t="n">
        <v>13807.7</v>
      </c>
      <c r="C5567" s="7" t="n">
        <f aca="false">AVERAGE(B5518:B5567)</f>
        <v>12979.9112</v>
      </c>
      <c r="D5567" s="7" t="n">
        <f aca="false">AVERAGE(B5368:B5567)</f>
        <v>11387.62665</v>
      </c>
      <c r="E5567" s="7" t="n">
        <f aca="false">B5567/MAX(B5316:B5567)-1</f>
        <v>0</v>
      </c>
      <c r="F5567" s="7" t="str">
        <f aca="false">IFERROR(INDEX(02_轉折點45個!B:B,MATCH(A5567,02_轉折點45個!A:A,0)),"")</f>
        <v/>
      </c>
      <c r="G5567" s="7" t="s">
        <v>5494</v>
      </c>
    </row>
    <row r="5568" customFormat="false" ht="15" hidden="false" customHeight="false" outlineLevel="0" collapsed="false">
      <c r="A5568" s="7" t="s">
        <v>6322</v>
      </c>
      <c r="B5568" s="7" t="n">
        <v>13773.77</v>
      </c>
      <c r="C5568" s="7" t="n">
        <f aca="false">AVERAGE(B5519:B5568)</f>
        <v>13006.2584</v>
      </c>
      <c r="D5568" s="7" t="n">
        <f aca="false">AVERAGE(B5369:B5568)</f>
        <v>11411.49295</v>
      </c>
      <c r="E5568" s="7" t="n">
        <f aca="false">B5568/MAX(B5317:B5568)-1</f>
        <v>-0.00245732453630942</v>
      </c>
      <c r="F5568" s="7" t="str">
        <f aca="false">IFERROR(INDEX(02_轉折點45個!B:B,MATCH(A5568,02_轉折點45個!A:A,0)),"")</f>
        <v/>
      </c>
      <c r="G5568" s="7" t="s">
        <v>5494</v>
      </c>
    </row>
    <row r="5569" customFormat="false" ht="15" hidden="false" customHeight="false" outlineLevel="0" collapsed="false">
      <c r="A5569" s="7" t="s">
        <v>6323</v>
      </c>
      <c r="B5569" s="7" t="n">
        <v>13699.71</v>
      </c>
      <c r="C5569" s="7" t="n">
        <f aca="false">AVERAGE(B5520:B5569)</f>
        <v>13030.91</v>
      </c>
      <c r="D5569" s="7" t="n">
        <f aca="false">AVERAGE(B5370:B5569)</f>
        <v>11436.4006</v>
      </c>
      <c r="E5569" s="7" t="n">
        <f aca="false">B5569/MAX(B5318:B5569)-1</f>
        <v>-0.00782099842841322</v>
      </c>
      <c r="F5569" s="7" t="str">
        <f aca="false">IFERROR(INDEX(02_轉折點45個!B:B,MATCH(A5569,02_轉折點45個!A:A,0)),"")</f>
        <v/>
      </c>
      <c r="G5569" s="7" t="s">
        <v>5494</v>
      </c>
    </row>
    <row r="5570" customFormat="false" ht="15" hidden="false" customHeight="false" outlineLevel="0" collapsed="false">
      <c r="A5570" s="7" t="s">
        <v>6324</v>
      </c>
      <c r="B5570" s="7" t="n">
        <v>13637.51</v>
      </c>
      <c r="C5570" s="7" t="n">
        <f aca="false">AVERAGE(B5521:B5570)</f>
        <v>13053.0906</v>
      </c>
      <c r="D5570" s="7" t="n">
        <f aca="false">AVERAGE(B5371:B5570)</f>
        <v>11460.4176</v>
      </c>
      <c r="E5570" s="7" t="n">
        <f aca="false">B5570/MAX(B5319:B5570)-1</f>
        <v>-0.0123257312948573</v>
      </c>
      <c r="F5570" s="7" t="str">
        <f aca="false">IFERROR(INDEX(02_轉折點45個!B:B,MATCH(A5570,02_轉折點45個!A:A,0)),"")</f>
        <v/>
      </c>
      <c r="G5570" s="7" t="s">
        <v>5494</v>
      </c>
    </row>
    <row r="5571" customFormat="false" ht="15" hidden="false" customHeight="false" outlineLevel="0" collapsed="false">
      <c r="A5571" s="7" t="s">
        <v>6325</v>
      </c>
      <c r="B5571" s="7" t="n">
        <v>13580.78</v>
      </c>
      <c r="C5571" s="7" t="n">
        <f aca="false">AVERAGE(B5522:B5571)</f>
        <v>13072.7768</v>
      </c>
      <c r="D5571" s="7" t="n">
        <f aca="false">AVERAGE(B5372:B5571)</f>
        <v>11483.6684</v>
      </c>
      <c r="E5571" s="7" t="n">
        <f aca="false">B5571/MAX(B5320:B5571)-1</f>
        <v>-0.016434308393143</v>
      </c>
      <c r="F5571" s="7" t="str">
        <f aca="false">IFERROR(INDEX(02_轉折點45個!B:B,MATCH(A5571,02_轉折點45個!A:A,0)),"")</f>
        <v/>
      </c>
      <c r="G5571" s="7" t="s">
        <v>5494</v>
      </c>
    </row>
    <row r="5572" customFormat="false" ht="15" hidden="false" customHeight="false" outlineLevel="0" collapsed="false">
      <c r="A5572" s="7" t="s">
        <v>1596</v>
      </c>
      <c r="B5572" s="7" t="n">
        <v>13223.74</v>
      </c>
      <c r="C5572" s="7" t="n">
        <f aca="false">AVERAGE(B5523:B5572)</f>
        <v>13084.5372</v>
      </c>
      <c r="D5572" s="7" t="n">
        <f aca="false">AVERAGE(B5373:B5572)</f>
        <v>11504.8628</v>
      </c>
      <c r="E5572" s="7" t="n">
        <f aca="false">B5572/MAX(B5321:B5572)-1</f>
        <v>-0.0422923441268278</v>
      </c>
      <c r="F5572" s="7" t="str">
        <f aca="false">IFERROR(INDEX(02_轉折點45個!B:B,MATCH(A5572,02_轉折點45個!A:A,0)),"")</f>
        <v/>
      </c>
      <c r="G5572" s="7" t="s">
        <v>5494</v>
      </c>
    </row>
    <row r="5573" customFormat="false" ht="15" hidden="false" customHeight="false" outlineLevel="0" collapsed="false">
      <c r="A5573" s="7" t="s">
        <v>6326</v>
      </c>
      <c r="B5573" s="7" t="n">
        <v>13194.71</v>
      </c>
      <c r="C5573" s="7" t="n">
        <f aca="false">AVERAGE(B5524:B5573)</f>
        <v>13101.1386</v>
      </c>
      <c r="D5573" s="7" t="n">
        <f aca="false">AVERAGE(B5374:B5573)</f>
        <v>11525.32695</v>
      </c>
      <c r="E5573" s="7" t="n">
        <f aca="false">B5573/MAX(B5322:B5573)-1</f>
        <v>-0.0443947942090284</v>
      </c>
      <c r="F5573" s="7" t="str">
        <f aca="false">IFERROR(INDEX(02_轉折點45個!B:B,MATCH(A5573,02_轉折點45個!A:A,0)),"")</f>
        <v/>
      </c>
      <c r="G5573" s="7" t="s">
        <v>5494</v>
      </c>
    </row>
    <row r="5574" customFormat="false" ht="15" hidden="false" customHeight="false" outlineLevel="0" collapsed="false">
      <c r="A5574" s="7" t="s">
        <v>6327</v>
      </c>
      <c r="B5574" s="7" t="n">
        <v>13302.19</v>
      </c>
      <c r="C5574" s="7" t="n">
        <f aca="false">AVERAGE(B5525:B5574)</f>
        <v>13119.1476</v>
      </c>
      <c r="D5574" s="7" t="n">
        <f aca="false">AVERAGE(B5375:B5574)</f>
        <v>11545.73615</v>
      </c>
      <c r="E5574" s="7" t="n">
        <f aca="false">B5574/MAX(B5323:B5574)-1</f>
        <v>-0.0366107316931857</v>
      </c>
      <c r="F5574" s="7" t="str">
        <f aca="false">IFERROR(INDEX(02_轉折點45個!B:B,MATCH(A5574,02_轉折點45個!A:A,0)),"")</f>
        <v/>
      </c>
      <c r="G5574" s="7" t="s">
        <v>5494</v>
      </c>
    </row>
    <row r="5575" customFormat="false" ht="15" hidden="false" customHeight="false" outlineLevel="0" collapsed="false">
      <c r="A5575" s="7" t="s">
        <v>1597</v>
      </c>
      <c r="B5575" s="7" t="n">
        <v>12828.31</v>
      </c>
      <c r="C5575" s="7" t="n">
        <f aca="false">AVERAGE(B5526:B5575)</f>
        <v>13128.2056</v>
      </c>
      <c r="D5575" s="7" t="n">
        <f aca="false">AVERAGE(B5376:B5575)</f>
        <v>11563.3831</v>
      </c>
      <c r="E5575" s="7" t="n">
        <f aca="false">B5575/MAX(B5324:B5575)-1</f>
        <v>-0.0709307125734193</v>
      </c>
      <c r="F5575" s="7" t="str">
        <f aca="false">IFERROR(INDEX(02_轉折點45個!B:B,MATCH(A5575,02_轉折點45個!A:A,0)),"")</f>
        <v/>
      </c>
      <c r="G5575" s="7" t="s">
        <v>5494</v>
      </c>
    </row>
    <row r="5576" customFormat="false" ht="15" hidden="false" customHeight="false" outlineLevel="0" collapsed="false">
      <c r="A5576" s="7" t="s">
        <v>1598</v>
      </c>
      <c r="B5576" s="7" t="n">
        <v>12909.44</v>
      </c>
      <c r="C5576" s="7" t="n">
        <f aca="false">AVERAGE(B5527:B5576)</f>
        <v>13137.1502</v>
      </c>
      <c r="D5576" s="7" t="n">
        <f aca="false">AVERAGE(B5377:B5576)</f>
        <v>11582.36805</v>
      </c>
      <c r="E5576" s="7" t="n">
        <f aca="false">B5576/MAX(B5325:B5576)-1</f>
        <v>-0.0650550055403869</v>
      </c>
      <c r="F5576" s="7" t="str">
        <f aca="false">IFERROR(INDEX(02_轉折點45個!B:B,MATCH(A5576,02_轉折點45個!A:A,0)),"")</f>
        <v/>
      </c>
      <c r="G5576" s="7" t="s">
        <v>5494</v>
      </c>
    </row>
    <row r="5577" customFormat="false" ht="15" hidden="false" customHeight="false" outlineLevel="0" collapsed="false">
      <c r="A5577" s="7" t="s">
        <v>1599</v>
      </c>
      <c r="B5577" s="7" t="n">
        <v>13282.95</v>
      </c>
      <c r="C5577" s="7" t="n">
        <f aca="false">AVERAGE(B5528:B5577)</f>
        <v>13150.8908</v>
      </c>
      <c r="D5577" s="7" t="n">
        <f aca="false">AVERAGE(B5378:B5577)</f>
        <v>11603.7824</v>
      </c>
      <c r="E5577" s="7" t="n">
        <f aca="false">B5577/MAX(B5326:B5577)-1</f>
        <v>-0.0380041571007481</v>
      </c>
      <c r="F5577" s="7" t="str">
        <f aca="false">IFERROR(INDEX(02_轉折點45個!B:B,MATCH(A5577,02_轉折點45個!A:A,0)),"")</f>
        <v/>
      </c>
      <c r="G5577" s="7" t="s">
        <v>5494</v>
      </c>
    </row>
    <row r="5578" customFormat="false" ht="15" hidden="false" customHeight="false" outlineLevel="0" collapsed="false">
      <c r="A5578" s="7" t="s">
        <v>6328</v>
      </c>
      <c r="B5578" s="7" t="n">
        <v>13059.95</v>
      </c>
      <c r="C5578" s="7" t="n">
        <f aca="false">AVERAGE(B5529:B5578)</f>
        <v>13158.7266</v>
      </c>
      <c r="D5578" s="7" t="n">
        <f aca="false">AVERAGE(B5379:B5578)</f>
        <v>11623.61005</v>
      </c>
      <c r="E5578" s="7" t="n">
        <f aca="false">B5578/MAX(B5327:B5578)-1</f>
        <v>-0.054154565930604</v>
      </c>
      <c r="F5578" s="7" t="str">
        <f aca="false">IFERROR(INDEX(02_轉折點45個!B:B,MATCH(A5578,02_轉折點45個!A:A,0)),"")</f>
        <v/>
      </c>
      <c r="G5578" s="7" t="s">
        <v>5494</v>
      </c>
    </row>
    <row r="5579" customFormat="false" ht="15" hidden="false" customHeight="false" outlineLevel="0" collapsed="false">
      <c r="A5579" s="7" t="s">
        <v>1600</v>
      </c>
      <c r="B5579" s="7" t="n">
        <v>12683.33</v>
      </c>
      <c r="C5579" s="7" t="n">
        <f aca="false">AVERAGE(B5530:B5579)</f>
        <v>13157.352</v>
      </c>
      <c r="D5579" s="7" t="n">
        <f aca="false">AVERAGE(B5380:B5579)</f>
        <v>11641.2635</v>
      </c>
      <c r="E5579" s="7" t="n">
        <f aca="false">B5579/MAX(B5328:B5579)-1</f>
        <v>-0.081430651013565</v>
      </c>
      <c r="F5579" s="7" t="str">
        <f aca="false">IFERROR(INDEX(02_轉折點45個!B:B,MATCH(A5579,02_轉折點45個!A:A,0)),"")</f>
        <v/>
      </c>
      <c r="G5579" s="7" t="s">
        <v>5494</v>
      </c>
    </row>
    <row r="5580" customFormat="false" ht="15" hidden="false" customHeight="false" outlineLevel="0" collapsed="false">
      <c r="A5580" s="7" t="s">
        <v>6329</v>
      </c>
      <c r="B5580" s="7" t="n">
        <v>12464</v>
      </c>
      <c r="C5580" s="7" t="n">
        <f aca="false">AVERAGE(B5531:B5580)</f>
        <v>13151.8684</v>
      </c>
      <c r="D5580" s="7" t="n">
        <f aca="false">AVERAGE(B5381:B5580)</f>
        <v>11656.92385</v>
      </c>
      <c r="E5580" s="7" t="n">
        <f aca="false">B5580/MAX(B5329:B5580)-1</f>
        <v>-0.0973152661196289</v>
      </c>
      <c r="F5580" s="7" t="str">
        <f aca="false">IFERROR(INDEX(02_轉折點45個!B:B,MATCH(A5580,02_轉折點45個!A:A,0)),"")</f>
        <v/>
      </c>
      <c r="G5580" s="7" t="s">
        <v>5494</v>
      </c>
    </row>
    <row r="5581" customFormat="false" ht="15" hidden="false" customHeight="false" outlineLevel="0" collapsed="false">
      <c r="A5581" s="7" t="s">
        <v>6330</v>
      </c>
      <c r="B5581" s="7" t="n">
        <v>12668.51</v>
      </c>
      <c r="C5581" s="7" t="n">
        <f aca="false">AVERAGE(B5532:B5581)</f>
        <v>13151.4334</v>
      </c>
      <c r="D5581" s="7" t="n">
        <f aca="false">AVERAGE(B5382:B5581)</f>
        <v>11673.7737</v>
      </c>
      <c r="E5581" s="7" t="n">
        <f aca="false">B5581/MAX(B5330:B5581)-1</f>
        <v>-0.0825039651788495</v>
      </c>
      <c r="F5581" s="7" t="str">
        <f aca="false">IFERROR(INDEX(02_轉折點45個!B:B,MATCH(A5581,02_轉折點45個!A:A,0)),"")</f>
        <v/>
      </c>
      <c r="G5581" s="7" t="s">
        <v>5494</v>
      </c>
    </row>
    <row r="5582" customFormat="false" ht="15" hidden="false" customHeight="false" outlineLevel="0" collapsed="false">
      <c r="A5582" s="7" t="s">
        <v>1601</v>
      </c>
      <c r="B5582" s="7" t="n">
        <v>12299.08</v>
      </c>
      <c r="C5582" s="7" t="n">
        <f aca="false">AVERAGE(B5533:B5582)</f>
        <v>13143.0638</v>
      </c>
      <c r="D5582" s="7" t="n">
        <f aca="false">AVERAGE(B5383:B5582)</f>
        <v>11687.844</v>
      </c>
      <c r="E5582" s="7" t="n">
        <f aca="false">B5582/MAX(B5331:B5582)-1</f>
        <v>-0.109259326317924</v>
      </c>
      <c r="F5582" s="7" t="str">
        <f aca="false">IFERROR(INDEX(02_轉折點45個!B:B,MATCH(A5582,02_轉折點45個!A:A,0)),"")</f>
        <v/>
      </c>
      <c r="G5582" s="7" t="s">
        <v>5494</v>
      </c>
    </row>
    <row r="5583" customFormat="false" ht="15" hidden="false" customHeight="false" outlineLevel="0" collapsed="false">
      <c r="A5583" s="7" t="s">
        <v>6331</v>
      </c>
      <c r="B5583" s="7" t="n">
        <v>12794.49</v>
      </c>
      <c r="C5583" s="7" t="n">
        <f aca="false">AVERAGE(B5534:B5583)</f>
        <v>13145.8908</v>
      </c>
      <c r="D5583" s="7" t="n">
        <f aca="false">AVERAGE(B5384:B5583)</f>
        <v>11704.9265</v>
      </c>
      <c r="E5583" s="7" t="n">
        <f aca="false">B5583/MAX(B5332:B5583)-1</f>
        <v>-0.0733800705403508</v>
      </c>
      <c r="F5583" s="7" t="str">
        <f aca="false">IFERROR(INDEX(02_轉折點45個!B:B,MATCH(A5583,02_轉折點45個!A:A,0)),"")</f>
        <v/>
      </c>
      <c r="G5583" s="7" t="s">
        <v>5494</v>
      </c>
    </row>
    <row r="5584" customFormat="false" ht="15" hidden="false" customHeight="false" outlineLevel="0" collapsed="false">
      <c r="A5584" s="7" t="s">
        <v>6332</v>
      </c>
      <c r="B5584" s="7" t="n">
        <v>12752.07</v>
      </c>
      <c r="C5584" s="7" t="n">
        <f aca="false">AVERAGE(B5535:B5584)</f>
        <v>13146.712</v>
      </c>
      <c r="D5584" s="7" t="n">
        <f aca="false">AVERAGE(B5385:B5584)</f>
        <v>11721.6169</v>
      </c>
      <c r="E5584" s="7" t="n">
        <f aca="false">B5584/MAX(B5333:B5584)-1</f>
        <v>-0.0764522693859224</v>
      </c>
      <c r="F5584" s="7" t="str">
        <f aca="false">IFERROR(INDEX(02_轉折點45個!B:B,MATCH(A5584,02_轉折點45個!A:A,0)),"")</f>
        <v/>
      </c>
      <c r="G5584" s="7" t="s">
        <v>5494</v>
      </c>
    </row>
    <row r="5585" customFormat="false" ht="15" hidden="false" customHeight="false" outlineLevel="0" collapsed="false">
      <c r="A5585" s="7" t="s">
        <v>6333</v>
      </c>
      <c r="B5585" s="7" t="n">
        <v>13052.9</v>
      </c>
      <c r="C5585" s="7" t="n">
        <f aca="false">AVERAGE(B5536:B5585)</f>
        <v>13150.9928</v>
      </c>
      <c r="D5585" s="7" t="n">
        <f aca="false">AVERAGE(B5386:B5585)</f>
        <v>11739.9315</v>
      </c>
      <c r="E5585" s="7" t="n">
        <f aca="false">B5585/MAX(B5334:B5585)-1</f>
        <v>-0.0546651506043731</v>
      </c>
      <c r="F5585" s="7" t="str">
        <f aca="false">IFERROR(INDEX(02_轉折點45個!B:B,MATCH(A5585,02_轉折點45個!A:A,0)),"")</f>
        <v/>
      </c>
      <c r="G5585" s="7" t="s">
        <v>5494</v>
      </c>
    </row>
    <row r="5586" customFormat="false" ht="15" hidden="false" customHeight="false" outlineLevel="0" collapsed="false">
      <c r="A5586" s="7" t="s">
        <v>1602</v>
      </c>
      <c r="B5586" s="7" t="n">
        <v>12937.29</v>
      </c>
      <c r="C5586" s="7" t="n">
        <f aca="false">AVERAGE(B5537:B5586)</f>
        <v>13152.8688</v>
      </c>
      <c r="D5586" s="7" t="n">
        <f aca="false">AVERAGE(B5387:B5586)</f>
        <v>11757.4077</v>
      </c>
      <c r="E5586" s="7" t="n">
        <f aca="false">B5586/MAX(B5335:B5586)-1</f>
        <v>-0.0630380150206045</v>
      </c>
      <c r="F5586" s="7" t="str">
        <f aca="false">IFERROR(INDEX(02_轉折點45個!B:B,MATCH(A5586,02_轉折點45個!A:A,0)),"")</f>
        <v/>
      </c>
      <c r="G5586" s="7" t="s">
        <v>5494</v>
      </c>
    </row>
    <row r="5587" customFormat="false" ht="15" hidden="false" customHeight="false" outlineLevel="0" collapsed="false">
      <c r="A5587" s="7" t="s">
        <v>6334</v>
      </c>
      <c r="B5587" s="7" t="n">
        <v>13082.54</v>
      </c>
      <c r="C5587" s="7" t="n">
        <f aca="false">AVERAGE(B5538:B5587)</f>
        <v>13157.6124</v>
      </c>
      <c r="D5587" s="7" t="n">
        <f aca="false">AVERAGE(B5388:B5587)</f>
        <v>11775.73685</v>
      </c>
      <c r="E5587" s="7" t="n">
        <f aca="false">B5587/MAX(B5336:B5587)-1</f>
        <v>-0.0525185222738037</v>
      </c>
      <c r="F5587" s="7" t="str">
        <f aca="false">IFERROR(INDEX(02_轉折點45個!B:B,MATCH(A5587,02_轉折點45個!A:A,0)),"")</f>
        <v/>
      </c>
      <c r="G5587" s="7" t="s">
        <v>5494</v>
      </c>
    </row>
    <row r="5588" customFormat="false" ht="15" hidden="false" customHeight="false" outlineLevel="0" collapsed="false">
      <c r="A5588" s="7" t="s">
        <v>1603</v>
      </c>
      <c r="B5588" s="7" t="n">
        <v>13152.28</v>
      </c>
      <c r="C5588" s="7" t="n">
        <f aca="false">AVERAGE(B5539:B5588)</f>
        <v>13162.8924</v>
      </c>
      <c r="D5588" s="7" t="n">
        <f aca="false">AVERAGE(B5389:B5588)</f>
        <v>11793.7206</v>
      </c>
      <c r="E5588" s="7" t="n">
        <f aca="false">B5588/MAX(B5337:B5588)-1</f>
        <v>-0.0474677172881798</v>
      </c>
      <c r="F5588" s="7" t="str">
        <f aca="false">IFERROR(INDEX(02_轉折點45個!B:B,MATCH(A5588,02_轉折點45個!A:A,0)),"")</f>
        <v/>
      </c>
      <c r="G5588" s="7" t="s">
        <v>5494</v>
      </c>
    </row>
    <row r="5589" customFormat="false" ht="15" hidden="false" customHeight="false" outlineLevel="0" collapsed="false">
      <c r="A5589" s="7" t="s">
        <v>6335</v>
      </c>
      <c r="B5589" s="7" t="n">
        <v>13202.38</v>
      </c>
      <c r="C5589" s="7" t="n">
        <f aca="false">AVERAGE(B5540:B5589)</f>
        <v>13173.0468</v>
      </c>
      <c r="D5589" s="7" t="n">
        <f aca="false">AVERAGE(B5390:B5589)</f>
        <v>11811.73805</v>
      </c>
      <c r="E5589" s="7" t="n">
        <f aca="false">B5589/MAX(B5338:B5589)-1</f>
        <v>-0.043839307053311</v>
      </c>
      <c r="F5589" s="7" t="str">
        <f aca="false">IFERROR(INDEX(02_轉折點45個!B:B,MATCH(A5589,02_轉折點45個!A:A,0)),"")</f>
        <v/>
      </c>
      <c r="G5589" s="7" t="s">
        <v>5494</v>
      </c>
    </row>
    <row r="5590" customFormat="false" ht="15" hidden="false" customHeight="false" outlineLevel="0" collapsed="false">
      <c r="A5590" s="7" t="s">
        <v>1604</v>
      </c>
      <c r="B5590" s="7" t="n">
        <v>12789.14</v>
      </c>
      <c r="C5590" s="7" t="n">
        <f aca="false">AVERAGE(B5541:B5590)</f>
        <v>13172.782</v>
      </c>
      <c r="D5590" s="7" t="n">
        <f aca="false">AVERAGE(B5391:B5590)</f>
        <v>11827.3972</v>
      </c>
      <c r="E5590" s="7" t="n">
        <f aca="false">B5590/MAX(B5339:B5590)-1</f>
        <v>-0.0737675355055514</v>
      </c>
      <c r="F5590" s="7" t="str">
        <f aca="false">IFERROR(INDEX(02_轉折點45個!B:B,MATCH(A5590,02_轉折點45個!A:A,0)),"")</f>
        <v/>
      </c>
      <c r="G5590" s="7" t="s">
        <v>5494</v>
      </c>
    </row>
    <row r="5591" customFormat="false" ht="15" hidden="false" customHeight="false" outlineLevel="0" collapsed="false">
      <c r="A5591" s="7" t="s">
        <v>6336</v>
      </c>
      <c r="B5591" s="7" t="n">
        <v>12866.99</v>
      </c>
      <c r="C5591" s="7" t="n">
        <f aca="false">AVERAGE(B5542:B5591)</f>
        <v>13177.6548</v>
      </c>
      <c r="D5591" s="7" t="n">
        <f aca="false">AVERAGE(B5392:B5591)</f>
        <v>11843.2087</v>
      </c>
      <c r="E5591" s="7" t="n">
        <f aca="false">B5591/MAX(B5340:B5591)-1</f>
        <v>-0.0681293770866981</v>
      </c>
      <c r="F5591" s="7" t="str">
        <f aca="false">IFERROR(INDEX(02_轉折點45個!B:B,MATCH(A5591,02_轉折點45個!A:A,0)),"")</f>
        <v/>
      </c>
      <c r="G5591" s="7" t="s">
        <v>5494</v>
      </c>
    </row>
    <row r="5592" customFormat="false" ht="15" hidden="false" customHeight="false" outlineLevel="0" collapsed="false">
      <c r="A5592" s="7" t="s">
        <v>1605</v>
      </c>
      <c r="B5592" s="7" t="n">
        <v>13086.51</v>
      </c>
      <c r="C5592" s="7" t="n">
        <f aca="false">AVERAGE(B5543:B5592)</f>
        <v>13180.5936</v>
      </c>
      <c r="D5592" s="7" t="n">
        <f aca="false">AVERAGE(B5393:B5592)</f>
        <v>11860.49295</v>
      </c>
      <c r="E5592" s="7" t="n">
        <f aca="false">B5592/MAX(B5341:B5592)-1</f>
        <v>-0.0522310015426175</v>
      </c>
      <c r="F5592" s="7" t="str">
        <f aca="false">IFERROR(INDEX(02_轉折點45個!B:B,MATCH(A5592,02_轉折點45個!A:A,0)),"")</f>
        <v/>
      </c>
      <c r="G5592" s="7" t="s">
        <v>5494</v>
      </c>
    </row>
    <row r="5593" customFormat="false" ht="15" hidden="false" customHeight="false" outlineLevel="0" collapsed="false">
      <c r="A5593" s="7" t="s">
        <v>6337</v>
      </c>
      <c r="B5593" s="7" t="n">
        <v>13017.79</v>
      </c>
      <c r="C5593" s="7" t="n">
        <f aca="false">AVERAGE(B5544:B5593)</f>
        <v>13178.8454</v>
      </c>
      <c r="D5593" s="7" t="n">
        <f aca="false">AVERAGE(B5394:B5593)</f>
        <v>11876.45995</v>
      </c>
      <c r="E5593" s="7" t="n">
        <f aca="false">B5593/MAX(B5342:B5593)-1</f>
        <v>-0.0572079347031005</v>
      </c>
      <c r="F5593" s="7" t="str">
        <f aca="false">IFERROR(INDEX(02_轉折點45個!B:B,MATCH(A5593,02_轉折點45個!A:A,0)),"")</f>
        <v/>
      </c>
      <c r="G5593" s="7" t="s">
        <v>5494</v>
      </c>
    </row>
    <row r="5594" customFormat="false" ht="15" hidden="false" customHeight="false" outlineLevel="0" collapsed="false">
      <c r="A5594" s="7" t="s">
        <v>1606</v>
      </c>
      <c r="B5594" s="7" t="n">
        <v>12798.88</v>
      </c>
      <c r="C5594" s="7" t="n">
        <f aca="false">AVERAGE(B5545:B5594)</f>
        <v>13176.7732</v>
      </c>
      <c r="D5594" s="7" t="n">
        <f aca="false">AVERAGE(B5395:B5594)</f>
        <v>11890.94675</v>
      </c>
      <c r="E5594" s="7" t="n">
        <f aca="false">B5594/MAX(B5343:B5594)-1</f>
        <v>-0.0730621319988124</v>
      </c>
      <c r="F5594" s="7" t="str">
        <f aca="false">IFERROR(INDEX(02_轉折點45個!B:B,MATCH(A5594,02_轉折點45個!A:A,0)),"")</f>
        <v/>
      </c>
      <c r="G5594" s="7" t="s">
        <v>5494</v>
      </c>
    </row>
    <row r="5595" customFormat="false" ht="15" hidden="false" customHeight="false" outlineLevel="0" collapsed="false">
      <c r="A5595" s="7" t="s">
        <v>6338</v>
      </c>
      <c r="B5595" s="7" t="n">
        <v>12780.51</v>
      </c>
      <c r="C5595" s="7" t="n">
        <f aca="false">AVERAGE(B5546:B5595)</f>
        <v>13174.5416</v>
      </c>
      <c r="D5595" s="7" t="n">
        <f aca="false">AVERAGE(B5396:B5595)</f>
        <v>11905.01345</v>
      </c>
      <c r="E5595" s="7" t="n">
        <f aca="false">B5595/MAX(B5344:B5595)-1</f>
        <v>-0.0743925490849309</v>
      </c>
      <c r="F5595" s="7" t="str">
        <f aca="false">IFERROR(INDEX(02_轉折點45個!B:B,MATCH(A5595,02_轉折點45個!A:A,0)),"")</f>
        <v/>
      </c>
      <c r="G5595" s="7" t="s">
        <v>5494</v>
      </c>
    </row>
    <row r="5596" customFormat="false" ht="15" hidden="false" customHeight="false" outlineLevel="0" collapsed="false">
      <c r="A5596" s="7" t="s">
        <v>6339</v>
      </c>
      <c r="B5596" s="7" t="n">
        <v>12979.12</v>
      </c>
      <c r="C5596" s="7" t="n">
        <f aca="false">AVERAGE(B5547:B5596)</f>
        <v>13174.6514</v>
      </c>
      <c r="D5596" s="7" t="n">
        <f aca="false">AVERAGE(B5397:B5596)</f>
        <v>11919.43775</v>
      </c>
      <c r="E5596" s="7" t="n">
        <f aca="false">B5596/MAX(B5345:B5596)-1</f>
        <v>-0.0600085459562418</v>
      </c>
      <c r="F5596" s="7" t="str">
        <f aca="false">IFERROR(INDEX(02_轉折點45個!B:B,MATCH(A5596,02_轉折點45個!A:A,0)),"")</f>
        <v/>
      </c>
      <c r="G5596" s="7" t="s">
        <v>5494</v>
      </c>
    </row>
    <row r="5597" customFormat="false" ht="15" hidden="false" customHeight="false" outlineLevel="0" collapsed="false">
      <c r="A5597" s="7" t="s">
        <v>1607</v>
      </c>
      <c r="B5597" s="7" t="n">
        <v>12965.74</v>
      </c>
      <c r="C5597" s="7" t="n">
        <f aca="false">AVERAGE(B5548:B5597)</f>
        <v>13175.9924</v>
      </c>
      <c r="D5597" s="7" t="n">
        <f aca="false">AVERAGE(B5398:B5597)</f>
        <v>11936.32405</v>
      </c>
      <c r="E5597" s="7" t="n">
        <f aca="false">B5597/MAX(B5346:B5597)-1</f>
        <v>-0.0609775704860333</v>
      </c>
      <c r="F5597" s="7" t="str">
        <f aca="false">IFERROR(INDEX(02_轉折點45個!B:B,MATCH(A5597,02_轉折點45個!A:A,0)),"")</f>
        <v/>
      </c>
      <c r="G5597" s="7" t="s">
        <v>5494</v>
      </c>
    </row>
    <row r="5598" customFormat="false" ht="15" hidden="false" customHeight="false" outlineLevel="0" collapsed="false">
      <c r="A5598" s="7" t="s">
        <v>6340</v>
      </c>
      <c r="B5598" s="7" t="n">
        <v>12896.53</v>
      </c>
      <c r="C5598" s="7" t="n">
        <f aca="false">AVERAGE(B5549:B5598)</f>
        <v>13177.8444</v>
      </c>
      <c r="D5598" s="7" t="n">
        <f aca="false">AVERAGE(B5399:B5598)</f>
        <v>11952.4878</v>
      </c>
      <c r="E5598" s="7" t="n">
        <f aca="false">B5598/MAX(B5347:B5598)-1</f>
        <v>-0.0659899910919269</v>
      </c>
      <c r="F5598" s="7" t="str">
        <f aca="false">IFERROR(INDEX(02_轉折點45個!B:B,MATCH(A5598,02_轉折點45個!A:A,0)),"")</f>
        <v/>
      </c>
      <c r="G5598" s="7" t="s">
        <v>5494</v>
      </c>
    </row>
    <row r="5599" customFormat="false" ht="15" hidden="false" customHeight="false" outlineLevel="0" collapsed="false">
      <c r="A5599" s="7" t="s">
        <v>6341</v>
      </c>
      <c r="B5599" s="7" t="n">
        <v>13091.44</v>
      </c>
      <c r="C5599" s="7" t="n">
        <f aca="false">AVERAGE(B5550:B5599)</f>
        <v>13179.7424</v>
      </c>
      <c r="D5599" s="7" t="n">
        <f aca="false">AVERAGE(B5400:B5599)</f>
        <v>11969.06055</v>
      </c>
      <c r="E5599" s="7" t="n">
        <f aca="false">B5599/MAX(B5348:B5599)-1</f>
        <v>-0.0518739543877692</v>
      </c>
      <c r="F5599" s="7" t="str">
        <f aca="false">IFERROR(INDEX(02_轉折點45個!B:B,MATCH(A5599,02_轉折點45個!A:A,0)),"")</f>
        <v/>
      </c>
      <c r="G5599" s="7" t="s">
        <v>5494</v>
      </c>
    </row>
    <row r="5600" customFormat="false" ht="15" hidden="false" customHeight="false" outlineLevel="0" collapsed="false">
      <c r="A5600" s="7" t="s">
        <v>1608</v>
      </c>
      <c r="B5600" s="7" t="n">
        <v>13329.52</v>
      </c>
      <c r="C5600" s="7" t="n">
        <f aca="false">AVERAGE(B5551:B5600)</f>
        <v>13180.4038</v>
      </c>
      <c r="D5600" s="7" t="n">
        <f aca="false">AVERAGE(B5401:B5600)</f>
        <v>11985.9613</v>
      </c>
      <c r="E5600" s="7" t="n">
        <f aca="false">B5600/MAX(B5349:B5600)-1</f>
        <v>-0.0346314013195536</v>
      </c>
      <c r="F5600" s="7" t="str">
        <f aca="false">IFERROR(INDEX(02_轉折點45個!B:B,MATCH(A5600,02_轉折點45個!A:A,0)),"")</f>
        <v/>
      </c>
      <c r="G5600" s="7" t="s">
        <v>5494</v>
      </c>
    </row>
    <row r="5601" customFormat="false" ht="15" hidden="false" customHeight="false" outlineLevel="0" collapsed="false">
      <c r="A5601" s="7" t="s">
        <v>6342</v>
      </c>
      <c r="B5601" s="7" t="n">
        <v>13598.16</v>
      </c>
      <c r="C5601" s="7" t="n">
        <f aca="false">AVERAGE(B5552:B5601)</f>
        <v>13184.2672</v>
      </c>
      <c r="D5601" s="7" t="n">
        <f aca="false">AVERAGE(B5402:B5601)</f>
        <v>12004.0397</v>
      </c>
      <c r="E5601" s="7" t="n">
        <f aca="false">B5601/MAX(B5350:B5601)-1</f>
        <v>-0.015175590431426</v>
      </c>
      <c r="F5601" s="7" t="str">
        <f aca="false">IFERROR(INDEX(02_轉折點45個!B:B,MATCH(A5601,02_轉折點45個!A:A,0)),"")</f>
        <v/>
      </c>
      <c r="G5601" s="7" t="s">
        <v>5494</v>
      </c>
    </row>
    <row r="5602" customFormat="false" ht="15" hidden="false" customHeight="false" outlineLevel="0" collapsed="false">
      <c r="A5602" s="7" t="s">
        <v>6343</v>
      </c>
      <c r="B5602" s="7" t="n">
        <v>13578.46</v>
      </c>
      <c r="C5602" s="7" t="n">
        <f aca="false">AVERAGE(B5553:B5602)</f>
        <v>13188.5084</v>
      </c>
      <c r="D5602" s="7" t="n">
        <f aca="false">AVERAGE(B5403:B5602)</f>
        <v>12021.87175</v>
      </c>
      <c r="E5602" s="7" t="n">
        <f aca="false">B5602/MAX(B5351:B5602)-1</f>
        <v>-0.01660233058366</v>
      </c>
      <c r="F5602" s="7" t="str">
        <f aca="false">IFERROR(INDEX(02_轉折點45個!B:B,MATCH(A5602,02_轉折點45個!A:A,0)),"")</f>
        <v/>
      </c>
      <c r="G5602" s="7" t="s">
        <v>5494</v>
      </c>
    </row>
    <row r="5603" customFormat="false" ht="15" hidden="false" customHeight="false" outlineLevel="0" collapsed="false">
      <c r="A5603" s="7" t="s">
        <v>6344</v>
      </c>
      <c r="B5603" s="7" t="n">
        <v>13616.7</v>
      </c>
      <c r="C5603" s="7" t="n">
        <f aca="false">AVERAGE(B5554:B5603)</f>
        <v>13191.1766</v>
      </c>
      <c r="D5603" s="7" t="n">
        <f aca="false">AVERAGE(B5404:B5603)</f>
        <v>12039.91205</v>
      </c>
      <c r="E5603" s="7" t="n">
        <f aca="false">B5603/MAX(B5352:B5603)-1</f>
        <v>-0.0138328613744505</v>
      </c>
      <c r="F5603" s="7" t="str">
        <f aca="false">IFERROR(INDEX(02_轉折點45個!B:B,MATCH(A5603,02_轉折點45個!A:A,0)),"")</f>
        <v/>
      </c>
      <c r="G5603" s="7" t="s">
        <v>5494</v>
      </c>
    </row>
    <row r="5604" customFormat="false" ht="15" hidden="false" customHeight="false" outlineLevel="0" collapsed="false">
      <c r="A5604" s="7" t="s">
        <v>6345</v>
      </c>
      <c r="B5604" s="7" t="n">
        <v>13758.51</v>
      </c>
      <c r="C5604" s="7" t="n">
        <f aca="false">AVERAGE(B5555:B5604)</f>
        <v>13196.543</v>
      </c>
      <c r="D5604" s="7" t="n">
        <f aca="false">AVERAGE(B5405:B5604)</f>
        <v>12058.05295</v>
      </c>
      <c r="E5604" s="7" t="n">
        <f aca="false">B5604/MAX(B5353:B5604)-1</f>
        <v>-0.00356250497910593</v>
      </c>
      <c r="F5604" s="7" t="str">
        <f aca="false">IFERROR(INDEX(02_轉折點45個!B:B,MATCH(A5604,02_轉折點45個!A:A,0)),"")</f>
        <v/>
      </c>
      <c r="G5604" s="7" t="s">
        <v>5494</v>
      </c>
    </row>
    <row r="5605" customFormat="false" ht="15" hidden="false" customHeight="false" outlineLevel="0" collapsed="false">
      <c r="A5605" s="7" t="s">
        <v>1609</v>
      </c>
      <c r="B5605" s="7" t="n">
        <v>13845.06</v>
      </c>
      <c r="C5605" s="7" t="n">
        <f aca="false">AVERAGE(B5556:B5605)</f>
        <v>13211.1912</v>
      </c>
      <c r="D5605" s="7" t="n">
        <f aca="false">AVERAGE(B5406:B5605)</f>
        <v>12076.22915</v>
      </c>
      <c r="E5605" s="7" t="n">
        <f aca="false">B5605/MAX(B5354:B5605)-1</f>
        <v>0</v>
      </c>
      <c r="F5605" s="7" t="str">
        <f aca="false">IFERROR(INDEX(02_轉折點45個!B:B,MATCH(A5605,02_轉折點45個!A:A,0)),"")</f>
        <v/>
      </c>
      <c r="G5605" s="7" t="s">
        <v>5494</v>
      </c>
    </row>
    <row r="5606" customFormat="false" ht="15" hidden="false" customHeight="false" outlineLevel="0" collapsed="false">
      <c r="A5606" s="7" t="s">
        <v>6346</v>
      </c>
      <c r="B5606" s="7" t="n">
        <v>13819.35</v>
      </c>
      <c r="C5606" s="7" t="n">
        <f aca="false">AVERAGE(B5557:B5606)</f>
        <v>13223.5476</v>
      </c>
      <c r="D5606" s="7" t="n">
        <f aca="false">AVERAGE(B5407:B5606)</f>
        <v>12095.3124</v>
      </c>
      <c r="E5606" s="7" t="n">
        <f aca="false">B5606/MAX(B5355:B5606)-1</f>
        <v>-0.00185698003475598</v>
      </c>
      <c r="F5606" s="7" t="str">
        <f aca="false">IFERROR(INDEX(02_轉折點45個!B:B,MATCH(A5606,02_轉折點45個!A:A,0)),"")</f>
        <v/>
      </c>
      <c r="G5606" s="7" t="s">
        <v>5494</v>
      </c>
    </row>
    <row r="5607" customFormat="false" ht="15" hidden="false" customHeight="false" outlineLevel="0" collapsed="false">
      <c r="A5607" s="7" t="s">
        <v>1610</v>
      </c>
      <c r="B5607" s="7" t="n">
        <v>13986.49</v>
      </c>
      <c r="C5607" s="7" t="n">
        <f aca="false">AVERAGE(B5558:B5607)</f>
        <v>13244.7698</v>
      </c>
      <c r="D5607" s="7" t="n">
        <f aca="false">AVERAGE(B5408:B5607)</f>
        <v>12114.7357</v>
      </c>
      <c r="E5607" s="7" t="n">
        <f aca="false">B5607/MAX(B5356:B5607)-1</f>
        <v>0</v>
      </c>
      <c r="F5607" s="7" t="str">
        <f aca="false">IFERROR(INDEX(02_轉折點45個!B:B,MATCH(A5607,02_轉折點45個!A:A,0)),"")</f>
        <v/>
      </c>
      <c r="G5607" s="7" t="s">
        <v>5494</v>
      </c>
    </row>
    <row r="5608" customFormat="false" ht="15" hidden="false" customHeight="false" outlineLevel="0" collapsed="false">
      <c r="A5608" s="7" t="s">
        <v>6347</v>
      </c>
      <c r="B5608" s="7" t="n">
        <v>13803.91</v>
      </c>
      <c r="C5608" s="7" t="n">
        <f aca="false">AVERAGE(B5559:B5608)</f>
        <v>13255.87</v>
      </c>
      <c r="D5608" s="7" t="n">
        <f aca="false">AVERAGE(B5409:B5608)</f>
        <v>12134.50845</v>
      </c>
      <c r="E5608" s="7" t="n">
        <f aca="false">B5608/MAX(B5357:B5608)-1</f>
        <v>-0.013054025706235</v>
      </c>
      <c r="F5608" s="7" t="str">
        <f aca="false">IFERROR(INDEX(02_轉折點45個!B:B,MATCH(A5608,02_轉折點45個!A:A,0)),"")</f>
        <v/>
      </c>
      <c r="G5608" s="7" t="s">
        <v>5494</v>
      </c>
    </row>
    <row r="5609" customFormat="false" ht="15" hidden="false" customHeight="false" outlineLevel="0" collapsed="false">
      <c r="A5609" s="7" t="s">
        <v>1611</v>
      </c>
      <c r="B5609" s="7" t="n">
        <v>14026.19</v>
      </c>
      <c r="C5609" s="7" t="n">
        <f aca="false">AVERAGE(B5560:B5609)</f>
        <v>13267.2714</v>
      </c>
      <c r="D5609" s="7" t="n">
        <f aca="false">AVERAGE(B5410:B5609)</f>
        <v>12154.8336</v>
      </c>
      <c r="E5609" s="7" t="n">
        <f aca="false">B5609/MAX(B5358:B5609)-1</f>
        <v>0</v>
      </c>
      <c r="F5609" s="7" t="str">
        <f aca="false">IFERROR(INDEX(02_轉折點45個!B:B,MATCH(A5609,02_轉折點45個!A:A,0)),"")</f>
        <v/>
      </c>
      <c r="G5609" s="7" t="s">
        <v>5494</v>
      </c>
    </row>
    <row r="5610" customFormat="false" ht="15" hidden="false" customHeight="false" outlineLevel="0" collapsed="false">
      <c r="A5610" s="7" t="s">
        <v>6348</v>
      </c>
      <c r="B5610" s="7" t="n">
        <v>14041.91</v>
      </c>
      <c r="C5610" s="7" t="n">
        <f aca="false">AVERAGE(B5561:B5610)</f>
        <v>13280.0622</v>
      </c>
      <c r="D5610" s="7" t="n">
        <f aca="false">AVERAGE(B5411:B5610)</f>
        <v>12174.2589</v>
      </c>
      <c r="E5610" s="7" t="n">
        <f aca="false">B5610/MAX(B5359:B5610)-1</f>
        <v>0</v>
      </c>
      <c r="F5610" s="7" t="str">
        <f aca="false">IFERROR(INDEX(02_轉折點45個!B:B,MATCH(A5610,02_轉折點45個!A:A,0)),"")</f>
        <v/>
      </c>
      <c r="G5610" s="7" t="s">
        <v>5494</v>
      </c>
    </row>
    <row r="5611" customFormat="false" ht="15" hidden="false" customHeight="false" outlineLevel="0" collapsed="false">
      <c r="A5611" s="7" t="s">
        <v>1612</v>
      </c>
      <c r="B5611" s="7" t="n">
        <v>13907.67</v>
      </c>
      <c r="C5611" s="7" t="n">
        <f aca="false">AVERAGE(B5562:B5611)</f>
        <v>13286.9978</v>
      </c>
      <c r="D5611" s="7" t="n">
        <f aca="false">AVERAGE(B5412:B5611)</f>
        <v>12192.401</v>
      </c>
      <c r="E5611" s="7" t="n">
        <f aca="false">B5611/MAX(B5360:B5611)-1</f>
        <v>-0.00955995302633328</v>
      </c>
      <c r="F5611" s="7" t="str">
        <f aca="false">IFERROR(INDEX(02_轉折點45個!B:B,MATCH(A5611,02_轉折點45個!A:A,0)),"")</f>
        <v/>
      </c>
      <c r="G5611" s="7" t="s">
        <v>5494</v>
      </c>
    </row>
    <row r="5612" customFormat="false" ht="15" hidden="false" customHeight="false" outlineLevel="0" collapsed="false">
      <c r="A5612" s="7" t="s">
        <v>6349</v>
      </c>
      <c r="B5612" s="7" t="n">
        <v>13809.3</v>
      </c>
      <c r="C5612" s="7" t="n">
        <f aca="false">AVERAGE(B5563:B5612)</f>
        <v>13291.1046</v>
      </c>
      <c r="D5612" s="7" t="n">
        <f aca="false">AVERAGE(B5413:B5612)</f>
        <v>12209.73805</v>
      </c>
      <c r="E5612" s="7" t="n">
        <f aca="false">B5612/MAX(B5361:B5612)-1</f>
        <v>-0.0165654102611398</v>
      </c>
      <c r="F5612" s="7" t="str">
        <f aca="false">IFERROR(INDEX(02_轉折點45個!B:B,MATCH(A5612,02_轉折點45個!A:A,0)),"")</f>
        <v/>
      </c>
      <c r="G5612" s="7" t="s">
        <v>5494</v>
      </c>
    </row>
    <row r="5613" customFormat="false" ht="15" hidden="false" customHeight="false" outlineLevel="0" collapsed="false">
      <c r="A5613" s="7" t="s">
        <v>6350</v>
      </c>
      <c r="B5613" s="7" t="n">
        <v>13935.15</v>
      </c>
      <c r="C5613" s="7" t="n">
        <f aca="false">AVERAGE(B5564:B5613)</f>
        <v>13295.9072</v>
      </c>
      <c r="D5613" s="7" t="n">
        <f aca="false">AVERAGE(B5414:B5613)</f>
        <v>12226.3935</v>
      </c>
      <c r="E5613" s="7" t="n">
        <f aca="false">B5613/MAX(B5362:B5613)-1</f>
        <v>-0.00760295429895219</v>
      </c>
      <c r="F5613" s="7" t="str">
        <f aca="false">IFERROR(INDEX(02_轉折點45個!B:B,MATCH(A5613,02_轉折點45個!A:A,0)),"")</f>
        <v/>
      </c>
      <c r="G5613" s="7" t="s">
        <v>5494</v>
      </c>
    </row>
    <row r="5614" customFormat="false" ht="15" hidden="false" customHeight="false" outlineLevel="0" collapsed="false">
      <c r="A5614" s="7" t="s">
        <v>1613</v>
      </c>
      <c r="B5614" s="7" t="n">
        <v>13762.36</v>
      </c>
      <c r="C5614" s="7" t="n">
        <f aca="false">AVERAGE(B5565:B5614)</f>
        <v>13297.4128</v>
      </c>
      <c r="D5614" s="7" t="n">
        <f aca="false">AVERAGE(B5415:B5614)</f>
        <v>12242.58525</v>
      </c>
      <c r="E5614" s="7" t="n">
        <f aca="false">B5614/MAX(B5363:B5614)-1</f>
        <v>-0.0199082603435002</v>
      </c>
      <c r="F5614" s="7" t="str">
        <f aca="false">IFERROR(INDEX(02_轉折點45個!B:B,MATCH(A5614,02_轉折點45個!A:A,0)),"")</f>
        <v/>
      </c>
      <c r="G5614" s="7" t="s">
        <v>5494</v>
      </c>
    </row>
    <row r="5615" customFormat="false" ht="15" hidden="false" customHeight="false" outlineLevel="0" collapsed="false">
      <c r="A5615" s="7" t="s">
        <v>6351</v>
      </c>
      <c r="B5615" s="7" t="n">
        <v>13941.44</v>
      </c>
      <c r="C5615" s="7" t="n">
        <f aca="false">AVERAGE(B5566:B5615)</f>
        <v>13303.1362</v>
      </c>
      <c r="D5615" s="7" t="n">
        <f aca="false">AVERAGE(B5416:B5615)</f>
        <v>12258.95895</v>
      </c>
      <c r="E5615" s="7" t="n">
        <f aca="false">B5615/MAX(B5364:B5615)-1</f>
        <v>-0.00715500953930048</v>
      </c>
      <c r="F5615" s="7" t="str">
        <f aca="false">IFERROR(INDEX(02_轉折點45個!B:B,MATCH(A5615,02_轉折點45個!A:A,0)),"")</f>
        <v/>
      </c>
      <c r="G5615" s="7" t="s">
        <v>5494</v>
      </c>
    </row>
    <row r="5616" customFormat="false" ht="15" hidden="false" customHeight="false" outlineLevel="0" collapsed="false">
      <c r="A5616" s="7" t="s">
        <v>6352</v>
      </c>
      <c r="B5616" s="7" t="n">
        <v>14026.16</v>
      </c>
      <c r="C5616" s="7" t="n">
        <f aca="false">AVERAGE(B5567:B5616)</f>
        <v>13308.9724</v>
      </c>
      <c r="D5616" s="7" t="n">
        <f aca="false">AVERAGE(B5417:B5616)</f>
        <v>12275.3168</v>
      </c>
      <c r="E5616" s="7" t="n">
        <f aca="false">B5616/MAX(B5365:B5616)-1</f>
        <v>-0.00112164228370637</v>
      </c>
      <c r="F5616" s="7" t="str">
        <f aca="false">IFERROR(INDEX(02_轉折點45個!B:B,MATCH(A5616,02_轉折點45個!A:A,0)),"")</f>
        <v/>
      </c>
      <c r="G5616" s="7" t="s">
        <v>5494</v>
      </c>
    </row>
    <row r="5617" customFormat="false" ht="15" hidden="false" customHeight="false" outlineLevel="0" collapsed="false">
      <c r="A5617" s="7" t="s">
        <v>6353</v>
      </c>
      <c r="B5617" s="7" t="n">
        <v>13960.28</v>
      </c>
      <c r="C5617" s="7" t="n">
        <f aca="false">AVERAGE(B5568:B5617)</f>
        <v>13312.024</v>
      </c>
      <c r="D5617" s="7" t="n">
        <f aca="false">AVERAGE(B5418:B5617)</f>
        <v>12290.93655</v>
      </c>
      <c r="E5617" s="7" t="n">
        <f aca="false">B5617/MAX(B5366:B5617)-1</f>
        <v>-0.0058133117218383</v>
      </c>
      <c r="F5617" s="7" t="str">
        <f aca="false">IFERROR(INDEX(02_轉折點45個!B:B,MATCH(A5617,02_轉折點45個!A:A,0)),"")</f>
        <v/>
      </c>
      <c r="G5617" s="7" t="s">
        <v>5494</v>
      </c>
    </row>
    <row r="5618" customFormat="false" ht="15" hidden="false" customHeight="false" outlineLevel="0" collapsed="false">
      <c r="A5618" s="7" t="s">
        <v>1614</v>
      </c>
      <c r="B5618" s="7" t="n">
        <v>13901.62</v>
      </c>
      <c r="C5618" s="7" t="n">
        <f aca="false">AVERAGE(B5569:B5618)</f>
        <v>13314.581</v>
      </c>
      <c r="D5618" s="7" t="n">
        <f aca="false">AVERAGE(B5419:B5618)</f>
        <v>12307.4336</v>
      </c>
      <c r="E5618" s="7" t="n">
        <f aca="false">B5618/MAX(B5367:B5618)-1</f>
        <v>-0.00999080609404268</v>
      </c>
      <c r="F5618" s="7" t="str">
        <f aca="false">IFERROR(INDEX(02_轉折點45個!B:B,MATCH(A5618,02_轉折點45個!A:A,0)),"")</f>
        <v/>
      </c>
      <c r="G5618" s="7" t="s">
        <v>5494</v>
      </c>
    </row>
    <row r="5619" customFormat="false" ht="15" hidden="false" customHeight="false" outlineLevel="0" collapsed="false">
      <c r="A5619" s="7" t="s">
        <v>6354</v>
      </c>
      <c r="B5619" s="7" t="n">
        <v>13970.2</v>
      </c>
      <c r="C5619" s="7" t="n">
        <f aca="false">AVERAGE(B5570:B5619)</f>
        <v>13319.9908</v>
      </c>
      <c r="D5619" s="7" t="n">
        <f aca="false">AVERAGE(B5420:B5619)</f>
        <v>12323.837</v>
      </c>
      <c r="E5619" s="7" t="n">
        <f aca="false">B5619/MAX(B5368:B5619)-1</f>
        <v>-0.00510685512156106</v>
      </c>
      <c r="F5619" s="7" t="str">
        <f aca="false">IFERROR(INDEX(02_轉折點45個!B:B,MATCH(A5619,02_轉折點45個!A:A,0)),"")</f>
        <v/>
      </c>
      <c r="G5619" s="7" t="s">
        <v>5494</v>
      </c>
    </row>
    <row r="5620" customFormat="false" ht="15" hidden="false" customHeight="false" outlineLevel="0" collapsed="false">
      <c r="A5620" s="7" t="s">
        <v>1615</v>
      </c>
      <c r="B5620" s="7" t="n">
        <v>13860.76</v>
      </c>
      <c r="C5620" s="7" t="n">
        <f aca="false">AVERAGE(B5571:B5620)</f>
        <v>13324.4558</v>
      </c>
      <c r="D5620" s="7" t="n">
        <f aca="false">AVERAGE(B5421:B5620)</f>
        <v>12339.6324</v>
      </c>
      <c r="E5620" s="7" t="n">
        <f aca="false">B5620/MAX(B5369:B5620)-1</f>
        <v>-0.0129006666472011</v>
      </c>
      <c r="F5620" s="7" t="str">
        <f aca="false">IFERROR(INDEX(02_轉折點45個!B:B,MATCH(A5620,02_轉折點45個!A:A,0)),"")</f>
        <v/>
      </c>
      <c r="G5620" s="7" t="s">
        <v>5494</v>
      </c>
    </row>
    <row r="5621" customFormat="false" ht="15" hidden="false" customHeight="false" outlineLevel="0" collapsed="false">
      <c r="A5621" s="7" t="s">
        <v>6355</v>
      </c>
      <c r="B5621" s="7" t="n">
        <v>13799.72</v>
      </c>
      <c r="C5621" s="7" t="n">
        <f aca="false">AVERAGE(B5572:B5621)</f>
        <v>13328.8346</v>
      </c>
      <c r="D5621" s="7" t="n">
        <f aca="false">AVERAGE(B5422:B5621)</f>
        <v>12355.4987</v>
      </c>
      <c r="E5621" s="7" t="n">
        <f aca="false">B5621/MAX(B5370:B5621)-1</f>
        <v>-0.0172476536311657</v>
      </c>
      <c r="F5621" s="7" t="str">
        <f aca="false">IFERROR(INDEX(02_轉折點45個!B:B,MATCH(A5621,02_轉折點45個!A:A,0)),"")</f>
        <v/>
      </c>
      <c r="G5621" s="7" t="s">
        <v>5494</v>
      </c>
    </row>
    <row r="5622" customFormat="false" ht="15" hidden="false" customHeight="false" outlineLevel="0" collapsed="false">
      <c r="A5622" s="7" t="s">
        <v>1616</v>
      </c>
      <c r="B5622" s="7" t="n">
        <v>13544.67</v>
      </c>
      <c r="C5622" s="7" t="n">
        <f aca="false">AVERAGE(B5573:B5622)</f>
        <v>13335.2532</v>
      </c>
      <c r="D5622" s="7" t="n">
        <f aca="false">AVERAGE(B5423:B5622)</f>
        <v>12369.99595</v>
      </c>
      <c r="E5622" s="7" t="n">
        <f aca="false">B5622/MAX(B5371:B5622)-1</f>
        <v>-0.0354111370889003</v>
      </c>
      <c r="F5622" s="7" t="str">
        <f aca="false">IFERROR(INDEX(02_轉折點45個!B:B,MATCH(A5622,02_轉折點45個!A:A,0)),"")</f>
        <v/>
      </c>
      <c r="G5622" s="7" t="s">
        <v>5494</v>
      </c>
    </row>
    <row r="5623" customFormat="false" ht="15" hidden="false" customHeight="false" outlineLevel="0" collapsed="false">
      <c r="A5623" s="7" t="s">
        <v>6356</v>
      </c>
      <c r="B5623" s="7" t="n">
        <v>13503.37</v>
      </c>
      <c r="C5623" s="7" t="n">
        <f aca="false">AVERAGE(B5574:B5623)</f>
        <v>13341.4264</v>
      </c>
      <c r="D5623" s="7" t="n">
        <f aca="false">AVERAGE(B5424:B5623)</f>
        <v>12382.7524</v>
      </c>
      <c r="E5623" s="7" t="n">
        <f aca="false">B5623/MAX(B5372:B5623)-1</f>
        <v>-0.0383523324106193</v>
      </c>
      <c r="F5623" s="7" t="str">
        <f aca="false">IFERROR(INDEX(02_轉折點45個!B:B,MATCH(A5623,02_轉折點45個!A:A,0)),"")</f>
        <v/>
      </c>
      <c r="G5623" s="7" t="s">
        <v>5494</v>
      </c>
    </row>
    <row r="5624" customFormat="false" ht="15" hidden="false" customHeight="false" outlineLevel="0" collapsed="false">
      <c r="A5624" s="7" t="s">
        <v>6357</v>
      </c>
      <c r="B5624" s="7" t="n">
        <v>13613.73</v>
      </c>
      <c r="C5624" s="7" t="n">
        <f aca="false">AVERAGE(B5575:B5624)</f>
        <v>13347.6572</v>
      </c>
      <c r="D5624" s="7" t="n">
        <f aca="false">AVERAGE(B5425:B5624)</f>
        <v>12396.6557</v>
      </c>
      <c r="E5624" s="7" t="n">
        <f aca="false">B5624/MAX(B5373:B5624)-1</f>
        <v>-0.0304930027325343</v>
      </c>
      <c r="F5624" s="7" t="str">
        <f aca="false">IFERROR(INDEX(02_轉折點45個!B:B,MATCH(A5624,02_轉折點45個!A:A,0)),"")</f>
        <v/>
      </c>
      <c r="G5624" s="7" t="s">
        <v>5494</v>
      </c>
    </row>
    <row r="5625" customFormat="false" ht="15" hidden="false" customHeight="false" outlineLevel="0" collapsed="false">
      <c r="A5625" s="7" t="s">
        <v>6358</v>
      </c>
      <c r="B5625" s="7" t="n">
        <v>13719.63</v>
      </c>
      <c r="C5625" s="7" t="n">
        <f aca="false">AVERAGE(B5576:B5625)</f>
        <v>13365.4836</v>
      </c>
      <c r="D5625" s="7" t="n">
        <f aca="false">AVERAGE(B5426:B5625)</f>
        <v>12410.9001</v>
      </c>
      <c r="E5625" s="7" t="n">
        <f aca="false">B5625/MAX(B5374:B5625)-1</f>
        <v>-0.0229512936630416</v>
      </c>
      <c r="F5625" s="7" t="str">
        <f aca="false">IFERROR(INDEX(02_轉折點45個!B:B,MATCH(A5625,02_轉折點45個!A:A,0)),"")</f>
        <v/>
      </c>
      <c r="G5625" s="7" t="s">
        <v>5494</v>
      </c>
    </row>
    <row r="5626" customFormat="false" ht="15" hidden="false" customHeight="false" outlineLevel="0" collapsed="false">
      <c r="A5626" s="7" t="s">
        <v>1617</v>
      </c>
      <c r="B5626" s="7" t="n">
        <v>13359.08</v>
      </c>
      <c r="C5626" s="7" t="n">
        <f aca="false">AVERAGE(B5577:B5626)</f>
        <v>13374.4764</v>
      </c>
      <c r="D5626" s="7" t="n">
        <f aca="false">AVERAGE(B5427:B5626)</f>
        <v>12424.79255</v>
      </c>
      <c r="E5626" s="7" t="n">
        <f aca="false">B5626/MAX(B5375:B5626)-1</f>
        <v>-0.0486280000370321</v>
      </c>
      <c r="F5626" s="7" t="str">
        <f aca="false">IFERROR(INDEX(02_轉折點45個!B:B,MATCH(A5626,02_轉折點45個!A:A,0)),"")</f>
        <v/>
      </c>
      <c r="G5626" s="7" t="s">
        <v>5494</v>
      </c>
    </row>
    <row r="5627" customFormat="false" ht="15" hidden="false" customHeight="false" outlineLevel="0" collapsed="false">
      <c r="A5627" s="7" t="s">
        <v>1618</v>
      </c>
      <c r="B5627" s="7" t="n">
        <v>13351.27</v>
      </c>
      <c r="C5627" s="7" t="n">
        <f aca="false">AVERAGE(B5578:B5627)</f>
        <v>13375.8428</v>
      </c>
      <c r="D5627" s="7" t="n">
        <f aca="false">AVERAGE(B5428:B5627)</f>
        <v>12439.13325</v>
      </c>
      <c r="E5627" s="7" t="n">
        <f aca="false">B5627/MAX(B5376:B5627)-1</f>
        <v>-0.0491841921789842</v>
      </c>
      <c r="F5627" s="7" t="str">
        <f aca="false">IFERROR(INDEX(02_轉折點45個!B:B,MATCH(A5627,02_轉折點45個!A:A,0)),"")</f>
        <v/>
      </c>
      <c r="G5627" s="7" t="s">
        <v>5494</v>
      </c>
    </row>
    <row r="5628" customFormat="false" ht="15" hidden="false" customHeight="false" outlineLevel="0" collapsed="false">
      <c r="A5628" s="7" t="s">
        <v>1619</v>
      </c>
      <c r="B5628" s="7" t="n">
        <v>13001.63</v>
      </c>
      <c r="C5628" s="7" t="n">
        <f aca="false">AVERAGE(B5579:B5628)</f>
        <v>13374.6764</v>
      </c>
      <c r="D5628" s="7" t="n">
        <f aca="false">AVERAGE(B5429:B5628)</f>
        <v>12450.7695</v>
      </c>
      <c r="E5628" s="7" t="n">
        <f aca="false">B5628/MAX(B5377:B5628)-1</f>
        <v>-0.0740839387234358</v>
      </c>
      <c r="F5628" s="7" t="str">
        <f aca="false">IFERROR(INDEX(02_轉折點45個!B:B,MATCH(A5628,02_轉折點45個!A:A,0)),"")</f>
        <v/>
      </c>
      <c r="G5628" s="7" t="s">
        <v>5494</v>
      </c>
    </row>
    <row r="5629" customFormat="false" ht="15" hidden="false" customHeight="false" outlineLevel="0" collapsed="false">
      <c r="A5629" s="7" t="s">
        <v>6359</v>
      </c>
      <c r="B5629" s="7" t="n">
        <v>13109.15</v>
      </c>
      <c r="C5629" s="7" t="n">
        <f aca="false">AVERAGE(B5580:B5629)</f>
        <v>13383.1928</v>
      </c>
      <c r="D5629" s="7" t="n">
        <f aca="false">AVERAGE(B5430:B5629)</f>
        <v>12463.65275</v>
      </c>
      <c r="E5629" s="7" t="n">
        <f aca="false">B5629/MAX(B5378:B5629)-1</f>
        <v>-0.0664268607333333</v>
      </c>
      <c r="F5629" s="7" t="str">
        <f aca="false">IFERROR(INDEX(02_轉折點45個!B:B,MATCH(A5629,02_轉折點45個!A:A,0)),"")</f>
        <v/>
      </c>
      <c r="G5629" s="7" t="s">
        <v>5494</v>
      </c>
    </row>
    <row r="5630" customFormat="false" ht="15" hidden="false" customHeight="false" outlineLevel="0" collapsed="false">
      <c r="A5630" s="7" t="s">
        <v>1620</v>
      </c>
      <c r="B5630" s="7" t="n">
        <v>13393.12</v>
      </c>
      <c r="C5630" s="7" t="n">
        <f aca="false">AVERAGE(B5581:B5630)</f>
        <v>13401.7752</v>
      </c>
      <c r="D5630" s="7" t="n">
        <f aca="false">AVERAGE(B5431:B5630)</f>
        <v>12477.30345</v>
      </c>
      <c r="E5630" s="7" t="n">
        <f aca="false">B5630/MAX(B5379:B5630)-1</f>
        <v>-0.0462038283965642</v>
      </c>
      <c r="F5630" s="7" t="str">
        <f aca="false">IFERROR(INDEX(02_轉折點45個!B:B,MATCH(A5630,02_轉折點45個!A:A,0)),"")</f>
        <v/>
      </c>
      <c r="G5630" s="7" t="s">
        <v>5494</v>
      </c>
    </row>
    <row r="5631" customFormat="false" ht="15" hidden="false" customHeight="false" outlineLevel="0" collapsed="false">
      <c r="A5631" s="7" t="s">
        <v>6360</v>
      </c>
      <c r="B5631" s="7" t="n">
        <v>13312.91</v>
      </c>
      <c r="C5631" s="7" t="n">
        <f aca="false">AVERAGE(B5582:B5631)</f>
        <v>13414.6632</v>
      </c>
      <c r="D5631" s="7" t="n">
        <f aca="false">AVERAGE(B5432:B5631)</f>
        <v>12490.29045</v>
      </c>
      <c r="E5631" s="7" t="n">
        <f aca="false">B5631/MAX(B5380:B5631)-1</f>
        <v>-0.0519160142744114</v>
      </c>
      <c r="F5631" s="7" t="str">
        <f aca="false">IFERROR(INDEX(02_轉折點45個!B:B,MATCH(A5631,02_轉折點45個!A:A,0)),"")</f>
        <v/>
      </c>
      <c r="G5631" s="7" t="s">
        <v>5494</v>
      </c>
    </row>
    <row r="5632" customFormat="false" ht="15" hidden="false" customHeight="false" outlineLevel="0" collapsed="false">
      <c r="A5632" s="7" t="s">
        <v>6361</v>
      </c>
      <c r="B5632" s="7" t="n">
        <v>13217.68</v>
      </c>
      <c r="C5632" s="7" t="n">
        <f aca="false">AVERAGE(B5583:B5632)</f>
        <v>13433.0352</v>
      </c>
      <c r="D5632" s="7" t="n">
        <f aca="false">AVERAGE(B5433:B5632)</f>
        <v>12501.84945</v>
      </c>
      <c r="E5632" s="7" t="n">
        <f aca="false">B5632/MAX(B5381:B5632)-1</f>
        <v>-0.0586978552063073</v>
      </c>
      <c r="F5632" s="7" t="str">
        <f aca="false">IFERROR(INDEX(02_轉折點45個!B:B,MATCH(A5632,02_轉折點45個!A:A,0)),"")</f>
        <v/>
      </c>
      <c r="G5632" s="7" t="s">
        <v>5494</v>
      </c>
    </row>
    <row r="5633" customFormat="false" ht="15" hidden="false" customHeight="false" outlineLevel="0" collapsed="false">
      <c r="A5633" s="7" t="s">
        <v>1621</v>
      </c>
      <c r="B5633" s="7" t="n">
        <v>13237.91</v>
      </c>
      <c r="C5633" s="7" t="n">
        <f aca="false">AVERAGE(B5584:B5633)</f>
        <v>13441.9036</v>
      </c>
      <c r="D5633" s="7" t="n">
        <f aca="false">AVERAGE(B5434:B5633)</f>
        <v>12512.7636</v>
      </c>
      <c r="E5633" s="7" t="n">
        <f aca="false">B5633/MAX(B5382:B5633)-1</f>
        <v>-0.0572571680063467</v>
      </c>
      <c r="F5633" s="7" t="str">
        <f aca="false">IFERROR(INDEX(02_轉折點45個!B:B,MATCH(A5633,02_轉折點45個!A:A,0)),"")</f>
        <v/>
      </c>
      <c r="G5633" s="7" t="s">
        <v>5494</v>
      </c>
    </row>
    <row r="5634" customFormat="false" ht="15" hidden="false" customHeight="false" outlineLevel="0" collapsed="false">
      <c r="A5634" s="7" t="s">
        <v>1622</v>
      </c>
      <c r="B5634" s="7" t="n">
        <v>13494.09</v>
      </c>
      <c r="C5634" s="7" t="n">
        <f aca="false">AVERAGE(B5585:B5634)</f>
        <v>13456.744</v>
      </c>
      <c r="D5634" s="7" t="n">
        <f aca="false">AVERAGE(B5435:B5634)</f>
        <v>12524.75135</v>
      </c>
      <c r="E5634" s="7" t="n">
        <f aca="false">B5634/MAX(B5383:B5634)-1</f>
        <v>-0.0390132111657174</v>
      </c>
      <c r="F5634" s="7" t="str">
        <f aca="false">IFERROR(INDEX(02_轉折點45個!B:B,MATCH(A5634,02_轉折點45個!A:A,0)),"")</f>
        <v/>
      </c>
      <c r="G5634" s="7" t="s">
        <v>5494</v>
      </c>
    </row>
    <row r="5635" customFormat="false" ht="15" hidden="false" customHeight="false" outlineLevel="0" collapsed="false">
      <c r="A5635" s="7" t="s">
        <v>6362</v>
      </c>
      <c r="B5635" s="7" t="n">
        <v>13411.74</v>
      </c>
      <c r="C5635" s="7" t="n">
        <f aca="false">AVERAGE(B5586:B5635)</f>
        <v>13463.9208</v>
      </c>
      <c r="D5635" s="7" t="n">
        <f aca="false">AVERAGE(B5436:B5635)</f>
        <v>12536.18285</v>
      </c>
      <c r="E5635" s="7" t="n">
        <f aca="false">B5635/MAX(B5384:B5635)-1</f>
        <v>-0.0448777979633824</v>
      </c>
      <c r="F5635" s="7" t="str">
        <f aca="false">IFERROR(INDEX(02_轉折點45個!B:B,MATCH(A5635,02_轉折點45個!A:A,0)),"")</f>
        <v/>
      </c>
      <c r="G5635" s="7" t="s">
        <v>5494</v>
      </c>
    </row>
    <row r="5636" customFormat="false" ht="15" hidden="false" customHeight="false" outlineLevel="0" collapsed="false">
      <c r="A5636" s="7" t="s">
        <v>6363</v>
      </c>
      <c r="B5636" s="7" t="n">
        <v>13641.75</v>
      </c>
      <c r="C5636" s="7" t="n">
        <f aca="false">AVERAGE(B5587:B5636)</f>
        <v>13478.01</v>
      </c>
      <c r="D5636" s="7" t="n">
        <f aca="false">AVERAGE(B5437:B5636)</f>
        <v>12548.0562</v>
      </c>
      <c r="E5636" s="7" t="n">
        <f aca="false">B5636/MAX(B5385:B5636)-1</f>
        <v>-0.0284975476982832</v>
      </c>
      <c r="F5636" s="7" t="str">
        <f aca="false">IFERROR(INDEX(02_轉折點45個!B:B,MATCH(A5636,02_轉折點45個!A:A,0)),"")</f>
        <v/>
      </c>
      <c r="G5636" s="7" t="s">
        <v>5494</v>
      </c>
    </row>
    <row r="5637" customFormat="false" ht="15" hidden="false" customHeight="false" outlineLevel="0" collapsed="false">
      <c r="A5637" s="7" t="s">
        <v>6364</v>
      </c>
      <c r="B5637" s="7" t="n">
        <v>13657.73</v>
      </c>
      <c r="C5637" s="7" t="n">
        <f aca="false">AVERAGE(B5588:B5637)</f>
        <v>13489.5138</v>
      </c>
      <c r="D5637" s="7" t="n">
        <f aca="false">AVERAGE(B5438:B5637)</f>
        <v>12560.6479</v>
      </c>
      <c r="E5637" s="7" t="n">
        <f aca="false">B5637/MAX(B5386:B5637)-1</f>
        <v>-0.0273595258764655</v>
      </c>
      <c r="F5637" s="7" t="str">
        <f aca="false">IFERROR(INDEX(02_轉折點45個!B:B,MATCH(A5637,02_轉折點45個!A:A,0)),"")</f>
        <v/>
      </c>
      <c r="G5637" s="7" t="s">
        <v>5494</v>
      </c>
    </row>
    <row r="5638" customFormat="false" ht="15" hidden="false" customHeight="false" outlineLevel="0" collapsed="false">
      <c r="A5638" s="7" t="s">
        <v>6365</v>
      </c>
      <c r="B5638" s="7" t="n">
        <v>13702.74</v>
      </c>
      <c r="C5638" s="7" t="n">
        <f aca="false">AVERAGE(B5589:B5638)</f>
        <v>13500.523</v>
      </c>
      <c r="D5638" s="7" t="n">
        <f aca="false">AVERAGE(B5439:B5638)</f>
        <v>12573.73575</v>
      </c>
      <c r="E5638" s="7" t="n">
        <f aca="false">B5638/MAX(B5387:B5638)-1</f>
        <v>-0.0241541214834734</v>
      </c>
      <c r="F5638" s="7" t="str">
        <f aca="false">IFERROR(INDEX(02_轉折點45個!B:B,MATCH(A5638,02_轉折點45個!A:A,0)),"")</f>
        <v/>
      </c>
      <c r="G5638" s="7" t="s">
        <v>5494</v>
      </c>
    </row>
    <row r="5639" customFormat="false" ht="15" hidden="false" customHeight="false" outlineLevel="0" collapsed="false">
      <c r="A5639" s="7" t="s">
        <v>6366</v>
      </c>
      <c r="B5639" s="7" t="n">
        <v>13657.85</v>
      </c>
      <c r="C5639" s="7" t="n">
        <f aca="false">AVERAGE(B5590:B5639)</f>
        <v>13509.6324</v>
      </c>
      <c r="D5639" s="7" t="n">
        <f aca="false">AVERAGE(B5440:B5639)</f>
        <v>12587.6446</v>
      </c>
      <c r="E5639" s="7" t="n">
        <f aca="false">B5639/MAX(B5388:B5639)-1</f>
        <v>-0.0273509800304944</v>
      </c>
      <c r="F5639" s="7" t="str">
        <f aca="false">IFERROR(INDEX(02_轉折點45個!B:B,MATCH(A5639,02_轉折點45個!A:A,0)),"")</f>
        <v/>
      </c>
      <c r="G5639" s="7" t="s">
        <v>5494</v>
      </c>
    </row>
    <row r="5640" customFormat="false" ht="15" hidden="false" customHeight="false" outlineLevel="0" collapsed="false">
      <c r="A5640" s="7" t="s">
        <v>6367</v>
      </c>
      <c r="B5640" s="7" t="n">
        <v>13686.51</v>
      </c>
      <c r="C5640" s="7" t="n">
        <f aca="false">AVERAGE(B5591:B5640)</f>
        <v>13527.5798</v>
      </c>
      <c r="D5640" s="7" t="n">
        <f aca="false">AVERAGE(B5441:B5640)</f>
        <v>12600.28855</v>
      </c>
      <c r="E5640" s="7" t="n">
        <f aca="false">B5640/MAX(B5389:B5640)-1</f>
        <v>-0.0253099471510642</v>
      </c>
      <c r="F5640" s="7" t="str">
        <f aca="false">IFERROR(INDEX(02_轉折點45個!B:B,MATCH(A5640,02_轉折點45個!A:A,0)),"")</f>
        <v/>
      </c>
      <c r="G5640" s="7" t="s">
        <v>5494</v>
      </c>
    </row>
    <row r="5641" customFormat="false" ht="15" hidden="false" customHeight="false" outlineLevel="0" collapsed="false">
      <c r="A5641" s="7" t="s">
        <v>6368</v>
      </c>
      <c r="B5641" s="7" t="n">
        <v>13654.59</v>
      </c>
      <c r="C5641" s="7" t="n">
        <f aca="false">AVERAGE(B5592:B5641)</f>
        <v>13543.3318</v>
      </c>
      <c r="D5641" s="7" t="n">
        <f aca="false">AVERAGE(B5442:B5641)</f>
        <v>12612.66965</v>
      </c>
      <c r="E5641" s="7" t="n">
        <f aca="false">B5641/MAX(B5390:B5641)-1</f>
        <v>-0.0275831421793759</v>
      </c>
      <c r="F5641" s="7" t="str">
        <f aca="false">IFERROR(INDEX(02_轉折點45個!B:B,MATCH(A5641,02_轉折點45個!A:A,0)),"")</f>
        <v/>
      </c>
      <c r="G5641" s="7" t="s">
        <v>5494</v>
      </c>
    </row>
    <row r="5642" customFormat="false" ht="15" hidden="false" customHeight="false" outlineLevel="0" collapsed="false">
      <c r="A5642" s="7" t="s">
        <v>6369</v>
      </c>
      <c r="B5642" s="7" t="n">
        <v>13675.79</v>
      </c>
      <c r="C5642" s="7" t="n">
        <f aca="false">AVERAGE(B5593:B5642)</f>
        <v>13555.1174</v>
      </c>
      <c r="D5642" s="7" t="n">
        <f aca="false">AVERAGE(B5443:B5642)</f>
        <v>12625.22635</v>
      </c>
      <c r="E5642" s="7" t="n">
        <f aca="false">B5642/MAX(B5391:B5642)-1</f>
        <v>-0.0260733760578155</v>
      </c>
      <c r="F5642" s="7" t="str">
        <f aca="false">IFERROR(INDEX(02_轉折點45個!B:B,MATCH(A5642,02_轉折點45個!A:A,0)),"")</f>
        <v/>
      </c>
      <c r="G5642" s="7" t="s">
        <v>5494</v>
      </c>
    </row>
    <row r="5643" customFormat="false" ht="15" hidden="false" customHeight="false" outlineLevel="0" collapsed="false">
      <c r="A5643" s="7" t="s">
        <v>1623</v>
      </c>
      <c r="B5643" s="7" t="n">
        <v>13529.68</v>
      </c>
      <c r="C5643" s="7" t="n">
        <f aca="false">AVERAGE(B5594:B5643)</f>
        <v>13565.3552</v>
      </c>
      <c r="D5643" s="7" t="n">
        <f aca="false">AVERAGE(B5444:B5643)</f>
        <v>12636.4319</v>
      </c>
      <c r="E5643" s="7" t="n">
        <f aca="false">B5643/MAX(B5392:B5643)-1</f>
        <v>-0.0364786556814564</v>
      </c>
      <c r="F5643" s="7" t="str">
        <f aca="false">IFERROR(INDEX(02_轉折點45個!B:B,MATCH(A5643,02_轉折點45個!A:A,0)),"")</f>
        <v/>
      </c>
      <c r="G5643" s="7" t="s">
        <v>5494</v>
      </c>
    </row>
    <row r="5644" customFormat="false" ht="15" hidden="false" customHeight="false" outlineLevel="0" collapsed="false">
      <c r="A5644" s="7" t="s">
        <v>6370</v>
      </c>
      <c r="B5644" s="7" t="n">
        <v>13770.77</v>
      </c>
      <c r="C5644" s="7" t="n">
        <f aca="false">AVERAGE(B5595:B5644)</f>
        <v>13584.793</v>
      </c>
      <c r="D5644" s="7" t="n">
        <f aca="false">AVERAGE(B5445:B5644)</f>
        <v>12648.2906</v>
      </c>
      <c r="E5644" s="7" t="n">
        <f aca="false">B5644/MAX(B5393:B5644)-1</f>
        <v>-0.0193093389716925</v>
      </c>
      <c r="F5644" s="7" t="str">
        <f aca="false">IFERROR(INDEX(02_轉折點45個!B:B,MATCH(A5644,02_轉折點45個!A:A,0)),"")</f>
        <v/>
      </c>
      <c r="G5644" s="7" t="s">
        <v>5494</v>
      </c>
    </row>
    <row r="5645" customFormat="false" ht="15" hidden="false" customHeight="false" outlineLevel="0" collapsed="false">
      <c r="A5645" s="7" t="s">
        <v>6371</v>
      </c>
      <c r="B5645" s="7" t="n">
        <v>13802.89</v>
      </c>
      <c r="C5645" s="7" t="n">
        <f aca="false">AVERAGE(B5596:B5645)</f>
        <v>13605.2406</v>
      </c>
      <c r="D5645" s="7" t="n">
        <f aca="false">AVERAGE(B5446:B5645)</f>
        <v>12660.71185</v>
      </c>
      <c r="E5645" s="7" t="n">
        <f aca="false">B5645/MAX(B5394:B5645)-1</f>
        <v>-0.0170219008667625</v>
      </c>
      <c r="F5645" s="7" t="str">
        <f aca="false">IFERROR(INDEX(02_轉折點45個!B:B,MATCH(A5645,02_轉折點45個!A:A,0)),"")</f>
        <v/>
      </c>
      <c r="G5645" s="7" t="s">
        <v>5494</v>
      </c>
    </row>
    <row r="5646" customFormat="false" ht="15" hidden="false" customHeight="false" outlineLevel="0" collapsed="false">
      <c r="A5646" s="7" t="s">
        <v>6372</v>
      </c>
      <c r="B5646" s="7" t="n">
        <v>13810.86</v>
      </c>
      <c r="C5646" s="7" t="n">
        <f aca="false">AVERAGE(B5597:B5646)</f>
        <v>13621.8754</v>
      </c>
      <c r="D5646" s="7" t="n">
        <f aca="false">AVERAGE(B5447:B5646)</f>
        <v>12672.3809</v>
      </c>
      <c r="E5646" s="7" t="n">
        <f aca="false">B5646/MAX(B5395:B5646)-1</f>
        <v>-0.0164543142635154</v>
      </c>
      <c r="F5646" s="7" t="str">
        <f aca="false">IFERROR(INDEX(02_轉折點45個!B:B,MATCH(A5646,02_轉折點45個!A:A,0)),"")</f>
        <v/>
      </c>
      <c r="G5646" s="7" t="s">
        <v>5494</v>
      </c>
    </row>
    <row r="5647" customFormat="false" ht="15" hidden="false" customHeight="false" outlineLevel="0" collapsed="false">
      <c r="A5647" s="7" t="s">
        <v>6373</v>
      </c>
      <c r="B5647" s="7" t="n">
        <v>13814.94</v>
      </c>
      <c r="C5647" s="7" t="n">
        <f aca="false">AVERAGE(B5598:B5647)</f>
        <v>13638.8594</v>
      </c>
      <c r="D5647" s="7" t="n">
        <f aca="false">AVERAGE(B5448:B5647)</f>
        <v>12683.6798</v>
      </c>
      <c r="E5647" s="7" t="n">
        <f aca="false">B5647/MAX(B5396:B5647)-1</f>
        <v>-0.0161637555004981</v>
      </c>
      <c r="F5647" s="7" t="str">
        <f aca="false">IFERROR(INDEX(02_轉折點45個!B:B,MATCH(A5647,02_轉折點45個!A:A,0)),"")</f>
        <v/>
      </c>
      <c r="G5647" s="7" t="s">
        <v>5494</v>
      </c>
    </row>
    <row r="5648" customFormat="false" ht="15" hidden="false" customHeight="false" outlineLevel="0" collapsed="false">
      <c r="A5648" s="7" t="s">
        <v>6374</v>
      </c>
      <c r="B5648" s="7" t="n">
        <v>13960.35</v>
      </c>
      <c r="C5648" s="7" t="n">
        <f aca="false">AVERAGE(B5599:B5648)</f>
        <v>13660.1358</v>
      </c>
      <c r="D5648" s="7" t="n">
        <f aca="false">AVERAGE(B5449:B5648)</f>
        <v>12695.3507</v>
      </c>
      <c r="E5648" s="7" t="n">
        <f aca="false">B5648/MAX(B5397:B5648)-1</f>
        <v>-0.00580832664502196</v>
      </c>
      <c r="F5648" s="7" t="str">
        <f aca="false">IFERROR(INDEX(02_轉折點45個!B:B,MATCH(A5648,02_轉折點45個!A:A,0)),"")</f>
        <v/>
      </c>
      <c r="G5648" s="7" t="s">
        <v>5494</v>
      </c>
    </row>
    <row r="5649" customFormat="false" ht="15" hidden="false" customHeight="false" outlineLevel="0" collapsed="false">
      <c r="A5649" s="7" t="s">
        <v>6375</v>
      </c>
      <c r="B5649" s="7" t="n">
        <v>13998.3</v>
      </c>
      <c r="C5649" s="7" t="n">
        <f aca="false">AVERAGE(B5600:B5649)</f>
        <v>13678.273</v>
      </c>
      <c r="D5649" s="7" t="n">
        <f aca="false">AVERAGE(B5450:B5649)</f>
        <v>12706.73315</v>
      </c>
      <c r="E5649" s="7" t="n">
        <f aca="false">B5649/MAX(B5398:B5649)-1</f>
        <v>-0.00310570285666267</v>
      </c>
      <c r="F5649" s="7" t="str">
        <f aca="false">IFERROR(INDEX(02_轉折點45個!B:B,MATCH(A5649,02_轉折點45個!A:A,0)),"")</f>
        <v/>
      </c>
      <c r="G5649" s="7" t="s">
        <v>5494</v>
      </c>
    </row>
    <row r="5650" customFormat="false" ht="15" hidden="false" customHeight="false" outlineLevel="0" collapsed="false">
      <c r="A5650" s="7" t="s">
        <v>6376</v>
      </c>
      <c r="B5650" s="7" t="n">
        <v>14128.2</v>
      </c>
      <c r="C5650" s="7" t="n">
        <f aca="false">AVERAGE(B5601:B5650)</f>
        <v>13694.2466</v>
      </c>
      <c r="D5650" s="7" t="n">
        <f aca="false">AVERAGE(B5451:B5650)</f>
        <v>12717.51445</v>
      </c>
      <c r="E5650" s="7" t="n">
        <f aca="false">B5650/MAX(B5399:B5650)-1</f>
        <v>0</v>
      </c>
      <c r="F5650" s="7" t="str">
        <f aca="false">IFERROR(INDEX(02_轉折點45個!B:B,MATCH(A5650,02_轉折點45個!A:A,0)),"")</f>
        <v/>
      </c>
      <c r="G5650" s="7" t="s">
        <v>5494</v>
      </c>
    </row>
    <row r="5651" customFormat="false" ht="15" hidden="false" customHeight="false" outlineLevel="0" collapsed="false">
      <c r="A5651" s="7" t="s">
        <v>6377</v>
      </c>
      <c r="B5651" s="7" t="n">
        <v>14030.41</v>
      </c>
      <c r="C5651" s="7" t="n">
        <f aca="false">AVERAGE(B5602:B5651)</f>
        <v>13702.8916</v>
      </c>
      <c r="D5651" s="7" t="n">
        <f aca="false">AVERAGE(B5452:B5651)</f>
        <v>12728.0357</v>
      </c>
      <c r="E5651" s="7" t="n">
        <f aca="false">B5651/MAX(B5400:B5651)-1</f>
        <v>-0.00692161775739308</v>
      </c>
      <c r="F5651" s="7" t="str">
        <f aca="false">IFERROR(INDEX(02_轉折點45個!B:B,MATCH(A5651,02_轉折點45個!A:A,0)),"")</f>
        <v/>
      </c>
      <c r="G5651" s="7" t="s">
        <v>5494</v>
      </c>
    </row>
    <row r="5652" customFormat="false" ht="15" hidden="false" customHeight="false" outlineLevel="0" collapsed="false">
      <c r="A5652" s="7" t="s">
        <v>6378</v>
      </c>
      <c r="B5652" s="7" t="n">
        <v>13983.01</v>
      </c>
      <c r="C5652" s="7" t="n">
        <f aca="false">AVERAGE(B5603:B5652)</f>
        <v>13710.9826</v>
      </c>
      <c r="D5652" s="7" t="n">
        <f aca="false">AVERAGE(B5453:B5652)</f>
        <v>12737.9715</v>
      </c>
      <c r="E5652" s="7" t="n">
        <f aca="false">B5652/MAX(B5401:B5652)-1</f>
        <v>-0.0102766099007658</v>
      </c>
      <c r="F5652" s="7" t="str">
        <f aca="false">IFERROR(INDEX(02_轉折點45個!B:B,MATCH(A5652,02_轉折點45個!A:A,0)),"")</f>
        <v/>
      </c>
      <c r="G5652" s="7" t="s">
        <v>5494</v>
      </c>
    </row>
    <row r="5653" customFormat="false" ht="15" hidden="false" customHeight="false" outlineLevel="0" collapsed="false">
      <c r="A5653" s="7" t="s">
        <v>6379</v>
      </c>
      <c r="B5653" s="7" t="n">
        <v>14163.81</v>
      </c>
      <c r="C5653" s="7" t="n">
        <f aca="false">AVERAGE(B5604:B5653)</f>
        <v>13721.9248</v>
      </c>
      <c r="D5653" s="7" t="n">
        <f aca="false">AVERAGE(B5454:B5653)</f>
        <v>12748.23705</v>
      </c>
      <c r="E5653" s="7" t="n">
        <f aca="false">B5653/MAX(B5402:B5653)-1</f>
        <v>0</v>
      </c>
      <c r="F5653" s="7" t="str">
        <f aca="false">IFERROR(INDEX(02_轉折點45個!B:B,MATCH(A5653,02_轉折點45個!A:A,0)),"")</f>
        <v/>
      </c>
      <c r="G5653" s="7" t="s">
        <v>5494</v>
      </c>
    </row>
    <row r="5654" customFormat="false" ht="15" hidden="false" customHeight="false" outlineLevel="0" collapsed="false">
      <c r="A5654" s="7" t="s">
        <v>6380</v>
      </c>
      <c r="B5654" s="7" t="n">
        <v>14049.58</v>
      </c>
      <c r="C5654" s="7" t="n">
        <f aca="false">AVERAGE(B5605:B5654)</f>
        <v>13727.7462</v>
      </c>
      <c r="D5654" s="7" t="n">
        <f aca="false">AVERAGE(B5455:B5654)</f>
        <v>12757.02065</v>
      </c>
      <c r="E5654" s="7" t="n">
        <f aca="false">B5654/MAX(B5403:B5654)-1</f>
        <v>-0.0080649203851223</v>
      </c>
      <c r="F5654" s="7" t="str">
        <f aca="false">IFERROR(INDEX(02_轉折點45個!B:B,MATCH(A5654,02_轉折點45個!A:A,0)),"")</f>
        <v/>
      </c>
      <c r="G5654" s="7" t="s">
        <v>5494</v>
      </c>
    </row>
    <row r="5655" customFormat="false" ht="15" hidden="false" customHeight="false" outlineLevel="0" collapsed="false">
      <c r="A5655" s="7" t="s">
        <v>6381</v>
      </c>
      <c r="B5655" s="7" t="n">
        <v>14137.23</v>
      </c>
      <c r="C5655" s="7" t="n">
        <f aca="false">AVERAGE(B5606:B5655)</f>
        <v>13733.5896</v>
      </c>
      <c r="D5655" s="7" t="n">
        <f aca="false">AVERAGE(B5456:B5655)</f>
        <v>12765.6041</v>
      </c>
      <c r="E5655" s="7" t="n">
        <f aca="false">B5655/MAX(B5404:B5655)-1</f>
        <v>-0.00187661370775238</v>
      </c>
      <c r="F5655" s="7" t="str">
        <f aca="false">IFERROR(INDEX(02_轉折點45個!B:B,MATCH(A5655,02_轉折點45個!A:A,0)),"")</f>
        <v/>
      </c>
      <c r="G5655" s="7" t="s">
        <v>5494</v>
      </c>
    </row>
    <row r="5656" customFormat="false" ht="15" hidden="false" customHeight="false" outlineLevel="0" collapsed="false">
      <c r="A5656" s="7" t="s">
        <v>6382</v>
      </c>
      <c r="B5656" s="7" t="n">
        <v>14270.42</v>
      </c>
      <c r="C5656" s="7" t="n">
        <f aca="false">AVERAGE(B5607:B5656)</f>
        <v>13742.611</v>
      </c>
      <c r="D5656" s="7" t="n">
        <f aca="false">AVERAGE(B5457:B5656)</f>
        <v>12778.09935</v>
      </c>
      <c r="E5656" s="7" t="n">
        <f aca="false">B5656/MAX(B5405:B5656)-1</f>
        <v>0</v>
      </c>
      <c r="F5656" s="7" t="str">
        <f aca="false">IFERROR(INDEX(02_轉折點45個!B:B,MATCH(A5656,02_轉折點45個!A:A,0)),"")</f>
        <v/>
      </c>
      <c r="G5656" s="7" t="s">
        <v>5494</v>
      </c>
    </row>
    <row r="5657" customFormat="false" ht="15" hidden="false" customHeight="false" outlineLevel="0" collapsed="false">
      <c r="A5657" s="7" t="s">
        <v>1624</v>
      </c>
      <c r="B5657" s="7" t="n">
        <v>14274.24</v>
      </c>
      <c r="C5657" s="7" t="n">
        <f aca="false">AVERAGE(B5608:B5657)</f>
        <v>13748.366</v>
      </c>
      <c r="D5657" s="7" t="n">
        <f aca="false">AVERAGE(B5458:B5657)</f>
        <v>12791.3599</v>
      </c>
      <c r="E5657" s="7" t="n">
        <f aca="false">B5657/MAX(B5406:B5657)-1</f>
        <v>0</v>
      </c>
      <c r="F5657" s="7" t="str">
        <f aca="false">IFERROR(INDEX(02_轉折點45個!B:B,MATCH(A5657,02_轉折點45個!A:A,0)),"")</f>
        <v/>
      </c>
      <c r="G5657" s="7" t="s">
        <v>5494</v>
      </c>
    </row>
    <row r="5658" customFormat="false" ht="15" hidden="false" customHeight="false" outlineLevel="0" collapsed="false">
      <c r="A5658" s="7" t="s">
        <v>6383</v>
      </c>
      <c r="B5658" s="7" t="n">
        <v>14365.96</v>
      </c>
      <c r="C5658" s="7" t="n">
        <f aca="false">AVERAGE(B5609:B5658)</f>
        <v>13759.607</v>
      </c>
      <c r="D5658" s="7" t="n">
        <f aca="false">AVERAGE(B5459:B5658)</f>
        <v>12807.8484</v>
      </c>
      <c r="E5658" s="7" t="n">
        <f aca="false">B5658/MAX(B5407:B5658)-1</f>
        <v>0</v>
      </c>
      <c r="F5658" s="7" t="str">
        <f aca="false">IFERROR(INDEX(02_轉折點45個!B:B,MATCH(A5658,02_轉折點45個!A:A,0)),"")</f>
        <v/>
      </c>
      <c r="G5658" s="7" t="s">
        <v>5494</v>
      </c>
    </row>
    <row r="5659" customFormat="false" ht="15" hidden="false" customHeight="false" outlineLevel="0" collapsed="false">
      <c r="A5659" s="7" t="s">
        <v>6384</v>
      </c>
      <c r="B5659" s="7" t="n">
        <v>14345.18</v>
      </c>
      <c r="C5659" s="7" t="n">
        <f aca="false">AVERAGE(B5610:B5659)</f>
        <v>13765.9868</v>
      </c>
      <c r="D5659" s="7" t="n">
        <f aca="false">AVERAGE(B5460:B5659)</f>
        <v>12822.59505</v>
      </c>
      <c r="E5659" s="7" t="n">
        <f aca="false">B5659/MAX(B5408:B5659)-1</f>
        <v>-0.00144647486140836</v>
      </c>
      <c r="F5659" s="7" t="str">
        <f aca="false">IFERROR(INDEX(02_轉折點45個!B:B,MATCH(A5659,02_轉折點45個!A:A,0)),"")</f>
        <v/>
      </c>
      <c r="G5659" s="7" t="s">
        <v>5494</v>
      </c>
    </row>
    <row r="5660" customFormat="false" ht="15" hidden="false" customHeight="false" outlineLevel="0" collapsed="false">
      <c r="A5660" s="7" t="s">
        <v>6385</v>
      </c>
      <c r="B5660" s="7" t="n">
        <v>14524.98</v>
      </c>
      <c r="C5660" s="7" t="n">
        <f aca="false">AVERAGE(B5611:B5660)</f>
        <v>13775.6482</v>
      </c>
      <c r="D5660" s="7" t="n">
        <f aca="false">AVERAGE(B5461:B5660)</f>
        <v>12839.44935</v>
      </c>
      <c r="E5660" s="7" t="n">
        <f aca="false">B5660/MAX(B5409:B5660)-1</f>
        <v>0</v>
      </c>
      <c r="F5660" s="7" t="str">
        <f aca="false">IFERROR(INDEX(02_轉折點45個!B:B,MATCH(A5660,02_轉折點45個!A:A,0)),"")</f>
        <v/>
      </c>
      <c r="G5660" s="7" t="s">
        <v>5494</v>
      </c>
    </row>
    <row r="5661" customFormat="false" ht="15" hidden="false" customHeight="false" outlineLevel="0" collapsed="false">
      <c r="A5661" s="7" t="s">
        <v>6386</v>
      </c>
      <c r="B5661" s="7" t="n">
        <v>14572.75</v>
      </c>
      <c r="C5661" s="7" t="n">
        <f aca="false">AVERAGE(B5612:B5661)</f>
        <v>13788.9498</v>
      </c>
      <c r="D5661" s="7" t="n">
        <f aca="false">AVERAGE(B5462:B5661)</f>
        <v>12856.8761</v>
      </c>
      <c r="E5661" s="7" t="n">
        <f aca="false">B5661/MAX(B5410:B5661)-1</f>
        <v>0</v>
      </c>
      <c r="F5661" s="7" t="str">
        <f aca="false">IFERROR(INDEX(02_轉折點45個!B:B,MATCH(A5661,02_轉折點45個!A:A,0)),"")</f>
        <v/>
      </c>
      <c r="G5661" s="7" t="s">
        <v>5494</v>
      </c>
    </row>
    <row r="5662" customFormat="false" ht="15" hidden="false" customHeight="false" outlineLevel="0" collapsed="false">
      <c r="A5662" s="7" t="s">
        <v>1625</v>
      </c>
      <c r="B5662" s="7" t="n">
        <v>14554.8</v>
      </c>
      <c r="C5662" s="7" t="n">
        <f aca="false">AVERAGE(B5613:B5662)</f>
        <v>13803.8598</v>
      </c>
      <c r="D5662" s="7" t="n">
        <f aca="false">AVERAGE(B5463:B5662)</f>
        <v>12873.2613</v>
      </c>
      <c r="E5662" s="7" t="n">
        <f aca="false">B5662/MAX(B5411:B5662)-1</f>
        <v>-0.00123175104218498</v>
      </c>
      <c r="F5662" s="7" t="str">
        <f aca="false">IFERROR(INDEX(02_轉折點45個!B:B,MATCH(A5662,02_轉折點45個!A:A,0)),"")</f>
        <v/>
      </c>
      <c r="G5662" s="7" t="s">
        <v>5494</v>
      </c>
    </row>
    <row r="5663" customFormat="false" ht="15" hidden="false" customHeight="false" outlineLevel="0" collapsed="false">
      <c r="A5663" s="7" t="s">
        <v>6387</v>
      </c>
      <c r="B5663" s="7" t="n">
        <v>14560.05</v>
      </c>
      <c r="C5663" s="7" t="n">
        <f aca="false">AVERAGE(B5614:B5663)</f>
        <v>13816.3578</v>
      </c>
      <c r="D5663" s="7" t="n">
        <f aca="false">AVERAGE(B5464:B5663)</f>
        <v>12888.8672</v>
      </c>
      <c r="E5663" s="7" t="n">
        <f aca="false">B5663/MAX(B5412:B5663)-1</f>
        <v>-0.000871489595306363</v>
      </c>
      <c r="F5663" s="7" t="str">
        <f aca="false">IFERROR(INDEX(02_轉折點45個!B:B,MATCH(A5663,02_轉折點45個!A:A,0)),"")</f>
        <v/>
      </c>
      <c r="G5663" s="7" t="s">
        <v>5494</v>
      </c>
    </row>
    <row r="5664" customFormat="false" ht="15" hidden="false" customHeight="false" outlineLevel="0" collapsed="false">
      <c r="A5664" s="7" t="s">
        <v>6388</v>
      </c>
      <c r="B5664" s="7" t="n">
        <v>14727.63</v>
      </c>
      <c r="C5664" s="7" t="n">
        <f aca="false">AVERAGE(B5615:B5664)</f>
        <v>13835.6632</v>
      </c>
      <c r="D5664" s="7" t="n">
        <f aca="false">AVERAGE(B5465:B5664)</f>
        <v>12906.26735</v>
      </c>
      <c r="E5664" s="7" t="n">
        <f aca="false">B5664/MAX(B5413:B5664)-1</f>
        <v>0</v>
      </c>
      <c r="F5664" s="7" t="str">
        <f aca="false">IFERROR(INDEX(02_轉折點45個!B:B,MATCH(A5664,02_轉折點45個!A:A,0)),"")</f>
        <v/>
      </c>
      <c r="G5664" s="7" t="s">
        <v>5494</v>
      </c>
    </row>
    <row r="5665" customFormat="false" ht="15" hidden="false" customHeight="false" outlineLevel="0" collapsed="false">
      <c r="A5665" s="7" t="s">
        <v>1626</v>
      </c>
      <c r="B5665" s="7" t="n">
        <v>14786.36</v>
      </c>
      <c r="C5665" s="7" t="n">
        <f aca="false">AVERAGE(B5616:B5665)</f>
        <v>13852.5616</v>
      </c>
      <c r="D5665" s="7" t="n">
        <f aca="false">AVERAGE(B5466:B5665)</f>
        <v>12924.7944</v>
      </c>
      <c r="E5665" s="7" t="n">
        <f aca="false">B5665/MAX(B5414:B5665)-1</f>
        <v>0</v>
      </c>
      <c r="F5665" s="7" t="str">
        <f aca="false">IFERROR(INDEX(02_轉折點45個!B:B,MATCH(A5665,02_轉折點45個!A:A,0)),"")</f>
        <v/>
      </c>
      <c r="G5665" s="7" t="s">
        <v>5494</v>
      </c>
    </row>
    <row r="5666" customFormat="false" ht="15" hidden="false" customHeight="false" outlineLevel="0" collapsed="false">
      <c r="A5666" s="7" t="s">
        <v>6389</v>
      </c>
      <c r="B5666" s="7" t="n">
        <v>14810.54</v>
      </c>
      <c r="C5666" s="7" t="n">
        <f aca="false">AVERAGE(B5617:B5666)</f>
        <v>13868.2492</v>
      </c>
      <c r="D5666" s="7" t="n">
        <f aca="false">AVERAGE(B5467:B5666)</f>
        <v>12944.1622</v>
      </c>
      <c r="E5666" s="7" t="n">
        <f aca="false">B5666/MAX(B5415:B5666)-1</f>
        <v>0</v>
      </c>
      <c r="F5666" s="7" t="str">
        <f aca="false">IFERROR(INDEX(02_轉折點45個!B:B,MATCH(A5666,02_轉折點45個!A:A,0)),"")</f>
        <v/>
      </c>
      <c r="G5666" s="7" t="s">
        <v>5494</v>
      </c>
    </row>
    <row r="5667" customFormat="false" ht="15" hidden="false" customHeight="false" outlineLevel="0" collapsed="false">
      <c r="A5667" s="7" t="s">
        <v>6390</v>
      </c>
      <c r="B5667" s="7" t="n">
        <v>14722.14</v>
      </c>
      <c r="C5667" s="7" t="n">
        <f aca="false">AVERAGE(B5618:B5667)</f>
        <v>13883.4864</v>
      </c>
      <c r="D5667" s="7" t="n">
        <f aca="false">AVERAGE(B5468:B5667)</f>
        <v>12962.8718</v>
      </c>
      <c r="E5667" s="7" t="n">
        <f aca="false">B5667/MAX(B5416:B5667)-1</f>
        <v>-0.00596872227481249</v>
      </c>
      <c r="F5667" s="7" t="str">
        <f aca="false">IFERROR(INDEX(02_轉折點45個!B:B,MATCH(A5667,02_轉折點45個!A:A,0)),"")</f>
        <v/>
      </c>
      <c r="G5667" s="7" t="s">
        <v>5494</v>
      </c>
    </row>
    <row r="5668" customFormat="false" ht="15" hidden="false" customHeight="false" outlineLevel="0" collapsed="false">
      <c r="A5668" s="7" t="s">
        <v>1627</v>
      </c>
      <c r="B5668" s="7" t="n">
        <v>14826.09</v>
      </c>
      <c r="C5668" s="7" t="n">
        <f aca="false">AVERAGE(B5619:B5668)</f>
        <v>13901.9758</v>
      </c>
      <c r="D5668" s="7" t="n">
        <f aca="false">AVERAGE(B5469:B5668)</f>
        <v>12981.0704</v>
      </c>
      <c r="E5668" s="7" t="n">
        <f aca="false">B5668/MAX(B5417:B5668)-1</f>
        <v>0</v>
      </c>
      <c r="F5668" s="7" t="str">
        <f aca="false">IFERROR(INDEX(02_轉折點45個!B:B,MATCH(A5668,02_轉折點45個!A:A,0)),"")</f>
        <v/>
      </c>
      <c r="G5668" s="7" t="s">
        <v>5494</v>
      </c>
    </row>
    <row r="5669" customFormat="false" ht="15" hidden="false" customHeight="false" outlineLevel="0" collapsed="false">
      <c r="A5669" s="7" t="s">
        <v>6391</v>
      </c>
      <c r="B5669" s="7" t="n">
        <v>14877.89</v>
      </c>
      <c r="C5669" s="7" t="n">
        <f aca="false">AVERAGE(B5620:B5669)</f>
        <v>13920.1296</v>
      </c>
      <c r="D5669" s="7" t="n">
        <f aca="false">AVERAGE(B5470:B5669)</f>
        <v>13001.2932</v>
      </c>
      <c r="E5669" s="7" t="n">
        <f aca="false">B5669/MAX(B5418:B5669)-1</f>
        <v>0</v>
      </c>
      <c r="F5669" s="7" t="str">
        <f aca="false">IFERROR(INDEX(02_轉折點45個!B:B,MATCH(A5669,02_轉折點45個!A:A,0)),"")</f>
        <v/>
      </c>
      <c r="G5669" s="7" t="s">
        <v>5494</v>
      </c>
    </row>
    <row r="5670" customFormat="false" ht="15" hidden="false" customHeight="false" outlineLevel="0" collapsed="false">
      <c r="A5670" s="7" t="s">
        <v>6392</v>
      </c>
      <c r="B5670" s="7" t="n">
        <v>14874.54</v>
      </c>
      <c r="C5670" s="7" t="n">
        <f aca="false">AVERAGE(B5621:B5670)</f>
        <v>13940.4052</v>
      </c>
      <c r="D5670" s="7" t="n">
        <f aca="false">AVERAGE(B5471:B5670)</f>
        <v>13021.18355</v>
      </c>
      <c r="E5670" s="7" t="n">
        <f aca="false">B5670/MAX(B5419:B5670)-1</f>
        <v>-0.00022516633743086</v>
      </c>
      <c r="F5670" s="7" t="str">
        <f aca="false">IFERROR(INDEX(02_轉折點45個!B:B,MATCH(A5670,02_轉折點45個!A:A,0)),"")</f>
        <v/>
      </c>
      <c r="G5670" s="7" t="s">
        <v>5494</v>
      </c>
    </row>
    <row r="5671" customFormat="false" ht="15" hidden="false" customHeight="false" outlineLevel="0" collapsed="false">
      <c r="A5671" s="7" t="s">
        <v>1628</v>
      </c>
      <c r="B5671" s="7" t="n">
        <v>14900.44</v>
      </c>
      <c r="C5671" s="7" t="n">
        <f aca="false">AVERAGE(B5622:B5671)</f>
        <v>13962.4196</v>
      </c>
      <c r="D5671" s="7" t="n">
        <f aca="false">AVERAGE(B5472:B5671)</f>
        <v>13039.9301</v>
      </c>
      <c r="E5671" s="7" t="n">
        <f aca="false">B5671/MAX(B5420:B5671)-1</f>
        <v>0</v>
      </c>
      <c r="F5671" s="7" t="str">
        <f aca="false">IFERROR(INDEX(02_轉折點45個!B:B,MATCH(A5671,02_轉折點45個!A:A,0)),"")</f>
        <v/>
      </c>
      <c r="G5671" s="7" t="s">
        <v>5494</v>
      </c>
    </row>
    <row r="5672" customFormat="false" ht="15" hidden="false" customHeight="false" outlineLevel="0" collapsed="false">
      <c r="A5672" s="7" t="s">
        <v>6393</v>
      </c>
      <c r="B5672" s="7" t="n">
        <v>14794.69</v>
      </c>
      <c r="C5672" s="7" t="n">
        <f aca="false">AVERAGE(B5623:B5672)</f>
        <v>13987.42</v>
      </c>
      <c r="D5672" s="7" t="n">
        <f aca="false">AVERAGE(B5473:B5672)</f>
        <v>13057.0813</v>
      </c>
      <c r="E5672" s="7" t="n">
        <f aca="false">B5672/MAX(B5421:B5672)-1</f>
        <v>-0.00709710585727674</v>
      </c>
      <c r="F5672" s="7" t="str">
        <f aca="false">IFERROR(INDEX(02_轉折點45個!B:B,MATCH(A5672,02_轉折點45個!A:A,0)),"")</f>
        <v/>
      </c>
      <c r="G5672" s="7" t="s">
        <v>5494</v>
      </c>
    </row>
    <row r="5673" customFormat="false" ht="15" hidden="false" customHeight="false" outlineLevel="0" collapsed="false">
      <c r="A5673" s="7" t="s">
        <v>6394</v>
      </c>
      <c r="B5673" s="7" t="n">
        <v>14681.38</v>
      </c>
      <c r="C5673" s="7" t="n">
        <f aca="false">AVERAGE(B5624:B5673)</f>
        <v>14010.9802</v>
      </c>
      <c r="D5673" s="7" t="n">
        <f aca="false">AVERAGE(B5474:B5673)</f>
        <v>13073.87345</v>
      </c>
      <c r="E5673" s="7" t="n">
        <f aca="false">B5673/MAX(B5422:B5673)-1</f>
        <v>-0.0147015792822226</v>
      </c>
      <c r="F5673" s="7" t="str">
        <f aca="false">IFERROR(INDEX(02_轉折點45個!B:B,MATCH(A5673,02_轉折點45個!A:A,0)),"")</f>
        <v/>
      </c>
      <c r="G5673" s="7" t="s">
        <v>5494</v>
      </c>
    </row>
    <row r="5674" customFormat="false" ht="15" hidden="false" customHeight="false" outlineLevel="0" collapsed="false">
      <c r="A5674" s="7" t="s">
        <v>1629</v>
      </c>
      <c r="B5674" s="7" t="n">
        <v>14549.09</v>
      </c>
      <c r="C5674" s="7" t="n">
        <f aca="false">AVERAGE(B5625:B5674)</f>
        <v>14029.6874</v>
      </c>
      <c r="D5674" s="7" t="n">
        <f aca="false">AVERAGE(B5475:B5674)</f>
        <v>13089.5286</v>
      </c>
      <c r="E5674" s="7" t="n">
        <f aca="false">B5674/MAX(B5423:B5674)-1</f>
        <v>-0.0235798405953113</v>
      </c>
      <c r="F5674" s="7" t="str">
        <f aca="false">IFERROR(INDEX(02_轉折點45個!B:B,MATCH(A5674,02_轉折點45個!A:A,0)),"")</f>
        <v/>
      </c>
      <c r="G5674" s="7" t="s">
        <v>5494</v>
      </c>
    </row>
    <row r="5675" customFormat="false" ht="15" hidden="false" customHeight="false" outlineLevel="0" collapsed="false">
      <c r="A5675" s="7" t="s">
        <v>6395</v>
      </c>
      <c r="B5675" s="7" t="n">
        <v>14728.21</v>
      </c>
      <c r="C5675" s="7" t="n">
        <f aca="false">AVERAGE(B5626:B5675)</f>
        <v>14049.859</v>
      </c>
      <c r="D5675" s="7" t="n">
        <f aca="false">AVERAGE(B5476:B5675)</f>
        <v>13105.25365</v>
      </c>
      <c r="E5675" s="7" t="n">
        <f aca="false">B5675/MAX(B5424:B5675)-1</f>
        <v>-0.0115587190713832</v>
      </c>
      <c r="F5675" s="7" t="str">
        <f aca="false">IFERROR(INDEX(02_轉折點45個!B:B,MATCH(A5675,02_轉折點45個!A:A,0)),"")</f>
        <v/>
      </c>
      <c r="G5675" s="7" t="s">
        <v>5494</v>
      </c>
    </row>
    <row r="5676" customFormat="false" ht="15" hidden="false" customHeight="false" outlineLevel="0" collapsed="false">
      <c r="A5676" s="7" t="s">
        <v>1630</v>
      </c>
      <c r="B5676" s="7" t="n">
        <v>14842.63</v>
      </c>
      <c r="C5676" s="7" t="n">
        <f aca="false">AVERAGE(B5627:B5676)</f>
        <v>14079.53</v>
      </c>
      <c r="D5676" s="7" t="n">
        <f aca="false">AVERAGE(B5477:B5676)</f>
        <v>13123.18835</v>
      </c>
      <c r="E5676" s="7" t="n">
        <f aca="false">B5676/MAX(B5425:B5676)-1</f>
        <v>-0.00387975120197803</v>
      </c>
      <c r="F5676" s="7" t="str">
        <f aca="false">IFERROR(INDEX(02_轉折點45個!B:B,MATCH(A5676,02_轉折點45個!A:A,0)),"")</f>
        <v/>
      </c>
      <c r="G5676" s="7" t="s">
        <v>5494</v>
      </c>
    </row>
    <row r="5677" customFormat="false" ht="15" hidden="false" customHeight="false" outlineLevel="0" collapsed="false">
      <c r="A5677" s="7" t="s">
        <v>1631</v>
      </c>
      <c r="B5677" s="7" t="n">
        <v>14940.17</v>
      </c>
      <c r="C5677" s="7" t="n">
        <f aca="false">AVERAGE(B5628:B5677)</f>
        <v>14111.308</v>
      </c>
      <c r="D5677" s="7" t="n">
        <f aca="false">AVERAGE(B5478:B5677)</f>
        <v>13140.3439</v>
      </c>
      <c r="E5677" s="7" t="n">
        <f aca="false">B5677/MAX(B5426:B5677)-1</f>
        <v>0</v>
      </c>
      <c r="F5677" s="7" t="str">
        <f aca="false">IFERROR(INDEX(02_轉折點45個!B:B,MATCH(A5677,02_轉折點45個!A:A,0)),"")</f>
        <v/>
      </c>
      <c r="G5677" s="7" t="s">
        <v>5494</v>
      </c>
    </row>
    <row r="5678" customFormat="false" ht="15" hidden="false" customHeight="false" outlineLevel="0" collapsed="false">
      <c r="A5678" s="7" t="s">
        <v>1632</v>
      </c>
      <c r="B5678" s="7" t="n">
        <v>15111.79</v>
      </c>
      <c r="C5678" s="7" t="n">
        <f aca="false">AVERAGE(B5629:B5678)</f>
        <v>14153.5112</v>
      </c>
      <c r="D5678" s="7" t="n">
        <f aca="false">AVERAGE(B5479:B5678)</f>
        <v>13159.4465</v>
      </c>
      <c r="E5678" s="7" t="n">
        <f aca="false">B5678/MAX(B5427:B5678)-1</f>
        <v>0</v>
      </c>
      <c r="F5678" s="7" t="str">
        <f aca="false">IFERROR(INDEX(02_轉折點45個!B:B,MATCH(A5678,02_轉折點45個!A:A,0)),"")</f>
        <v/>
      </c>
      <c r="G5678" s="7" t="s">
        <v>5494</v>
      </c>
    </row>
    <row r="5679" customFormat="false" ht="15" hidden="false" customHeight="false" outlineLevel="0" collapsed="false">
      <c r="A5679" s="7" t="s">
        <v>1633</v>
      </c>
      <c r="B5679" s="7" t="n">
        <v>15125.95</v>
      </c>
      <c r="C5679" s="7" t="n">
        <f aca="false">AVERAGE(B5630:B5679)</f>
        <v>14193.8472</v>
      </c>
      <c r="D5679" s="7" t="n">
        <f aca="false">AVERAGE(B5480:B5679)</f>
        <v>13177.5603</v>
      </c>
      <c r="E5679" s="7" t="n">
        <f aca="false">B5679/MAX(B5428:B5679)-1</f>
        <v>0</v>
      </c>
      <c r="F5679" s="7" t="str">
        <f aca="false">IFERROR(INDEX(02_轉折點45個!B:B,MATCH(A5679,02_轉折點45個!A:A,0)),"")</f>
        <v/>
      </c>
      <c r="G5679" s="7" t="s">
        <v>5494</v>
      </c>
    </row>
    <row r="5680" customFormat="false" ht="15" hidden="false" customHeight="false" outlineLevel="0" collapsed="false">
      <c r="A5680" s="7" t="s">
        <v>1634</v>
      </c>
      <c r="B5680" s="7" t="n">
        <v>14956.97</v>
      </c>
      <c r="C5680" s="7" t="n">
        <f aca="false">AVERAGE(B5631:B5680)</f>
        <v>14225.1242</v>
      </c>
      <c r="D5680" s="7" t="n">
        <f aca="false">AVERAGE(B5481:B5680)</f>
        <v>13194.59045</v>
      </c>
      <c r="E5680" s="7" t="n">
        <f aca="false">B5680/MAX(B5429:B5680)-1</f>
        <v>-0.0111715297221002</v>
      </c>
      <c r="F5680" s="7" t="str">
        <f aca="false">IFERROR(INDEX(02_轉折點45個!B:B,MATCH(A5680,02_轉折點45個!A:A,0)),"")</f>
        <v/>
      </c>
      <c r="G5680" s="7" t="s">
        <v>5494</v>
      </c>
    </row>
    <row r="5681" customFormat="false" ht="15" hidden="false" customHeight="false" outlineLevel="0" collapsed="false">
      <c r="A5681" s="7" t="s">
        <v>6396</v>
      </c>
      <c r="B5681" s="7" t="n">
        <v>15018.1</v>
      </c>
      <c r="C5681" s="7" t="n">
        <f aca="false">AVERAGE(B5632:B5681)</f>
        <v>14259.228</v>
      </c>
      <c r="D5681" s="7" t="n">
        <f aca="false">AVERAGE(B5482:B5681)</f>
        <v>13211.0517</v>
      </c>
      <c r="E5681" s="7" t="n">
        <f aca="false">B5681/MAX(B5430:B5681)-1</f>
        <v>-0.00713013066947865</v>
      </c>
      <c r="F5681" s="7" t="str">
        <f aca="false">IFERROR(INDEX(02_轉折點45個!B:B,MATCH(A5681,02_轉折點45個!A:A,0)),"")</f>
        <v/>
      </c>
      <c r="G5681" s="7" t="s">
        <v>5494</v>
      </c>
    </row>
    <row r="5682" customFormat="false" ht="15" hidden="false" customHeight="false" outlineLevel="0" collapsed="false">
      <c r="A5682" s="7" t="s">
        <v>1635</v>
      </c>
      <c r="B5682" s="7" t="n">
        <v>15048.36</v>
      </c>
      <c r="C5682" s="7" t="n">
        <f aca="false">AVERAGE(B5633:B5682)</f>
        <v>14295.8416</v>
      </c>
      <c r="D5682" s="7" t="n">
        <f aca="false">AVERAGE(B5483:B5682)</f>
        <v>13225.85295</v>
      </c>
      <c r="E5682" s="7" t="n">
        <f aca="false">B5682/MAX(B5431:B5682)-1</f>
        <v>-0.00512959516592348</v>
      </c>
      <c r="F5682" s="7" t="str">
        <f aca="false">IFERROR(INDEX(02_轉折點45個!B:B,MATCH(A5682,02_轉折點45個!A:A,0)),"")</f>
        <v/>
      </c>
      <c r="G5682" s="7" t="s">
        <v>5494</v>
      </c>
    </row>
    <row r="5683" customFormat="false" ht="15" hidden="false" customHeight="false" outlineLevel="0" collapsed="false">
      <c r="A5683" s="7" t="s">
        <v>6397</v>
      </c>
      <c r="B5683" s="7" t="n">
        <v>14959.9</v>
      </c>
      <c r="C5683" s="7" t="n">
        <f aca="false">AVERAGE(B5634:B5683)</f>
        <v>14330.2814</v>
      </c>
      <c r="D5683" s="7" t="n">
        <f aca="false">AVERAGE(B5484:B5683)</f>
        <v>13240.2366</v>
      </c>
      <c r="E5683" s="7" t="n">
        <f aca="false">B5683/MAX(B5432:B5683)-1</f>
        <v>-0.0109778228805464</v>
      </c>
      <c r="F5683" s="7" t="str">
        <f aca="false">IFERROR(INDEX(02_轉折點45個!B:B,MATCH(A5683,02_轉折點45個!A:A,0)),"")</f>
        <v/>
      </c>
      <c r="G5683" s="7" t="s">
        <v>5494</v>
      </c>
    </row>
    <row r="5684" customFormat="false" ht="15" hidden="false" customHeight="false" outlineLevel="0" collapsed="false">
      <c r="A5684" s="7" t="s">
        <v>1636</v>
      </c>
      <c r="B5684" s="7" t="n">
        <v>14963.62</v>
      </c>
      <c r="C5684" s="7" t="n">
        <f aca="false">AVERAGE(B5635:B5684)</f>
        <v>14359.672</v>
      </c>
      <c r="D5684" s="7" t="n">
        <f aca="false">AVERAGE(B5485:B5684)</f>
        <v>13255.1279</v>
      </c>
      <c r="E5684" s="7" t="n">
        <f aca="false">B5684/MAX(B5433:B5684)-1</f>
        <v>-0.0107318879144781</v>
      </c>
      <c r="F5684" s="7" t="str">
        <f aca="false">IFERROR(INDEX(02_轉折點45個!B:B,MATCH(A5684,02_轉折點45個!A:A,0)),"")</f>
        <v/>
      </c>
      <c r="G5684" s="7" t="s">
        <v>5494</v>
      </c>
    </row>
    <row r="5685" customFormat="false" ht="15" hidden="false" customHeight="false" outlineLevel="0" collapsed="false">
      <c r="A5685" s="7" t="s">
        <v>1637</v>
      </c>
      <c r="B5685" s="7" t="n">
        <v>15061.42</v>
      </c>
      <c r="C5685" s="7" t="n">
        <f aca="false">AVERAGE(B5636:B5685)</f>
        <v>14392.6656</v>
      </c>
      <c r="D5685" s="7" t="n">
        <f aca="false">AVERAGE(B5486:B5685)</f>
        <v>13270.94215</v>
      </c>
      <c r="E5685" s="7" t="n">
        <f aca="false">B5685/MAX(B5434:B5685)-1</f>
        <v>-0.00426617832268394</v>
      </c>
      <c r="F5685" s="7" t="str">
        <f aca="false">IFERROR(INDEX(02_轉折點45個!B:B,MATCH(A5685,02_轉折點45個!A:A,0)),"")</f>
        <v/>
      </c>
      <c r="G5685" s="7" t="s">
        <v>5494</v>
      </c>
    </row>
    <row r="5686" customFormat="false" ht="15" hidden="false" customHeight="false" outlineLevel="0" collapsed="false">
      <c r="A5686" s="7" t="s">
        <v>1638</v>
      </c>
      <c r="B5686" s="7" t="n">
        <v>15083.39</v>
      </c>
      <c r="C5686" s="7" t="n">
        <f aca="false">AVERAGE(B5637:B5686)</f>
        <v>14421.4984</v>
      </c>
      <c r="D5686" s="7" t="n">
        <f aca="false">AVERAGE(B5487:B5686)</f>
        <v>13287.09825</v>
      </c>
      <c r="E5686" s="7" t="n">
        <f aca="false">B5686/MAX(B5435:B5686)-1</f>
        <v>-0.00281370756878085</v>
      </c>
      <c r="F5686" s="7" t="str">
        <f aca="false">IFERROR(INDEX(02_轉折點45個!B:B,MATCH(A5686,02_轉折點45個!A:A,0)),"")</f>
        <v/>
      </c>
      <c r="G5686" s="7" t="s">
        <v>5494</v>
      </c>
    </row>
    <row r="5687" customFormat="false" ht="15" hidden="false" customHeight="false" outlineLevel="0" collapsed="false">
      <c r="A5687" s="7" t="s">
        <v>6398</v>
      </c>
      <c r="B5687" s="7" t="n">
        <v>15181.64</v>
      </c>
      <c r="C5687" s="7" t="n">
        <f aca="false">AVERAGE(B5638:B5687)</f>
        <v>14451.9766</v>
      </c>
      <c r="D5687" s="7" t="n">
        <f aca="false">AVERAGE(B5488:B5687)</f>
        <v>13304.8347</v>
      </c>
      <c r="E5687" s="7" t="n">
        <f aca="false">B5687/MAX(B5436:B5687)-1</f>
        <v>0</v>
      </c>
      <c r="F5687" s="7" t="str">
        <f aca="false">IFERROR(INDEX(02_轉折點45個!B:B,MATCH(A5687,02_轉折點45個!A:A,0)),"")</f>
        <v/>
      </c>
      <c r="G5687" s="7" t="s">
        <v>5494</v>
      </c>
    </row>
    <row r="5688" customFormat="false" ht="15" hidden="false" customHeight="false" outlineLevel="0" collapsed="false">
      <c r="A5688" s="7" t="s">
        <v>6399</v>
      </c>
      <c r="B5688" s="7" t="n">
        <v>15109.36</v>
      </c>
      <c r="C5688" s="7" t="n">
        <f aca="false">AVERAGE(B5639:B5688)</f>
        <v>14480.109</v>
      </c>
      <c r="D5688" s="7" t="n">
        <f aca="false">AVERAGE(B5489:B5688)</f>
        <v>13321.9923</v>
      </c>
      <c r="E5688" s="7" t="n">
        <f aca="false">B5688/MAX(B5437:B5688)-1</f>
        <v>-0.00476101396160089</v>
      </c>
      <c r="F5688" s="7" t="str">
        <f aca="false">IFERROR(INDEX(02_轉折點45個!B:B,MATCH(A5688,02_轉折點45個!A:A,0)),"")</f>
        <v/>
      </c>
      <c r="G5688" s="7" t="s">
        <v>5494</v>
      </c>
    </row>
    <row r="5689" customFormat="false" ht="15" hidden="false" customHeight="false" outlineLevel="0" collapsed="false">
      <c r="A5689" s="7" t="s">
        <v>6400</v>
      </c>
      <c r="B5689" s="7" t="n">
        <v>15133.11</v>
      </c>
      <c r="C5689" s="7" t="n">
        <f aca="false">AVERAGE(B5640:B5689)</f>
        <v>14509.6142</v>
      </c>
      <c r="D5689" s="7" t="n">
        <f aca="false">AVERAGE(B5490:B5689)</f>
        <v>13339.331</v>
      </c>
      <c r="E5689" s="7" t="n">
        <f aca="false">B5689/MAX(B5438:B5689)-1</f>
        <v>-0.00319662434361501</v>
      </c>
      <c r="F5689" s="7" t="str">
        <f aca="false">IFERROR(INDEX(02_轉折點45個!B:B,MATCH(A5689,02_轉折點45個!A:A,0)),"")</f>
        <v/>
      </c>
      <c r="G5689" s="7" t="s">
        <v>5494</v>
      </c>
    </row>
    <row r="5690" customFormat="false" ht="15" hidden="false" customHeight="false" outlineLevel="0" collapsed="false">
      <c r="A5690" s="7" t="s">
        <v>6401</v>
      </c>
      <c r="B5690" s="7" t="n">
        <v>15053.58</v>
      </c>
      <c r="C5690" s="7" t="n">
        <f aca="false">AVERAGE(B5641:B5690)</f>
        <v>14536.9556</v>
      </c>
      <c r="D5690" s="7" t="n">
        <f aca="false">AVERAGE(B5491:B5690)</f>
        <v>13356.28435</v>
      </c>
      <c r="E5690" s="7" t="n">
        <f aca="false">B5690/MAX(B5439:B5690)-1</f>
        <v>-0.00843518882018013</v>
      </c>
      <c r="F5690" s="7" t="str">
        <f aca="false">IFERROR(INDEX(02_轉折點45個!B:B,MATCH(A5690,02_轉折點45個!A:A,0)),"")</f>
        <v/>
      </c>
      <c r="G5690" s="7" t="s">
        <v>5494</v>
      </c>
    </row>
    <row r="5691" customFormat="false" ht="15" hidden="false" customHeight="false" outlineLevel="0" collapsed="false">
      <c r="A5691" s="7" t="s">
        <v>6402</v>
      </c>
      <c r="B5691" s="7" t="n">
        <v>15027.76</v>
      </c>
      <c r="C5691" s="7" t="n">
        <f aca="false">AVERAGE(B5642:B5691)</f>
        <v>14564.419</v>
      </c>
      <c r="D5691" s="7" t="n">
        <f aca="false">AVERAGE(B5492:B5691)</f>
        <v>13372.9603</v>
      </c>
      <c r="E5691" s="7" t="n">
        <f aca="false">B5691/MAX(B5440:B5691)-1</f>
        <v>-0.0101359273438179</v>
      </c>
      <c r="F5691" s="7" t="str">
        <f aca="false">IFERROR(INDEX(02_轉折點45個!B:B,MATCH(A5691,02_轉折點45個!A:A,0)),"")</f>
        <v/>
      </c>
      <c r="G5691" s="7" t="s">
        <v>5494</v>
      </c>
    </row>
    <row r="5692" customFormat="false" ht="15" hidden="false" customHeight="false" outlineLevel="0" collapsed="false">
      <c r="A5692" s="7" t="s">
        <v>6403</v>
      </c>
      <c r="B5692" s="7" t="n">
        <v>15088.98</v>
      </c>
      <c r="C5692" s="7" t="n">
        <f aca="false">AVERAGE(B5643:B5692)</f>
        <v>14592.6828</v>
      </c>
      <c r="D5692" s="7" t="n">
        <f aca="false">AVERAGE(B5493:B5692)</f>
        <v>13390.8826</v>
      </c>
      <c r="E5692" s="7" t="n">
        <f aca="false">B5692/MAX(B5441:B5692)-1</f>
        <v>-0.00610342492642424</v>
      </c>
      <c r="F5692" s="7" t="str">
        <f aca="false">IFERROR(INDEX(02_轉折點45個!B:B,MATCH(A5692,02_轉折點45個!A:A,0)),"")</f>
        <v/>
      </c>
      <c r="G5692" s="7" t="s">
        <v>5494</v>
      </c>
    </row>
    <row r="5693" customFormat="false" ht="15" hidden="false" customHeight="false" outlineLevel="0" collapsed="false">
      <c r="A5693" s="7" t="s">
        <v>6404</v>
      </c>
      <c r="B5693" s="7" t="n">
        <v>15136.68</v>
      </c>
      <c r="C5693" s="7" t="n">
        <f aca="false">AVERAGE(B5644:B5693)</f>
        <v>14624.8228</v>
      </c>
      <c r="D5693" s="7" t="n">
        <f aca="false">AVERAGE(B5494:B5693)</f>
        <v>13408.57125</v>
      </c>
      <c r="E5693" s="7" t="n">
        <f aca="false">B5693/MAX(B5442:B5693)-1</f>
        <v>-0.002961471883143</v>
      </c>
      <c r="F5693" s="7" t="str">
        <f aca="false">IFERROR(INDEX(02_轉折點45個!B:B,MATCH(A5693,02_轉折點45個!A:A,0)),"")</f>
        <v/>
      </c>
      <c r="G5693" s="7" t="s">
        <v>5494</v>
      </c>
    </row>
    <row r="5694" customFormat="false" ht="15" hidden="false" customHeight="false" outlineLevel="0" collapsed="false">
      <c r="A5694" s="7" t="s">
        <v>1639</v>
      </c>
      <c r="B5694" s="7" t="n">
        <v>15140.77</v>
      </c>
      <c r="C5694" s="7" t="n">
        <f aca="false">AVERAGE(B5645:B5694)</f>
        <v>14652.2228</v>
      </c>
      <c r="D5694" s="7" t="n">
        <f aca="false">AVERAGE(B5495:B5694)</f>
        <v>13428.5613</v>
      </c>
      <c r="E5694" s="7" t="n">
        <f aca="false">B5694/MAX(B5443:B5694)-1</f>
        <v>-0.00269206752366669</v>
      </c>
      <c r="F5694" s="7" t="str">
        <f aca="false">IFERROR(INDEX(02_轉折點45個!B:B,MATCH(A5694,02_轉折點45個!A:A,0)),"")</f>
        <v/>
      </c>
      <c r="G5694" s="7" t="s">
        <v>5494</v>
      </c>
    </row>
    <row r="5695" customFormat="false" ht="15" hidden="false" customHeight="false" outlineLevel="0" collapsed="false">
      <c r="A5695" s="7" t="s">
        <v>6405</v>
      </c>
      <c r="B5695" s="7" t="n">
        <v>15002.83</v>
      </c>
      <c r="C5695" s="7" t="n">
        <f aca="false">AVERAGE(B5646:B5695)</f>
        <v>14676.2216</v>
      </c>
      <c r="D5695" s="7" t="n">
        <f aca="false">AVERAGE(B5496:B5695)</f>
        <v>13446.82175</v>
      </c>
      <c r="E5695" s="7" t="n">
        <f aca="false">B5695/MAX(B5444:B5695)-1</f>
        <v>-0.0117780424249291</v>
      </c>
      <c r="F5695" s="7" t="str">
        <f aca="false">IFERROR(INDEX(02_轉折點45個!B:B,MATCH(A5695,02_轉折點45個!A:A,0)),"")</f>
        <v/>
      </c>
      <c r="G5695" s="7" t="s">
        <v>5494</v>
      </c>
    </row>
    <row r="5696" customFormat="false" ht="15" hidden="false" customHeight="false" outlineLevel="0" collapsed="false">
      <c r="A5696" s="7" t="s">
        <v>1640</v>
      </c>
      <c r="B5696" s="7" t="n">
        <v>14857.92</v>
      </c>
      <c r="C5696" s="7" t="n">
        <f aca="false">AVERAGE(B5647:B5696)</f>
        <v>14697.1628</v>
      </c>
      <c r="D5696" s="7" t="n">
        <f aca="false">AVERAGE(B5497:B5696)</f>
        <v>13465.8466</v>
      </c>
      <c r="E5696" s="7" t="n">
        <f aca="false">B5696/MAX(B5445:B5696)-1</f>
        <v>-0.0213231245109223</v>
      </c>
      <c r="F5696" s="7" t="str">
        <f aca="false">IFERROR(INDEX(02_轉折點45個!B:B,MATCH(A5696,02_轉折點45個!A:A,0)),"")</f>
        <v/>
      </c>
      <c r="G5696" s="7" t="s">
        <v>5494</v>
      </c>
    </row>
    <row r="5697" customFormat="false" ht="15" hidden="false" customHeight="false" outlineLevel="0" collapsed="false">
      <c r="A5697" s="7" t="s">
        <v>6406</v>
      </c>
      <c r="B5697" s="7" t="n">
        <v>14933.94</v>
      </c>
      <c r="C5697" s="7" t="n">
        <f aca="false">AVERAGE(B5648:B5697)</f>
        <v>14719.5428</v>
      </c>
      <c r="D5697" s="7" t="n">
        <f aca="false">AVERAGE(B5498:B5697)</f>
        <v>13485.0925</v>
      </c>
      <c r="E5697" s="7" t="n">
        <f aca="false">B5697/MAX(B5446:B5697)-1</f>
        <v>-0.0163157603526364</v>
      </c>
      <c r="F5697" s="7" t="str">
        <f aca="false">IFERROR(INDEX(02_轉折點45個!B:B,MATCH(A5697,02_轉折點45個!A:A,0)),"")</f>
        <v/>
      </c>
      <c r="G5697" s="7" t="s">
        <v>5494</v>
      </c>
    </row>
    <row r="5698" customFormat="false" ht="15" hidden="false" customHeight="false" outlineLevel="0" collapsed="false">
      <c r="A5698" s="7" t="s">
        <v>6407</v>
      </c>
      <c r="B5698" s="7" t="n">
        <v>15092.57</v>
      </c>
      <c r="C5698" s="7" t="n">
        <f aca="false">AVERAGE(B5649:B5698)</f>
        <v>14742.1872</v>
      </c>
      <c r="D5698" s="7" t="n">
        <f aca="false">AVERAGE(B5499:B5698)</f>
        <v>13504.1558</v>
      </c>
      <c r="E5698" s="7" t="n">
        <f aca="false">B5698/MAX(B5447:B5698)-1</f>
        <v>-0.00586695508522139</v>
      </c>
      <c r="F5698" s="7" t="str">
        <f aca="false">IFERROR(INDEX(02_轉折點45個!B:B,MATCH(A5698,02_轉折點45個!A:A,0)),"")</f>
        <v/>
      </c>
      <c r="G5698" s="7" t="s">
        <v>5494</v>
      </c>
    </row>
    <row r="5699" customFormat="false" ht="15" hidden="false" customHeight="false" outlineLevel="0" collapsed="false">
      <c r="A5699" s="7" t="s">
        <v>1641</v>
      </c>
      <c r="B5699" s="7" t="n">
        <v>15312.82</v>
      </c>
      <c r="C5699" s="7" t="n">
        <f aca="false">AVERAGE(B5650:B5699)</f>
        <v>14768.4776</v>
      </c>
      <c r="D5699" s="7" t="n">
        <f aca="false">AVERAGE(B5500:B5699)</f>
        <v>13521.8348</v>
      </c>
      <c r="E5699" s="7" t="n">
        <f aca="false">B5699/MAX(B5448:B5699)-1</f>
        <v>0</v>
      </c>
      <c r="F5699" s="7" t="str">
        <f aca="false">IFERROR(INDEX(02_轉折點45個!B:B,MATCH(A5699,02_轉折點45個!A:A,0)),"")</f>
        <v/>
      </c>
      <c r="G5699" s="7" t="s">
        <v>5494</v>
      </c>
    </row>
    <row r="5700" customFormat="false" ht="15" hidden="false" customHeight="false" outlineLevel="0" collapsed="false">
      <c r="A5700" s="7" t="s">
        <v>6408</v>
      </c>
      <c r="B5700" s="7" t="n">
        <v>15357.68</v>
      </c>
      <c r="C5700" s="7" t="n">
        <f aca="false">AVERAGE(B5651:B5700)</f>
        <v>14793.0672</v>
      </c>
      <c r="D5700" s="7" t="n">
        <f aca="false">AVERAGE(B5501:B5700)</f>
        <v>13538.23285</v>
      </c>
      <c r="E5700" s="7" t="n">
        <f aca="false">B5700/MAX(B5449:B5700)-1</f>
        <v>0</v>
      </c>
      <c r="F5700" s="7" t="str">
        <f aca="false">IFERROR(INDEX(02_轉折點45個!B:B,MATCH(A5700,02_轉折點45個!A:A,0)),"")</f>
        <v/>
      </c>
      <c r="G5700" s="7" t="s">
        <v>5494</v>
      </c>
    </row>
    <row r="5701" customFormat="false" ht="15" hidden="false" customHeight="false" outlineLevel="0" collapsed="false">
      <c r="A5701" s="7" t="s">
        <v>6409</v>
      </c>
      <c r="B5701" s="7" t="n">
        <v>15368.92</v>
      </c>
      <c r="C5701" s="7" t="n">
        <f aca="false">AVERAGE(B5652:B5701)</f>
        <v>14819.8374</v>
      </c>
      <c r="D5701" s="7" t="n">
        <f aca="false">AVERAGE(B5502:B5701)</f>
        <v>13554.6207</v>
      </c>
      <c r="E5701" s="7" t="n">
        <f aca="false">B5701/MAX(B5450:B5701)-1</f>
        <v>0</v>
      </c>
      <c r="F5701" s="7" t="str">
        <f aca="false">IFERROR(INDEX(02_轉折點45個!B:B,MATCH(A5701,02_轉折點45個!A:A,0)),"")</f>
        <v/>
      </c>
      <c r="G5701" s="7" t="s">
        <v>5494</v>
      </c>
    </row>
    <row r="5702" customFormat="false" ht="15" hidden="false" customHeight="false" outlineLevel="0" collapsed="false">
      <c r="A5702" s="7" t="s">
        <v>6410</v>
      </c>
      <c r="B5702" s="7" t="n">
        <v>15278.52</v>
      </c>
      <c r="C5702" s="7" t="n">
        <f aca="false">AVERAGE(B5653:B5702)</f>
        <v>14845.7476</v>
      </c>
      <c r="D5702" s="7" t="n">
        <f aca="false">AVERAGE(B5503:B5702)</f>
        <v>13571.86135</v>
      </c>
      <c r="E5702" s="7" t="n">
        <f aca="false">B5702/MAX(B5451:B5702)-1</f>
        <v>-0.00588200081723367</v>
      </c>
      <c r="F5702" s="7" t="str">
        <f aca="false">IFERROR(INDEX(02_轉折點45個!B:B,MATCH(A5702,02_轉折點45個!A:A,0)),"")</f>
        <v/>
      </c>
      <c r="G5702" s="7" t="s">
        <v>5494</v>
      </c>
    </row>
    <row r="5703" customFormat="false" ht="15" hidden="false" customHeight="false" outlineLevel="0" collapsed="false">
      <c r="A5703" s="7" t="s">
        <v>1642</v>
      </c>
      <c r="B5703" s="7" t="n">
        <v>15432.95</v>
      </c>
      <c r="C5703" s="7" t="n">
        <f aca="false">AVERAGE(B5654:B5703)</f>
        <v>14871.1304</v>
      </c>
      <c r="D5703" s="7" t="n">
        <f aca="false">AVERAGE(B5504:B5703)</f>
        <v>13590.90465</v>
      </c>
      <c r="E5703" s="7" t="n">
        <f aca="false">B5703/MAX(B5452:B5703)-1</f>
        <v>0</v>
      </c>
      <c r="F5703" s="7" t="str">
        <f aca="false">IFERROR(INDEX(02_轉折點45個!B:B,MATCH(A5703,02_轉折點45個!A:A,0)),"")</f>
        <v/>
      </c>
      <c r="G5703" s="7" t="s">
        <v>5494</v>
      </c>
    </row>
    <row r="5704" customFormat="false" ht="15" hidden="false" customHeight="false" outlineLevel="0" collapsed="false">
      <c r="A5704" s="7" t="s">
        <v>6411</v>
      </c>
      <c r="B5704" s="7" t="n">
        <v>15605.09</v>
      </c>
      <c r="C5704" s="7" t="n">
        <f aca="false">AVERAGE(B5655:B5704)</f>
        <v>14902.2406</v>
      </c>
      <c r="D5704" s="7" t="n">
        <f aca="false">AVERAGE(B5505:B5704)</f>
        <v>13609.46545</v>
      </c>
      <c r="E5704" s="7" t="n">
        <f aca="false">B5704/MAX(B5453:B5704)-1</f>
        <v>0</v>
      </c>
      <c r="F5704" s="7" t="str">
        <f aca="false">IFERROR(INDEX(02_轉折點45個!B:B,MATCH(A5704,02_轉折點45個!A:A,0)),"")</f>
        <v/>
      </c>
      <c r="G5704" s="7" t="s">
        <v>5494</v>
      </c>
    </row>
    <row r="5705" customFormat="false" ht="15" hidden="false" customHeight="false" outlineLevel="0" collapsed="false">
      <c r="A5705" s="7" t="s">
        <v>6412</v>
      </c>
      <c r="B5705" s="7" t="n">
        <v>15582.51</v>
      </c>
      <c r="C5705" s="7" t="n">
        <f aca="false">AVERAGE(B5656:B5705)</f>
        <v>14931.1462</v>
      </c>
      <c r="D5705" s="7" t="n">
        <f aca="false">AVERAGE(B5506:B5705)</f>
        <v>13628.2423</v>
      </c>
      <c r="E5705" s="7" t="n">
        <f aca="false">B5705/MAX(B5454:B5705)-1</f>
        <v>-0.0014469637791259</v>
      </c>
      <c r="F5705" s="7" t="str">
        <f aca="false">IFERROR(INDEX(02_轉折點45個!B:B,MATCH(A5705,02_轉折點45個!A:A,0)),"")</f>
        <v/>
      </c>
      <c r="G5705" s="7" t="s">
        <v>5494</v>
      </c>
    </row>
    <row r="5706" customFormat="false" ht="15" hidden="false" customHeight="false" outlineLevel="0" collapsed="false">
      <c r="A5706" s="7" t="s">
        <v>6413</v>
      </c>
      <c r="B5706" s="7" t="n">
        <v>15611.57</v>
      </c>
      <c r="C5706" s="7" t="n">
        <f aca="false">AVERAGE(B5657:B5706)</f>
        <v>14957.9692</v>
      </c>
      <c r="D5706" s="7" t="n">
        <f aca="false">AVERAGE(B5507:B5706)</f>
        <v>13646.61095</v>
      </c>
      <c r="E5706" s="7" t="n">
        <f aca="false">B5706/MAX(B5455:B5706)-1</f>
        <v>0</v>
      </c>
      <c r="F5706" s="7" t="str">
        <f aca="false">IFERROR(INDEX(02_轉折點45個!B:B,MATCH(A5706,02_轉折點45個!A:A,0)),"")</f>
        <v/>
      </c>
      <c r="G5706" s="7" t="s">
        <v>5494</v>
      </c>
    </row>
    <row r="5707" customFormat="false" ht="15" hidden="false" customHeight="false" outlineLevel="0" collapsed="false">
      <c r="A5707" s="7" t="s">
        <v>6414</v>
      </c>
      <c r="B5707" s="7" t="n">
        <v>15604.25</v>
      </c>
      <c r="C5707" s="7" t="n">
        <f aca="false">AVERAGE(B5658:B5707)</f>
        <v>14984.5694</v>
      </c>
      <c r="D5707" s="7" t="n">
        <f aca="false">AVERAGE(B5508:B5707)</f>
        <v>13664.5653</v>
      </c>
      <c r="E5707" s="7" t="n">
        <f aca="false">B5707/MAX(B5456:B5707)-1</f>
        <v>-0.000468883014328458</v>
      </c>
      <c r="F5707" s="7" t="str">
        <f aca="false">IFERROR(INDEX(02_轉折點45個!B:B,MATCH(A5707,02_轉折點45個!A:A,0)),"")</f>
        <v/>
      </c>
      <c r="G5707" s="7" t="s">
        <v>5494</v>
      </c>
    </row>
    <row r="5708" customFormat="false" ht="15" hidden="false" customHeight="false" outlineLevel="0" collapsed="false">
      <c r="A5708" s="7" t="s">
        <v>6415</v>
      </c>
      <c r="B5708" s="7" t="n">
        <v>15652.86</v>
      </c>
      <c r="C5708" s="7" t="n">
        <f aca="false">AVERAGE(B5659:B5708)</f>
        <v>15010.3074</v>
      </c>
      <c r="D5708" s="7" t="n">
        <f aca="false">AVERAGE(B5509:B5708)</f>
        <v>13682.94215</v>
      </c>
      <c r="E5708" s="7" t="n">
        <f aca="false">B5708/MAX(B5457:B5708)-1</f>
        <v>0</v>
      </c>
      <c r="F5708" s="7" t="str">
        <f aca="false">IFERROR(INDEX(02_轉折點45個!B:B,MATCH(A5708,02_轉折點45個!A:A,0)),"")</f>
        <v/>
      </c>
      <c r="G5708" s="7" t="s">
        <v>5494</v>
      </c>
    </row>
    <row r="5709" customFormat="false" ht="15" hidden="false" customHeight="false" outlineLevel="0" collapsed="false">
      <c r="A5709" s="7" t="s">
        <v>6416</v>
      </c>
      <c r="B5709" s="7" t="n">
        <v>15675.76</v>
      </c>
      <c r="C5709" s="7" t="n">
        <f aca="false">AVERAGE(B5660:B5709)</f>
        <v>15036.919</v>
      </c>
      <c r="D5709" s="7" t="n">
        <f aca="false">AVERAGE(B5510:B5709)</f>
        <v>13701.8474</v>
      </c>
      <c r="E5709" s="7" t="n">
        <f aca="false">B5709/MAX(B5458:B5709)-1</f>
        <v>0</v>
      </c>
      <c r="F5709" s="7" t="str">
        <f aca="false">IFERROR(INDEX(02_轉折點45個!B:B,MATCH(A5709,02_轉折點45個!A:A,0)),"")</f>
        <v/>
      </c>
      <c r="G5709" s="7" t="s">
        <v>5494</v>
      </c>
    </row>
    <row r="5710" customFormat="false" ht="15" hidden="false" customHeight="false" outlineLevel="0" collapsed="false">
      <c r="A5710" s="7" t="s">
        <v>6417</v>
      </c>
      <c r="B5710" s="7" t="n">
        <v>15620.85</v>
      </c>
      <c r="C5710" s="7" t="n">
        <f aca="false">AVERAGE(B5661:B5710)</f>
        <v>15058.8364</v>
      </c>
      <c r="D5710" s="7" t="n">
        <f aca="false">AVERAGE(B5511:B5710)</f>
        <v>13720.0245</v>
      </c>
      <c r="E5710" s="7" t="n">
        <f aca="false">B5710/MAX(B5459:B5710)-1</f>
        <v>-0.00350286046737125</v>
      </c>
      <c r="F5710" s="7" t="str">
        <f aca="false">IFERROR(INDEX(02_轉折點45個!B:B,MATCH(A5710,02_轉折點45個!A:A,0)),"")</f>
        <v/>
      </c>
      <c r="G5710" s="7" t="s">
        <v>5494</v>
      </c>
    </row>
    <row r="5711" customFormat="false" ht="15" hidden="false" customHeight="false" outlineLevel="0" collapsed="false">
      <c r="A5711" s="7" t="s">
        <v>6418</v>
      </c>
      <c r="B5711" s="7" t="n">
        <v>15561.05</v>
      </c>
      <c r="C5711" s="7" t="n">
        <f aca="false">AVERAGE(B5662:B5711)</f>
        <v>15078.6024</v>
      </c>
      <c r="D5711" s="7" t="n">
        <f aca="false">AVERAGE(B5512:B5711)</f>
        <v>13738.29755</v>
      </c>
      <c r="E5711" s="7" t="n">
        <f aca="false">B5711/MAX(B5460:B5711)-1</f>
        <v>-0.00731766753254715</v>
      </c>
      <c r="F5711" s="7" t="str">
        <f aca="false">IFERROR(INDEX(02_轉折點45個!B:B,MATCH(A5711,02_轉折點45個!A:A,0)),"")</f>
        <v/>
      </c>
      <c r="G5711" s="7" t="s">
        <v>5494</v>
      </c>
    </row>
    <row r="5712" customFormat="false" ht="15" hidden="false" customHeight="false" outlineLevel="0" collapsed="false">
      <c r="A5712" s="7" t="s">
        <v>1643</v>
      </c>
      <c r="B5712" s="7" t="n">
        <v>15440.75</v>
      </c>
      <c r="C5712" s="7" t="n">
        <f aca="false">AVERAGE(B5663:B5712)</f>
        <v>15096.3214</v>
      </c>
      <c r="D5712" s="7" t="n">
        <f aca="false">AVERAGE(B5513:B5712)</f>
        <v>13755.9716</v>
      </c>
      <c r="E5712" s="7" t="n">
        <f aca="false">B5712/MAX(B5461:B5712)-1</f>
        <v>-0.0149919365950997</v>
      </c>
      <c r="F5712" s="7" t="str">
        <f aca="false">IFERROR(INDEX(02_轉折點45個!B:B,MATCH(A5712,02_轉折點45個!A:A,0)),"")</f>
        <v/>
      </c>
      <c r="G5712" s="7" t="s">
        <v>5494</v>
      </c>
    </row>
    <row r="5713" customFormat="false" ht="15" hidden="false" customHeight="false" outlineLevel="0" collapsed="false">
      <c r="A5713" s="7" t="s">
        <v>1644</v>
      </c>
      <c r="B5713" s="7" t="n">
        <v>15434.5</v>
      </c>
      <c r="C5713" s="7" t="n">
        <f aca="false">AVERAGE(B5664:B5713)</f>
        <v>15113.8104</v>
      </c>
      <c r="D5713" s="7" t="n">
        <f aca="false">AVERAGE(B5514:B5713)</f>
        <v>13772.74505</v>
      </c>
      <c r="E5713" s="7" t="n">
        <f aca="false">B5713/MAX(B5462:B5713)-1</f>
        <v>-0.0153906413468948</v>
      </c>
      <c r="F5713" s="7" t="str">
        <f aca="false">IFERROR(INDEX(02_轉折點45個!B:B,MATCH(A5713,02_轉折點45個!A:A,0)),"")</f>
        <v/>
      </c>
      <c r="G5713" s="7" t="s">
        <v>5494</v>
      </c>
    </row>
    <row r="5714" customFormat="false" ht="15" hidden="false" customHeight="false" outlineLevel="0" collapsed="false">
      <c r="A5714" s="7" t="s">
        <v>6419</v>
      </c>
      <c r="B5714" s="7" t="n">
        <v>15382.9</v>
      </c>
      <c r="C5714" s="7" t="n">
        <f aca="false">AVERAGE(B5665:B5714)</f>
        <v>15126.9158</v>
      </c>
      <c r="D5714" s="7" t="n">
        <f aca="false">AVERAGE(B5515:B5714)</f>
        <v>13788.89845</v>
      </c>
      <c r="E5714" s="7" t="n">
        <f aca="false">B5714/MAX(B5463:B5714)-1</f>
        <v>-0.0186823477777155</v>
      </c>
      <c r="F5714" s="7" t="str">
        <f aca="false">IFERROR(INDEX(02_轉折點45個!B:B,MATCH(A5714,02_轉折點45個!A:A,0)),"")</f>
        <v/>
      </c>
      <c r="G5714" s="7" t="s">
        <v>5494</v>
      </c>
    </row>
    <row r="5715" customFormat="false" ht="15" hidden="false" customHeight="false" outlineLevel="0" collapsed="false">
      <c r="A5715" s="7" t="s">
        <v>6420</v>
      </c>
      <c r="B5715" s="7" t="n">
        <v>15503.53</v>
      </c>
      <c r="C5715" s="7" t="n">
        <f aca="false">AVERAGE(B5666:B5715)</f>
        <v>15141.2592</v>
      </c>
      <c r="D5715" s="7" t="n">
        <f aca="false">AVERAGE(B5516:B5715)</f>
        <v>13805.12505</v>
      </c>
      <c r="E5715" s="7" t="n">
        <f aca="false">B5715/MAX(B5464:B5715)-1</f>
        <v>-0.0109870271042679</v>
      </c>
      <c r="F5715" s="7" t="str">
        <f aca="false">IFERROR(INDEX(02_轉折點45個!B:B,MATCH(A5715,02_轉折點45個!A:A,0)),"")</f>
        <v/>
      </c>
      <c r="G5715" s="7" t="s">
        <v>5494</v>
      </c>
    </row>
    <row r="5716" customFormat="false" ht="15" hidden="false" customHeight="false" outlineLevel="0" collapsed="false">
      <c r="A5716" s="7" t="s">
        <v>6421</v>
      </c>
      <c r="B5716" s="7" t="n">
        <v>15515.91</v>
      </c>
      <c r="C5716" s="7" t="n">
        <f aca="false">AVERAGE(B5667:B5716)</f>
        <v>15155.3666</v>
      </c>
      <c r="D5716" s="7" t="n">
        <f aca="false">AVERAGE(B5517:B5716)</f>
        <v>13821.363</v>
      </c>
      <c r="E5716" s="7" t="n">
        <f aca="false">B5716/MAX(B5465:B5716)-1</f>
        <v>-0.0101972727319122</v>
      </c>
      <c r="F5716" s="7" t="str">
        <f aca="false">IFERROR(INDEX(02_轉折點45個!B:B,MATCH(A5716,02_轉折點45個!A:A,0)),"")</f>
        <v/>
      </c>
      <c r="G5716" s="7" t="s">
        <v>5494</v>
      </c>
    </row>
    <row r="5717" customFormat="false" ht="15" hidden="false" customHeight="false" outlineLevel="0" collapsed="false">
      <c r="A5717" s="7" t="s">
        <v>6422</v>
      </c>
      <c r="B5717" s="7" t="n">
        <v>15333.47</v>
      </c>
      <c r="C5717" s="7" t="n">
        <f aca="false">AVERAGE(B5668:B5717)</f>
        <v>15167.5932</v>
      </c>
      <c r="D5717" s="7" t="n">
        <f aca="false">AVERAGE(B5518:B5717)</f>
        <v>13835.7537</v>
      </c>
      <c r="E5717" s="7" t="n">
        <f aca="false">B5717/MAX(B5466:B5717)-1</f>
        <v>-0.0218356239187127</v>
      </c>
      <c r="F5717" s="7" t="str">
        <f aca="false">IFERROR(INDEX(02_轉折點45個!B:B,MATCH(A5717,02_轉折點45個!A:A,0)),"")</f>
        <v/>
      </c>
      <c r="G5717" s="7" t="s">
        <v>5494</v>
      </c>
    </row>
    <row r="5718" customFormat="false" ht="15" hidden="false" customHeight="false" outlineLevel="0" collapsed="false">
      <c r="A5718" s="7" t="s">
        <v>1645</v>
      </c>
      <c r="B5718" s="7" t="n">
        <v>15012.19</v>
      </c>
      <c r="C5718" s="7" t="n">
        <f aca="false">AVERAGE(B5669:B5718)</f>
        <v>15171.3152</v>
      </c>
      <c r="D5718" s="7" t="n">
        <f aca="false">AVERAGE(B5519:B5718)</f>
        <v>13848.5326</v>
      </c>
      <c r="E5718" s="7" t="n">
        <f aca="false">B5718/MAX(B5467:B5718)-1</f>
        <v>-0.0423309619437909</v>
      </c>
      <c r="F5718" s="7" t="str">
        <f aca="false">IFERROR(INDEX(02_轉折點45個!B:B,MATCH(A5718,02_轉折點45個!A:A,0)),"")</f>
        <v/>
      </c>
      <c r="G5718" s="7" t="s">
        <v>5494</v>
      </c>
    </row>
    <row r="5719" customFormat="false" ht="15" hidden="false" customHeight="false" outlineLevel="0" collapsed="false">
      <c r="A5719" s="7" t="s">
        <v>6423</v>
      </c>
      <c r="B5719" s="7" t="n">
        <v>15027.77</v>
      </c>
      <c r="C5719" s="7" t="n">
        <f aca="false">AVERAGE(B5670:B5719)</f>
        <v>15174.3128</v>
      </c>
      <c r="D5719" s="7" t="n">
        <f aca="false">AVERAGE(B5520:B5719)</f>
        <v>13861.3358</v>
      </c>
      <c r="E5719" s="7" t="n">
        <f aca="false">B5719/MAX(B5468:B5719)-1</f>
        <v>-0.041337070738516</v>
      </c>
      <c r="F5719" s="7" t="str">
        <f aca="false">IFERROR(INDEX(02_轉折點45個!B:B,MATCH(A5719,02_轉折點45個!A:A,0)),"")</f>
        <v/>
      </c>
      <c r="G5719" s="7" t="s">
        <v>5494</v>
      </c>
    </row>
    <row r="5720" customFormat="false" ht="15" hidden="false" customHeight="false" outlineLevel="0" collapsed="false">
      <c r="A5720" s="7" t="s">
        <v>1646</v>
      </c>
      <c r="B5720" s="7" t="n">
        <v>15176.51</v>
      </c>
      <c r="C5720" s="7" t="n">
        <f aca="false">AVERAGE(B5671:B5720)</f>
        <v>15180.3522</v>
      </c>
      <c r="D5720" s="7" t="n">
        <f aca="false">AVERAGE(B5521:B5720)</f>
        <v>13874.57595</v>
      </c>
      <c r="E5720" s="7" t="n">
        <f aca="false">B5720/MAX(B5469:B5720)-1</f>
        <v>-0.0318485355733948</v>
      </c>
      <c r="F5720" s="7" t="str">
        <f aca="false">IFERROR(INDEX(02_轉折點45個!B:B,MATCH(A5720,02_轉折點45個!A:A,0)),"")</f>
        <v/>
      </c>
      <c r="G5720" s="7" t="s">
        <v>5494</v>
      </c>
    </row>
    <row r="5721" customFormat="false" ht="15" hidden="false" customHeight="false" outlineLevel="0" collapsed="false">
      <c r="A5721" s="7" t="s">
        <v>6424</v>
      </c>
      <c r="B5721" s="7" t="n">
        <v>15316.58</v>
      </c>
      <c r="C5721" s="7" t="n">
        <f aca="false">AVERAGE(B5672:B5721)</f>
        <v>15188.675</v>
      </c>
      <c r="D5721" s="7" t="n">
        <f aca="false">AVERAGE(B5522:B5721)</f>
        <v>13888.1765</v>
      </c>
      <c r="E5721" s="7" t="n">
        <f aca="false">B5721/MAX(B5470:B5721)-1</f>
        <v>-0.0229130836399639</v>
      </c>
      <c r="F5721" s="7" t="str">
        <f aca="false">IFERROR(INDEX(02_轉折點45個!B:B,MATCH(A5721,02_轉折點45個!A:A,0)),"")</f>
        <v/>
      </c>
      <c r="G5721" s="7" t="s">
        <v>5494</v>
      </c>
    </row>
    <row r="5722" customFormat="false" ht="15" hidden="false" customHeight="false" outlineLevel="0" collapsed="false">
      <c r="A5722" s="7" t="s">
        <v>1647</v>
      </c>
      <c r="B5722" s="7" t="n">
        <v>15329.68</v>
      </c>
      <c r="C5722" s="7" t="n">
        <f aca="false">AVERAGE(B5673:B5722)</f>
        <v>15199.3748</v>
      </c>
      <c r="D5722" s="7" t="n">
        <f aca="false">AVERAGE(B5523:B5722)</f>
        <v>13901.6463</v>
      </c>
      <c r="E5722" s="7" t="n">
        <f aca="false">B5722/MAX(B5471:B5722)-1</f>
        <v>-0.0220773984802013</v>
      </c>
      <c r="F5722" s="7" t="str">
        <f aca="false">IFERROR(INDEX(02_轉折點45個!B:B,MATCH(A5722,02_轉折點45個!A:A,0)),"")</f>
        <v/>
      </c>
      <c r="G5722" s="7" t="s">
        <v>5494</v>
      </c>
    </row>
    <row r="5723" customFormat="false" ht="15" hidden="false" customHeight="false" outlineLevel="0" collapsed="false">
      <c r="A5723" s="7" t="s">
        <v>6425</v>
      </c>
      <c r="B5723" s="7" t="n">
        <v>15204.82</v>
      </c>
      <c r="C5723" s="7" t="n">
        <f aca="false">AVERAGE(B5674:B5723)</f>
        <v>15209.8436</v>
      </c>
      <c r="D5723" s="7" t="n">
        <f aca="false">AVERAGE(B5524:B5723)</f>
        <v>13915.8472</v>
      </c>
      <c r="E5723" s="7" t="n">
        <f aca="false">B5723/MAX(B5472:B5723)-1</f>
        <v>-0.0300425625296636</v>
      </c>
      <c r="F5723" s="7" t="str">
        <f aca="false">IFERROR(INDEX(02_轉折點45個!B:B,MATCH(A5723,02_轉折點45個!A:A,0)),"")</f>
        <v/>
      </c>
      <c r="G5723" s="7" t="s">
        <v>5494</v>
      </c>
    </row>
    <row r="5724" customFormat="false" ht="15" hidden="false" customHeight="false" outlineLevel="0" collapsed="false">
      <c r="A5724" s="7" t="s">
        <v>1648</v>
      </c>
      <c r="B5724" s="7" t="n">
        <v>14770.3</v>
      </c>
      <c r="C5724" s="7" t="n">
        <f aca="false">AVERAGE(B5675:B5724)</f>
        <v>15214.2678</v>
      </c>
      <c r="D5724" s="7" t="n">
        <f aca="false">AVERAGE(B5525:B5724)</f>
        <v>13927.69</v>
      </c>
      <c r="E5724" s="7" t="n">
        <f aca="false">B5724/MAX(B5473:B5724)-1</f>
        <v>-0.0577617927296668</v>
      </c>
      <c r="F5724" s="7" t="str">
        <f aca="false">IFERROR(INDEX(02_轉折點45個!B:B,MATCH(A5724,02_轉折點45個!A:A,0)),"")</f>
        <v/>
      </c>
      <c r="G5724" s="7" t="s">
        <v>5494</v>
      </c>
    </row>
    <row r="5725" customFormat="false" ht="15" hidden="false" customHeight="false" outlineLevel="0" collapsed="false">
      <c r="A5725" s="7" t="s">
        <v>6426</v>
      </c>
      <c r="B5725" s="7" t="n">
        <v>14752.89</v>
      </c>
      <c r="C5725" s="7" t="n">
        <f aca="false">AVERAGE(B5676:B5725)</f>
        <v>15214.7614</v>
      </c>
      <c r="D5725" s="7" t="n">
        <f aca="false">AVERAGE(B5526:B5725)</f>
        <v>13939.5774</v>
      </c>
      <c r="E5725" s="7" t="n">
        <f aca="false">B5725/MAX(B5474:B5725)-1</f>
        <v>-0.0588724246862673</v>
      </c>
      <c r="F5725" s="7" t="str">
        <f aca="false">IFERROR(INDEX(02_轉折點45個!B:B,MATCH(A5725,02_轉折點45個!A:A,0)),"")</f>
        <v/>
      </c>
      <c r="G5725" s="7" t="s">
        <v>5494</v>
      </c>
    </row>
    <row r="5726" customFormat="false" ht="15" hidden="false" customHeight="false" outlineLevel="0" collapsed="false">
      <c r="A5726" s="7" t="s">
        <v>1649</v>
      </c>
      <c r="B5726" s="7" t="n">
        <v>14689.62</v>
      </c>
      <c r="C5726" s="7" t="n">
        <f aca="false">AVERAGE(B5677:B5726)</f>
        <v>15211.7012</v>
      </c>
      <c r="D5726" s="7" t="n">
        <f aca="false">AVERAGE(B5527:B5726)</f>
        <v>13950.71445</v>
      </c>
      <c r="E5726" s="7" t="n">
        <f aca="false">B5726/MAX(B5475:B5726)-1</f>
        <v>-0.0629085926296397</v>
      </c>
      <c r="F5726" s="7" t="str">
        <f aca="false">IFERROR(INDEX(02_轉折點45個!B:B,MATCH(A5726,02_轉折點45個!A:A,0)),"")</f>
        <v/>
      </c>
      <c r="G5726" s="7" t="s">
        <v>5494</v>
      </c>
    </row>
    <row r="5727" customFormat="false" ht="15" hidden="false" customHeight="false" outlineLevel="0" collapsed="false">
      <c r="A5727" s="7" t="s">
        <v>6427</v>
      </c>
      <c r="B5727" s="7" t="n">
        <v>14791.87</v>
      </c>
      <c r="C5727" s="7" t="n">
        <f aca="false">AVERAGE(B5678:B5727)</f>
        <v>15208.7352</v>
      </c>
      <c r="D5727" s="7" t="n">
        <f aca="false">AVERAGE(B5528:B5727)</f>
        <v>13961.6942</v>
      </c>
      <c r="E5727" s="7" t="n">
        <f aca="false">B5727/MAX(B5476:B5727)-1</f>
        <v>-0.0563857828902713</v>
      </c>
      <c r="F5727" s="7" t="str">
        <f aca="false">IFERROR(INDEX(02_轉折點45個!B:B,MATCH(A5727,02_轉折點45個!A:A,0)),"")</f>
        <v/>
      </c>
      <c r="G5727" s="7" t="s">
        <v>5494</v>
      </c>
    </row>
    <row r="5728" customFormat="false" ht="15" hidden="false" customHeight="false" outlineLevel="0" collapsed="false">
      <c r="A5728" s="7" t="s">
        <v>1650</v>
      </c>
      <c r="B5728" s="7" t="n">
        <v>14472.12</v>
      </c>
      <c r="C5728" s="7" t="n">
        <f aca="false">AVERAGE(B5679:B5728)</f>
        <v>15195.9418</v>
      </c>
      <c r="D5728" s="7" t="n">
        <f aca="false">AVERAGE(B5529:B5728)</f>
        <v>13970.714</v>
      </c>
      <c r="E5728" s="7" t="n">
        <f aca="false">B5728/MAX(B5477:B5728)-1</f>
        <v>-0.07678351799211</v>
      </c>
      <c r="F5728" s="7" t="str">
        <f aca="false">IFERROR(INDEX(02_轉折點45個!B:B,MATCH(A5728,02_轉折點45個!A:A,0)),"")</f>
        <v/>
      </c>
      <c r="G5728" s="7" t="s">
        <v>5494</v>
      </c>
    </row>
    <row r="5729" customFormat="false" ht="15" hidden="false" customHeight="false" outlineLevel="0" collapsed="false">
      <c r="A5729" s="7" t="s">
        <v>6428</v>
      </c>
      <c r="B5729" s="7" t="n">
        <v>14674.15</v>
      </c>
      <c r="C5729" s="7" t="n">
        <f aca="false">AVERAGE(B5680:B5729)</f>
        <v>15186.9058</v>
      </c>
      <c r="D5729" s="7" t="n">
        <f aca="false">AVERAGE(B5530:B5729)</f>
        <v>13980.32445</v>
      </c>
      <c r="E5729" s="7" t="n">
        <f aca="false">B5729/MAX(B5478:B5729)-1</f>
        <v>-0.063895466631283</v>
      </c>
      <c r="F5729" s="7" t="str">
        <f aca="false">IFERROR(INDEX(02_轉折點45個!B:B,MATCH(A5729,02_轉折點45個!A:A,0)),"")</f>
        <v/>
      </c>
      <c r="G5729" s="7" t="s">
        <v>5494</v>
      </c>
    </row>
    <row r="5730" customFormat="false" ht="15" hidden="false" customHeight="false" outlineLevel="0" collapsed="false">
      <c r="A5730" s="7" t="s">
        <v>1651</v>
      </c>
      <c r="B5730" s="7" t="n">
        <v>14766.75</v>
      </c>
      <c r="C5730" s="7" t="n">
        <f aca="false">AVERAGE(B5681:B5730)</f>
        <v>15183.1014</v>
      </c>
      <c r="D5730" s="7" t="n">
        <f aca="false">AVERAGE(B5531:B5730)</f>
        <v>13990.4673</v>
      </c>
      <c r="E5730" s="7" t="n">
        <f aca="false">B5730/MAX(B5479:B5730)-1</f>
        <v>-0.0579882570286864</v>
      </c>
      <c r="F5730" s="7" t="str">
        <f aca="false">IFERROR(INDEX(02_轉折點45個!B:B,MATCH(A5730,02_轉折點45個!A:A,0)),"")</f>
        <v/>
      </c>
      <c r="G5730" s="7" t="s">
        <v>5494</v>
      </c>
    </row>
    <row r="5731" customFormat="false" ht="15" hidden="false" customHeight="false" outlineLevel="0" collapsed="false">
      <c r="A5731" s="7" t="s">
        <v>1652</v>
      </c>
      <c r="B5731" s="7" t="n">
        <v>14897.13</v>
      </c>
      <c r="C5731" s="7" t="n">
        <f aca="false">AVERAGE(B5682:B5731)</f>
        <v>15180.682</v>
      </c>
      <c r="D5731" s="7" t="n">
        <f aca="false">AVERAGE(B5532:B5731)</f>
        <v>14001.50165</v>
      </c>
      <c r="E5731" s="7" t="n">
        <f aca="false">B5731/MAX(B5480:B5731)-1</f>
        <v>-0.0496709569424386</v>
      </c>
      <c r="F5731" s="7" t="str">
        <f aca="false">IFERROR(INDEX(02_轉折點45個!B:B,MATCH(A5731,02_轉折點45個!A:A,0)),"")</f>
        <v/>
      </c>
      <c r="G5731" s="7" t="s">
        <v>5494</v>
      </c>
    </row>
    <row r="5732" customFormat="false" ht="15" hidden="false" customHeight="false" outlineLevel="0" collapsed="false">
      <c r="A5732" s="7" t="s">
        <v>6429</v>
      </c>
      <c r="B5732" s="7" t="n">
        <v>14820.75</v>
      </c>
      <c r="C5732" s="7" t="n">
        <f aca="false">AVERAGE(B5683:B5732)</f>
        <v>15176.1298</v>
      </c>
      <c r="D5732" s="7" t="n">
        <f aca="false">AVERAGE(B5533:B5732)</f>
        <v>14012.0176</v>
      </c>
      <c r="E5732" s="7" t="n">
        <f aca="false">B5732/MAX(B5481:B5732)-1</f>
        <v>-0.0545434479731765</v>
      </c>
      <c r="F5732" s="7" t="str">
        <f aca="false">IFERROR(INDEX(02_轉折點45個!B:B,MATCH(A5732,02_轉折點45個!A:A,0)),"")</f>
        <v/>
      </c>
      <c r="G5732" s="7" t="s">
        <v>5494</v>
      </c>
    </row>
    <row r="5733" customFormat="false" ht="15" hidden="false" customHeight="false" outlineLevel="0" collapsed="false">
      <c r="A5733" s="7" t="s">
        <v>1653</v>
      </c>
      <c r="B5733" s="7" t="n">
        <v>14713.73</v>
      </c>
      <c r="C5733" s="7" t="n">
        <f aca="false">AVERAGE(B5684:B5733)</f>
        <v>15171.2064</v>
      </c>
      <c r="D5733" s="7" t="n">
        <f aca="false">AVERAGE(B5534:B5733)</f>
        <v>14022.32055</v>
      </c>
      <c r="E5733" s="7" t="n">
        <f aca="false">B5733/MAX(B5482:B5733)-1</f>
        <v>-0.0613705491791148</v>
      </c>
      <c r="F5733" s="7" t="str">
        <f aca="false">IFERROR(INDEX(02_轉折點45個!B:B,MATCH(A5733,02_轉折點45個!A:A,0)),"")</f>
        <v/>
      </c>
      <c r="G5733" s="7" t="s">
        <v>5494</v>
      </c>
    </row>
    <row r="5734" customFormat="false" ht="15" hidden="false" customHeight="false" outlineLevel="0" collapsed="false">
      <c r="A5734" s="7" t="s">
        <v>6430</v>
      </c>
      <c r="B5734" s="7" t="n">
        <v>14662.11</v>
      </c>
      <c r="C5734" s="7" t="n">
        <f aca="false">AVERAGE(B5685:B5734)</f>
        <v>15165.1762</v>
      </c>
      <c r="D5734" s="7" t="n">
        <f aca="false">AVERAGE(B5535:B5734)</f>
        <v>14032.07605</v>
      </c>
      <c r="E5734" s="7" t="n">
        <f aca="false">B5734/MAX(B5483:B5734)-1</f>
        <v>-0.064663531465141</v>
      </c>
      <c r="F5734" s="7" t="str">
        <f aca="false">IFERROR(INDEX(02_轉折點45個!B:B,MATCH(A5734,02_轉折點45個!A:A,0)),"")</f>
        <v/>
      </c>
      <c r="G5734" s="7" t="s">
        <v>5494</v>
      </c>
    </row>
    <row r="5735" customFormat="false" ht="15" hidden="false" customHeight="false" outlineLevel="0" collapsed="false">
      <c r="A5735" s="7" t="s">
        <v>6431</v>
      </c>
      <c r="B5735" s="7" t="n">
        <v>14774.6</v>
      </c>
      <c r="C5735" s="7" t="n">
        <f aca="false">AVERAGE(B5686:B5735)</f>
        <v>15159.4398</v>
      </c>
      <c r="D5735" s="7" t="n">
        <f aca="false">AVERAGE(B5536:B5735)</f>
        <v>14041.75475</v>
      </c>
      <c r="E5735" s="7" t="n">
        <f aca="false">B5735/MAX(B5484:B5735)-1</f>
        <v>-0.0574874838604317</v>
      </c>
      <c r="F5735" s="7" t="str">
        <f aca="false">IFERROR(INDEX(02_轉折點45個!B:B,MATCH(A5735,02_轉折點45個!A:A,0)),"")</f>
        <v/>
      </c>
      <c r="G5735" s="7" t="s">
        <v>5494</v>
      </c>
    </row>
    <row r="5736" customFormat="false" ht="15" hidden="false" customHeight="false" outlineLevel="0" collapsed="false">
      <c r="A5736" s="7" t="s">
        <v>1654</v>
      </c>
      <c r="B5736" s="7" t="n">
        <v>15052.42</v>
      </c>
      <c r="C5736" s="7" t="n">
        <f aca="false">AVERAGE(B5687:B5736)</f>
        <v>15158.8204</v>
      </c>
      <c r="D5736" s="7" t="n">
        <f aca="false">AVERAGE(B5537:B5736)</f>
        <v>14052.7994</v>
      </c>
      <c r="E5736" s="7" t="n">
        <f aca="false">B5736/MAX(B5485:B5736)-1</f>
        <v>-0.039764579197436</v>
      </c>
      <c r="F5736" s="7" t="str">
        <f aca="false">IFERROR(INDEX(02_轉折點45個!B:B,MATCH(A5736,02_轉折點45個!A:A,0)),"")</f>
        <v/>
      </c>
      <c r="G5736" s="7" t="s">
        <v>5494</v>
      </c>
    </row>
    <row r="5737" customFormat="false" ht="15" hidden="false" customHeight="false" outlineLevel="0" collapsed="false">
      <c r="A5737" s="7" t="s">
        <v>6432</v>
      </c>
      <c r="B5737" s="7" t="n">
        <v>15146.92</v>
      </c>
      <c r="C5737" s="7" t="n">
        <f aca="false">AVERAGE(B5688:B5737)</f>
        <v>15158.126</v>
      </c>
      <c r="D5737" s="7" t="n">
        <f aca="false">AVERAGE(B5538:B5737)</f>
        <v>14064.3072</v>
      </c>
      <c r="E5737" s="7" t="n">
        <f aca="false">B5737/MAX(B5486:B5737)-1</f>
        <v>-0.0337361633502937</v>
      </c>
      <c r="F5737" s="7" t="str">
        <f aca="false">IFERROR(INDEX(02_轉折點45個!B:B,MATCH(A5737,02_轉折點45個!A:A,0)),"")</f>
        <v/>
      </c>
      <c r="G5737" s="7" t="s">
        <v>5494</v>
      </c>
    </row>
    <row r="5738" customFormat="false" ht="15" hidden="false" customHeight="false" outlineLevel="0" collapsed="false">
      <c r="A5738" s="7" t="s">
        <v>6433</v>
      </c>
      <c r="B5738" s="7" t="n">
        <v>15300.89</v>
      </c>
      <c r="C5738" s="7" t="n">
        <f aca="false">AVERAGE(B5689:B5738)</f>
        <v>15161.9566</v>
      </c>
      <c r="D5738" s="7" t="n">
        <f aca="false">AVERAGE(B5539:B5738)</f>
        <v>14076.37025</v>
      </c>
      <c r="E5738" s="7" t="n">
        <f aca="false">B5738/MAX(B5487:B5738)-1</f>
        <v>-0.0239139920488705</v>
      </c>
      <c r="F5738" s="7" t="str">
        <f aca="false">IFERROR(INDEX(02_轉折點45個!B:B,MATCH(A5738,02_轉折點45個!A:A,0)),"")</f>
        <v/>
      </c>
      <c r="G5738" s="7" t="s">
        <v>5494</v>
      </c>
    </row>
    <row r="5739" customFormat="false" ht="15" hidden="false" customHeight="false" outlineLevel="0" collapsed="false">
      <c r="A5739" s="7" t="s">
        <v>6434</v>
      </c>
      <c r="B5739" s="7" t="n">
        <v>15410.72</v>
      </c>
      <c r="C5739" s="7" t="n">
        <f aca="false">AVERAGE(B5690:B5739)</f>
        <v>15167.5088</v>
      </c>
      <c r="D5739" s="7" t="n">
        <f aca="false">AVERAGE(B5540:B5739)</f>
        <v>14089.95055</v>
      </c>
      <c r="E5739" s="7" t="n">
        <f aca="false">B5739/MAX(B5488:B5739)-1</f>
        <v>-0.016907633186525</v>
      </c>
      <c r="F5739" s="7" t="str">
        <f aca="false">IFERROR(INDEX(02_轉折點45個!B:B,MATCH(A5739,02_轉折點45個!A:A,0)),"")</f>
        <v/>
      </c>
      <c r="G5739" s="7" t="s">
        <v>5494</v>
      </c>
    </row>
    <row r="5740" customFormat="false" ht="15" hidden="false" customHeight="false" outlineLevel="0" collapsed="false">
      <c r="A5740" s="7" t="s">
        <v>6435</v>
      </c>
      <c r="B5740" s="7" t="n">
        <v>15388.71</v>
      </c>
      <c r="C5740" s="7" t="n">
        <f aca="false">AVERAGE(B5691:B5740)</f>
        <v>15174.2114</v>
      </c>
      <c r="D5740" s="7" t="n">
        <f aca="false">AVERAGE(B5541:B5740)</f>
        <v>14102.8822</v>
      </c>
      <c r="E5740" s="7" t="n">
        <f aca="false">B5740/MAX(B5489:B5740)-1</f>
        <v>-0.0183117118404468</v>
      </c>
      <c r="F5740" s="7" t="str">
        <f aca="false">IFERROR(INDEX(02_轉折點45個!B:B,MATCH(A5740,02_轉折點45個!A:A,0)),"")</f>
        <v/>
      </c>
      <c r="G5740" s="7" t="s">
        <v>5494</v>
      </c>
    </row>
    <row r="5741" customFormat="false" ht="15" hidden="false" customHeight="false" outlineLevel="0" collapsed="false">
      <c r="A5741" s="7" t="s">
        <v>6436</v>
      </c>
      <c r="B5741" s="7" t="n">
        <v>15489.59</v>
      </c>
      <c r="C5741" s="7" t="n">
        <f aca="false">AVERAGE(B5692:B5741)</f>
        <v>15183.448</v>
      </c>
      <c r="D5741" s="7" t="n">
        <f aca="false">AVERAGE(B5542:B5741)</f>
        <v>14117.2134</v>
      </c>
      <c r="E5741" s="7" t="n">
        <f aca="false">B5741/MAX(B5490:B5741)-1</f>
        <v>-0.0118762981826719</v>
      </c>
      <c r="F5741" s="7" t="str">
        <f aca="false">IFERROR(INDEX(02_轉折點45個!B:B,MATCH(A5741,02_轉折點45個!A:A,0)),"")</f>
        <v/>
      </c>
      <c r="G5741" s="7" t="s">
        <v>5494</v>
      </c>
    </row>
    <row r="5742" customFormat="false" ht="15" hidden="false" customHeight="false" outlineLevel="0" collapsed="false">
      <c r="A5742" s="7" t="s">
        <v>1655</v>
      </c>
      <c r="B5742" s="7" t="n">
        <v>15355.07</v>
      </c>
      <c r="C5742" s="7" t="n">
        <f aca="false">AVERAGE(B5693:B5742)</f>
        <v>15188.7698</v>
      </c>
      <c r="D5742" s="7" t="n">
        <f aca="false">AVERAGE(B5543:B5742)</f>
        <v>14129.2909</v>
      </c>
      <c r="E5742" s="7" t="n">
        <f aca="false">B5742/MAX(B5491:B5742)-1</f>
        <v>-0.0204577002965087</v>
      </c>
      <c r="F5742" s="7" t="str">
        <f aca="false">IFERROR(INDEX(02_轉折點45個!B:B,MATCH(A5742,02_轉折點45個!A:A,0)),"")</f>
        <v/>
      </c>
      <c r="G5742" s="7" t="s">
        <v>5494</v>
      </c>
    </row>
    <row r="5743" customFormat="false" ht="15" hidden="false" customHeight="false" outlineLevel="0" collapsed="false">
      <c r="A5743" s="7" t="s">
        <v>6437</v>
      </c>
      <c r="B5743" s="7" t="n">
        <v>15514.19</v>
      </c>
      <c r="C5743" s="7" t="n">
        <f aca="false">AVERAGE(B5694:B5743)</f>
        <v>15196.32</v>
      </c>
      <c r="D5743" s="7" t="n">
        <f aca="false">AVERAGE(B5544:B5743)</f>
        <v>14141.33585</v>
      </c>
      <c r="E5743" s="7" t="n">
        <f aca="false">B5743/MAX(B5492:B5743)-1</f>
        <v>-0.0103069962796062</v>
      </c>
      <c r="F5743" s="7" t="str">
        <f aca="false">IFERROR(INDEX(02_轉折點45個!B:B,MATCH(A5743,02_轉折點45個!A:A,0)),"")</f>
        <v/>
      </c>
      <c r="G5743" s="7" t="s">
        <v>5494</v>
      </c>
    </row>
    <row r="5744" customFormat="false" ht="15" hidden="false" customHeight="false" outlineLevel="0" collapsed="false">
      <c r="A5744" s="7" t="s">
        <v>6438</v>
      </c>
      <c r="B5744" s="7" t="n">
        <v>15559.49</v>
      </c>
      <c r="C5744" s="7" t="n">
        <f aca="false">AVERAGE(B5695:B5744)</f>
        <v>15204.6944</v>
      </c>
      <c r="D5744" s="7" t="n">
        <f aca="false">AVERAGE(B5545:B5744)</f>
        <v>14154.62085</v>
      </c>
      <c r="E5744" s="7" t="n">
        <f aca="false">B5744/MAX(B5493:B5744)-1</f>
        <v>-0.00741718423859517</v>
      </c>
      <c r="F5744" s="7" t="str">
        <f aca="false">IFERROR(INDEX(02_轉折點45個!B:B,MATCH(A5744,02_轉折點45個!A:A,0)),"")</f>
        <v/>
      </c>
      <c r="G5744" s="7" t="s">
        <v>5494</v>
      </c>
    </row>
    <row r="5745" customFormat="false" ht="15" hidden="false" customHeight="false" outlineLevel="0" collapsed="false">
      <c r="A5745" s="7" t="s">
        <v>6439</v>
      </c>
      <c r="B5745" s="7" t="n">
        <v>15598.39</v>
      </c>
      <c r="C5745" s="7" t="n">
        <f aca="false">AVERAGE(B5696:B5745)</f>
        <v>15216.6056</v>
      </c>
      <c r="D5745" s="7" t="n">
        <f aca="false">AVERAGE(B5546:B5745)</f>
        <v>14168.15235</v>
      </c>
      <c r="E5745" s="7" t="n">
        <f aca="false">B5745/MAX(B5494:B5745)-1</f>
        <v>-0.00493564586342232</v>
      </c>
      <c r="F5745" s="7" t="str">
        <f aca="false">IFERROR(INDEX(02_轉折點45個!B:B,MATCH(A5745,02_轉折點45個!A:A,0)),"")</f>
        <v/>
      </c>
      <c r="G5745" s="7" t="s">
        <v>5494</v>
      </c>
    </row>
    <row r="5746" customFormat="false" ht="15" hidden="false" customHeight="false" outlineLevel="0" collapsed="false">
      <c r="A5746" s="7" t="s">
        <v>1656</v>
      </c>
      <c r="B5746" s="7" t="n">
        <v>15778.16</v>
      </c>
      <c r="C5746" s="7" t="n">
        <f aca="false">AVERAGE(B5697:B5746)</f>
        <v>15235.0104</v>
      </c>
      <c r="D5746" s="7" t="n">
        <f aca="false">AVERAGE(B5547:B5746)</f>
        <v>14182.175</v>
      </c>
      <c r="E5746" s="7" t="n">
        <f aca="false">B5746/MAX(B5495:B5746)-1</f>
        <v>0</v>
      </c>
      <c r="F5746" s="7" t="str">
        <f aca="false">IFERROR(INDEX(02_轉折點45個!B:B,MATCH(A5746,02_轉折點45個!A:A,0)),"")</f>
        <v/>
      </c>
      <c r="G5746" s="7" t="s">
        <v>5494</v>
      </c>
    </row>
    <row r="5747" customFormat="false" ht="15" hidden="false" customHeight="false" outlineLevel="0" collapsed="false">
      <c r="A5747" s="7" t="s">
        <v>6440</v>
      </c>
      <c r="B5747" s="7" t="n">
        <v>15850.47</v>
      </c>
      <c r="C5747" s="7" t="n">
        <f aca="false">AVERAGE(B5698:B5747)</f>
        <v>15253.341</v>
      </c>
      <c r="D5747" s="7" t="n">
        <f aca="false">AVERAGE(B5548:B5747)</f>
        <v>14196.9339</v>
      </c>
      <c r="E5747" s="7" t="n">
        <f aca="false">B5747/MAX(B5496:B5747)-1</f>
        <v>0</v>
      </c>
      <c r="F5747" s="7" t="str">
        <f aca="false">IFERROR(INDEX(02_轉折點45個!B:B,MATCH(A5747,02_轉折點45個!A:A,0)),"")</f>
        <v/>
      </c>
      <c r="G5747" s="7" t="s">
        <v>5494</v>
      </c>
    </row>
    <row r="5748" customFormat="false" ht="15" hidden="false" customHeight="false" outlineLevel="0" collapsed="false">
      <c r="A5748" s="7" t="s">
        <v>1658</v>
      </c>
      <c r="B5748" s="7" t="n">
        <v>15905.28</v>
      </c>
      <c r="C5748" s="7" t="n">
        <f aca="false">AVERAGE(B5699:B5748)</f>
        <v>15269.5952</v>
      </c>
      <c r="D5748" s="7" t="n">
        <f aca="false">AVERAGE(B5549:B5748)</f>
        <v>14212.44065</v>
      </c>
      <c r="E5748" s="7" t="n">
        <f aca="false">B5748/MAX(B5497:B5748)-1</f>
        <v>0</v>
      </c>
      <c r="F5748" s="7" t="str">
        <f aca="false">IFERROR(INDEX(02_轉折點45個!B:B,MATCH(A5748,02_轉折點45個!A:A,0)),"")</f>
        <v/>
      </c>
      <c r="G5748" s="7" t="s">
        <v>5494</v>
      </c>
    </row>
    <row r="5749" customFormat="false" ht="15" hidden="false" customHeight="false" outlineLevel="0" collapsed="false">
      <c r="A5749" s="7" t="s">
        <v>6441</v>
      </c>
      <c r="B5749" s="7" t="n">
        <v>15972.49</v>
      </c>
      <c r="C5749" s="7" t="n">
        <f aca="false">AVERAGE(B5700:B5749)</f>
        <v>15282.7886</v>
      </c>
      <c r="D5749" s="7" t="n">
        <f aca="false">AVERAGE(B5550:B5749)</f>
        <v>14227.3204</v>
      </c>
      <c r="E5749" s="7" t="n">
        <f aca="false">B5749/MAX(B5498:B5749)-1</f>
        <v>0</v>
      </c>
      <c r="F5749" s="7" t="str">
        <f aca="false">IFERROR(INDEX(02_轉折點45個!B:B,MATCH(A5749,02_轉折點45個!A:A,0)),"")</f>
        <v/>
      </c>
      <c r="G5749" s="7" t="s">
        <v>5494</v>
      </c>
    </row>
    <row r="5750" customFormat="false" ht="15" hidden="false" customHeight="false" outlineLevel="0" collapsed="false">
      <c r="A5750" s="7" t="s">
        <v>6442</v>
      </c>
      <c r="B5750" s="7" t="n">
        <v>16144.5</v>
      </c>
      <c r="C5750" s="7" t="n">
        <f aca="false">AVERAGE(B5701:B5750)</f>
        <v>15298.525</v>
      </c>
      <c r="D5750" s="7" t="n">
        <f aca="false">AVERAGE(B5551:B5750)</f>
        <v>14241.56065</v>
      </c>
      <c r="E5750" s="7" t="n">
        <f aca="false">B5750/MAX(B5499:B5750)-1</f>
        <v>0</v>
      </c>
      <c r="F5750" s="7" t="str">
        <f aca="false">IFERROR(INDEX(02_轉折點45個!B:B,MATCH(A5750,02_轉折點45個!A:A,0)),"")</f>
        <v/>
      </c>
      <c r="G5750" s="7" t="s">
        <v>5494</v>
      </c>
    </row>
    <row r="5751" customFormat="false" ht="15" hidden="false" customHeight="false" outlineLevel="0" collapsed="false">
      <c r="A5751" s="7" t="s">
        <v>1659</v>
      </c>
      <c r="B5751" s="7" t="n">
        <v>16346.24</v>
      </c>
      <c r="C5751" s="7" t="n">
        <f aca="false">AVERAGE(B5702:B5751)</f>
        <v>15318.0714</v>
      </c>
      <c r="D5751" s="7" t="n">
        <f aca="false">AVERAGE(B5552:B5751)</f>
        <v>14256.2669</v>
      </c>
      <c r="E5751" s="7" t="n">
        <f aca="false">B5751/MAX(B5500:B5751)-1</f>
        <v>0</v>
      </c>
      <c r="F5751" s="7" t="str">
        <f aca="false">IFERROR(INDEX(02_轉折點45個!B:B,MATCH(A5751,02_轉折點45個!A:A,0)),"")</f>
        <v/>
      </c>
      <c r="G5751" s="7" t="s">
        <v>5494</v>
      </c>
    </row>
    <row r="5752" customFormat="false" ht="15" hidden="false" customHeight="false" outlineLevel="0" collapsed="false">
      <c r="A5752" s="7" t="s">
        <v>6443</v>
      </c>
      <c r="B5752" s="7" t="n">
        <v>16359.38</v>
      </c>
      <c r="C5752" s="7" t="n">
        <f aca="false">AVERAGE(B5703:B5752)</f>
        <v>15339.6886</v>
      </c>
      <c r="D5752" s="7" t="n">
        <f aca="false">AVERAGE(B5553:B5752)</f>
        <v>14271.2318</v>
      </c>
      <c r="E5752" s="7" t="n">
        <f aca="false">B5752/MAX(B5501:B5752)-1</f>
        <v>0</v>
      </c>
      <c r="F5752" s="7" t="str">
        <f aca="false">IFERROR(INDEX(02_轉折點45個!B:B,MATCH(A5752,02_轉折點45個!A:A,0)),"")</f>
        <v/>
      </c>
      <c r="G5752" s="7" t="s">
        <v>5494</v>
      </c>
    </row>
    <row r="5753" customFormat="false" ht="15" hidden="false" customHeight="false" outlineLevel="0" collapsed="false">
      <c r="A5753" s="7" t="s">
        <v>6444</v>
      </c>
      <c r="B5753" s="7" t="n">
        <v>16336.03</v>
      </c>
      <c r="C5753" s="7" t="n">
        <f aca="false">AVERAGE(B5704:B5753)</f>
        <v>15357.7502</v>
      </c>
      <c r="D5753" s="7" t="n">
        <f aca="false">AVERAGE(B5554:B5753)</f>
        <v>14285.4955</v>
      </c>
      <c r="E5753" s="7" t="n">
        <f aca="false">B5753/MAX(B5502:B5753)-1</f>
        <v>-0.00142731570511834</v>
      </c>
      <c r="F5753" s="7" t="str">
        <f aca="false">IFERROR(INDEX(02_轉折點45個!B:B,MATCH(A5753,02_轉折點45個!A:A,0)),"")</f>
        <v/>
      </c>
      <c r="G5753" s="7" t="s">
        <v>5494</v>
      </c>
    </row>
    <row r="5754" customFormat="false" ht="15" hidden="false" customHeight="false" outlineLevel="0" collapsed="false">
      <c r="A5754" s="7" t="s">
        <v>6445</v>
      </c>
      <c r="B5754" s="7" t="n">
        <v>16219.94</v>
      </c>
      <c r="C5754" s="7" t="n">
        <f aca="false">AVERAGE(B5705:B5754)</f>
        <v>15370.0472</v>
      </c>
      <c r="D5754" s="7" t="n">
        <f aca="false">AVERAGE(B5555:B5754)</f>
        <v>14299.14425</v>
      </c>
      <c r="E5754" s="7" t="n">
        <f aca="false">B5754/MAX(B5503:B5754)-1</f>
        <v>-0.00852355040349928</v>
      </c>
      <c r="F5754" s="7" t="str">
        <f aca="false">IFERROR(INDEX(02_轉折點45個!B:B,MATCH(A5754,02_轉折點45個!A:A,0)),"")</f>
        <v/>
      </c>
      <c r="G5754" s="7" t="s">
        <v>5494</v>
      </c>
    </row>
    <row r="5755" customFormat="false" ht="15" hidden="false" customHeight="false" outlineLevel="0" collapsed="false">
      <c r="A5755" s="7" t="s">
        <v>1660</v>
      </c>
      <c r="B5755" s="7" t="n">
        <v>15985.57</v>
      </c>
      <c r="C5755" s="7" t="n">
        <f aca="false">AVERAGE(B5706:B5755)</f>
        <v>15378.1084</v>
      </c>
      <c r="D5755" s="7" t="n">
        <f aca="false">AVERAGE(B5556:B5755)</f>
        <v>14313.50885</v>
      </c>
      <c r="E5755" s="7" t="n">
        <f aca="false">B5755/MAX(B5504:B5755)-1</f>
        <v>-0.022849887954189</v>
      </c>
      <c r="F5755" s="7" t="str">
        <f aca="false">IFERROR(INDEX(02_轉折點45個!B:B,MATCH(A5755,02_轉折點45個!A:A,0)),"")</f>
        <v/>
      </c>
      <c r="G5755" s="7" t="s">
        <v>5494</v>
      </c>
    </row>
    <row r="5756" customFormat="false" ht="15" hidden="false" customHeight="false" outlineLevel="0" collapsed="false">
      <c r="A5756" s="7" t="s">
        <v>6446</v>
      </c>
      <c r="B5756" s="7" t="n">
        <v>16032.47</v>
      </c>
      <c r="C5756" s="7" t="n">
        <f aca="false">AVERAGE(B5707:B5756)</f>
        <v>15386.5264</v>
      </c>
      <c r="D5756" s="7" t="n">
        <f aca="false">AVERAGE(B5557:B5756)</f>
        <v>14327.66355</v>
      </c>
      <c r="E5756" s="7" t="n">
        <f aca="false">B5756/MAX(B5505:B5756)-1</f>
        <v>-0.019983031141767</v>
      </c>
      <c r="F5756" s="7" t="str">
        <f aca="false">IFERROR(INDEX(02_轉折點45個!B:B,MATCH(A5756,02_轉折點45個!A:A,0)),"")</f>
        <v/>
      </c>
      <c r="G5756" s="7" t="s">
        <v>5494</v>
      </c>
    </row>
    <row r="5757" customFormat="false" ht="15" hidden="false" customHeight="false" outlineLevel="0" collapsed="false">
      <c r="A5757" s="7" t="s">
        <v>6447</v>
      </c>
      <c r="B5757" s="7" t="n">
        <v>16199.89</v>
      </c>
      <c r="C5757" s="7" t="n">
        <f aca="false">AVERAGE(B5708:B5757)</f>
        <v>15398.4392</v>
      </c>
      <c r="D5757" s="7" t="n">
        <f aca="false">AVERAGE(B5558:B5757)</f>
        <v>14344.0361</v>
      </c>
      <c r="E5757" s="7" t="n">
        <f aca="false">B5757/MAX(B5506:B5757)-1</f>
        <v>-0.00974914697256257</v>
      </c>
      <c r="F5757" s="7" t="str">
        <f aca="false">IFERROR(INDEX(02_轉折點45個!B:B,MATCH(A5757,02_轉折點45個!A:A,0)),"")</f>
        <v/>
      </c>
      <c r="G5757" s="7" t="s">
        <v>5494</v>
      </c>
    </row>
    <row r="5758" customFormat="false" ht="15" hidden="false" customHeight="false" outlineLevel="0" collapsed="false">
      <c r="A5758" s="7" t="s">
        <v>1661</v>
      </c>
      <c r="B5758" s="7" t="n">
        <v>16189.12</v>
      </c>
      <c r="C5758" s="7" t="n">
        <f aca="false">AVERAGE(B5709:B5758)</f>
        <v>15409.1644</v>
      </c>
      <c r="D5758" s="7" t="n">
        <f aca="false">AVERAGE(B5559:B5758)</f>
        <v>14358.7372</v>
      </c>
      <c r="E5758" s="7" t="n">
        <f aca="false">B5758/MAX(B5507:B5758)-1</f>
        <v>-0.0104074848802338</v>
      </c>
      <c r="F5758" s="7" t="str">
        <f aca="false">IFERROR(INDEX(02_轉折點45個!B:B,MATCH(A5758,02_轉折點45個!A:A,0)),"")</f>
        <v/>
      </c>
      <c r="G5758" s="7" t="s">
        <v>5494</v>
      </c>
    </row>
    <row r="5759" customFormat="false" ht="15" hidden="false" customHeight="false" outlineLevel="0" collapsed="false">
      <c r="A5759" s="7" t="s">
        <v>6448</v>
      </c>
      <c r="B5759" s="7" t="n">
        <v>16309.77</v>
      </c>
      <c r="C5759" s="7" t="n">
        <f aca="false">AVERAGE(B5710:B5759)</f>
        <v>15421.8446</v>
      </c>
      <c r="D5759" s="7" t="n">
        <f aca="false">AVERAGE(B5560:B5759)</f>
        <v>14373.00545</v>
      </c>
      <c r="E5759" s="7" t="n">
        <f aca="false">B5759/MAX(B5508:B5759)-1</f>
        <v>-0.00303251101203095</v>
      </c>
      <c r="F5759" s="7" t="str">
        <f aca="false">IFERROR(INDEX(02_轉折點45個!B:B,MATCH(A5759,02_轉折點45個!A:A,0)),"")</f>
        <v/>
      </c>
      <c r="G5759" s="7" t="s">
        <v>5494</v>
      </c>
    </row>
    <row r="5760" customFormat="false" ht="15" hidden="false" customHeight="false" outlineLevel="0" collapsed="false">
      <c r="A5760" s="7" t="s">
        <v>6449</v>
      </c>
      <c r="B5760" s="7" t="n">
        <v>16308.07</v>
      </c>
      <c r="C5760" s="7" t="n">
        <f aca="false">AVERAGE(B5711:B5760)</f>
        <v>15435.589</v>
      </c>
      <c r="D5760" s="7" t="n">
        <f aca="false">AVERAGE(B5561:B5760)</f>
        <v>14387.53395</v>
      </c>
      <c r="E5760" s="7" t="n">
        <f aca="false">B5760/MAX(B5509:B5760)-1</f>
        <v>-0.0031364269306049</v>
      </c>
      <c r="F5760" s="7" t="str">
        <f aca="false">IFERROR(INDEX(02_轉折點45個!B:B,MATCH(A5760,02_轉折點45個!A:A,0)),"")</f>
        <v/>
      </c>
      <c r="G5760" s="7" t="s">
        <v>5494</v>
      </c>
    </row>
    <row r="5761" customFormat="false" ht="15" hidden="false" customHeight="false" outlineLevel="0" collapsed="false">
      <c r="A5761" s="7" t="s">
        <v>1662</v>
      </c>
      <c r="B5761" s="7" t="n">
        <v>16482.97</v>
      </c>
      <c r="C5761" s="7" t="n">
        <f aca="false">AVERAGE(B5712:B5761)</f>
        <v>15454.0274</v>
      </c>
      <c r="D5761" s="7" t="n">
        <f aca="false">AVERAGE(B5562:B5761)</f>
        <v>14402.14435</v>
      </c>
      <c r="E5761" s="7" t="n">
        <f aca="false">B5761/MAX(B5510:B5761)-1</f>
        <v>0</v>
      </c>
      <c r="F5761" s="7" t="str">
        <f aca="false">IFERROR(INDEX(02_轉折點45個!B:B,MATCH(A5761,02_轉折點45個!A:A,0)),"")</f>
        <v/>
      </c>
      <c r="G5761" s="7" t="s">
        <v>5494</v>
      </c>
    </row>
    <row r="5762" customFormat="false" ht="15" hidden="false" customHeight="false" outlineLevel="0" collapsed="false">
      <c r="A5762" s="7" t="s">
        <v>150</v>
      </c>
      <c r="B5762" s="7" t="n">
        <v>16573.34</v>
      </c>
      <c r="C5762" s="7" t="n">
        <f aca="false">AVERAGE(B5713:B5762)</f>
        <v>15476.6792</v>
      </c>
      <c r="D5762" s="7" t="n">
        <f aca="false">AVERAGE(B5563:B5762)</f>
        <v>14416.99125</v>
      </c>
      <c r="E5762" s="7" t="n">
        <f aca="false">B5762/MAX(B5511:B5762)-1</f>
        <v>0</v>
      </c>
      <c r="F5762" s="7" t="str">
        <f aca="false">IFERROR(INDEX(02_轉折點45個!B:B,MATCH(A5762,02_轉折點45個!A:A,0)),"")</f>
        <v>TOP</v>
      </c>
      <c r="G5762" s="7" t="s">
        <v>5494</v>
      </c>
    </row>
    <row r="5763" customFormat="false" ht="15" hidden="false" customHeight="false" outlineLevel="0" collapsed="false">
      <c r="A5763" s="7" t="s">
        <v>1663</v>
      </c>
      <c r="B5763" s="7" t="n">
        <v>16380.98</v>
      </c>
      <c r="C5763" s="7" t="n">
        <f aca="false">AVERAGE(B5714:B5763)</f>
        <v>15495.6088</v>
      </c>
      <c r="D5763" s="7" t="n">
        <f aca="false">AVERAGE(B5564:B5763)</f>
        <v>14430.42105</v>
      </c>
      <c r="E5763" s="7" t="n">
        <f aca="false">B5763/MAX(B5512:B5763)-1</f>
        <v>-0.0116065922740981</v>
      </c>
      <c r="F5763" s="7" t="str">
        <f aca="false">IFERROR(INDEX(02_轉折點45個!B:B,MATCH(A5763,02_轉折點45個!A:A,0)),"")</f>
        <v/>
      </c>
      <c r="G5763" s="7" t="s">
        <v>5494</v>
      </c>
    </row>
    <row r="5764" customFormat="false" ht="15" hidden="false" customHeight="false" outlineLevel="0" collapsed="false">
      <c r="A5764" s="7" t="s">
        <v>6450</v>
      </c>
      <c r="B5764" s="7" t="n">
        <v>16306.72</v>
      </c>
      <c r="C5764" s="7" t="n">
        <f aca="false">AVERAGE(B5715:B5764)</f>
        <v>15514.0852</v>
      </c>
      <c r="D5764" s="7" t="n">
        <f aca="false">AVERAGE(B5565:B5764)</f>
        <v>14443.51925</v>
      </c>
      <c r="E5764" s="7" t="n">
        <f aca="false">B5764/MAX(B5513:B5764)-1</f>
        <v>-0.016087282346226</v>
      </c>
      <c r="F5764" s="7" t="str">
        <f aca="false">IFERROR(INDEX(02_轉折點45個!B:B,MATCH(A5764,02_轉折點45個!A:A,0)),"")</f>
        <v/>
      </c>
      <c r="G5764" s="7" t="s">
        <v>5494</v>
      </c>
    </row>
    <row r="5765" customFormat="false" ht="15" hidden="false" customHeight="false" outlineLevel="0" collapsed="false">
      <c r="A5765" s="7" t="s">
        <v>1664</v>
      </c>
      <c r="B5765" s="7" t="n">
        <v>16367.81</v>
      </c>
      <c r="C5765" s="7" t="n">
        <f aca="false">AVERAGE(B5716:B5765)</f>
        <v>15531.3708</v>
      </c>
      <c r="D5765" s="7" t="n">
        <f aca="false">AVERAGE(B5566:B5765)</f>
        <v>14457.08195</v>
      </c>
      <c r="E5765" s="7" t="n">
        <f aca="false">B5765/MAX(B5514:B5765)-1</f>
        <v>-0.0124012419946734</v>
      </c>
      <c r="F5765" s="7" t="str">
        <f aca="false">IFERROR(INDEX(02_轉折點45個!B:B,MATCH(A5765,02_轉折點45個!A:A,0)),"")</f>
        <v/>
      </c>
      <c r="G5765" s="7" t="s">
        <v>5494</v>
      </c>
    </row>
    <row r="5766" customFormat="false" ht="15" hidden="false" customHeight="false" outlineLevel="0" collapsed="false">
      <c r="A5766" s="7" t="s">
        <v>1665</v>
      </c>
      <c r="B5766" s="7" t="n">
        <v>16025.58</v>
      </c>
      <c r="C5766" s="7" t="n">
        <f aca="false">AVERAGE(B5717:B5766)</f>
        <v>15541.5642</v>
      </c>
      <c r="D5766" s="7" t="n">
        <f aca="false">AVERAGE(B5567:B5766)</f>
        <v>14468.5381</v>
      </c>
      <c r="E5766" s="7" t="n">
        <f aca="false">B5766/MAX(B5515:B5766)-1</f>
        <v>-0.0330506705347262</v>
      </c>
      <c r="F5766" s="7" t="str">
        <f aca="false">IFERROR(INDEX(02_轉折點45個!B:B,MATCH(A5766,02_轉折點45個!A:A,0)),"")</f>
        <v/>
      </c>
      <c r="G5766" s="7" t="s">
        <v>5494</v>
      </c>
    </row>
    <row r="5767" customFormat="false" ht="15" hidden="false" customHeight="false" outlineLevel="0" collapsed="false">
      <c r="A5767" s="7" t="s">
        <v>1666</v>
      </c>
      <c r="B5767" s="7" t="n">
        <v>16399.24</v>
      </c>
      <c r="C5767" s="7" t="n">
        <f aca="false">AVERAGE(B5718:B5767)</f>
        <v>15562.8796</v>
      </c>
      <c r="D5767" s="7" t="n">
        <f aca="false">AVERAGE(B5568:B5767)</f>
        <v>14481.4958</v>
      </c>
      <c r="E5767" s="7" t="n">
        <f aca="false">B5767/MAX(B5516:B5767)-1</f>
        <v>-0.0105048228057831</v>
      </c>
      <c r="F5767" s="7" t="str">
        <f aca="false">IFERROR(INDEX(02_轉折點45個!B:B,MATCH(A5767,02_轉折點45個!A:A,0)),"")</f>
        <v/>
      </c>
      <c r="G5767" s="7" t="s">
        <v>5494</v>
      </c>
    </row>
    <row r="5768" customFormat="false" ht="15" hidden="false" customHeight="false" outlineLevel="0" collapsed="false">
      <c r="A5768" s="7" t="s">
        <v>1667</v>
      </c>
      <c r="B5768" s="7" t="n">
        <v>16135.92</v>
      </c>
      <c r="C5768" s="7" t="n">
        <f aca="false">AVERAGE(B5719:B5768)</f>
        <v>15585.3542</v>
      </c>
      <c r="D5768" s="7" t="n">
        <f aca="false">AVERAGE(B5569:B5768)</f>
        <v>14493.30655</v>
      </c>
      <c r="E5768" s="7" t="n">
        <f aca="false">B5768/MAX(B5517:B5768)-1</f>
        <v>-0.0263929901878559</v>
      </c>
      <c r="F5768" s="7" t="str">
        <f aca="false">IFERROR(INDEX(02_轉折點45個!B:B,MATCH(A5768,02_轉折點45個!A:A,0)),"")</f>
        <v/>
      </c>
      <c r="G5768" s="7" t="s">
        <v>5494</v>
      </c>
    </row>
    <row r="5769" customFormat="false" ht="15" hidden="false" customHeight="false" outlineLevel="0" collapsed="false">
      <c r="A5769" s="7" t="s">
        <v>6451</v>
      </c>
      <c r="B5769" s="7" t="n">
        <v>15877.72</v>
      </c>
      <c r="C5769" s="7" t="n">
        <f aca="false">AVERAGE(B5720:B5769)</f>
        <v>15602.3532</v>
      </c>
      <c r="D5769" s="7" t="n">
        <f aca="false">AVERAGE(B5570:B5769)</f>
        <v>14504.1966</v>
      </c>
      <c r="E5769" s="7" t="n">
        <f aca="false">B5769/MAX(B5518:B5769)-1</f>
        <v>-0.0419722276861514</v>
      </c>
      <c r="F5769" s="7" t="str">
        <f aca="false">IFERROR(INDEX(02_轉折點45個!B:B,MATCH(A5769,02_轉折點45個!A:A,0)),"")</f>
        <v/>
      </c>
      <c r="G5769" s="7" t="s">
        <v>5494</v>
      </c>
    </row>
    <row r="5770" customFormat="false" ht="15" hidden="false" customHeight="false" outlineLevel="0" collapsed="false">
      <c r="A5770" s="7" t="s">
        <v>6452</v>
      </c>
      <c r="B5770" s="7" t="n">
        <v>15990.76</v>
      </c>
      <c r="C5770" s="7" t="n">
        <f aca="false">AVERAGE(B5721:B5770)</f>
        <v>15618.6382</v>
      </c>
      <c r="D5770" s="7" t="n">
        <f aca="false">AVERAGE(B5571:B5770)</f>
        <v>14515.96285</v>
      </c>
      <c r="E5770" s="7" t="n">
        <f aca="false">B5770/MAX(B5519:B5770)-1</f>
        <v>-0.0351516350958829</v>
      </c>
      <c r="F5770" s="7" t="str">
        <f aca="false">IFERROR(INDEX(02_轉折點45個!B:B,MATCH(A5770,02_轉折點45個!A:A,0)),"")</f>
        <v/>
      </c>
      <c r="G5770" s="7" t="s">
        <v>5494</v>
      </c>
    </row>
    <row r="5771" customFormat="false" ht="15" hidden="false" customHeight="false" outlineLevel="0" collapsed="false">
      <c r="A5771" s="7" t="s">
        <v>1668</v>
      </c>
      <c r="B5771" s="7" t="n">
        <v>15712.04</v>
      </c>
      <c r="C5771" s="7" t="n">
        <f aca="false">AVERAGE(B5722:B5771)</f>
        <v>15626.5474</v>
      </c>
      <c r="D5771" s="7" t="n">
        <f aca="false">AVERAGE(B5572:B5771)</f>
        <v>14526.61915</v>
      </c>
      <c r="E5771" s="7" t="n">
        <f aca="false">B5771/MAX(B5520:B5771)-1</f>
        <v>-0.0519690056440041</v>
      </c>
      <c r="F5771" s="7" t="str">
        <f aca="false">IFERROR(INDEX(02_轉折點45個!B:B,MATCH(A5771,02_轉折點45個!A:A,0)),"")</f>
        <v/>
      </c>
      <c r="G5771" s="7" t="s">
        <v>5494</v>
      </c>
    </row>
    <row r="5772" customFormat="false" ht="15" hidden="false" customHeight="false" outlineLevel="0" collapsed="false">
      <c r="A5772" s="7" t="s">
        <v>1669</v>
      </c>
      <c r="B5772" s="7" t="n">
        <v>15846.16</v>
      </c>
      <c r="C5772" s="7" t="n">
        <f aca="false">AVERAGE(B5723:B5772)</f>
        <v>15636.877</v>
      </c>
      <c r="D5772" s="7" t="n">
        <f aca="false">AVERAGE(B5573:B5772)</f>
        <v>14539.73125</v>
      </c>
      <c r="E5772" s="7" t="n">
        <f aca="false">B5772/MAX(B5521:B5772)-1</f>
        <v>-0.0438764907978718</v>
      </c>
      <c r="F5772" s="7" t="str">
        <f aca="false">IFERROR(INDEX(02_轉折點45個!B:B,MATCH(A5772,02_轉折點45個!A:A,0)),"")</f>
        <v/>
      </c>
      <c r="G5772" s="7" t="s">
        <v>5494</v>
      </c>
    </row>
    <row r="5773" customFormat="false" ht="15" hidden="false" customHeight="false" outlineLevel="0" collapsed="false">
      <c r="A5773" s="7" t="s">
        <v>1670</v>
      </c>
      <c r="B5773" s="7" t="n">
        <v>16325.66</v>
      </c>
      <c r="C5773" s="7" t="n">
        <f aca="false">AVERAGE(B5724:B5773)</f>
        <v>15659.2938</v>
      </c>
      <c r="D5773" s="7" t="n">
        <f aca="false">AVERAGE(B5574:B5773)</f>
        <v>14555.386</v>
      </c>
      <c r="E5773" s="7" t="n">
        <f aca="false">B5773/MAX(B5522:B5773)-1</f>
        <v>-0.014944483127722</v>
      </c>
      <c r="F5773" s="7" t="str">
        <f aca="false">IFERROR(INDEX(02_轉折點45個!B:B,MATCH(A5773,02_轉折點45個!A:A,0)),"")</f>
        <v/>
      </c>
      <c r="G5773" s="7" t="s">
        <v>5494</v>
      </c>
    </row>
    <row r="5774" customFormat="false" ht="15" hidden="false" customHeight="false" outlineLevel="0" collapsed="false">
      <c r="A5774" s="7" t="s">
        <v>6453</v>
      </c>
      <c r="B5774" s="7" t="n">
        <v>16394.34</v>
      </c>
      <c r="C5774" s="7" t="n">
        <f aca="false">AVERAGE(B5725:B5774)</f>
        <v>15691.7746</v>
      </c>
      <c r="D5774" s="7" t="n">
        <f aca="false">AVERAGE(B5575:B5774)</f>
        <v>14570.84675</v>
      </c>
      <c r="E5774" s="7" t="n">
        <f aca="false">B5774/MAX(B5523:B5774)-1</f>
        <v>-0.0108004783586169</v>
      </c>
      <c r="F5774" s="7" t="str">
        <f aca="false">IFERROR(INDEX(02_轉折點45個!B:B,MATCH(A5774,02_轉折點45個!A:A,0)),"")</f>
        <v/>
      </c>
      <c r="G5774" s="7" t="s">
        <v>5494</v>
      </c>
    </row>
    <row r="5775" customFormat="false" ht="15" hidden="false" customHeight="false" outlineLevel="0" collapsed="false">
      <c r="A5775" s="7" t="s">
        <v>6454</v>
      </c>
      <c r="B5775" s="7" t="n">
        <v>16149.57</v>
      </c>
      <c r="C5775" s="7" t="n">
        <f aca="false">AVERAGE(B5726:B5775)</f>
        <v>15719.7082</v>
      </c>
      <c r="D5775" s="7" t="n">
        <f aca="false">AVERAGE(B5576:B5775)</f>
        <v>14587.45305</v>
      </c>
      <c r="E5775" s="7" t="n">
        <f aca="false">B5775/MAX(B5524:B5775)-1</f>
        <v>-0.0255693782906765</v>
      </c>
      <c r="F5775" s="7" t="str">
        <f aca="false">IFERROR(INDEX(02_轉折點45個!B:B,MATCH(A5775,02_轉折點45個!A:A,0)),"")</f>
        <v/>
      </c>
      <c r="G5775" s="7" t="s">
        <v>5494</v>
      </c>
    </row>
    <row r="5776" customFormat="false" ht="15" hidden="false" customHeight="false" outlineLevel="0" collapsed="false">
      <c r="A5776" s="7" t="s">
        <v>6455</v>
      </c>
      <c r="B5776" s="7" t="n">
        <v>16331.98</v>
      </c>
      <c r="C5776" s="7" t="n">
        <f aca="false">AVERAGE(B5727:B5776)</f>
        <v>15752.5554</v>
      </c>
      <c r="D5776" s="7" t="n">
        <f aca="false">AVERAGE(B5577:B5776)</f>
        <v>14604.56575</v>
      </c>
      <c r="E5776" s="7" t="n">
        <f aca="false">B5776/MAX(B5525:B5776)-1</f>
        <v>-0.0145631478024345</v>
      </c>
      <c r="F5776" s="7" t="str">
        <f aca="false">IFERROR(INDEX(02_轉折點45個!B:B,MATCH(A5776,02_轉折點45個!A:A,0)),"")</f>
        <v/>
      </c>
      <c r="G5776" s="7" t="s">
        <v>5494</v>
      </c>
    </row>
    <row r="5777" customFormat="false" ht="15" hidden="false" customHeight="false" outlineLevel="0" collapsed="false">
      <c r="A5777" s="7" t="s">
        <v>1671</v>
      </c>
      <c r="B5777" s="7" t="n">
        <v>16082.55</v>
      </c>
      <c r="C5777" s="7" t="n">
        <f aca="false">AVERAGE(B5728:B5777)</f>
        <v>15778.369</v>
      </c>
      <c r="D5777" s="7" t="n">
        <f aca="false">AVERAGE(B5578:B5777)</f>
        <v>14618.56375</v>
      </c>
      <c r="E5777" s="7" t="n">
        <f aca="false">B5777/MAX(B5526:B5777)-1</f>
        <v>-0.0296132221990257</v>
      </c>
      <c r="F5777" s="7" t="str">
        <f aca="false">IFERROR(INDEX(02_轉折點45個!B:B,MATCH(A5777,02_轉折點45個!A:A,0)),"")</f>
        <v/>
      </c>
      <c r="G5777" s="7" t="s">
        <v>5494</v>
      </c>
    </row>
    <row r="5778" customFormat="false" ht="15" hidden="false" customHeight="false" outlineLevel="0" collapsed="false">
      <c r="A5778" s="7" t="s">
        <v>6456</v>
      </c>
      <c r="B5778" s="7" t="n">
        <v>15914.9</v>
      </c>
      <c r="C5778" s="7" t="n">
        <f aca="false">AVERAGE(B5729:B5778)</f>
        <v>15807.2246</v>
      </c>
      <c r="D5778" s="7" t="n">
        <f aca="false">AVERAGE(B5579:B5778)</f>
        <v>14632.8385</v>
      </c>
      <c r="E5778" s="7" t="n">
        <f aca="false">B5778/MAX(B5527:B5778)-1</f>
        <v>-0.0397288657566912</v>
      </c>
      <c r="F5778" s="7" t="str">
        <f aca="false">IFERROR(INDEX(02_轉折點45個!B:B,MATCH(A5778,02_轉折點45個!A:A,0)),"")</f>
        <v/>
      </c>
      <c r="G5778" s="7" t="s">
        <v>5494</v>
      </c>
    </row>
    <row r="5779" customFormat="false" ht="15" hidden="false" customHeight="false" outlineLevel="0" collapsed="false">
      <c r="A5779" s="7" t="s">
        <v>6457</v>
      </c>
      <c r="B5779" s="7" t="n">
        <v>16289.59</v>
      </c>
      <c r="C5779" s="7" t="n">
        <f aca="false">AVERAGE(B5730:B5779)</f>
        <v>15839.5334</v>
      </c>
      <c r="D5779" s="7" t="n">
        <f aca="false">AVERAGE(B5580:B5779)</f>
        <v>14650.8698</v>
      </c>
      <c r="E5779" s="7" t="n">
        <f aca="false">B5779/MAX(B5528:B5779)-1</f>
        <v>-0.0171208700237852</v>
      </c>
      <c r="F5779" s="7" t="str">
        <f aca="false">IFERROR(INDEX(02_轉折點45個!B:B,MATCH(A5779,02_轉折點45個!A:A,0)),"")</f>
        <v/>
      </c>
      <c r="G5779" s="7" t="s">
        <v>5494</v>
      </c>
    </row>
    <row r="5780" customFormat="false" ht="15" hidden="false" customHeight="false" outlineLevel="0" collapsed="false">
      <c r="A5780" s="7" t="s">
        <v>1672</v>
      </c>
      <c r="B5780" s="7" t="n">
        <v>15863.94</v>
      </c>
      <c r="C5780" s="7" t="n">
        <f aca="false">AVERAGE(B5731:B5780)</f>
        <v>15861.4772</v>
      </c>
      <c r="D5780" s="7" t="n">
        <f aca="false">AVERAGE(B5581:B5780)</f>
        <v>14667.8695</v>
      </c>
      <c r="E5780" s="7" t="n">
        <f aca="false">B5780/MAX(B5529:B5780)-1</f>
        <v>-0.042803683506161</v>
      </c>
      <c r="F5780" s="7" t="str">
        <f aca="false">IFERROR(INDEX(02_轉折點45個!B:B,MATCH(A5780,02_轉折點45個!A:A,0)),"")</f>
        <v/>
      </c>
      <c r="G5780" s="7" t="s">
        <v>5494</v>
      </c>
    </row>
    <row r="5781" customFormat="false" ht="15" hidden="false" customHeight="false" outlineLevel="0" collapsed="false">
      <c r="A5781" s="7" t="s">
        <v>1673</v>
      </c>
      <c r="B5781" s="7" t="n">
        <v>15801.46</v>
      </c>
      <c r="C5781" s="7" t="n">
        <f aca="false">AVERAGE(B5732:B5781)</f>
        <v>15879.5638</v>
      </c>
      <c r="D5781" s="7" t="n">
        <f aca="false">AVERAGE(B5582:B5781)</f>
        <v>14683.53425</v>
      </c>
      <c r="E5781" s="7" t="n">
        <f aca="false">B5781/MAX(B5530:B5781)-1</f>
        <v>-0.0465735934941298</v>
      </c>
      <c r="F5781" s="7" t="str">
        <f aca="false">IFERROR(INDEX(02_轉折點45個!B:B,MATCH(A5781,02_轉折點45個!A:A,0)),"")</f>
        <v/>
      </c>
      <c r="G5781" s="7" t="s">
        <v>5494</v>
      </c>
    </row>
    <row r="5782" customFormat="false" ht="15" hidden="false" customHeight="false" outlineLevel="0" collapsed="false">
      <c r="A5782" s="7" t="s">
        <v>6458</v>
      </c>
      <c r="B5782" s="7" t="n">
        <v>15627.64</v>
      </c>
      <c r="C5782" s="7" t="n">
        <f aca="false">AVERAGE(B5733:B5782)</f>
        <v>15895.7016</v>
      </c>
      <c r="D5782" s="7" t="n">
        <f aca="false">AVERAGE(B5583:B5782)</f>
        <v>14700.17705</v>
      </c>
      <c r="E5782" s="7" t="n">
        <f aca="false">B5782/MAX(B5531:B5782)-1</f>
        <v>-0.0570615216968939</v>
      </c>
      <c r="F5782" s="7" t="str">
        <f aca="false">IFERROR(INDEX(02_轉折點45個!B:B,MATCH(A5782,02_轉折點45個!A:A,0)),"")</f>
        <v/>
      </c>
      <c r="G5782" s="7" t="s">
        <v>5494</v>
      </c>
    </row>
    <row r="5783" customFormat="false" ht="15" hidden="false" customHeight="false" outlineLevel="0" collapsed="false">
      <c r="A5783" s="7" t="s">
        <v>1674</v>
      </c>
      <c r="B5783" s="7" t="n">
        <v>15986.28</v>
      </c>
      <c r="C5783" s="7" t="n">
        <f aca="false">AVERAGE(B5734:B5783)</f>
        <v>15921.1526</v>
      </c>
      <c r="D5783" s="7" t="n">
        <f aca="false">AVERAGE(B5584:B5783)</f>
        <v>14716.136</v>
      </c>
      <c r="E5783" s="7" t="n">
        <f aca="false">B5783/MAX(B5532:B5783)-1</f>
        <v>-0.0354219487441879</v>
      </c>
      <c r="F5783" s="7" t="str">
        <f aca="false">IFERROR(INDEX(02_轉折點45個!B:B,MATCH(A5783,02_轉折點45個!A:A,0)),"")</f>
        <v/>
      </c>
      <c r="G5783" s="7" t="s">
        <v>5494</v>
      </c>
    </row>
    <row r="5784" customFormat="false" ht="15" hidden="false" customHeight="false" outlineLevel="0" collapsed="false">
      <c r="A5784" s="7" t="s">
        <v>6459</v>
      </c>
      <c r="B5784" s="7" t="n">
        <v>16180.14</v>
      </c>
      <c r="C5784" s="7" t="n">
        <f aca="false">AVERAGE(B5735:B5784)</f>
        <v>15951.5132</v>
      </c>
      <c r="D5784" s="7" t="n">
        <f aca="false">AVERAGE(B5585:B5784)</f>
        <v>14733.27635</v>
      </c>
      <c r="E5784" s="7" t="n">
        <f aca="false">B5784/MAX(B5533:B5784)-1</f>
        <v>-0.0237248496682021</v>
      </c>
      <c r="F5784" s="7" t="str">
        <f aca="false">IFERROR(INDEX(02_轉折點45個!B:B,MATCH(A5784,02_轉折點45個!A:A,0)),"")</f>
        <v/>
      </c>
      <c r="G5784" s="7" t="s">
        <v>5494</v>
      </c>
    </row>
    <row r="5785" customFormat="false" ht="15" hidden="false" customHeight="false" outlineLevel="0" collapsed="false">
      <c r="A5785" s="7" t="s">
        <v>6460</v>
      </c>
      <c r="B5785" s="7" t="n">
        <v>16308.21</v>
      </c>
      <c r="C5785" s="7" t="n">
        <f aca="false">AVERAGE(B5736:B5785)</f>
        <v>15982.1854</v>
      </c>
      <c r="D5785" s="7" t="n">
        <f aca="false">AVERAGE(B5586:B5785)</f>
        <v>14749.5529</v>
      </c>
      <c r="E5785" s="7" t="n">
        <f aca="false">B5785/MAX(B5534:B5785)-1</f>
        <v>-0.0159973789230173</v>
      </c>
      <c r="F5785" s="7" t="str">
        <f aca="false">IFERROR(INDEX(02_轉折點45個!B:B,MATCH(A5785,02_轉折點45個!A:A,0)),"")</f>
        <v/>
      </c>
      <c r="G5785" s="7" t="s">
        <v>5494</v>
      </c>
    </row>
    <row r="5786" customFormat="false" ht="15" hidden="false" customHeight="false" outlineLevel="0" collapsed="false">
      <c r="A5786" s="7" t="s">
        <v>6461</v>
      </c>
      <c r="B5786" s="7" t="n">
        <v>16567.5</v>
      </c>
      <c r="C5786" s="7" t="n">
        <f aca="false">AVERAGE(B5737:B5786)</f>
        <v>16012.487</v>
      </c>
      <c r="D5786" s="7" t="n">
        <f aca="false">AVERAGE(B5587:B5786)</f>
        <v>14767.70395</v>
      </c>
      <c r="E5786" s="7" t="n">
        <f aca="false">B5786/MAX(B5535:B5786)-1</f>
        <v>-0.000352373148683416</v>
      </c>
      <c r="F5786" s="7" t="str">
        <f aca="false">IFERROR(INDEX(02_轉折點45個!B:B,MATCH(A5786,02_轉折點45個!A:A,0)),"")</f>
        <v/>
      </c>
      <c r="G5786" s="7" t="s">
        <v>5494</v>
      </c>
    </row>
    <row r="5787" customFormat="false" ht="15" hidden="false" customHeight="false" outlineLevel="0" collapsed="false">
      <c r="A5787" s="7" t="s">
        <v>6462</v>
      </c>
      <c r="B5787" s="7" t="n">
        <v>16488.66</v>
      </c>
      <c r="C5787" s="7" t="n">
        <f aca="false">AVERAGE(B5738:B5787)</f>
        <v>16039.3218</v>
      </c>
      <c r="D5787" s="7" t="n">
        <f aca="false">AVERAGE(B5588:B5787)</f>
        <v>14784.73455</v>
      </c>
      <c r="E5787" s="7" t="n">
        <f aca="false">B5787/MAX(B5536:B5787)-1</f>
        <v>-0.00510941065590886</v>
      </c>
      <c r="F5787" s="7" t="str">
        <f aca="false">IFERROR(INDEX(02_轉折點45個!B:B,MATCH(A5787,02_轉折點45個!A:A,0)),"")</f>
        <v/>
      </c>
      <c r="G5787" s="7" t="s">
        <v>5494</v>
      </c>
    </row>
    <row r="5788" customFormat="false" ht="15" hidden="false" customHeight="false" outlineLevel="0" collapsed="false">
      <c r="A5788" s="7" t="s">
        <v>6463</v>
      </c>
      <c r="B5788" s="7" t="n">
        <v>16491.01</v>
      </c>
      <c r="C5788" s="7" t="n">
        <f aca="false">AVERAGE(B5739:B5788)</f>
        <v>16063.1242</v>
      </c>
      <c r="D5788" s="7" t="n">
        <f aca="false">AVERAGE(B5589:B5788)</f>
        <v>14801.4282</v>
      </c>
      <c r="E5788" s="7" t="n">
        <f aca="false">B5788/MAX(B5537:B5788)-1</f>
        <v>-0.00496761666628465</v>
      </c>
      <c r="F5788" s="7" t="str">
        <f aca="false">IFERROR(INDEX(02_轉折點45個!B:B,MATCH(A5788,02_轉折點45個!A:A,0)),"")</f>
        <v/>
      </c>
      <c r="G5788" s="7" t="s">
        <v>5494</v>
      </c>
    </row>
    <row r="5789" customFormat="false" ht="15" hidden="false" customHeight="false" outlineLevel="0" collapsed="false">
      <c r="A5789" s="7" t="s">
        <v>6464</v>
      </c>
      <c r="B5789" s="7" t="n">
        <v>16429.1</v>
      </c>
      <c r="C5789" s="7" t="n">
        <f aca="false">AVERAGE(B5740:B5789)</f>
        <v>16083.4918</v>
      </c>
      <c r="D5789" s="7" t="n">
        <f aca="false">AVERAGE(B5590:B5789)</f>
        <v>14817.5618</v>
      </c>
      <c r="E5789" s="7" t="n">
        <f aca="false">B5789/MAX(B5538:B5789)-1</f>
        <v>-0.00870313406953582</v>
      </c>
      <c r="F5789" s="7" t="str">
        <f aca="false">IFERROR(INDEX(02_轉折點45個!B:B,MATCH(A5789,02_轉折點45個!A:A,0)),"")</f>
        <v/>
      </c>
      <c r="G5789" s="7" t="s">
        <v>5494</v>
      </c>
    </row>
    <row r="5790" customFormat="false" ht="15" hidden="false" customHeight="false" outlineLevel="0" collapsed="false">
      <c r="A5790" s="7" t="s">
        <v>1675</v>
      </c>
      <c r="B5790" s="7" t="n">
        <v>16320.08</v>
      </c>
      <c r="C5790" s="7" t="n">
        <f aca="false">AVERAGE(B5741:B5790)</f>
        <v>16102.1192</v>
      </c>
      <c r="D5790" s="7" t="n">
        <f aca="false">AVERAGE(B5591:B5790)</f>
        <v>14835.2165</v>
      </c>
      <c r="E5790" s="7" t="n">
        <f aca="false">B5790/MAX(B5539:B5790)-1</f>
        <v>-0.0152811684307448</v>
      </c>
      <c r="F5790" s="7" t="str">
        <f aca="false">IFERROR(INDEX(02_轉折點45個!B:B,MATCH(A5790,02_轉折點45個!A:A,0)),"")</f>
        <v/>
      </c>
      <c r="G5790" s="7" t="s">
        <v>5494</v>
      </c>
    </row>
    <row r="5791" customFormat="false" ht="15" hidden="false" customHeight="false" outlineLevel="0" collapsed="false">
      <c r="A5791" s="7" t="s">
        <v>6465</v>
      </c>
      <c r="B5791" s="7" t="n">
        <v>16501.77</v>
      </c>
      <c r="C5791" s="7" t="n">
        <f aca="false">AVERAGE(B5742:B5791)</f>
        <v>16122.3628</v>
      </c>
      <c r="D5791" s="7" t="n">
        <f aca="false">AVERAGE(B5592:B5791)</f>
        <v>14853.3904</v>
      </c>
      <c r="E5791" s="7" t="n">
        <f aca="false">B5791/MAX(B5540:B5791)-1</f>
        <v>-0.00431838120740902</v>
      </c>
      <c r="F5791" s="7" t="str">
        <f aca="false">IFERROR(INDEX(02_轉折點45個!B:B,MATCH(A5791,02_轉折點45個!A:A,0)),"")</f>
        <v/>
      </c>
      <c r="G5791" s="7" t="s">
        <v>5494</v>
      </c>
    </row>
    <row r="5792" customFormat="false" ht="15" hidden="false" customHeight="false" outlineLevel="0" collapsed="false">
      <c r="A5792" s="7" t="s">
        <v>6466</v>
      </c>
      <c r="B5792" s="7" t="n">
        <v>16279.73</v>
      </c>
      <c r="C5792" s="7" t="n">
        <f aca="false">AVERAGE(B5743:B5792)</f>
        <v>16140.856</v>
      </c>
      <c r="D5792" s="7" t="n">
        <f aca="false">AVERAGE(B5593:B5792)</f>
        <v>14869.3565</v>
      </c>
      <c r="E5792" s="7" t="n">
        <f aca="false">B5792/MAX(B5541:B5792)-1</f>
        <v>-0.0177158014015281</v>
      </c>
      <c r="F5792" s="7" t="str">
        <f aca="false">IFERROR(INDEX(02_轉折點45個!B:B,MATCH(A5792,02_轉折點45個!A:A,0)),"")</f>
        <v/>
      </c>
      <c r="G5792" s="7" t="s">
        <v>5494</v>
      </c>
    </row>
    <row r="5793" customFormat="false" ht="15" hidden="false" customHeight="false" outlineLevel="0" collapsed="false">
      <c r="A5793" s="7" t="s">
        <v>1676</v>
      </c>
      <c r="B5793" s="7" t="n">
        <v>15771.78</v>
      </c>
      <c r="C5793" s="7" t="n">
        <f aca="false">AVERAGE(B5744:B5793)</f>
        <v>16146.0078</v>
      </c>
      <c r="D5793" s="7" t="n">
        <f aca="false">AVERAGE(B5594:B5793)</f>
        <v>14883.12645</v>
      </c>
      <c r="E5793" s="7" t="n">
        <f aca="false">B5793/MAX(B5542:B5793)-1</f>
        <v>-0.0483644214141507</v>
      </c>
      <c r="F5793" s="7" t="str">
        <f aca="false">IFERROR(INDEX(02_轉折點45個!B:B,MATCH(A5793,02_轉折點45個!A:A,0)),"")</f>
        <v/>
      </c>
      <c r="G5793" s="7" t="s">
        <v>5494</v>
      </c>
    </row>
    <row r="5794" customFormat="false" ht="15" hidden="false" customHeight="false" outlineLevel="0" collapsed="false">
      <c r="A5794" s="7" t="s">
        <v>6467</v>
      </c>
      <c r="B5794" s="7" t="n">
        <v>15765.36</v>
      </c>
      <c r="C5794" s="7" t="n">
        <f aca="false">AVERAGE(B5745:B5794)</f>
        <v>16150.1252</v>
      </c>
      <c r="D5794" s="7" t="n">
        <f aca="false">AVERAGE(B5595:B5794)</f>
        <v>14897.95885</v>
      </c>
      <c r="E5794" s="7" t="n">
        <f aca="false">B5794/MAX(B5543:B5794)-1</f>
        <v>-0.0487517905262307</v>
      </c>
      <c r="F5794" s="7" t="str">
        <f aca="false">IFERROR(INDEX(02_轉折點45個!B:B,MATCH(A5794,02_轉折點45個!A:A,0)),"")</f>
        <v/>
      </c>
      <c r="G5794" s="7" t="s">
        <v>5494</v>
      </c>
    </row>
    <row r="5795" customFormat="false" ht="15" hidden="false" customHeight="false" outlineLevel="0" collapsed="false">
      <c r="A5795" s="7" t="s">
        <v>6468</v>
      </c>
      <c r="B5795" s="7" t="n">
        <v>15592.19</v>
      </c>
      <c r="C5795" s="7" t="n">
        <f aca="false">AVERAGE(B5746:B5795)</f>
        <v>16150.0012</v>
      </c>
      <c r="D5795" s="7" t="n">
        <f aca="false">AVERAGE(B5596:B5795)</f>
        <v>14912.01725</v>
      </c>
      <c r="E5795" s="7" t="n">
        <f aca="false">B5795/MAX(B5544:B5795)-1</f>
        <v>-0.0592004991148435</v>
      </c>
      <c r="F5795" s="7" t="str">
        <f aca="false">IFERROR(INDEX(02_轉折點45個!B:B,MATCH(A5795,02_轉折點45個!A:A,0)),"")</f>
        <v/>
      </c>
      <c r="G5795" s="7" t="s">
        <v>5494</v>
      </c>
    </row>
    <row r="5796" customFormat="false" ht="15" hidden="false" customHeight="false" outlineLevel="0" collapsed="false">
      <c r="A5796" s="7" t="s">
        <v>6469</v>
      </c>
      <c r="B5796" s="7" t="n">
        <v>15614.43</v>
      </c>
      <c r="C5796" s="7" t="n">
        <f aca="false">AVERAGE(B5747:B5796)</f>
        <v>16146.7266</v>
      </c>
      <c r="D5796" s="7" t="n">
        <f aca="false">AVERAGE(B5597:B5796)</f>
        <v>14925.1938</v>
      </c>
      <c r="E5796" s="7" t="n">
        <f aca="false">B5796/MAX(B5545:B5796)-1</f>
        <v>-0.0578585849321862</v>
      </c>
      <c r="F5796" s="7" t="str">
        <f aca="false">IFERROR(INDEX(02_轉折點45個!B:B,MATCH(A5796,02_轉折點45個!A:A,0)),"")</f>
        <v/>
      </c>
      <c r="G5796" s="7" t="s">
        <v>5494</v>
      </c>
    </row>
    <row r="5797" customFormat="false" ht="15" hidden="false" customHeight="false" outlineLevel="0" collapsed="false">
      <c r="A5797" s="7" t="s">
        <v>1677</v>
      </c>
      <c r="B5797" s="7" t="n">
        <v>15844.12</v>
      </c>
      <c r="C5797" s="7" t="n">
        <f aca="false">AVERAGE(B5748:B5797)</f>
        <v>16146.5996</v>
      </c>
      <c r="D5797" s="7" t="n">
        <f aca="false">AVERAGE(B5598:B5797)</f>
        <v>14939.5857</v>
      </c>
      <c r="E5797" s="7" t="n">
        <f aca="false">B5797/MAX(B5546:B5797)-1</f>
        <v>-0.0439995800484392</v>
      </c>
      <c r="F5797" s="7" t="str">
        <f aca="false">IFERROR(INDEX(02_轉折點45個!B:B,MATCH(A5797,02_轉折點45個!A:A,0)),"")</f>
        <v/>
      </c>
      <c r="G5797" s="7" t="s">
        <v>5494</v>
      </c>
    </row>
    <row r="5798" customFormat="false" ht="15" hidden="false" customHeight="false" outlineLevel="0" collapsed="false">
      <c r="A5798" s="7" t="s">
        <v>6470</v>
      </c>
      <c r="B5798" s="7" t="n">
        <v>15905.1</v>
      </c>
      <c r="C5798" s="7" t="n">
        <f aca="false">AVERAGE(B5749:B5798)</f>
        <v>16146.596</v>
      </c>
      <c r="D5798" s="7" t="n">
        <f aca="false">AVERAGE(B5599:B5798)</f>
        <v>14954.62855</v>
      </c>
      <c r="E5798" s="7" t="n">
        <f aca="false">B5798/MAX(B5547:B5798)-1</f>
        <v>-0.0403201768623585</v>
      </c>
      <c r="F5798" s="7" t="str">
        <f aca="false">IFERROR(INDEX(02_轉折點45個!B:B,MATCH(A5798,02_轉折點45個!A:A,0)),"")</f>
        <v/>
      </c>
      <c r="G5798" s="7" t="s">
        <v>5494</v>
      </c>
    </row>
    <row r="5799" customFormat="false" ht="15" hidden="false" customHeight="false" outlineLevel="0" collapsed="false">
      <c r="A5799" s="7" t="s">
        <v>1678</v>
      </c>
      <c r="B5799" s="7" t="n">
        <v>15495.62</v>
      </c>
      <c r="C5799" s="7" t="n">
        <f aca="false">AVERAGE(B5750:B5799)</f>
        <v>16137.0586</v>
      </c>
      <c r="D5799" s="7" t="n">
        <f aca="false">AVERAGE(B5600:B5799)</f>
        <v>14966.64945</v>
      </c>
      <c r="E5799" s="7" t="n">
        <f aca="false">B5799/MAX(B5548:B5799)-1</f>
        <v>-0.0650273270203833</v>
      </c>
      <c r="F5799" s="7" t="str">
        <f aca="false">IFERROR(INDEX(02_轉折點45個!B:B,MATCH(A5799,02_轉折點45個!A:A,0)),"")</f>
        <v/>
      </c>
      <c r="G5799" s="7" t="s">
        <v>5494</v>
      </c>
    </row>
    <row r="5800" customFormat="false" ht="15" hidden="false" customHeight="false" outlineLevel="0" collapsed="false">
      <c r="A5800" s="7" t="s">
        <v>6471</v>
      </c>
      <c r="B5800" s="7" t="n">
        <v>15611.59</v>
      </c>
      <c r="C5800" s="7" t="n">
        <f aca="false">AVERAGE(B5751:B5800)</f>
        <v>16126.4004</v>
      </c>
      <c r="D5800" s="7" t="n">
        <f aca="false">AVERAGE(B5601:B5800)</f>
        <v>14978.0598</v>
      </c>
      <c r="E5800" s="7" t="n">
        <f aca="false">B5800/MAX(B5549:B5800)-1</f>
        <v>-0.058029944477094</v>
      </c>
      <c r="F5800" s="7" t="str">
        <f aca="false">IFERROR(INDEX(02_轉折點45個!B:B,MATCH(A5800,02_轉折點45個!A:A,0)),"")</f>
        <v/>
      </c>
      <c r="G5800" s="7" t="s">
        <v>5494</v>
      </c>
    </row>
    <row r="5801" customFormat="false" ht="15" hidden="false" customHeight="false" outlineLevel="0" collapsed="false">
      <c r="A5801" s="7" t="s">
        <v>1679</v>
      </c>
      <c r="B5801" s="7" t="n">
        <v>15210.76</v>
      </c>
      <c r="C5801" s="7" t="n">
        <f aca="false">AVERAGE(B5752:B5801)</f>
        <v>16103.6908</v>
      </c>
      <c r="D5801" s="7" t="n">
        <f aca="false">AVERAGE(B5602:B5801)</f>
        <v>14986.1228</v>
      </c>
      <c r="E5801" s="7" t="n">
        <f aca="false">B5801/MAX(B5550:B5801)-1</f>
        <v>-0.0822151720775656</v>
      </c>
      <c r="F5801" s="7" t="str">
        <f aca="false">IFERROR(INDEX(02_轉折點45個!B:B,MATCH(A5801,02_轉折點45個!A:A,0)),"")</f>
        <v/>
      </c>
      <c r="G5801" s="7" t="s">
        <v>5494</v>
      </c>
    </row>
    <row r="5802" customFormat="false" ht="15" hidden="false" customHeight="false" outlineLevel="0" collapsed="false">
      <c r="A5802" s="7" t="s">
        <v>6472</v>
      </c>
      <c r="B5802" s="7" t="n">
        <v>15047.84</v>
      </c>
      <c r="C5802" s="7" t="n">
        <f aca="false">AVERAGE(B5753:B5802)</f>
        <v>16077.46</v>
      </c>
      <c r="D5802" s="7" t="n">
        <f aca="false">AVERAGE(B5603:B5802)</f>
        <v>14993.4697</v>
      </c>
      <c r="E5802" s="7" t="n">
        <f aca="false">B5802/MAX(B5551:B5802)-1</f>
        <v>-0.0920454175199447</v>
      </c>
      <c r="F5802" s="7" t="str">
        <f aca="false">IFERROR(INDEX(02_轉折點45個!B:B,MATCH(A5802,02_轉折點45個!A:A,0)),"")</f>
        <v/>
      </c>
      <c r="G5802" s="7" t="s">
        <v>5494</v>
      </c>
    </row>
    <row r="5803" customFormat="false" ht="15" hidden="false" customHeight="false" outlineLevel="0" collapsed="false">
      <c r="A5803" s="7" t="s">
        <v>1680</v>
      </c>
      <c r="B5803" s="7" t="n">
        <v>14846.46</v>
      </c>
      <c r="C5803" s="7" t="n">
        <f aca="false">AVERAGE(B5754:B5803)</f>
        <v>16047.6686</v>
      </c>
      <c r="D5803" s="7" t="n">
        <f aca="false">AVERAGE(B5604:B5803)</f>
        <v>14999.6185</v>
      </c>
      <c r="E5803" s="7" t="n">
        <f aca="false">B5803/MAX(B5552:B5803)-1</f>
        <v>-0.104196257362728</v>
      </c>
      <c r="F5803" s="7" t="str">
        <f aca="false">IFERROR(INDEX(02_轉折點45個!B:B,MATCH(A5803,02_轉折點45個!A:A,0)),"")</f>
        <v/>
      </c>
      <c r="G5803" s="7" t="s">
        <v>5494</v>
      </c>
    </row>
    <row r="5804" customFormat="false" ht="15" hidden="false" customHeight="false" outlineLevel="0" collapsed="false">
      <c r="A5804" s="7" t="s">
        <v>6473</v>
      </c>
      <c r="B5804" s="7" t="n">
        <v>14438.4</v>
      </c>
      <c r="C5804" s="7" t="n">
        <f aca="false">AVERAGE(B5755:B5804)</f>
        <v>16012.0378</v>
      </c>
      <c r="D5804" s="7" t="n">
        <f aca="false">AVERAGE(B5605:B5804)</f>
        <v>15003.01795</v>
      </c>
      <c r="E5804" s="7" t="n">
        <f aca="false">B5804/MAX(B5553:B5804)-1</f>
        <v>-0.128817727748299</v>
      </c>
      <c r="F5804" s="7" t="str">
        <f aca="false">IFERROR(INDEX(02_轉折點45個!B:B,MATCH(A5804,02_轉折點45個!A:A,0)),"")</f>
        <v/>
      </c>
      <c r="G5804" s="7" t="s">
        <v>5494</v>
      </c>
    </row>
    <row r="5805" customFormat="false" ht="15" hidden="false" customHeight="false" outlineLevel="0" collapsed="false">
      <c r="A5805" s="7" t="s">
        <v>6474</v>
      </c>
      <c r="B5805" s="7" t="n">
        <v>14509.58</v>
      </c>
      <c r="C5805" s="7" t="n">
        <f aca="false">AVERAGE(B5756:B5805)</f>
        <v>15982.518</v>
      </c>
      <c r="D5805" s="7" t="n">
        <f aca="false">AVERAGE(B5606:B5805)</f>
        <v>15006.34055</v>
      </c>
      <c r="E5805" s="7" t="n">
        <f aca="false">B5805/MAX(B5554:B5805)-1</f>
        <v>-0.124522878309381</v>
      </c>
      <c r="F5805" s="7" t="str">
        <f aca="false">IFERROR(INDEX(02_轉折點45個!B:B,MATCH(A5805,02_轉折點45個!A:A,0)),"")</f>
        <v/>
      </c>
      <c r="G5805" s="7" t="s">
        <v>5494</v>
      </c>
    </row>
    <row r="5806" customFormat="false" ht="15" hidden="false" customHeight="false" outlineLevel="0" collapsed="false">
      <c r="A5806" s="7" t="s">
        <v>6475</v>
      </c>
      <c r="B5806" s="7" t="n">
        <v>14149.12</v>
      </c>
      <c r="C5806" s="7" t="n">
        <f aca="false">AVERAGE(B5757:B5806)</f>
        <v>15944.851</v>
      </c>
      <c r="D5806" s="7" t="n">
        <f aca="false">AVERAGE(B5607:B5806)</f>
        <v>15007.9894</v>
      </c>
      <c r="E5806" s="7" t="n">
        <f aca="false">B5806/MAX(B5555:B5806)-1</f>
        <v>-0.146272266181711</v>
      </c>
      <c r="F5806" s="7" t="str">
        <f aca="false">IFERROR(INDEX(02_轉折點45個!B:B,MATCH(A5806,02_轉折點45個!A:A,0)),"")</f>
        <v/>
      </c>
      <c r="G5806" s="7" t="s">
        <v>5494</v>
      </c>
    </row>
    <row r="5807" customFormat="false" ht="15" hidden="false" customHeight="false" outlineLevel="0" collapsed="false">
      <c r="A5807" s="7" t="s">
        <v>6476</v>
      </c>
      <c r="B5807" s="7" t="n">
        <v>14172.76</v>
      </c>
      <c r="C5807" s="7" t="n">
        <f aca="false">AVERAGE(B5758:B5807)</f>
        <v>15904.3084</v>
      </c>
      <c r="D5807" s="7" t="n">
        <f aca="false">AVERAGE(B5608:B5807)</f>
        <v>15008.92075</v>
      </c>
      <c r="E5807" s="7" t="n">
        <f aca="false">B5807/MAX(B5556:B5807)-1</f>
        <v>-0.144845878983959</v>
      </c>
      <c r="F5807" s="7" t="str">
        <f aca="false">IFERROR(INDEX(02_轉折點45個!B:B,MATCH(A5807,02_轉折點45個!A:A,0)),"")</f>
        <v/>
      </c>
      <c r="G5807" s="7" t="s">
        <v>5494</v>
      </c>
    </row>
    <row r="5808" customFormat="false" ht="15" hidden="false" customHeight="false" outlineLevel="0" collapsed="false">
      <c r="A5808" s="7" t="s">
        <v>6477</v>
      </c>
      <c r="B5808" s="7" t="n">
        <v>14003.11</v>
      </c>
      <c r="C5808" s="7" t="n">
        <f aca="false">AVERAGE(B5759:B5808)</f>
        <v>15860.5882</v>
      </c>
      <c r="D5808" s="7" t="n">
        <f aca="false">AVERAGE(B5609:B5808)</f>
        <v>15009.91675</v>
      </c>
      <c r="E5808" s="7" t="n">
        <f aca="false">B5808/MAX(B5557:B5808)-1</f>
        <v>-0.155082198277475</v>
      </c>
      <c r="F5808" s="7" t="str">
        <f aca="false">IFERROR(INDEX(02_轉折點45個!B:B,MATCH(A5808,02_轉折點45個!A:A,0)),"")</f>
        <v/>
      </c>
      <c r="G5808" s="7" t="s">
        <v>5494</v>
      </c>
    </row>
    <row r="5809" customFormat="false" ht="15" hidden="false" customHeight="false" outlineLevel="0" collapsed="false">
      <c r="A5809" s="7" t="s">
        <v>6478</v>
      </c>
      <c r="B5809" s="7" t="n">
        <v>14454.61</v>
      </c>
      <c r="C5809" s="7" t="n">
        <f aca="false">AVERAGE(B5760:B5809)</f>
        <v>15823.485</v>
      </c>
      <c r="D5809" s="7" t="n">
        <f aca="false">AVERAGE(B5610:B5809)</f>
        <v>15012.05885</v>
      </c>
      <c r="E5809" s="7" t="n">
        <f aca="false">B5809/MAX(B5558:B5809)-1</f>
        <v>-0.127839650909231</v>
      </c>
      <c r="F5809" s="7" t="str">
        <f aca="false">IFERROR(INDEX(02_轉折點45個!B:B,MATCH(A5809,02_轉折點45個!A:A,0)),"")</f>
        <v/>
      </c>
      <c r="G5809" s="7" t="s">
        <v>5494</v>
      </c>
    </row>
    <row r="5810" customFormat="false" ht="15" hidden="false" customHeight="false" outlineLevel="0" collapsed="false">
      <c r="A5810" s="7" t="s">
        <v>1681</v>
      </c>
      <c r="B5810" s="7" t="n">
        <v>14930.05</v>
      </c>
      <c r="C5810" s="7" t="n">
        <f aca="false">AVERAGE(B5761:B5810)</f>
        <v>15795.9246</v>
      </c>
      <c r="D5810" s="7" t="n">
        <f aca="false">AVERAGE(B5611:B5810)</f>
        <v>15016.49955</v>
      </c>
      <c r="E5810" s="7" t="n">
        <f aca="false">B5810/MAX(B5559:B5810)-1</f>
        <v>-0.0991526149828581</v>
      </c>
      <c r="F5810" s="7" t="str">
        <f aca="false">IFERROR(INDEX(02_轉折點45個!B:B,MATCH(A5810,02_轉折點45個!A:A,0)),"")</f>
        <v/>
      </c>
      <c r="G5810" s="7" t="s">
        <v>5494</v>
      </c>
    </row>
    <row r="5811" customFormat="false" ht="15" hidden="false" customHeight="false" outlineLevel="0" collapsed="false">
      <c r="A5811" s="7" t="s">
        <v>6479</v>
      </c>
      <c r="B5811" s="7" t="n">
        <v>15019.68</v>
      </c>
      <c r="C5811" s="7" t="n">
        <f aca="false">AVERAGE(B5762:B5811)</f>
        <v>15766.6588</v>
      </c>
      <c r="D5811" s="7" t="n">
        <f aca="false">AVERAGE(B5612:B5811)</f>
        <v>15022.0596</v>
      </c>
      <c r="E5811" s="7" t="n">
        <f aca="false">B5811/MAX(B5560:B5811)-1</f>
        <v>-0.0937445318807193</v>
      </c>
      <c r="F5811" s="7" t="str">
        <f aca="false">IFERROR(INDEX(02_轉折點45個!B:B,MATCH(A5811,02_轉折點45個!A:A,0)),"")</f>
        <v/>
      </c>
      <c r="G5811" s="7" t="s">
        <v>5494</v>
      </c>
    </row>
    <row r="5812" customFormat="false" ht="15" hidden="false" customHeight="false" outlineLevel="0" collapsed="false">
      <c r="A5812" s="7" t="s">
        <v>1682</v>
      </c>
      <c r="B5812" s="7" t="n">
        <v>15139.74</v>
      </c>
      <c r="C5812" s="7" t="n">
        <f aca="false">AVERAGE(B5763:B5812)</f>
        <v>15737.9868</v>
      </c>
      <c r="D5812" s="7" t="n">
        <f aca="false">AVERAGE(B5613:B5812)</f>
        <v>15028.7118</v>
      </c>
      <c r="E5812" s="7" t="n">
        <f aca="false">B5812/MAX(B5561:B5812)-1</f>
        <v>-0.0865003674576157</v>
      </c>
      <c r="F5812" s="7" t="str">
        <f aca="false">IFERROR(INDEX(02_轉折點45個!B:B,MATCH(A5812,02_轉折點45個!A:A,0)),"")</f>
        <v/>
      </c>
      <c r="G5812" s="7" t="s">
        <v>5494</v>
      </c>
    </row>
    <row r="5813" customFormat="false" ht="15" hidden="false" customHeight="false" outlineLevel="0" collapsed="false">
      <c r="A5813" s="7" t="s">
        <v>1683</v>
      </c>
      <c r="B5813" s="7" t="n">
        <v>14501.11</v>
      </c>
      <c r="C5813" s="7" t="n">
        <f aca="false">AVERAGE(B5764:B5813)</f>
        <v>15700.3894</v>
      </c>
      <c r="D5813" s="7" t="n">
        <f aca="false">AVERAGE(B5614:B5813)</f>
        <v>15031.5416</v>
      </c>
      <c r="E5813" s="7" t="n">
        <f aca="false">B5813/MAX(B5562:B5813)-1</f>
        <v>-0.125033940050708</v>
      </c>
      <c r="F5813" s="7" t="str">
        <f aca="false">IFERROR(INDEX(02_轉折點45個!B:B,MATCH(A5813,02_轉折點45個!A:A,0)),"")</f>
        <v/>
      </c>
      <c r="G5813" s="7" t="s">
        <v>5494</v>
      </c>
    </row>
    <row r="5814" customFormat="false" ht="15" hidden="false" customHeight="false" outlineLevel="0" collapsed="false">
      <c r="A5814" s="7" t="s">
        <v>1684</v>
      </c>
      <c r="B5814" s="7" t="n">
        <v>14694.35</v>
      </c>
      <c r="C5814" s="7" t="n">
        <f aca="false">AVERAGE(B5765:B5814)</f>
        <v>15668.142</v>
      </c>
      <c r="D5814" s="7" t="n">
        <f aca="false">AVERAGE(B5615:B5814)</f>
        <v>15036.20155</v>
      </c>
      <c r="E5814" s="7" t="n">
        <f aca="false">B5814/MAX(B5563:B5814)-1</f>
        <v>-0.113374250452836</v>
      </c>
      <c r="F5814" s="7" t="str">
        <f aca="false">IFERROR(INDEX(02_轉折點45個!B:B,MATCH(A5814,02_轉折點45個!A:A,0)),"")</f>
        <v/>
      </c>
      <c r="G5814" s="7" t="s">
        <v>5494</v>
      </c>
    </row>
    <row r="5815" customFormat="false" ht="15" hidden="false" customHeight="false" outlineLevel="0" collapsed="false">
      <c r="A5815" s="7" t="s">
        <v>1685</v>
      </c>
      <c r="B5815" s="7" t="n">
        <v>14571.25</v>
      </c>
      <c r="C5815" s="7" t="n">
        <f aca="false">AVERAGE(B5766:B5815)</f>
        <v>15632.2108</v>
      </c>
      <c r="D5815" s="7" t="n">
        <f aca="false">AVERAGE(B5616:B5815)</f>
        <v>15039.3506</v>
      </c>
      <c r="E5815" s="7" t="n">
        <f aca="false">B5815/MAX(B5564:B5815)-1</f>
        <v>-0.120801841994432</v>
      </c>
      <c r="F5815" s="7" t="str">
        <f aca="false">IFERROR(INDEX(02_轉折點45個!B:B,MATCH(A5815,02_轉折點45個!A:A,0)),"")</f>
        <v/>
      </c>
      <c r="G5815" s="7" t="s">
        <v>5494</v>
      </c>
    </row>
    <row r="5816" customFormat="false" ht="15" hidden="false" customHeight="false" outlineLevel="0" collapsed="false">
      <c r="A5816" s="7" t="s">
        <v>6480</v>
      </c>
      <c r="B5816" s="7" t="n">
        <v>14747.03</v>
      </c>
      <c r="C5816" s="7" t="n">
        <f aca="false">AVERAGE(B5767:B5816)</f>
        <v>15606.6398</v>
      </c>
      <c r="D5816" s="7" t="n">
        <f aca="false">AVERAGE(B5617:B5816)</f>
        <v>15042.95495</v>
      </c>
      <c r="E5816" s="7" t="n">
        <f aca="false">B5816/MAX(B5565:B5816)-1</f>
        <v>-0.110195651570534</v>
      </c>
      <c r="F5816" s="7" t="str">
        <f aca="false">IFERROR(INDEX(02_轉折點45個!B:B,MATCH(A5816,02_轉折點45個!A:A,0)),"")</f>
        <v/>
      </c>
      <c r="G5816" s="7" t="s">
        <v>5494</v>
      </c>
    </row>
    <row r="5817" customFormat="false" ht="15" hidden="false" customHeight="false" outlineLevel="0" collapsed="false">
      <c r="A5817" s="7" t="s">
        <v>1686</v>
      </c>
      <c r="B5817" s="7" t="n">
        <v>15056.96</v>
      </c>
      <c r="C5817" s="7" t="n">
        <f aca="false">AVERAGE(B5768:B5817)</f>
        <v>15579.7942</v>
      </c>
      <c r="D5817" s="7" t="n">
        <f aca="false">AVERAGE(B5618:B5817)</f>
        <v>15048.43835</v>
      </c>
      <c r="E5817" s="7" t="n">
        <f aca="false">B5817/MAX(B5566:B5817)-1</f>
        <v>-0.0914951361644666</v>
      </c>
      <c r="F5817" s="7" t="str">
        <f aca="false">IFERROR(INDEX(02_轉折點45個!B:B,MATCH(A5817,02_轉折點45個!A:A,0)),"")</f>
        <v/>
      </c>
      <c r="G5817" s="7" t="s">
        <v>5494</v>
      </c>
    </row>
    <row r="5818" customFormat="false" ht="15" hidden="false" customHeight="false" outlineLevel="0" collapsed="false">
      <c r="A5818" s="7" t="s">
        <v>1687</v>
      </c>
      <c r="B5818" s="7" t="n">
        <v>14705.64</v>
      </c>
      <c r="C5818" s="7" t="n">
        <f aca="false">AVERAGE(B5769:B5818)</f>
        <v>15551.1886</v>
      </c>
      <c r="D5818" s="7" t="n">
        <f aca="false">AVERAGE(B5619:B5818)</f>
        <v>15052.45845</v>
      </c>
      <c r="E5818" s="7" t="n">
        <f aca="false">B5818/MAX(B5567:B5818)-1</f>
        <v>-0.11269303592396</v>
      </c>
      <c r="F5818" s="7" t="str">
        <f aca="false">IFERROR(INDEX(02_轉折點45個!B:B,MATCH(A5818,02_轉折點45個!A:A,0)),"")</f>
        <v/>
      </c>
      <c r="G5818" s="7" t="s">
        <v>5494</v>
      </c>
    </row>
    <row r="5819" customFormat="false" ht="15" hidden="false" customHeight="false" outlineLevel="0" collapsed="false">
      <c r="A5819" s="7" t="s">
        <v>6481</v>
      </c>
      <c r="B5819" s="7" t="n">
        <v>14253.84</v>
      </c>
      <c r="C5819" s="7" t="n">
        <f aca="false">AVERAGE(B5770:B5819)</f>
        <v>15518.711</v>
      </c>
      <c r="D5819" s="7" t="n">
        <f aca="false">AVERAGE(B5620:B5819)</f>
        <v>15053.87665</v>
      </c>
      <c r="E5819" s="7" t="n">
        <f aca="false">B5819/MAX(B5568:B5819)-1</f>
        <v>-0.139953684652581</v>
      </c>
      <c r="F5819" s="7" t="str">
        <f aca="false">IFERROR(INDEX(02_轉折點45個!B:B,MATCH(A5819,02_轉折點45個!A:A,0)),"")</f>
        <v/>
      </c>
      <c r="G5819" s="7" t="s">
        <v>5494</v>
      </c>
    </row>
    <row r="5820" customFormat="false" ht="15" hidden="false" customHeight="false" outlineLevel="0" collapsed="false">
      <c r="A5820" s="7" t="s">
        <v>6482</v>
      </c>
      <c r="B5820" s="7" t="n">
        <v>14268.59</v>
      </c>
      <c r="C5820" s="7" t="n">
        <f aca="false">AVERAGE(B5771:B5820)</f>
        <v>15484.2676</v>
      </c>
      <c r="D5820" s="7" t="n">
        <f aca="false">AVERAGE(B5621:B5820)</f>
        <v>15055.9158</v>
      </c>
      <c r="E5820" s="7" t="n">
        <f aca="false">B5820/MAX(B5569:B5820)-1</f>
        <v>-0.139063701100683</v>
      </c>
      <c r="F5820" s="7" t="str">
        <f aca="false">IFERROR(INDEX(02_轉折點45個!B:B,MATCH(A5820,02_轉折點45個!A:A,0)),"")</f>
        <v/>
      </c>
      <c r="G5820" s="7" t="s">
        <v>5494</v>
      </c>
    </row>
    <row r="5821" customFormat="false" ht="15" hidden="false" customHeight="false" outlineLevel="0" collapsed="false">
      <c r="A5821" s="7" t="s">
        <v>1688</v>
      </c>
      <c r="B5821" s="7" t="n">
        <v>14620.82</v>
      </c>
      <c r="C5821" s="7" t="n">
        <f aca="false">AVERAGE(B5772:B5821)</f>
        <v>15462.4432</v>
      </c>
      <c r="D5821" s="7" t="n">
        <f aca="false">AVERAGE(B5622:B5821)</f>
        <v>15060.0213</v>
      </c>
      <c r="E5821" s="7" t="n">
        <f aca="false">B5821/MAX(B5570:B5821)-1</f>
        <v>-0.117810893881378</v>
      </c>
      <c r="F5821" s="7" t="str">
        <f aca="false">IFERROR(INDEX(02_轉折點45個!B:B,MATCH(A5821,02_轉折點45個!A:A,0)),"")</f>
        <v/>
      </c>
      <c r="G5821" s="7" t="s">
        <v>5494</v>
      </c>
    </row>
    <row r="5822" customFormat="false" ht="15" hidden="false" customHeight="false" outlineLevel="0" collapsed="false">
      <c r="A5822" s="7" t="s">
        <v>6483</v>
      </c>
      <c r="B5822" s="7" t="n">
        <v>14603.64</v>
      </c>
      <c r="C5822" s="7" t="n">
        <f aca="false">AVERAGE(B5773:B5822)</f>
        <v>15437.5928</v>
      </c>
      <c r="D5822" s="7" t="n">
        <f aca="false">AVERAGE(B5623:B5822)</f>
        <v>15065.31615</v>
      </c>
      <c r="E5822" s="7" t="n">
        <f aca="false">B5822/MAX(B5571:B5822)-1</f>
        <v>-0.118847498452334</v>
      </c>
      <c r="F5822" s="7" t="str">
        <f aca="false">IFERROR(INDEX(02_轉折點45個!B:B,MATCH(A5822,02_轉折點45個!A:A,0)),"")</f>
        <v/>
      </c>
      <c r="G5822" s="7" t="s">
        <v>5494</v>
      </c>
    </row>
    <row r="5823" customFormat="false" ht="15" hidden="false" customHeight="false" outlineLevel="0" collapsed="false">
      <c r="A5823" s="7" t="s">
        <v>6484</v>
      </c>
      <c r="B5823" s="7" t="n">
        <v>14171.74</v>
      </c>
      <c r="C5823" s="7" t="n">
        <f aca="false">AVERAGE(B5774:B5823)</f>
        <v>15394.5144</v>
      </c>
      <c r="D5823" s="7" t="n">
        <f aca="false">AVERAGE(B5624:B5823)</f>
        <v>15068.658</v>
      </c>
      <c r="E5823" s="7" t="n">
        <f aca="false">B5823/MAX(B5572:B5823)-1</f>
        <v>-0.144907423609242</v>
      </c>
      <c r="F5823" s="7" t="str">
        <f aca="false">IFERROR(INDEX(02_轉折點45個!B:B,MATCH(A5823,02_轉折點45個!A:A,0)),"")</f>
        <v/>
      </c>
      <c r="G5823" s="7" t="s">
        <v>5494</v>
      </c>
    </row>
    <row r="5824" customFormat="false" ht="15" hidden="false" customHeight="false" outlineLevel="0" collapsed="false">
      <c r="A5824" s="7" t="s">
        <v>6485</v>
      </c>
      <c r="B5824" s="7" t="n">
        <v>14009.54</v>
      </c>
      <c r="C5824" s="7" t="n">
        <f aca="false">AVERAGE(B5775:B5824)</f>
        <v>15346.8184</v>
      </c>
      <c r="D5824" s="7" t="n">
        <f aca="false">AVERAGE(B5625:B5824)</f>
        <v>15070.63705</v>
      </c>
      <c r="E5824" s="7" t="n">
        <f aca="false">B5824/MAX(B5573:B5824)-1</f>
        <v>-0.154694225786715</v>
      </c>
      <c r="F5824" s="7" t="str">
        <f aca="false">IFERROR(INDEX(02_轉折點45個!B:B,MATCH(A5824,02_轉折點45個!A:A,0)),"")</f>
        <v/>
      </c>
      <c r="G5824" s="7" t="s">
        <v>5494</v>
      </c>
    </row>
    <row r="5825" customFormat="false" ht="15" hidden="false" customHeight="false" outlineLevel="0" collapsed="false">
      <c r="A5825" s="7" t="s">
        <v>1689</v>
      </c>
      <c r="B5825" s="7" t="n">
        <v>13870.53</v>
      </c>
      <c r="C5825" s="7" t="n">
        <f aca="false">AVERAGE(B5776:B5825)</f>
        <v>15301.2376</v>
      </c>
      <c r="D5825" s="7" t="n">
        <f aca="false">AVERAGE(B5626:B5825)</f>
        <v>15071.39155</v>
      </c>
      <c r="E5825" s="7" t="n">
        <f aca="false">B5825/MAX(B5574:B5825)-1</f>
        <v>-0.163081792807002</v>
      </c>
      <c r="F5825" s="7" t="str">
        <f aca="false">IFERROR(INDEX(02_轉折點45個!B:B,MATCH(A5825,02_轉折點45個!A:A,0)),"")</f>
        <v/>
      </c>
      <c r="G5825" s="7" t="s">
        <v>5494</v>
      </c>
    </row>
    <row r="5826" customFormat="false" ht="15" hidden="false" customHeight="false" outlineLevel="0" collapsed="false">
      <c r="A5826" s="7" t="s">
        <v>1690</v>
      </c>
      <c r="B5826" s="7" t="n">
        <v>13509.43</v>
      </c>
      <c r="C5826" s="7" t="n">
        <f aca="false">AVERAGE(B5777:B5826)</f>
        <v>15244.7866</v>
      </c>
      <c r="D5826" s="7" t="n">
        <f aca="false">AVERAGE(B5627:B5826)</f>
        <v>15072.1433</v>
      </c>
      <c r="E5826" s="7" t="n">
        <f aca="false">B5826/MAX(B5575:B5826)-1</f>
        <v>-0.184869796914804</v>
      </c>
      <c r="F5826" s="7" t="str">
        <f aca="false">IFERROR(INDEX(02_轉折點45個!B:B,MATCH(A5826,02_轉折點45個!A:A,0)),"")</f>
        <v/>
      </c>
      <c r="G5826" s="7" t="s">
        <v>5494</v>
      </c>
    </row>
    <row r="5827" customFormat="false" ht="15" hidden="false" customHeight="false" outlineLevel="0" collapsed="false">
      <c r="A5827" s="7" t="s">
        <v>1691</v>
      </c>
      <c r="B5827" s="7" t="n">
        <v>13974.67</v>
      </c>
      <c r="C5827" s="7" t="n">
        <f aca="false">AVERAGE(B5778:B5827)</f>
        <v>15202.629</v>
      </c>
      <c r="D5827" s="7" t="n">
        <f aca="false">AVERAGE(B5628:B5827)</f>
        <v>15075.2603</v>
      </c>
      <c r="E5827" s="7" t="n">
        <f aca="false">B5827/MAX(B5576:B5827)-1</f>
        <v>-0.156798207241268</v>
      </c>
      <c r="F5827" s="7" t="str">
        <f aca="false">IFERROR(INDEX(02_轉折點45個!B:B,MATCH(A5827,02_轉折點45個!A:A,0)),"")</f>
        <v/>
      </c>
      <c r="G5827" s="7" t="s">
        <v>5494</v>
      </c>
    </row>
    <row r="5828" customFormat="false" ht="15" hidden="false" customHeight="false" outlineLevel="0" collapsed="false">
      <c r="A5828" s="7" t="s">
        <v>1692</v>
      </c>
      <c r="B5828" s="7" t="n">
        <v>14189.16</v>
      </c>
      <c r="C5828" s="7" t="n">
        <f aca="false">AVERAGE(B5779:B5828)</f>
        <v>15168.1142</v>
      </c>
      <c r="D5828" s="7" t="n">
        <f aca="false">AVERAGE(B5629:B5828)</f>
        <v>15081.19795</v>
      </c>
      <c r="E5828" s="7" t="n">
        <f aca="false">B5828/MAX(B5577:B5828)-1</f>
        <v>-0.143856337949985</v>
      </c>
      <c r="F5828" s="7" t="str">
        <f aca="false">IFERROR(INDEX(02_轉折點45個!B:B,MATCH(A5828,02_轉折點45個!A:A,0)),"")</f>
        <v/>
      </c>
      <c r="G5828" s="7" t="s">
        <v>5494</v>
      </c>
    </row>
    <row r="5829" customFormat="false" ht="15" hidden="false" customHeight="false" outlineLevel="0" collapsed="false">
      <c r="A5829" s="7" t="s">
        <v>6486</v>
      </c>
      <c r="B5829" s="7" t="n">
        <v>14237.81</v>
      </c>
      <c r="C5829" s="7" t="n">
        <f aca="false">AVERAGE(B5780:B5829)</f>
        <v>15127.0786</v>
      </c>
      <c r="D5829" s="7" t="n">
        <f aca="false">AVERAGE(B5630:B5829)</f>
        <v>15086.84125</v>
      </c>
      <c r="E5829" s="7" t="n">
        <f aca="false">B5829/MAX(B5578:B5829)-1</f>
        <v>-0.140920900675422</v>
      </c>
      <c r="F5829" s="7" t="str">
        <f aca="false">IFERROR(INDEX(02_轉折點45個!B:B,MATCH(A5829,02_轉折點45個!A:A,0)),"")</f>
        <v/>
      </c>
      <c r="G5829" s="7" t="s">
        <v>5494</v>
      </c>
    </row>
    <row r="5830" customFormat="false" ht="15" hidden="false" customHeight="false" outlineLevel="0" collapsed="false">
      <c r="A5830" s="7" t="s">
        <v>1693</v>
      </c>
      <c r="B5830" s="7" t="n">
        <v>14005.99</v>
      </c>
      <c r="C5830" s="7" t="n">
        <f aca="false">AVERAGE(B5781:B5830)</f>
        <v>15089.9196</v>
      </c>
      <c r="D5830" s="7" t="n">
        <f aca="false">AVERAGE(B5631:B5830)</f>
        <v>15089.9056</v>
      </c>
      <c r="E5830" s="7" t="n">
        <f aca="false">B5830/MAX(B5579:B5830)-1</f>
        <v>-0.15490842521785</v>
      </c>
      <c r="F5830" s="7" t="str">
        <f aca="false">IFERROR(INDEX(02_轉折點45個!B:B,MATCH(A5830,02_轉折點45個!A:A,0)),"")</f>
        <v/>
      </c>
      <c r="G5830" s="7" t="s">
        <v>5494</v>
      </c>
    </row>
    <row r="5831" customFormat="false" ht="15" hidden="false" customHeight="false" outlineLevel="0" collapsed="false">
      <c r="A5831" s="7" t="s">
        <v>6487</v>
      </c>
      <c r="B5831" s="7" t="n">
        <v>14243.69</v>
      </c>
      <c r="C5831" s="7" t="n">
        <f aca="false">AVERAGE(B5782:B5831)</f>
        <v>15058.7642</v>
      </c>
      <c r="D5831" s="7" t="n">
        <f aca="false">AVERAGE(B5632:B5831)</f>
        <v>15094.5595</v>
      </c>
      <c r="E5831" s="7" t="n">
        <f aca="false">B5831/MAX(B5580:B5831)-1</f>
        <v>-0.140566114012022</v>
      </c>
      <c r="F5831" s="7" t="str">
        <f aca="false">IFERROR(INDEX(02_轉折點45個!B:B,MATCH(A5831,02_轉折點45個!A:A,0)),"")</f>
        <v/>
      </c>
      <c r="G5831" s="7" t="s">
        <v>5494</v>
      </c>
    </row>
    <row r="5832" customFormat="false" ht="15" hidden="false" customHeight="false" outlineLevel="0" collapsed="false">
      <c r="A5832" s="7" t="s">
        <v>6488</v>
      </c>
      <c r="B5832" s="7" t="n">
        <v>14035.21</v>
      </c>
      <c r="C5832" s="7" t="n">
        <f aca="false">AVERAGE(B5783:B5832)</f>
        <v>15026.9156</v>
      </c>
      <c r="D5832" s="7" t="n">
        <f aca="false">AVERAGE(B5633:B5832)</f>
        <v>15098.64715</v>
      </c>
      <c r="E5832" s="7" t="n">
        <f aca="false">B5832/MAX(B5581:B5832)-1</f>
        <v>-0.153145352717075</v>
      </c>
      <c r="F5832" s="7" t="str">
        <f aca="false">IFERROR(INDEX(02_轉折點45個!B:B,MATCH(A5832,02_轉折點45個!A:A,0)),"")</f>
        <v/>
      </c>
      <c r="G5832" s="7" t="s">
        <v>5494</v>
      </c>
    </row>
    <row r="5833" customFormat="false" ht="15" hidden="false" customHeight="false" outlineLevel="0" collapsed="false">
      <c r="A5833" s="7" t="s">
        <v>6489</v>
      </c>
      <c r="B5833" s="7" t="n">
        <v>13837.83</v>
      </c>
      <c r="C5833" s="7" t="n">
        <f aca="false">AVERAGE(B5784:B5833)</f>
        <v>14983.9466</v>
      </c>
      <c r="D5833" s="7" t="n">
        <f aca="false">AVERAGE(B5634:B5833)</f>
        <v>15101.64675</v>
      </c>
      <c r="E5833" s="7" t="n">
        <f aca="false">B5833/MAX(B5582:B5833)-1</f>
        <v>-0.165054841088157</v>
      </c>
      <c r="F5833" s="7" t="str">
        <f aca="false">IFERROR(INDEX(02_轉折點45個!B:B,MATCH(A5833,02_轉折點45個!A:A,0)),"")</f>
        <v/>
      </c>
      <c r="G5833" s="7" t="s">
        <v>5494</v>
      </c>
    </row>
    <row r="5834" customFormat="false" ht="15" hidden="false" customHeight="false" outlineLevel="0" collapsed="false">
      <c r="A5834" s="7" t="s">
        <v>1694</v>
      </c>
      <c r="B5834" s="7" t="n">
        <v>13319.38</v>
      </c>
      <c r="C5834" s="7" t="n">
        <f aca="false">AVERAGE(B5785:B5834)</f>
        <v>14926.7314</v>
      </c>
      <c r="D5834" s="7" t="n">
        <f aca="false">AVERAGE(B5635:B5834)</f>
        <v>15100.7732</v>
      </c>
      <c r="E5834" s="7" t="n">
        <f aca="false">B5834/MAX(B5583:B5834)-1</f>
        <v>-0.196337008713995</v>
      </c>
      <c r="F5834" s="7" t="str">
        <f aca="false">IFERROR(INDEX(02_轉折點45個!B:B,MATCH(A5834,02_轉折點45個!A:A,0)),"")</f>
        <v/>
      </c>
      <c r="G5834" s="7" t="s">
        <v>5494</v>
      </c>
    </row>
    <row r="5835" customFormat="false" ht="15" hidden="false" customHeight="false" outlineLevel="0" collapsed="false">
      <c r="A5835" s="7" t="s">
        <v>6490</v>
      </c>
      <c r="B5835" s="7" t="n">
        <v>13267.61</v>
      </c>
      <c r="C5835" s="7" t="n">
        <f aca="false">AVERAGE(B5786:B5835)</f>
        <v>14865.9194</v>
      </c>
      <c r="D5835" s="7" t="n">
        <f aca="false">AVERAGE(B5636:B5835)</f>
        <v>15100.05255</v>
      </c>
      <c r="E5835" s="7" t="n">
        <f aca="false">B5835/MAX(B5584:B5835)-1</f>
        <v>-0.199460700136484</v>
      </c>
      <c r="F5835" s="7" t="str">
        <f aca="false">IFERROR(INDEX(02_轉折點45個!B:B,MATCH(A5835,02_轉折點45個!A:A,0)),"")</f>
        <v/>
      </c>
      <c r="G5835" s="7" t="s">
        <v>5494</v>
      </c>
    </row>
    <row r="5836" customFormat="false" ht="15" hidden="false" customHeight="false" outlineLevel="0" collapsed="false">
      <c r="A5836" s="7" t="s">
        <v>6491</v>
      </c>
      <c r="B5836" s="7" t="n">
        <v>13742.2</v>
      </c>
      <c r="C5836" s="7" t="n">
        <f aca="false">AVERAGE(B5787:B5836)</f>
        <v>14809.4134</v>
      </c>
      <c r="D5836" s="7" t="n">
        <f aca="false">AVERAGE(B5637:B5836)</f>
        <v>15100.5548</v>
      </c>
      <c r="E5836" s="7" t="n">
        <f aca="false">B5836/MAX(B5585:B5836)-1</f>
        <v>-0.170824951397847</v>
      </c>
      <c r="F5836" s="7" t="str">
        <f aca="false">IFERROR(INDEX(02_轉折點45個!B:B,MATCH(A5836,02_轉折點45個!A:A,0)),"")</f>
        <v/>
      </c>
      <c r="G5836" s="7" t="s">
        <v>5494</v>
      </c>
    </row>
    <row r="5837" customFormat="false" ht="15" hidden="false" customHeight="false" outlineLevel="0" collapsed="false">
      <c r="A5837" s="7" t="s">
        <v>1695</v>
      </c>
      <c r="B5837" s="7" t="n">
        <v>13591</v>
      </c>
      <c r="C5837" s="7" t="n">
        <f aca="false">AVERAGE(B5788:B5837)</f>
        <v>14751.4602</v>
      </c>
      <c r="D5837" s="7" t="n">
        <f aca="false">AVERAGE(B5638:B5837)</f>
        <v>15100.22115</v>
      </c>
      <c r="E5837" s="7" t="n">
        <f aca="false">B5837/MAX(B5586:B5837)-1</f>
        <v>-0.179948037028143</v>
      </c>
      <c r="F5837" s="7" t="str">
        <f aca="false">IFERROR(INDEX(02_轉折點45個!B:B,MATCH(A5837,02_轉折點45個!A:A,0)),"")</f>
        <v/>
      </c>
      <c r="G5837" s="7" t="s">
        <v>5494</v>
      </c>
    </row>
    <row r="5838" customFormat="false" ht="15" hidden="false" customHeight="false" outlineLevel="0" collapsed="false">
      <c r="A5838" s="7" t="s">
        <v>6492</v>
      </c>
      <c r="B5838" s="7" t="n">
        <v>13301.83</v>
      </c>
      <c r="C5838" s="7" t="n">
        <f aca="false">AVERAGE(B5789:B5838)</f>
        <v>14687.6766</v>
      </c>
      <c r="D5838" s="7" t="n">
        <f aca="false">AVERAGE(B5639:B5838)</f>
        <v>15098.2166</v>
      </c>
      <c r="E5838" s="7" t="n">
        <f aca="false">B5838/MAX(B5587:B5838)-1</f>
        <v>-0.197395938296083</v>
      </c>
      <c r="F5838" s="7" t="str">
        <f aca="false">IFERROR(INDEX(02_轉折點45個!B:B,MATCH(A5838,02_轉折點45個!A:A,0)),"")</f>
        <v/>
      </c>
      <c r="G5838" s="7" t="s">
        <v>5494</v>
      </c>
    </row>
    <row r="5839" customFormat="false" ht="15" hidden="false" customHeight="false" outlineLevel="0" collapsed="false">
      <c r="A5839" s="7" t="s">
        <v>151</v>
      </c>
      <c r="B5839" s="7" t="n">
        <v>13046.64</v>
      </c>
      <c r="C5839" s="7" t="n">
        <f aca="false">AVERAGE(B5790:B5839)</f>
        <v>14620.0274</v>
      </c>
      <c r="D5839" s="7" t="n">
        <f aca="false">AVERAGE(B5640:B5839)</f>
        <v>15095.16055</v>
      </c>
      <c r="E5839" s="7" t="n">
        <f aca="false">B5839/MAX(B5588:B5839)-1</f>
        <v>-0.212793558811923</v>
      </c>
      <c r="F5839" s="7" t="str">
        <f aca="false">IFERROR(INDEX(02_轉折點45個!B:B,MATCH(A5839,02_轉折點45個!A:A,0)),"")</f>
        <v>BOTTOM</v>
      </c>
      <c r="G5839" s="7" t="s">
        <v>5494</v>
      </c>
    </row>
    <row r="5840" customFormat="false" ht="15" hidden="false" customHeight="false" outlineLevel="0" collapsed="false">
      <c r="A5840" s="7" t="s">
        <v>1696</v>
      </c>
      <c r="B5840" s="7" t="n">
        <v>13458.56</v>
      </c>
      <c r="C5840" s="7" t="n">
        <f aca="false">AVERAGE(B5791:B5840)</f>
        <v>14562.797</v>
      </c>
      <c r="D5840" s="7" t="n">
        <f aca="false">AVERAGE(B5641:B5840)</f>
        <v>15094.0208</v>
      </c>
      <c r="E5840" s="7" t="n">
        <f aca="false">B5840/MAX(B5589:B5840)-1</f>
        <v>-0.187939184256161</v>
      </c>
      <c r="F5840" s="7" t="str">
        <f aca="false">IFERROR(INDEX(02_轉折點45個!B:B,MATCH(A5840,02_轉折點45個!A:A,0)),"")</f>
        <v/>
      </c>
      <c r="G5840" s="7" t="s">
        <v>5494</v>
      </c>
    </row>
    <row r="5841" customFormat="false" ht="15" hidden="false" customHeight="false" outlineLevel="0" collapsed="false">
      <c r="A5841" s="7" t="s">
        <v>1697</v>
      </c>
      <c r="B5841" s="7" t="n">
        <v>13956.79</v>
      </c>
      <c r="C5841" s="7" t="n">
        <f aca="false">AVERAGE(B5792:B5841)</f>
        <v>14511.8974</v>
      </c>
      <c r="D5841" s="7" t="n">
        <f aca="false">AVERAGE(B5642:B5841)</f>
        <v>15095.5318</v>
      </c>
      <c r="E5841" s="7" t="n">
        <f aca="false">B5841/MAX(B5590:B5841)-1</f>
        <v>-0.157877048319771</v>
      </c>
      <c r="F5841" s="7" t="str">
        <f aca="false">IFERROR(INDEX(02_轉折點45個!B:B,MATCH(A5841,02_轉折點45個!A:A,0)),"")</f>
        <v/>
      </c>
      <c r="G5841" s="7" t="s">
        <v>5494</v>
      </c>
    </row>
    <row r="5842" customFormat="false" ht="15" hidden="false" customHeight="false" outlineLevel="0" collapsed="false">
      <c r="A5842" s="7" t="s">
        <v>1698</v>
      </c>
      <c r="B5842" s="7" t="n">
        <v>14118.6</v>
      </c>
      <c r="C5842" s="7" t="n">
        <f aca="false">AVERAGE(B5793:B5842)</f>
        <v>14468.6748</v>
      </c>
      <c r="D5842" s="7" t="n">
        <f aca="false">AVERAGE(B5643:B5842)</f>
        <v>15097.74585</v>
      </c>
      <c r="E5842" s="7" t="n">
        <f aca="false">B5842/MAX(B5591:B5842)-1</f>
        <v>-0.148113777910789</v>
      </c>
      <c r="F5842" s="7" t="str">
        <f aca="false">IFERROR(INDEX(02_轉折點45個!B:B,MATCH(A5842,02_轉折點45個!A:A,0)),"")</f>
        <v/>
      </c>
      <c r="G5842" s="7" t="s">
        <v>5494</v>
      </c>
    </row>
    <row r="5843" customFormat="false" ht="15" hidden="false" customHeight="false" outlineLevel="0" collapsed="false">
      <c r="A5843" s="7" t="s">
        <v>6493</v>
      </c>
      <c r="B5843" s="7" t="n">
        <v>14420.08</v>
      </c>
      <c r="C5843" s="7" t="n">
        <f aca="false">AVERAGE(B5794:B5843)</f>
        <v>14441.6408</v>
      </c>
      <c r="D5843" s="7" t="n">
        <f aca="false">AVERAGE(B5644:B5843)</f>
        <v>15102.19785</v>
      </c>
      <c r="E5843" s="7" t="n">
        <f aca="false">B5843/MAX(B5592:B5843)-1</f>
        <v>-0.12992311748869</v>
      </c>
      <c r="F5843" s="7" t="str">
        <f aca="false">IFERROR(INDEX(02_轉折點45個!B:B,MATCH(A5843,02_轉折點45個!A:A,0)),"")</f>
        <v/>
      </c>
      <c r="G5843" s="7" t="s">
        <v>5494</v>
      </c>
    </row>
    <row r="5844" customFormat="false" ht="15" hidden="false" customHeight="false" outlineLevel="0" collapsed="false">
      <c r="A5844" s="7" t="s">
        <v>6494</v>
      </c>
      <c r="B5844" s="7" t="n">
        <v>14376.09</v>
      </c>
      <c r="C5844" s="7" t="n">
        <f aca="false">AVERAGE(B5795:B5844)</f>
        <v>14413.8554</v>
      </c>
      <c r="D5844" s="7" t="n">
        <f aca="false">AVERAGE(B5645:B5844)</f>
        <v>15105.22445</v>
      </c>
      <c r="E5844" s="7" t="n">
        <f aca="false">B5844/MAX(B5593:B5844)-1</f>
        <v>-0.132577380298721</v>
      </c>
      <c r="F5844" s="7" t="str">
        <f aca="false">IFERROR(INDEX(02_轉折點45個!B:B,MATCH(A5844,02_轉折點45個!A:A,0)),"")</f>
        <v/>
      </c>
      <c r="G5844" s="7" t="s">
        <v>5494</v>
      </c>
    </row>
    <row r="5845" customFormat="false" ht="15" hidden="false" customHeight="false" outlineLevel="0" collapsed="false">
      <c r="A5845" s="7" t="s">
        <v>6495</v>
      </c>
      <c r="B5845" s="7" t="n">
        <v>14654.33</v>
      </c>
      <c r="C5845" s="7" t="n">
        <f aca="false">AVERAGE(B5796:B5845)</f>
        <v>14395.0982</v>
      </c>
      <c r="D5845" s="7" t="n">
        <f aca="false">AVERAGE(B5646:B5845)</f>
        <v>15109.48165</v>
      </c>
      <c r="E5845" s="7" t="n">
        <f aca="false">B5845/MAX(B5594:B5845)-1</f>
        <v>-0.115788971927204</v>
      </c>
      <c r="F5845" s="7" t="str">
        <f aca="false">IFERROR(INDEX(02_轉折點45個!B:B,MATCH(A5845,02_轉折點45個!A:A,0)),"")</f>
        <v/>
      </c>
      <c r="G5845" s="7" t="s">
        <v>5494</v>
      </c>
    </row>
    <row r="5846" customFormat="false" ht="15" hidden="false" customHeight="false" outlineLevel="0" collapsed="false">
      <c r="A5846" s="7" t="s">
        <v>6496</v>
      </c>
      <c r="B5846" s="7" t="n">
        <v>14447.55</v>
      </c>
      <c r="C5846" s="7" t="n">
        <f aca="false">AVERAGE(B5797:B5846)</f>
        <v>14371.7606</v>
      </c>
      <c r="D5846" s="7" t="n">
        <f aca="false">AVERAGE(B5647:B5846)</f>
        <v>15112.6651</v>
      </c>
      <c r="E5846" s="7" t="n">
        <f aca="false">B5846/MAX(B5595:B5846)-1</f>
        <v>-0.128265636256784</v>
      </c>
      <c r="F5846" s="7" t="str">
        <f aca="false">IFERROR(INDEX(02_轉折點45個!B:B,MATCH(A5846,02_轉折點45個!A:A,0)),"")</f>
        <v/>
      </c>
      <c r="G5846" s="7" t="s">
        <v>5494</v>
      </c>
    </row>
    <row r="5847" customFormat="false" ht="15" hidden="false" customHeight="false" outlineLevel="0" collapsed="false">
      <c r="A5847" s="7" t="s">
        <v>6497</v>
      </c>
      <c r="B5847" s="7" t="n">
        <v>14765.69</v>
      </c>
      <c r="C5847" s="7" t="n">
        <f aca="false">AVERAGE(B5798:B5847)</f>
        <v>14350.192</v>
      </c>
      <c r="D5847" s="7" t="n">
        <f aca="false">AVERAGE(B5648:B5847)</f>
        <v>15117.41885</v>
      </c>
      <c r="E5847" s="7" t="n">
        <f aca="false">B5847/MAX(B5596:B5847)-1</f>
        <v>-0.109069746955049</v>
      </c>
      <c r="F5847" s="7" t="str">
        <f aca="false">IFERROR(INDEX(02_轉折點45個!B:B,MATCH(A5847,02_轉折點45個!A:A,0)),"")</f>
        <v/>
      </c>
      <c r="G5847" s="7" t="s">
        <v>5494</v>
      </c>
    </row>
    <row r="5848" customFormat="false" ht="15" hidden="false" customHeight="false" outlineLevel="0" collapsed="false">
      <c r="A5848" s="7" t="s">
        <v>6498</v>
      </c>
      <c r="B5848" s="7" t="n">
        <v>14754.31</v>
      </c>
      <c r="C5848" s="7" t="n">
        <f aca="false">AVERAGE(B5799:B5848)</f>
        <v>14327.1762</v>
      </c>
      <c r="D5848" s="7" t="n">
        <f aca="false">AVERAGE(B5649:B5848)</f>
        <v>15121.38865</v>
      </c>
      <c r="E5848" s="7" t="n">
        <f aca="false">B5848/MAX(B5597:B5848)-1</f>
        <v>-0.109756391892039</v>
      </c>
      <c r="F5848" s="7" t="str">
        <f aca="false">IFERROR(INDEX(02_轉折點45個!B:B,MATCH(A5848,02_轉折點45個!A:A,0)),"")</f>
        <v/>
      </c>
      <c r="G5848" s="7" t="s">
        <v>5494</v>
      </c>
    </row>
    <row r="5849" customFormat="false" ht="15" hidden="false" customHeight="false" outlineLevel="0" collapsed="false">
      <c r="A5849" s="7" t="s">
        <v>1699</v>
      </c>
      <c r="B5849" s="7" t="n">
        <v>14987.4</v>
      </c>
      <c r="C5849" s="7" t="n">
        <f aca="false">AVERAGE(B5800:B5849)</f>
        <v>14317.0118</v>
      </c>
      <c r="D5849" s="7" t="n">
        <f aca="false">AVERAGE(B5650:B5849)</f>
        <v>15126.33415</v>
      </c>
      <c r="E5849" s="7" t="n">
        <f aca="false">B5849/MAX(B5598:B5849)-1</f>
        <v>-0.0956922382573459</v>
      </c>
      <c r="F5849" s="7" t="str">
        <f aca="false">IFERROR(INDEX(02_轉折點45個!B:B,MATCH(A5849,02_轉折點45個!A:A,0)),"")</f>
        <v/>
      </c>
      <c r="G5849" s="7" t="s">
        <v>5494</v>
      </c>
    </row>
    <row r="5850" customFormat="false" ht="15" hidden="false" customHeight="false" outlineLevel="0" collapsed="false">
      <c r="A5850" s="7" t="s">
        <v>152</v>
      </c>
      <c r="B5850" s="7" t="n">
        <v>15239.32</v>
      </c>
      <c r="C5850" s="7" t="n">
        <f aca="false">AVERAGE(B5801:B5850)</f>
        <v>14309.5664</v>
      </c>
      <c r="D5850" s="7" t="n">
        <f aca="false">AVERAGE(B5651:B5850)</f>
        <v>15131.88975</v>
      </c>
      <c r="E5850" s="7" t="n">
        <f aca="false">B5850/MAX(B5599:B5850)-1</f>
        <v>-0.0804919225696209</v>
      </c>
      <c r="F5850" s="7" t="str">
        <f aca="false">IFERROR(INDEX(02_轉折點45個!B:B,MATCH(A5850,02_轉折點45個!A:A,0)),"")</f>
        <v>TOP</v>
      </c>
      <c r="G5850" s="7" t="s">
        <v>5494</v>
      </c>
    </row>
    <row r="5851" customFormat="false" ht="15" hidden="false" customHeight="false" outlineLevel="0" collapsed="false">
      <c r="A5851" s="7" t="s">
        <v>1700</v>
      </c>
      <c r="B5851" s="7" t="n">
        <v>15071.55</v>
      </c>
      <c r="C5851" s="7" t="n">
        <f aca="false">AVERAGE(B5802:B5851)</f>
        <v>14306.7822</v>
      </c>
      <c r="D5851" s="7" t="n">
        <f aca="false">AVERAGE(B5652:B5851)</f>
        <v>15137.09545</v>
      </c>
      <c r="E5851" s="7" t="n">
        <f aca="false">B5851/MAX(B5600:B5851)-1</f>
        <v>-0.0906148066714374</v>
      </c>
      <c r="F5851" s="7" t="str">
        <f aca="false">IFERROR(INDEX(02_轉折點45個!B:B,MATCH(A5851,02_轉折點45個!A:A,0)),"")</f>
        <v/>
      </c>
      <c r="G5851" s="7" t="s">
        <v>5494</v>
      </c>
    </row>
    <row r="5852" customFormat="false" ht="15" hidden="false" customHeight="false" outlineLevel="0" collapsed="false">
      <c r="A5852" s="7" t="s">
        <v>1701</v>
      </c>
      <c r="B5852" s="7" t="n">
        <v>14838.49</v>
      </c>
      <c r="C5852" s="7" t="n">
        <f aca="false">AVERAGE(B5803:B5852)</f>
        <v>14302.5952</v>
      </c>
      <c r="D5852" s="7" t="n">
        <f aca="false">AVERAGE(B5653:B5852)</f>
        <v>15141.37285</v>
      </c>
      <c r="E5852" s="7" t="n">
        <f aca="false">B5852/MAX(B5601:B5852)-1</f>
        <v>-0.104677150170092</v>
      </c>
      <c r="F5852" s="7" t="str">
        <f aca="false">IFERROR(INDEX(02_轉折點45個!B:B,MATCH(A5852,02_轉折點45個!A:A,0)),"")</f>
        <v/>
      </c>
      <c r="G5852" s="7" t="s">
        <v>5494</v>
      </c>
    </row>
    <row r="5853" customFormat="false" ht="15" hidden="false" customHeight="false" outlineLevel="0" collapsed="false">
      <c r="A5853" s="7" t="s">
        <v>6499</v>
      </c>
      <c r="B5853" s="7" t="n">
        <v>14861.21</v>
      </c>
      <c r="C5853" s="7" t="n">
        <f aca="false">AVERAGE(B5804:B5853)</f>
        <v>14302.8902</v>
      </c>
      <c r="D5853" s="7" t="n">
        <f aca="false">AVERAGE(B5654:B5853)</f>
        <v>15144.85985</v>
      </c>
      <c r="E5853" s="7" t="n">
        <f aca="false">B5853/MAX(B5602:B5853)-1</f>
        <v>-0.103306273810831</v>
      </c>
      <c r="F5853" s="7" t="str">
        <f aca="false">IFERROR(INDEX(02_轉折點45個!B:B,MATCH(A5853,02_轉折點45個!A:A,0)),"")</f>
        <v/>
      </c>
      <c r="G5853" s="7" t="s">
        <v>5494</v>
      </c>
    </row>
    <row r="5854" customFormat="false" ht="15" hidden="false" customHeight="false" outlineLevel="0" collapsed="false">
      <c r="A5854" s="7" t="s">
        <v>1702</v>
      </c>
      <c r="B5854" s="7" t="n">
        <v>15159.58</v>
      </c>
      <c r="C5854" s="7" t="n">
        <f aca="false">AVERAGE(B5805:B5854)</f>
        <v>14317.3138</v>
      </c>
      <c r="D5854" s="7" t="n">
        <f aca="false">AVERAGE(B5655:B5854)</f>
        <v>15150.40985</v>
      </c>
      <c r="E5854" s="7" t="n">
        <f aca="false">B5854/MAX(B5603:B5854)-1</f>
        <v>-0.0853032641579791</v>
      </c>
      <c r="F5854" s="7" t="str">
        <f aca="false">IFERROR(INDEX(02_轉折點45個!B:B,MATCH(A5854,02_轉折點45個!A:A,0)),"")</f>
        <v/>
      </c>
      <c r="G5854" s="7" t="s">
        <v>5494</v>
      </c>
    </row>
    <row r="5855" customFormat="false" ht="15" hidden="false" customHeight="false" outlineLevel="0" collapsed="false">
      <c r="A5855" s="7" t="s">
        <v>1703</v>
      </c>
      <c r="B5855" s="7" t="n">
        <v>14820.64</v>
      </c>
      <c r="C5855" s="7" t="n">
        <f aca="false">AVERAGE(B5806:B5855)</f>
        <v>14323.535</v>
      </c>
      <c r="D5855" s="7" t="n">
        <f aca="false">AVERAGE(B5656:B5855)</f>
        <v>15153.8269</v>
      </c>
      <c r="E5855" s="7" t="n">
        <f aca="false">B5855/MAX(B5604:B5855)-1</f>
        <v>-0.105754181112558</v>
      </c>
      <c r="F5855" s="7" t="str">
        <f aca="false">IFERROR(INDEX(02_轉折點45個!B:B,MATCH(A5855,02_轉折點45個!A:A,0)),"")</f>
        <v/>
      </c>
      <c r="G5855" s="7" t="s">
        <v>5494</v>
      </c>
    </row>
    <row r="5856" customFormat="false" ht="15" hidden="false" customHeight="false" outlineLevel="0" collapsed="false">
      <c r="A5856" s="7" t="s">
        <v>6500</v>
      </c>
      <c r="B5856" s="7" t="n">
        <v>14498.89</v>
      </c>
      <c r="C5856" s="7" t="n">
        <f aca="false">AVERAGE(B5807:B5856)</f>
        <v>14330.5304</v>
      </c>
      <c r="D5856" s="7" t="n">
        <f aca="false">AVERAGE(B5657:B5856)</f>
        <v>15154.96925</v>
      </c>
      <c r="E5856" s="7" t="n">
        <f aca="false">B5856/MAX(B5605:B5856)-1</f>
        <v>-0.125167890117502</v>
      </c>
      <c r="F5856" s="7" t="str">
        <f aca="false">IFERROR(INDEX(02_轉折點45個!B:B,MATCH(A5856,02_轉折點45個!A:A,0)),"")</f>
        <v/>
      </c>
      <c r="G5856" s="7" t="s">
        <v>5494</v>
      </c>
    </row>
    <row r="5857" customFormat="false" ht="15" hidden="false" customHeight="false" outlineLevel="0" collapsed="false">
      <c r="A5857" s="7" t="s">
        <v>6501</v>
      </c>
      <c r="B5857" s="7" t="n">
        <v>14531.81</v>
      </c>
      <c r="C5857" s="7" t="n">
        <f aca="false">AVERAGE(B5808:B5857)</f>
        <v>14337.7114</v>
      </c>
      <c r="D5857" s="7" t="n">
        <f aca="false">AVERAGE(B5658:B5857)</f>
        <v>15156.2571</v>
      </c>
      <c r="E5857" s="7" t="n">
        <f aca="false">B5857/MAX(B5606:B5857)-1</f>
        <v>-0.123181567505403</v>
      </c>
      <c r="F5857" s="7" t="str">
        <f aca="false">IFERROR(INDEX(02_轉折點45個!B:B,MATCH(A5857,02_轉折點45個!A:A,0)),"")</f>
        <v/>
      </c>
      <c r="G5857" s="7" t="s">
        <v>5494</v>
      </c>
    </row>
    <row r="5858" customFormat="false" ht="15" hidden="false" customHeight="false" outlineLevel="0" collapsed="false">
      <c r="A5858" s="7" t="s">
        <v>6502</v>
      </c>
      <c r="B5858" s="7" t="n">
        <v>14327.26</v>
      </c>
      <c r="C5858" s="7" t="n">
        <f aca="false">AVERAGE(B5809:B5858)</f>
        <v>14344.1944</v>
      </c>
      <c r="D5858" s="7" t="n">
        <f aca="false">AVERAGE(B5659:B5858)</f>
        <v>15156.0636</v>
      </c>
      <c r="E5858" s="7" t="n">
        <f aca="false">B5858/MAX(B5607:B5858)-1</f>
        <v>-0.13552367838951</v>
      </c>
      <c r="F5858" s="7" t="str">
        <f aca="false">IFERROR(INDEX(02_轉折點45個!B:B,MATCH(A5858,02_轉折點45個!A:A,0)),"")</f>
        <v/>
      </c>
      <c r="G5858" s="7" t="s">
        <v>5494</v>
      </c>
    </row>
    <row r="5859" customFormat="false" ht="15" hidden="false" customHeight="false" outlineLevel="0" collapsed="false">
      <c r="A5859" s="7" t="s">
        <v>6503</v>
      </c>
      <c r="B5859" s="7" t="n">
        <v>13990.21</v>
      </c>
      <c r="C5859" s="7" t="n">
        <f aca="false">AVERAGE(B5810:B5859)</f>
        <v>14334.9064</v>
      </c>
      <c r="D5859" s="7" t="n">
        <f aca="false">AVERAGE(B5660:B5859)</f>
        <v>15154.28875</v>
      </c>
      <c r="E5859" s="7" t="n">
        <f aca="false">B5859/MAX(B5608:B5859)-1</f>
        <v>-0.15586055677371</v>
      </c>
      <c r="F5859" s="7" t="str">
        <f aca="false">IFERROR(INDEX(02_轉折點45個!B:B,MATCH(A5859,02_轉折點45個!A:A,0)),"")</f>
        <v/>
      </c>
      <c r="G5859" s="7" t="s">
        <v>5494</v>
      </c>
    </row>
    <row r="5860" customFormat="false" ht="15" hidden="false" customHeight="false" outlineLevel="0" collapsed="false">
      <c r="A5860" s="7" t="s">
        <v>6504</v>
      </c>
      <c r="B5860" s="7" t="n">
        <v>13940.24</v>
      </c>
      <c r="C5860" s="7" t="n">
        <f aca="false">AVERAGE(B5811:B5860)</f>
        <v>14315.1102</v>
      </c>
      <c r="D5860" s="7" t="n">
        <f aca="false">AVERAGE(B5661:B5860)</f>
        <v>15151.36505</v>
      </c>
      <c r="E5860" s="7" t="n">
        <f aca="false">B5860/MAX(B5609:B5860)-1</f>
        <v>-0.158875640033934</v>
      </c>
      <c r="F5860" s="7" t="str">
        <f aca="false">IFERROR(INDEX(02_轉折點45個!B:B,MATCH(A5860,02_轉折點45個!A:A,0)),"")</f>
        <v/>
      </c>
      <c r="G5860" s="7" t="s">
        <v>5494</v>
      </c>
    </row>
    <row r="5861" customFormat="false" ht="15" hidden="false" customHeight="false" outlineLevel="0" collapsed="false">
      <c r="A5861" s="7" t="s">
        <v>6505</v>
      </c>
      <c r="B5861" s="7" t="n">
        <v>14217.29</v>
      </c>
      <c r="C5861" s="7" t="n">
        <f aca="false">AVERAGE(B5812:B5861)</f>
        <v>14299.0624</v>
      </c>
      <c r="D5861" s="7" t="n">
        <f aca="false">AVERAGE(B5662:B5861)</f>
        <v>15149.58775</v>
      </c>
      <c r="E5861" s="7" t="n">
        <f aca="false">B5861/MAX(B5610:B5861)-1</f>
        <v>-0.142159033725248</v>
      </c>
      <c r="F5861" s="7" t="str">
        <f aca="false">IFERROR(INDEX(02_轉折點45個!B:B,MATCH(A5861,02_轉折點45個!A:A,0)),"")</f>
        <v/>
      </c>
      <c r="G5861" s="7" t="s">
        <v>5494</v>
      </c>
    </row>
    <row r="5862" customFormat="false" ht="15" hidden="false" customHeight="false" outlineLevel="0" collapsed="false">
      <c r="A5862" s="7" t="s">
        <v>6506</v>
      </c>
      <c r="B5862" s="7" t="n">
        <v>13893.21</v>
      </c>
      <c r="C5862" s="7" t="n">
        <f aca="false">AVERAGE(B5813:B5862)</f>
        <v>14274.1318</v>
      </c>
      <c r="D5862" s="7" t="n">
        <f aca="false">AVERAGE(B5663:B5862)</f>
        <v>15146.2798</v>
      </c>
      <c r="E5862" s="7" t="n">
        <f aca="false">B5862/MAX(B5611:B5862)-1</f>
        <v>-0.161713329962458</v>
      </c>
      <c r="F5862" s="7" t="str">
        <f aca="false">IFERROR(INDEX(02_轉折點45個!B:B,MATCH(A5862,02_轉折點45個!A:A,0)),"")</f>
        <v/>
      </c>
      <c r="G5862" s="7" t="s">
        <v>5494</v>
      </c>
    </row>
    <row r="5863" customFormat="false" ht="15" hidden="false" customHeight="false" outlineLevel="0" collapsed="false">
      <c r="A5863" s="7" t="s">
        <v>6507</v>
      </c>
      <c r="B5863" s="7" t="n">
        <v>13910.76</v>
      </c>
      <c r="C5863" s="7" t="n">
        <f aca="false">AVERAGE(B5814:B5863)</f>
        <v>14262.3248</v>
      </c>
      <c r="D5863" s="7" t="n">
        <f aca="false">AVERAGE(B5664:B5863)</f>
        <v>15143.03335</v>
      </c>
      <c r="E5863" s="7" t="n">
        <f aca="false">B5863/MAX(B5612:B5863)-1</f>
        <v>-0.16065440038037</v>
      </c>
      <c r="F5863" s="7" t="str">
        <f aca="false">IFERROR(INDEX(02_轉折點45個!B:B,MATCH(A5863,02_轉折點45個!A:A,0)),"")</f>
        <v/>
      </c>
      <c r="G5863" s="7" t="s">
        <v>5494</v>
      </c>
    </row>
    <row r="5864" customFormat="false" ht="15" hidden="false" customHeight="false" outlineLevel="0" collapsed="false">
      <c r="A5864" s="7" t="s">
        <v>6508</v>
      </c>
      <c r="B5864" s="7" t="n">
        <v>14210.26</v>
      </c>
      <c r="C5864" s="7" t="n">
        <f aca="false">AVERAGE(B5815:B5864)</f>
        <v>14252.643</v>
      </c>
      <c r="D5864" s="7" t="n">
        <f aca="false">AVERAGE(B5665:B5864)</f>
        <v>15140.4465</v>
      </c>
      <c r="E5864" s="7" t="n">
        <f aca="false">B5864/MAX(B5613:B5864)-1</f>
        <v>-0.142583208936762</v>
      </c>
      <c r="F5864" s="7" t="str">
        <f aca="false">IFERROR(INDEX(02_轉折點45個!B:B,MATCH(A5864,02_轉折點45個!A:A,0)),"")</f>
        <v/>
      </c>
      <c r="G5864" s="7" t="s">
        <v>5494</v>
      </c>
    </row>
    <row r="5865" customFormat="false" ht="15" hidden="false" customHeight="false" outlineLevel="0" collapsed="false">
      <c r="A5865" s="7" t="s">
        <v>6509</v>
      </c>
      <c r="B5865" s="7" t="n">
        <v>13998.53</v>
      </c>
      <c r="C5865" s="7" t="n">
        <f aca="false">AVERAGE(B5816:B5865)</f>
        <v>14241.1886</v>
      </c>
      <c r="D5865" s="7" t="n">
        <f aca="false">AVERAGE(B5666:B5865)</f>
        <v>15136.50735</v>
      </c>
      <c r="E5865" s="7" t="n">
        <f aca="false">B5865/MAX(B5614:B5865)-1</f>
        <v>-0.155358545712572</v>
      </c>
      <c r="F5865" s="7" t="str">
        <f aca="false">IFERROR(INDEX(02_轉折點45個!B:B,MATCH(A5865,02_轉折點45個!A:A,0)),"")</f>
        <v/>
      </c>
      <c r="G5865" s="7" t="s">
        <v>5494</v>
      </c>
    </row>
    <row r="5866" customFormat="false" ht="15" hidden="false" customHeight="false" outlineLevel="0" collapsed="false">
      <c r="A5866" s="7" t="s">
        <v>6510</v>
      </c>
      <c r="B5866" s="7" t="n">
        <v>13720.45</v>
      </c>
      <c r="C5866" s="7" t="n">
        <f aca="false">AVERAGE(B5817:B5866)</f>
        <v>14220.657</v>
      </c>
      <c r="D5866" s="7" t="n">
        <f aca="false">AVERAGE(B5667:B5866)</f>
        <v>15131.0569</v>
      </c>
      <c r="E5866" s="7" t="n">
        <f aca="false">B5866/MAX(B5615:B5866)-1</f>
        <v>-0.172137300025221</v>
      </c>
      <c r="F5866" s="7" t="str">
        <f aca="false">IFERROR(INDEX(02_轉折點45個!B:B,MATCH(A5866,02_轉折點45個!A:A,0)),"")</f>
        <v/>
      </c>
      <c r="G5866" s="7" t="s">
        <v>5494</v>
      </c>
    </row>
    <row r="5867" customFormat="false" ht="15" hidden="false" customHeight="false" outlineLevel="0" collapsed="false">
      <c r="A5867" s="7" t="s">
        <v>1704</v>
      </c>
      <c r="B5867" s="7" t="n">
        <v>13356.87</v>
      </c>
      <c r="C5867" s="7" t="n">
        <f aca="false">AVERAGE(B5818:B5867)</f>
        <v>14186.6552</v>
      </c>
      <c r="D5867" s="7" t="n">
        <f aca="false">AVERAGE(B5668:B5867)</f>
        <v>15124.23055</v>
      </c>
      <c r="E5867" s="7" t="n">
        <f aca="false">B5867/MAX(B5616:B5867)-1</f>
        <v>-0.194074942045478</v>
      </c>
      <c r="F5867" s="7" t="str">
        <f aca="false">IFERROR(INDEX(02_轉折點45個!B:B,MATCH(A5867,02_轉折點45個!A:A,0)),"")</f>
        <v/>
      </c>
      <c r="G5867" s="7" t="s">
        <v>5494</v>
      </c>
    </row>
    <row r="5868" customFormat="false" ht="15" hidden="false" customHeight="false" outlineLevel="0" collapsed="false">
      <c r="A5868" s="7" t="s">
        <v>1705</v>
      </c>
      <c r="B5868" s="7" t="n">
        <v>13533.22</v>
      </c>
      <c r="C5868" s="7" t="n">
        <f aca="false">AVERAGE(B5819:B5868)</f>
        <v>14163.2068</v>
      </c>
      <c r="D5868" s="7" t="n">
        <f aca="false">AVERAGE(B5669:B5868)</f>
        <v>15117.7662</v>
      </c>
      <c r="E5868" s="7" t="n">
        <f aca="false">B5868/MAX(B5617:B5868)-1</f>
        <v>-0.183434359036863</v>
      </c>
      <c r="F5868" s="7" t="str">
        <f aca="false">IFERROR(INDEX(02_轉折點45個!B:B,MATCH(A5868,02_轉折點45個!A:A,0)),"")</f>
        <v/>
      </c>
      <c r="G5868" s="7" t="s">
        <v>5494</v>
      </c>
    </row>
    <row r="5869" customFormat="false" ht="15" hidden="false" customHeight="false" outlineLevel="0" collapsed="false">
      <c r="A5869" s="7" t="s">
        <v>6511</v>
      </c>
      <c r="B5869" s="7" t="n">
        <v>13009.71</v>
      </c>
      <c r="C5869" s="7" t="n">
        <f aca="false">AVERAGE(B5820:B5869)</f>
        <v>14138.3242</v>
      </c>
      <c r="D5869" s="7" t="n">
        <f aca="false">AVERAGE(B5670:B5869)</f>
        <v>15108.4253</v>
      </c>
      <c r="E5869" s="7" t="n">
        <f aca="false">B5869/MAX(B5618:B5869)-1</f>
        <v>-0.215021836274402</v>
      </c>
      <c r="F5869" s="7" t="str">
        <f aca="false">IFERROR(INDEX(02_轉折點45個!B:B,MATCH(A5869,02_轉折點45個!A:A,0)),"")</f>
        <v/>
      </c>
      <c r="G5869" s="7" t="s">
        <v>5494</v>
      </c>
    </row>
    <row r="5870" customFormat="false" ht="15" hidden="false" customHeight="false" outlineLevel="0" collapsed="false">
      <c r="A5870" s="7" t="s">
        <v>6512</v>
      </c>
      <c r="B5870" s="7" t="n">
        <v>13003.36</v>
      </c>
      <c r="C5870" s="7" t="n">
        <f aca="false">AVERAGE(B5821:B5870)</f>
        <v>14113.0196</v>
      </c>
      <c r="D5870" s="7" t="n">
        <f aca="false">AVERAGE(B5671:B5870)</f>
        <v>15099.0694</v>
      </c>
      <c r="E5870" s="7" t="n">
        <f aca="false">B5870/MAX(B5619:B5870)-1</f>
        <v>-0.215404981735727</v>
      </c>
      <c r="F5870" s="7" t="str">
        <f aca="false">IFERROR(INDEX(02_轉折點45個!B:B,MATCH(A5870,02_轉折點45個!A:A,0)),"")</f>
        <v/>
      </c>
      <c r="G5870" s="7" t="s">
        <v>5494</v>
      </c>
    </row>
    <row r="5871" customFormat="false" ht="15" hidden="false" customHeight="false" outlineLevel="0" collapsed="false">
      <c r="A5871" s="7" t="s">
        <v>6513</v>
      </c>
      <c r="B5871" s="7" t="n">
        <v>13456.06</v>
      </c>
      <c r="C5871" s="7" t="n">
        <f aca="false">AVERAGE(B5822:B5871)</f>
        <v>14089.7244</v>
      </c>
      <c r="D5871" s="7" t="n">
        <f aca="false">AVERAGE(B5672:B5871)</f>
        <v>15091.8475</v>
      </c>
      <c r="E5871" s="7" t="n">
        <f aca="false">B5871/MAX(B5620:B5871)-1</f>
        <v>-0.188090028925974</v>
      </c>
      <c r="F5871" s="7" t="str">
        <f aca="false">IFERROR(INDEX(02_轉折點45個!B:B,MATCH(A5871,02_轉折點45個!A:A,0)),"")</f>
        <v/>
      </c>
      <c r="G5871" s="7" t="s">
        <v>5494</v>
      </c>
    </row>
    <row r="5872" customFormat="false" ht="15" hidden="false" customHeight="false" outlineLevel="0" collapsed="false">
      <c r="A5872" s="7" t="s">
        <v>6514</v>
      </c>
      <c r="B5872" s="7" t="n">
        <v>12854.8</v>
      </c>
      <c r="C5872" s="7" t="n">
        <f aca="false">AVERAGE(B5823:B5872)</f>
        <v>14054.7476</v>
      </c>
      <c r="D5872" s="7" t="n">
        <f aca="false">AVERAGE(B5673:B5872)</f>
        <v>15082.14805</v>
      </c>
      <c r="E5872" s="7" t="n">
        <f aca="false">B5872/MAX(B5621:B5872)-1</f>
        <v>-0.2243687753947</v>
      </c>
      <c r="F5872" s="7" t="str">
        <f aca="false">IFERROR(INDEX(02_轉折點45個!B:B,MATCH(A5872,02_轉折點45個!A:A,0)),"")</f>
        <v/>
      </c>
      <c r="G5872" s="7" t="s">
        <v>5494</v>
      </c>
    </row>
    <row r="5873" customFormat="false" ht="15" hidden="false" customHeight="false" outlineLevel="0" collapsed="false">
      <c r="A5873" s="7" t="s">
        <v>6515</v>
      </c>
      <c r="B5873" s="7" t="n">
        <v>13075.85</v>
      </c>
      <c r="C5873" s="7" t="n">
        <f aca="false">AVERAGE(B5824:B5873)</f>
        <v>14032.8298</v>
      </c>
      <c r="D5873" s="7" t="n">
        <f aca="false">AVERAGE(B5674:B5873)</f>
        <v>15074.1204</v>
      </c>
      <c r="E5873" s="7" t="n">
        <f aca="false">B5873/MAX(B5622:B5873)-1</f>
        <v>-0.211031089689827</v>
      </c>
      <c r="F5873" s="7" t="str">
        <f aca="false">IFERROR(INDEX(02_轉折點45個!B:B,MATCH(A5873,02_轉折點45個!A:A,0)),"")</f>
        <v/>
      </c>
      <c r="G5873" s="7" t="s">
        <v>5494</v>
      </c>
    </row>
    <row r="5874" customFormat="false" ht="15" hidden="false" customHeight="false" outlineLevel="0" collapsed="false">
      <c r="A5874" s="7" t="s">
        <v>6516</v>
      </c>
      <c r="B5874" s="7" t="n">
        <v>13089.9</v>
      </c>
      <c r="C5874" s="7" t="n">
        <f aca="false">AVERAGE(B5825:B5874)</f>
        <v>14014.437</v>
      </c>
      <c r="D5874" s="7" t="n">
        <f aca="false">AVERAGE(B5675:B5874)</f>
        <v>15066.82445</v>
      </c>
      <c r="E5874" s="7" t="n">
        <f aca="false">B5874/MAX(B5623:B5874)-1</f>
        <v>-0.210183342645478</v>
      </c>
      <c r="F5874" s="7" t="str">
        <f aca="false">IFERROR(INDEX(02_轉折點45個!B:B,MATCH(A5874,02_轉折點45個!A:A,0)),"")</f>
        <v/>
      </c>
      <c r="G5874" s="7" t="s">
        <v>5494</v>
      </c>
    </row>
    <row r="5875" customFormat="false" ht="15" hidden="false" customHeight="false" outlineLevel="0" collapsed="false">
      <c r="A5875" s="7" t="s">
        <v>1706</v>
      </c>
      <c r="B5875" s="7" t="n">
        <v>13535.71</v>
      </c>
      <c r="C5875" s="7" t="n">
        <f aca="false">AVERAGE(B5826:B5875)</f>
        <v>14007.7406</v>
      </c>
      <c r="D5875" s="7" t="n">
        <f aca="false">AVERAGE(B5676:B5875)</f>
        <v>15060.86195</v>
      </c>
      <c r="E5875" s="7" t="n">
        <f aca="false">B5875/MAX(B5624:B5875)-1</f>
        <v>-0.183284117745729</v>
      </c>
      <c r="F5875" s="7" t="str">
        <f aca="false">IFERROR(INDEX(02_轉折點45個!B:B,MATCH(A5875,02_轉折點45個!A:A,0)),"")</f>
        <v/>
      </c>
      <c r="G5875" s="7" t="s">
        <v>5494</v>
      </c>
    </row>
    <row r="5876" customFormat="false" ht="15" hidden="false" customHeight="false" outlineLevel="0" collapsed="false">
      <c r="A5876" s="7" t="s">
        <v>1707</v>
      </c>
      <c r="B5876" s="7" t="n">
        <v>12850.55</v>
      </c>
      <c r="C5876" s="7" t="n">
        <f aca="false">AVERAGE(B5827:B5876)</f>
        <v>13994.563</v>
      </c>
      <c r="D5876" s="7" t="n">
        <f aca="false">AVERAGE(B5677:B5876)</f>
        <v>15050.90155</v>
      </c>
      <c r="E5876" s="7" t="n">
        <f aca="false">B5876/MAX(B5625:B5876)-1</f>
        <v>-0.224625211333382</v>
      </c>
      <c r="F5876" s="7" t="str">
        <f aca="false">IFERROR(INDEX(02_轉折點45個!B:B,MATCH(A5876,02_轉折點45個!A:A,0)),"")</f>
        <v/>
      </c>
      <c r="G5876" s="7" t="s">
        <v>5494</v>
      </c>
    </row>
    <row r="5877" customFormat="false" ht="15" hidden="false" customHeight="false" outlineLevel="0" collapsed="false">
      <c r="A5877" s="7" t="s">
        <v>1708</v>
      </c>
      <c r="B5877" s="7" t="n">
        <v>12693.53</v>
      </c>
      <c r="C5877" s="7" t="n">
        <f aca="false">AVERAGE(B5828:B5877)</f>
        <v>13968.9402</v>
      </c>
      <c r="D5877" s="7" t="n">
        <f aca="false">AVERAGE(B5678:B5877)</f>
        <v>15039.66835</v>
      </c>
      <c r="E5877" s="7" t="n">
        <f aca="false">B5877/MAX(B5626:B5877)-1</f>
        <v>-0.234099463355003</v>
      </c>
      <c r="F5877" s="7" t="str">
        <f aca="false">IFERROR(INDEX(02_轉折點45個!B:B,MATCH(A5877,02_轉折點45個!A:A,0)),"")</f>
        <v/>
      </c>
      <c r="G5877" s="7" t="s">
        <v>5494</v>
      </c>
    </row>
    <row r="5878" customFormat="false" ht="15" hidden="false" customHeight="false" outlineLevel="0" collapsed="false">
      <c r="A5878" s="7" t="s">
        <v>6517</v>
      </c>
      <c r="B5878" s="7" t="n">
        <v>12187.72</v>
      </c>
      <c r="C5878" s="7" t="n">
        <f aca="false">AVERAGE(B5829:B5878)</f>
        <v>13928.9114</v>
      </c>
      <c r="D5878" s="7" t="n">
        <f aca="false">AVERAGE(B5679:B5878)</f>
        <v>15025.048</v>
      </c>
      <c r="E5878" s="7" t="n">
        <f aca="false">B5878/MAX(B5627:B5878)-1</f>
        <v>-0.264618960330265</v>
      </c>
      <c r="F5878" s="7" t="str">
        <f aca="false">IFERROR(INDEX(02_轉折點45個!B:B,MATCH(A5878,02_轉折點45個!A:A,0)),"")</f>
        <v/>
      </c>
      <c r="G5878" s="7" t="s">
        <v>5494</v>
      </c>
    </row>
    <row r="5879" customFormat="false" ht="15" hidden="false" customHeight="false" outlineLevel="0" collapsed="false">
      <c r="A5879" s="7" t="s">
        <v>6518</v>
      </c>
      <c r="B5879" s="7" t="n">
        <v>12345.86</v>
      </c>
      <c r="C5879" s="7" t="n">
        <f aca="false">AVERAGE(B5830:B5879)</f>
        <v>13891.0724</v>
      </c>
      <c r="D5879" s="7" t="n">
        <f aca="false">AVERAGE(B5680:B5879)</f>
        <v>15011.14755</v>
      </c>
      <c r="E5879" s="7" t="n">
        <f aca="false">B5879/MAX(B5628:B5879)-1</f>
        <v>-0.255077129896569</v>
      </c>
      <c r="F5879" s="7" t="str">
        <f aca="false">IFERROR(INDEX(02_轉折點45個!B:B,MATCH(A5879,02_轉折點45個!A:A,0)),"")</f>
        <v/>
      </c>
      <c r="G5879" s="7" t="s">
        <v>5494</v>
      </c>
    </row>
    <row r="5880" customFormat="false" ht="15" hidden="false" customHeight="false" outlineLevel="0" collapsed="false">
      <c r="A5880" s="7" t="s">
        <v>6519</v>
      </c>
      <c r="B5880" s="7" t="n">
        <v>11967.56</v>
      </c>
      <c r="C5880" s="7" t="n">
        <f aca="false">AVERAGE(B5831:B5880)</f>
        <v>13850.3038</v>
      </c>
      <c r="D5880" s="7" t="n">
        <f aca="false">AVERAGE(B5681:B5880)</f>
        <v>14996.2005</v>
      </c>
      <c r="E5880" s="7" t="n">
        <f aca="false">B5880/MAX(B5629:B5880)-1</f>
        <v>-0.277902945332685</v>
      </c>
      <c r="F5880" s="7" t="str">
        <f aca="false">IFERROR(INDEX(02_轉折點45個!B:B,MATCH(A5880,02_轉折點45個!A:A,0)),"")</f>
        <v/>
      </c>
      <c r="G5880" s="7" t="s">
        <v>5494</v>
      </c>
    </row>
    <row r="5881" customFormat="false" ht="15" hidden="false" customHeight="false" outlineLevel="0" collapsed="false">
      <c r="A5881" s="7" t="s">
        <v>6520</v>
      </c>
      <c r="B5881" s="7" t="n">
        <v>11945.5</v>
      </c>
      <c r="C5881" s="7" t="n">
        <f aca="false">AVERAGE(B5832:B5881)</f>
        <v>13804.34</v>
      </c>
      <c r="D5881" s="7" t="n">
        <f aca="false">AVERAGE(B5682:B5881)</f>
        <v>14980.8375</v>
      </c>
      <c r="E5881" s="7" t="n">
        <f aca="false">B5881/MAX(B5630:B5881)-1</f>
        <v>-0.279233998699116</v>
      </c>
      <c r="F5881" s="7" t="str">
        <f aca="false">IFERROR(INDEX(02_轉折點45個!B:B,MATCH(A5881,02_轉折點45個!A:A,0)),"")</f>
        <v/>
      </c>
      <c r="G5881" s="7" t="s">
        <v>5494</v>
      </c>
    </row>
    <row r="5882" customFormat="false" ht="15" hidden="false" customHeight="false" outlineLevel="0" collapsed="false">
      <c r="A5882" s="7" t="s">
        <v>1709</v>
      </c>
      <c r="B5882" s="7" t="n">
        <v>12387.4</v>
      </c>
      <c r="C5882" s="7" t="n">
        <f aca="false">AVERAGE(B5833:B5882)</f>
        <v>13771.3838</v>
      </c>
      <c r="D5882" s="7" t="n">
        <f aca="false">AVERAGE(B5683:B5882)</f>
        <v>14967.5327</v>
      </c>
      <c r="E5882" s="7" t="n">
        <f aca="false">B5882/MAX(B5631:B5882)-1</f>
        <v>-0.252570694862955</v>
      </c>
      <c r="F5882" s="7" t="str">
        <f aca="false">IFERROR(INDEX(02_轉折點45個!B:B,MATCH(A5882,02_轉折點45個!A:A,0)),"")</f>
        <v/>
      </c>
      <c r="G5882" s="7" t="s">
        <v>5494</v>
      </c>
    </row>
    <row r="5883" customFormat="false" ht="15" hidden="false" customHeight="false" outlineLevel="0" collapsed="false">
      <c r="A5883" s="7" t="s">
        <v>6521</v>
      </c>
      <c r="B5883" s="7" t="n">
        <v>12243.58</v>
      </c>
      <c r="C5883" s="7" t="n">
        <f aca="false">AVERAGE(B5834:B5883)</f>
        <v>13739.4988</v>
      </c>
      <c r="D5883" s="7" t="n">
        <f aca="false">AVERAGE(B5684:B5883)</f>
        <v>14953.9511</v>
      </c>
      <c r="E5883" s="7" t="n">
        <f aca="false">B5883/MAX(B5632:B5883)-1</f>
        <v>-0.261248487027962</v>
      </c>
      <c r="F5883" s="7" t="str">
        <f aca="false">IFERROR(INDEX(02_轉折點45個!B:B,MATCH(A5883,02_轉折點45個!A:A,0)),"")</f>
        <v/>
      </c>
      <c r="G5883" s="7" t="s">
        <v>5494</v>
      </c>
    </row>
    <row r="5884" customFormat="false" ht="15" hidden="false" customHeight="false" outlineLevel="0" collapsed="false">
      <c r="A5884" s="7" t="s">
        <v>6522</v>
      </c>
      <c r="B5884" s="7" t="n">
        <v>12564.1</v>
      </c>
      <c r="C5884" s="7" t="n">
        <f aca="false">AVERAGE(B5835:B5884)</f>
        <v>13724.3932</v>
      </c>
      <c r="D5884" s="7" t="n">
        <f aca="false">AVERAGE(B5685:B5884)</f>
        <v>14941.9535</v>
      </c>
      <c r="E5884" s="7" t="n">
        <f aca="false">B5884/MAX(B5633:B5884)-1</f>
        <v>-0.241908993600566</v>
      </c>
      <c r="F5884" s="7" t="str">
        <f aca="false">IFERROR(INDEX(02_轉折點45個!B:B,MATCH(A5884,02_轉折點45個!A:A,0)),"")</f>
        <v/>
      </c>
      <c r="G5884" s="7" t="s">
        <v>5494</v>
      </c>
    </row>
    <row r="5885" customFormat="false" ht="15" hidden="false" customHeight="false" outlineLevel="0" collapsed="false">
      <c r="A5885" s="7" t="s">
        <v>6523</v>
      </c>
      <c r="B5885" s="7" t="n">
        <v>11928.31</v>
      </c>
      <c r="C5885" s="7" t="n">
        <f aca="false">AVERAGE(B5836:B5885)</f>
        <v>13697.6072</v>
      </c>
      <c r="D5885" s="7" t="n">
        <f aca="false">AVERAGE(B5686:B5885)</f>
        <v>14926.28795</v>
      </c>
      <c r="E5885" s="7" t="n">
        <f aca="false">B5885/MAX(B5634:B5885)-1</f>
        <v>-0.28027120664875</v>
      </c>
      <c r="F5885" s="7" t="str">
        <f aca="false">IFERROR(INDEX(02_轉折點45個!B:B,MATCH(A5885,02_轉折點45個!A:A,0)),"")</f>
        <v/>
      </c>
      <c r="G5885" s="7" t="s">
        <v>5494</v>
      </c>
    </row>
    <row r="5886" customFormat="false" ht="15" hidden="false" customHeight="false" outlineLevel="0" collapsed="false">
      <c r="A5886" s="7" t="s">
        <v>1710</v>
      </c>
      <c r="B5886" s="7" t="n">
        <v>11875.63</v>
      </c>
      <c r="C5886" s="7" t="n">
        <f aca="false">AVERAGE(B5837:B5886)</f>
        <v>13660.2758</v>
      </c>
      <c r="D5886" s="7" t="n">
        <f aca="false">AVERAGE(B5687:B5886)</f>
        <v>14910.24915</v>
      </c>
      <c r="E5886" s="7" t="n">
        <f aca="false">B5886/MAX(B5635:B5886)-1</f>
        <v>-0.283449805531052</v>
      </c>
      <c r="F5886" s="7" t="str">
        <f aca="false">IFERROR(INDEX(02_轉折點45個!B:B,MATCH(A5886,02_轉折點45個!A:A,0)),"")</f>
        <v/>
      </c>
      <c r="G5886" s="7" t="s">
        <v>5494</v>
      </c>
    </row>
    <row r="5887" customFormat="false" ht="15" hidden="false" customHeight="false" outlineLevel="0" collapsed="false">
      <c r="A5887" s="7" t="s">
        <v>6524</v>
      </c>
      <c r="B5887" s="7" t="n">
        <v>11835.62</v>
      </c>
      <c r="C5887" s="7" t="n">
        <f aca="false">AVERAGE(B5838:B5887)</f>
        <v>13625.1682</v>
      </c>
      <c r="D5887" s="7" t="n">
        <f aca="false">AVERAGE(B5688:B5887)</f>
        <v>14893.51905</v>
      </c>
      <c r="E5887" s="7" t="n">
        <f aca="false">B5887/MAX(B5636:B5887)-1</f>
        <v>-0.28586392362674</v>
      </c>
      <c r="F5887" s="7" t="str">
        <f aca="false">IFERROR(INDEX(02_轉折點45個!B:B,MATCH(A5887,02_轉折點45個!A:A,0)),"")</f>
        <v/>
      </c>
      <c r="G5887" s="7" t="s">
        <v>5494</v>
      </c>
    </row>
    <row r="5888" customFormat="false" ht="15" hidden="false" customHeight="false" outlineLevel="0" collapsed="false">
      <c r="A5888" s="7" t="s">
        <v>1711</v>
      </c>
      <c r="B5888" s="7" t="n">
        <v>12034.28</v>
      </c>
      <c r="C5888" s="7" t="n">
        <f aca="false">AVERAGE(B5839:B5888)</f>
        <v>13599.8172</v>
      </c>
      <c r="D5888" s="7" t="n">
        <f aca="false">AVERAGE(B5689:B5888)</f>
        <v>14878.14365</v>
      </c>
      <c r="E5888" s="7" t="n">
        <f aca="false">B5888/MAX(B5637:B5888)-1</f>
        <v>-0.273877202784713</v>
      </c>
      <c r="F5888" s="7" t="str">
        <f aca="false">IFERROR(INDEX(02_轉折點45個!B:B,MATCH(A5888,02_轉折點45個!A:A,0)),"")</f>
        <v/>
      </c>
      <c r="G5888" s="7" t="s">
        <v>5494</v>
      </c>
    </row>
    <row r="5889" customFormat="false" ht="15" hidden="false" customHeight="false" outlineLevel="0" collapsed="false">
      <c r="A5889" s="7" t="s">
        <v>1712</v>
      </c>
      <c r="B5889" s="7" t="n">
        <v>11769.84</v>
      </c>
      <c r="C5889" s="7" t="n">
        <f aca="false">AVERAGE(B5840:B5889)</f>
        <v>13574.2812</v>
      </c>
      <c r="D5889" s="7" t="n">
        <f aca="false">AVERAGE(B5690:B5889)</f>
        <v>14861.3273</v>
      </c>
      <c r="E5889" s="7" t="n">
        <f aca="false">B5889/MAX(B5638:B5889)-1</f>
        <v>-0.289832948578862</v>
      </c>
      <c r="F5889" s="7" t="str">
        <f aca="false">IFERROR(INDEX(02_轉折點45個!B:B,MATCH(A5889,02_轉折點45個!A:A,0)),"")</f>
        <v/>
      </c>
      <c r="G5889" s="7" t="s">
        <v>5494</v>
      </c>
    </row>
    <row r="5890" customFormat="false" ht="15" hidden="false" customHeight="false" outlineLevel="0" collapsed="false">
      <c r="A5890" s="7" t="s">
        <v>1713</v>
      </c>
      <c r="B5890" s="7" t="n">
        <v>11943.93</v>
      </c>
      <c r="C5890" s="7" t="n">
        <f aca="false">AVERAGE(B5841:B5890)</f>
        <v>13543.9886</v>
      </c>
      <c r="D5890" s="7" t="n">
        <f aca="false">AVERAGE(B5691:B5890)</f>
        <v>14845.77905</v>
      </c>
      <c r="E5890" s="7" t="n">
        <f aca="false">B5890/MAX(B5639:B5890)-1</f>
        <v>-0.279328729151758</v>
      </c>
      <c r="F5890" s="7" t="str">
        <f aca="false">IFERROR(INDEX(02_轉折點45個!B:B,MATCH(A5890,02_轉折點45個!A:A,0)),"")</f>
        <v/>
      </c>
      <c r="G5890" s="7" t="s">
        <v>5494</v>
      </c>
    </row>
    <row r="5891" customFormat="false" ht="15" hidden="false" customHeight="false" outlineLevel="0" collapsed="false">
      <c r="A5891" s="7" t="s">
        <v>6525</v>
      </c>
      <c r="B5891" s="7" t="n">
        <v>12276.79</v>
      </c>
      <c r="C5891" s="7" t="n">
        <f aca="false">AVERAGE(B5842:B5891)</f>
        <v>13510.3886</v>
      </c>
      <c r="D5891" s="7" t="n">
        <f aca="false">AVERAGE(B5692:B5891)</f>
        <v>14832.0242</v>
      </c>
      <c r="E5891" s="7" t="n">
        <f aca="false">B5891/MAX(B5640:B5891)-1</f>
        <v>-0.259244666434165</v>
      </c>
      <c r="F5891" s="7" t="str">
        <f aca="false">IFERROR(INDEX(02_轉折點45個!B:B,MATCH(A5891,02_轉折點45個!A:A,0)),"")</f>
        <v/>
      </c>
      <c r="G5891" s="7" t="s">
        <v>5494</v>
      </c>
    </row>
    <row r="5892" customFormat="false" ht="15" hidden="false" customHeight="false" outlineLevel="0" collapsed="false">
      <c r="A5892" s="7" t="s">
        <v>1714</v>
      </c>
      <c r="B5892" s="7" t="n">
        <v>12681.42</v>
      </c>
      <c r="C5892" s="7" t="n">
        <f aca="false">AVERAGE(B5843:B5892)</f>
        <v>13481.645</v>
      </c>
      <c r="D5892" s="7" t="n">
        <f aca="false">AVERAGE(B5693:B5892)</f>
        <v>14819.9864</v>
      </c>
      <c r="E5892" s="7" t="n">
        <f aca="false">B5892/MAX(B5641:B5892)-1</f>
        <v>-0.234830154935577</v>
      </c>
      <c r="F5892" s="7" t="str">
        <f aca="false">IFERROR(INDEX(02_轉折點45個!B:B,MATCH(A5892,02_轉折點45個!A:A,0)),"")</f>
        <v/>
      </c>
      <c r="G5892" s="7" t="s">
        <v>5494</v>
      </c>
    </row>
    <row r="5893" customFormat="false" ht="15" hidden="false" customHeight="false" outlineLevel="0" collapsed="false">
      <c r="A5893" s="7" t="s">
        <v>6526</v>
      </c>
      <c r="B5893" s="7" t="n">
        <v>12642.1</v>
      </c>
      <c r="C5893" s="7" t="n">
        <f aca="false">AVERAGE(B5844:B5893)</f>
        <v>13446.0854</v>
      </c>
      <c r="D5893" s="7" t="n">
        <f aca="false">AVERAGE(B5694:B5893)</f>
        <v>14807.5135</v>
      </c>
      <c r="E5893" s="7" t="n">
        <f aca="false">B5893/MAX(B5642:B5893)-1</f>
        <v>-0.237202639902397</v>
      </c>
      <c r="F5893" s="7" t="str">
        <f aca="false">IFERROR(INDEX(02_轉折點45個!B:B,MATCH(A5893,02_轉折點45個!A:A,0)),"")</f>
        <v/>
      </c>
      <c r="G5893" s="7" t="s">
        <v>5494</v>
      </c>
    </row>
    <row r="5894" customFormat="false" ht="15" hidden="false" customHeight="false" outlineLevel="0" collapsed="false">
      <c r="A5894" s="7" t="s">
        <v>6527</v>
      </c>
      <c r="B5894" s="7" t="n">
        <v>12548.36</v>
      </c>
      <c r="C5894" s="7" t="n">
        <f aca="false">AVERAGE(B5845:B5894)</f>
        <v>13409.5308</v>
      </c>
      <c r="D5894" s="7" t="n">
        <f aca="false">AVERAGE(B5695:B5894)</f>
        <v>14794.55145</v>
      </c>
      <c r="E5894" s="7" t="n">
        <f aca="false">B5894/MAX(B5643:B5894)-1</f>
        <v>-0.242858711641709</v>
      </c>
      <c r="F5894" s="7" t="str">
        <f aca="false">IFERROR(INDEX(02_轉折點45個!B:B,MATCH(A5894,02_轉折點45個!A:A,0)),"")</f>
        <v/>
      </c>
      <c r="G5894" s="7" t="s">
        <v>5494</v>
      </c>
    </row>
    <row r="5895" customFormat="false" ht="15" hidden="false" customHeight="false" outlineLevel="0" collapsed="false">
      <c r="A5895" s="7" t="s">
        <v>6528</v>
      </c>
      <c r="B5895" s="7" t="n">
        <v>12892.89</v>
      </c>
      <c r="C5895" s="7" t="n">
        <f aca="false">AVERAGE(B5846:B5895)</f>
        <v>13374.302</v>
      </c>
      <c r="D5895" s="7" t="n">
        <f aca="false">AVERAGE(B5696:B5895)</f>
        <v>14784.00175</v>
      </c>
      <c r="E5895" s="7" t="n">
        <f aca="false">B5895/MAX(B5644:B5895)-1</f>
        <v>-0.222070506005428</v>
      </c>
      <c r="F5895" s="7" t="str">
        <f aca="false">IFERROR(INDEX(02_轉折點45個!B:B,MATCH(A5895,02_轉折點45個!A:A,0)),"")</f>
        <v/>
      </c>
      <c r="G5895" s="7" t="s">
        <v>5494</v>
      </c>
    </row>
    <row r="5896" customFormat="false" ht="15" hidden="false" customHeight="false" outlineLevel="0" collapsed="false">
      <c r="A5896" s="7" t="s">
        <v>6529</v>
      </c>
      <c r="B5896" s="7" t="n">
        <v>12548.03</v>
      </c>
      <c r="C5896" s="7" t="n">
        <f aca="false">AVERAGE(B5847:B5896)</f>
        <v>13336.3116</v>
      </c>
      <c r="D5896" s="7" t="n">
        <f aca="false">AVERAGE(B5697:B5896)</f>
        <v>14772.4523</v>
      </c>
      <c r="E5896" s="7" t="n">
        <f aca="false">B5896/MAX(B5645:B5896)-1</f>
        <v>-0.242878623138124</v>
      </c>
      <c r="F5896" s="7" t="str">
        <f aca="false">IFERROR(INDEX(02_轉折點45個!B:B,MATCH(A5896,02_轉折點45個!A:A,0)),"")</f>
        <v/>
      </c>
      <c r="G5896" s="7" t="s">
        <v>5494</v>
      </c>
    </row>
    <row r="5897" customFormat="false" ht="15" hidden="false" customHeight="false" outlineLevel="0" collapsed="false">
      <c r="A5897" s="7" t="s">
        <v>6530</v>
      </c>
      <c r="B5897" s="7" t="n">
        <v>12599.63</v>
      </c>
      <c r="C5897" s="7" t="n">
        <f aca="false">AVERAGE(B5848:B5897)</f>
        <v>13292.9904</v>
      </c>
      <c r="D5897" s="7" t="n">
        <f aca="false">AVERAGE(B5698:B5897)</f>
        <v>14760.78075</v>
      </c>
      <c r="E5897" s="7" t="n">
        <f aca="false">B5897/MAX(B5646:B5897)-1</f>
        <v>-0.239765189153182</v>
      </c>
      <c r="F5897" s="7" t="str">
        <f aca="false">IFERROR(INDEX(02_轉折點45個!B:B,MATCH(A5897,02_轉折點45個!A:A,0)),"")</f>
        <v/>
      </c>
      <c r="G5897" s="7" t="s">
        <v>5494</v>
      </c>
    </row>
    <row r="5898" customFormat="false" ht="15" hidden="false" customHeight="false" outlineLevel="0" collapsed="false">
      <c r="A5898" s="7" t="s">
        <v>6531</v>
      </c>
      <c r="B5898" s="7" t="n">
        <v>12711.68</v>
      </c>
      <c r="C5898" s="7" t="n">
        <f aca="false">AVERAGE(B5849:B5898)</f>
        <v>13252.1378</v>
      </c>
      <c r="D5898" s="7" t="n">
        <f aca="false">AVERAGE(B5699:B5898)</f>
        <v>14748.8763</v>
      </c>
      <c r="E5898" s="7" t="n">
        <f aca="false">B5898/MAX(B5647:B5898)-1</f>
        <v>-0.23300433105216</v>
      </c>
      <c r="F5898" s="7" t="str">
        <f aca="false">IFERROR(INDEX(02_轉折點45個!B:B,MATCH(A5898,02_轉折點45個!A:A,0)),"")</f>
        <v/>
      </c>
      <c r="G5898" s="7" t="s">
        <v>5494</v>
      </c>
    </row>
    <row r="5899" customFormat="false" ht="15" hidden="false" customHeight="false" outlineLevel="0" collapsed="false">
      <c r="A5899" s="7" t="s">
        <v>6532</v>
      </c>
      <c r="B5899" s="7" t="n">
        <v>12615.13</v>
      </c>
      <c r="C5899" s="7" t="n">
        <f aca="false">AVERAGE(B5850:B5899)</f>
        <v>13204.6924</v>
      </c>
      <c r="D5899" s="7" t="n">
        <f aca="false">AVERAGE(B5700:B5899)</f>
        <v>14735.38785</v>
      </c>
      <c r="E5899" s="7" t="n">
        <f aca="false">B5899/MAX(B5648:B5899)-1</f>
        <v>-0.238829952200341</v>
      </c>
      <c r="F5899" s="7" t="str">
        <f aca="false">IFERROR(INDEX(02_轉折點45個!B:B,MATCH(A5899,02_轉折點45個!A:A,0)),"")</f>
        <v/>
      </c>
      <c r="G5899" s="7" t="s">
        <v>5494</v>
      </c>
    </row>
    <row r="5900" customFormat="false" ht="15" hidden="false" customHeight="false" outlineLevel="0" collapsed="false">
      <c r="A5900" s="7" t="s">
        <v>6533</v>
      </c>
      <c r="B5900" s="7" t="n">
        <v>12269.78</v>
      </c>
      <c r="C5900" s="7" t="n">
        <f aca="false">AVERAGE(B5851:B5900)</f>
        <v>13145.3016</v>
      </c>
      <c r="D5900" s="7" t="n">
        <f aca="false">AVERAGE(B5701:B5900)</f>
        <v>14719.94835</v>
      </c>
      <c r="E5900" s="7" t="n">
        <f aca="false">B5900/MAX(B5649:B5900)-1</f>
        <v>-0.259667634888321</v>
      </c>
      <c r="F5900" s="7" t="str">
        <f aca="false">IFERROR(INDEX(02_轉折點45個!B:B,MATCH(A5900,02_轉折點45個!A:A,0)),"")</f>
        <v/>
      </c>
      <c r="G5900" s="7" t="s">
        <v>5494</v>
      </c>
    </row>
    <row r="5901" customFormat="false" ht="15" hidden="false" customHeight="false" outlineLevel="0" collapsed="false">
      <c r="A5901" s="7" t="s">
        <v>6534</v>
      </c>
      <c r="B5901" s="7" t="n">
        <v>11832.82</v>
      </c>
      <c r="C5901" s="7" t="n">
        <f aca="false">AVERAGE(B5852:B5901)</f>
        <v>13080.527</v>
      </c>
      <c r="D5901" s="7" t="n">
        <f aca="false">AVERAGE(B5702:B5901)</f>
        <v>14702.26785</v>
      </c>
      <c r="E5901" s="7" t="n">
        <f aca="false">B5901/MAX(B5650:B5901)-1</f>
        <v>-0.286032869656931</v>
      </c>
      <c r="F5901" s="7" t="str">
        <f aca="false">IFERROR(INDEX(02_轉折點45個!B:B,MATCH(A5901,02_轉折點45個!A:A,0)),"")</f>
        <v/>
      </c>
      <c r="G5901" s="7" t="s">
        <v>5494</v>
      </c>
    </row>
    <row r="5902" customFormat="false" ht="15" hidden="false" customHeight="false" outlineLevel="0" collapsed="false">
      <c r="A5902" s="7" t="s">
        <v>6535</v>
      </c>
      <c r="B5902" s="7" t="n">
        <v>11288.32</v>
      </c>
      <c r="C5902" s="7" t="n">
        <f aca="false">AVERAGE(B5853:B5902)</f>
        <v>13009.5236</v>
      </c>
      <c r="D5902" s="7" t="n">
        <f aca="false">AVERAGE(B5703:B5902)</f>
        <v>14682.31685</v>
      </c>
      <c r="E5902" s="7" t="n">
        <f aca="false">B5902/MAX(B5651:B5902)-1</f>
        <v>-0.318886838742221</v>
      </c>
      <c r="F5902" s="7" t="str">
        <f aca="false">IFERROR(INDEX(02_轉折點45個!B:B,MATCH(A5902,02_轉折點45個!A:A,0)),"")</f>
        <v/>
      </c>
      <c r="G5902" s="7" t="s">
        <v>5494</v>
      </c>
    </row>
    <row r="5903" customFormat="false" ht="15" hidden="false" customHeight="false" outlineLevel="0" collapsed="false">
      <c r="A5903" s="7" t="s">
        <v>6536</v>
      </c>
      <c r="B5903" s="7" t="n">
        <v>11311.69</v>
      </c>
      <c r="C5903" s="7" t="n">
        <f aca="false">AVERAGE(B5854:B5903)</f>
        <v>12938.5332</v>
      </c>
      <c r="D5903" s="7" t="n">
        <f aca="false">AVERAGE(B5704:B5903)</f>
        <v>14661.71055</v>
      </c>
      <c r="E5903" s="7" t="n">
        <f aca="false">B5903/MAX(B5652:B5903)-1</f>
        <v>-0.317476742768808</v>
      </c>
      <c r="F5903" s="7" t="str">
        <f aca="false">IFERROR(INDEX(02_轉折點45個!B:B,MATCH(A5903,02_轉折點45個!A:A,0)),"")</f>
        <v/>
      </c>
      <c r="G5903" s="7" t="s">
        <v>5494</v>
      </c>
    </row>
    <row r="5904" customFormat="false" ht="15" hidden="false" customHeight="false" outlineLevel="0" collapsed="false">
      <c r="A5904" s="7" t="s">
        <v>6537</v>
      </c>
      <c r="B5904" s="7" t="n">
        <v>11593.77</v>
      </c>
      <c r="C5904" s="7" t="n">
        <f aca="false">AVERAGE(B5855:B5904)</f>
        <v>12867.217</v>
      </c>
      <c r="D5904" s="7" t="n">
        <f aca="false">AVERAGE(B5705:B5904)</f>
        <v>14641.65395</v>
      </c>
      <c r="E5904" s="7" t="n">
        <f aca="false">B5904/MAX(B5653:B5904)-1</f>
        <v>-0.300456636984458</v>
      </c>
      <c r="F5904" s="7" t="str">
        <f aca="false">IFERROR(INDEX(02_轉折點45個!B:B,MATCH(A5904,02_轉折點45個!A:A,0)),"")</f>
        <v/>
      </c>
      <c r="G5904" s="7" t="s">
        <v>5494</v>
      </c>
    </row>
    <row r="5905" customFormat="false" ht="15" hidden="false" customHeight="false" outlineLevel="0" collapsed="false">
      <c r="A5905" s="7" t="s">
        <v>153</v>
      </c>
      <c r="B5905" s="7" t="n">
        <v>11127.57</v>
      </c>
      <c r="C5905" s="7" t="n">
        <f aca="false">AVERAGE(B5856:B5905)</f>
        <v>12793.3556</v>
      </c>
      <c r="D5905" s="7" t="n">
        <f aca="false">AVERAGE(B5706:B5905)</f>
        <v>14619.37925</v>
      </c>
      <c r="E5905" s="7" t="n">
        <f aca="false">B5905/MAX(B5654:B5905)-1</f>
        <v>-0.328586151011202</v>
      </c>
      <c r="F5905" s="7" t="str">
        <f aca="false">IFERROR(INDEX(02_轉折點45個!B:B,MATCH(A5905,02_轉折點45個!A:A,0)),"")</f>
        <v>BOTTOM</v>
      </c>
      <c r="G5905" s="7" t="s">
        <v>5494</v>
      </c>
    </row>
    <row r="5906" customFormat="false" ht="15" hidden="false" customHeight="false" outlineLevel="0" collapsed="false">
      <c r="A5906" s="7" t="s">
        <v>6538</v>
      </c>
      <c r="B5906" s="7" t="n">
        <v>11265.99</v>
      </c>
      <c r="C5906" s="7" t="n">
        <f aca="false">AVERAGE(B5857:B5906)</f>
        <v>12728.6976</v>
      </c>
      <c r="D5906" s="7" t="n">
        <f aca="false">AVERAGE(B5707:B5906)</f>
        <v>14597.65135</v>
      </c>
      <c r="E5906" s="7" t="n">
        <f aca="false">B5906/MAX(B5655:B5906)-1</f>
        <v>-0.320234183332992</v>
      </c>
      <c r="F5906" s="7" t="str">
        <f aca="false">IFERROR(INDEX(02_轉折點45個!B:B,MATCH(A5906,02_轉折點45個!A:A,0)),"")</f>
        <v/>
      </c>
      <c r="G5906" s="7" t="s">
        <v>5494</v>
      </c>
    </row>
    <row r="5907" customFormat="false" ht="15" hidden="false" customHeight="false" outlineLevel="0" collapsed="false">
      <c r="A5907" s="7" t="s">
        <v>6539</v>
      </c>
      <c r="B5907" s="7" t="n">
        <v>11546.76</v>
      </c>
      <c r="C5907" s="7" t="n">
        <f aca="false">AVERAGE(B5858:B5907)</f>
        <v>12668.9966</v>
      </c>
      <c r="D5907" s="7" t="n">
        <f aca="false">AVERAGE(B5708:B5907)</f>
        <v>14577.3639</v>
      </c>
      <c r="E5907" s="7" t="n">
        <f aca="false">B5907/MAX(B5656:B5907)-1</f>
        <v>-0.303293120155623</v>
      </c>
      <c r="F5907" s="7" t="str">
        <f aca="false">IFERROR(INDEX(02_轉折點45個!B:B,MATCH(A5907,02_轉折點45個!A:A,0)),"")</f>
        <v/>
      </c>
      <c r="G5907" s="7" t="s">
        <v>5494</v>
      </c>
    </row>
    <row r="5908" customFormat="false" ht="15" hidden="false" customHeight="false" outlineLevel="0" collapsed="false">
      <c r="A5908" s="7" t="s">
        <v>6540</v>
      </c>
      <c r="B5908" s="7" t="n">
        <v>11527.71</v>
      </c>
      <c r="C5908" s="7" t="n">
        <f aca="false">AVERAGE(B5859:B5908)</f>
        <v>12613.0056</v>
      </c>
      <c r="D5908" s="7" t="n">
        <f aca="false">AVERAGE(B5709:B5908)</f>
        <v>14556.73815</v>
      </c>
      <c r="E5908" s="7" t="n">
        <f aca="false">B5908/MAX(B5657:B5908)-1</f>
        <v>-0.304442556539599</v>
      </c>
      <c r="F5908" s="7" t="str">
        <f aca="false">IFERROR(INDEX(02_轉折點45個!B:B,MATCH(A5908,02_轉折點45個!A:A,0)),"")</f>
        <v/>
      </c>
      <c r="G5908" s="7" t="s">
        <v>5494</v>
      </c>
    </row>
    <row r="5909" customFormat="false" ht="15" hidden="false" customHeight="false" outlineLevel="0" collapsed="false">
      <c r="A5909" s="7" t="s">
        <v>6541</v>
      </c>
      <c r="B5909" s="7" t="n">
        <v>11697.68</v>
      </c>
      <c r="C5909" s="7" t="n">
        <f aca="false">AVERAGE(B5860:B5909)</f>
        <v>12567.155</v>
      </c>
      <c r="D5909" s="7" t="n">
        <f aca="false">AVERAGE(B5710:B5909)</f>
        <v>14536.84775</v>
      </c>
      <c r="E5909" s="7" t="n">
        <f aca="false">B5909/MAX(B5658:B5909)-1</f>
        <v>-0.294186929128347</v>
      </c>
      <c r="F5909" s="7" t="str">
        <f aca="false">IFERROR(INDEX(02_轉折點45個!B:B,MATCH(A5909,02_轉折點45個!A:A,0)),"")</f>
        <v/>
      </c>
      <c r="G5909" s="7" t="s">
        <v>5494</v>
      </c>
    </row>
    <row r="5910" customFormat="false" ht="15" hidden="false" customHeight="false" outlineLevel="0" collapsed="false">
      <c r="A5910" s="7" t="s">
        <v>1715</v>
      </c>
      <c r="B5910" s="7" t="n">
        <v>12105.85</v>
      </c>
      <c r="C5910" s="7" t="n">
        <f aca="false">AVERAGE(B5861:B5910)</f>
        <v>12530.4672</v>
      </c>
      <c r="D5910" s="7" t="n">
        <f aca="false">AVERAGE(B5711:B5910)</f>
        <v>14519.27275</v>
      </c>
      <c r="E5910" s="7" t="n">
        <f aca="false">B5910/MAX(B5659:B5910)-1</f>
        <v>-0.269558821577304</v>
      </c>
      <c r="F5910" s="7" t="str">
        <f aca="false">IFERROR(INDEX(02_轉折點45個!B:B,MATCH(A5910,02_轉折點45個!A:A,0)),"")</f>
        <v/>
      </c>
      <c r="G5910" s="7" t="s">
        <v>5494</v>
      </c>
    </row>
    <row r="5911" customFormat="false" ht="15" hidden="false" customHeight="false" outlineLevel="0" collapsed="false">
      <c r="A5911" s="7" t="s">
        <v>6542</v>
      </c>
      <c r="B5911" s="7" t="n">
        <v>12008.24</v>
      </c>
      <c r="C5911" s="7" t="n">
        <f aca="false">AVERAGE(B5862:B5911)</f>
        <v>12486.2862</v>
      </c>
      <c r="D5911" s="7" t="n">
        <f aca="false">AVERAGE(B5712:B5911)</f>
        <v>14501.5087</v>
      </c>
      <c r="E5911" s="7" t="n">
        <f aca="false">B5911/MAX(B5660:B5911)-1</f>
        <v>-0.275448400865486</v>
      </c>
      <c r="F5911" s="7" t="str">
        <f aca="false">IFERROR(INDEX(02_轉折點45個!B:B,MATCH(A5911,02_轉折點45個!A:A,0)),"")</f>
        <v/>
      </c>
      <c r="G5911" s="7" t="s">
        <v>5494</v>
      </c>
    </row>
    <row r="5912" customFormat="false" ht="15" hidden="false" customHeight="false" outlineLevel="0" collapsed="false">
      <c r="A5912" s="7" t="s">
        <v>6543</v>
      </c>
      <c r="B5912" s="7" t="n">
        <v>11637.77</v>
      </c>
      <c r="C5912" s="7" t="n">
        <f aca="false">AVERAGE(B5863:B5912)</f>
        <v>12441.1774</v>
      </c>
      <c r="D5912" s="7" t="n">
        <f aca="false">AVERAGE(B5713:B5912)</f>
        <v>14482.4938</v>
      </c>
      <c r="E5912" s="7" t="n">
        <f aca="false">B5912/MAX(B5661:B5912)-1</f>
        <v>-0.297801770795748</v>
      </c>
      <c r="F5912" s="7" t="str">
        <f aca="false">IFERROR(INDEX(02_轉折點45個!B:B,MATCH(A5912,02_轉折點45個!A:A,0)),"")</f>
        <v/>
      </c>
      <c r="G5912" s="7" t="s">
        <v>5494</v>
      </c>
    </row>
    <row r="5913" customFormat="false" ht="15" hidden="false" customHeight="false" outlineLevel="0" collapsed="false">
      <c r="A5913" s="7" t="s">
        <v>6544</v>
      </c>
      <c r="B5913" s="7" t="n">
        <v>11658.26</v>
      </c>
      <c r="C5913" s="7" t="n">
        <f aca="false">AVERAGE(B5864:B5913)</f>
        <v>12396.1274</v>
      </c>
      <c r="D5913" s="7" t="n">
        <f aca="false">AVERAGE(B5714:B5913)</f>
        <v>14463.6126</v>
      </c>
      <c r="E5913" s="7" t="n">
        <f aca="false">B5913/MAX(B5662:B5913)-1</f>
        <v>-0.29656544788196</v>
      </c>
      <c r="F5913" s="7" t="str">
        <f aca="false">IFERROR(INDEX(02_轉折點45個!B:B,MATCH(A5913,02_轉折點45個!A:A,0)),"")</f>
        <v/>
      </c>
      <c r="G5913" s="7" t="s">
        <v>5494</v>
      </c>
    </row>
    <row r="5914" customFormat="false" ht="15" hidden="false" customHeight="false" outlineLevel="0" collapsed="false">
      <c r="A5914" s="7" t="s">
        <v>6545</v>
      </c>
      <c r="B5914" s="7" t="n">
        <v>11503.72</v>
      </c>
      <c r="C5914" s="7" t="n">
        <f aca="false">AVERAGE(B5865:B5914)</f>
        <v>12341.9966</v>
      </c>
      <c r="D5914" s="7" t="n">
        <f aca="false">AVERAGE(B5715:B5914)</f>
        <v>14444.2167</v>
      </c>
      <c r="E5914" s="7" t="n">
        <f aca="false">B5914/MAX(B5663:B5914)-1</f>
        <v>-0.305890061991126</v>
      </c>
      <c r="F5914" s="7" t="str">
        <f aca="false">IFERROR(INDEX(02_轉折點45個!B:B,MATCH(A5914,02_轉折點45個!A:A,0)),"")</f>
        <v/>
      </c>
      <c r="G5914" s="7" t="s">
        <v>5494</v>
      </c>
    </row>
    <row r="5915" customFormat="false" ht="15" hidden="false" customHeight="false" outlineLevel="0" collapsed="false">
      <c r="A5915" s="7" t="s">
        <v>1716</v>
      </c>
      <c r="B5915" s="7" t="n">
        <v>11585.68</v>
      </c>
      <c r="C5915" s="7" t="n">
        <f aca="false">AVERAGE(B5866:B5915)</f>
        <v>12293.7396</v>
      </c>
      <c r="D5915" s="7" t="n">
        <f aca="false">AVERAGE(B5716:B5915)</f>
        <v>14424.62745</v>
      </c>
      <c r="E5915" s="7" t="n">
        <f aca="false">B5915/MAX(B5664:B5915)-1</f>
        <v>-0.300944770335973</v>
      </c>
      <c r="F5915" s="7" t="str">
        <f aca="false">IFERROR(INDEX(02_轉折點45個!B:B,MATCH(A5915,02_轉折點45個!A:A,0)),"")</f>
        <v/>
      </c>
      <c r="G5915" s="7" t="s">
        <v>5494</v>
      </c>
    </row>
    <row r="5916" customFormat="false" ht="15" hidden="false" customHeight="false" outlineLevel="0" collapsed="false">
      <c r="A5916" s="7" t="s">
        <v>6546</v>
      </c>
      <c r="B5916" s="7" t="n">
        <v>11779.9</v>
      </c>
      <c r="C5916" s="7" t="n">
        <f aca="false">AVERAGE(B5867:B5916)</f>
        <v>12254.9286</v>
      </c>
      <c r="D5916" s="7" t="n">
        <f aca="false">AVERAGE(B5717:B5916)</f>
        <v>14405.9474</v>
      </c>
      <c r="E5916" s="7" t="n">
        <f aca="false">B5916/MAX(B5665:B5916)-1</f>
        <v>-0.289225949627534</v>
      </c>
      <c r="F5916" s="7" t="str">
        <f aca="false">IFERROR(INDEX(02_轉折點45個!B:B,MATCH(A5916,02_轉折點45個!A:A,0)),"")</f>
        <v/>
      </c>
      <c r="G5916" s="7" t="s">
        <v>5494</v>
      </c>
    </row>
    <row r="5917" customFormat="false" ht="15" hidden="false" customHeight="false" outlineLevel="0" collapsed="false">
      <c r="A5917" s="7" t="s">
        <v>6547</v>
      </c>
      <c r="B5917" s="7" t="n">
        <v>11852.59</v>
      </c>
      <c r="C5917" s="7" t="n">
        <f aca="false">AVERAGE(B5868:B5917)</f>
        <v>12224.843</v>
      </c>
      <c r="D5917" s="7" t="n">
        <f aca="false">AVERAGE(B5718:B5917)</f>
        <v>14388.543</v>
      </c>
      <c r="E5917" s="7" t="n">
        <f aca="false">B5917/MAX(B5666:B5917)-1</f>
        <v>-0.284839990008049</v>
      </c>
      <c r="F5917" s="7" t="str">
        <f aca="false">IFERROR(INDEX(02_轉折點45個!B:B,MATCH(A5917,02_轉折點45個!A:A,0)),"")</f>
        <v/>
      </c>
      <c r="G5917" s="7" t="s">
        <v>5494</v>
      </c>
    </row>
    <row r="5918" customFormat="false" ht="15" hidden="false" customHeight="false" outlineLevel="0" collapsed="false">
      <c r="A5918" s="7" t="s">
        <v>6548</v>
      </c>
      <c r="B5918" s="7" t="n">
        <v>12109.05</v>
      </c>
      <c r="C5918" s="7" t="n">
        <f aca="false">AVERAGE(B5869:B5918)</f>
        <v>12196.3596</v>
      </c>
      <c r="D5918" s="7" t="n">
        <f aca="false">AVERAGE(B5719:B5918)</f>
        <v>14374.0273</v>
      </c>
      <c r="E5918" s="7" t="n">
        <f aca="false">B5918/MAX(B5667:B5918)-1</f>
        <v>-0.269365740399944</v>
      </c>
      <c r="F5918" s="7" t="str">
        <f aca="false">IFERROR(INDEX(02_轉折點45個!B:B,MATCH(A5918,02_轉折點45個!A:A,0)),"")</f>
        <v/>
      </c>
      <c r="G5918" s="7" t="s">
        <v>5494</v>
      </c>
    </row>
    <row r="5919" customFormat="false" ht="15" hidden="false" customHeight="false" outlineLevel="0" collapsed="false">
      <c r="A5919" s="7" t="s">
        <v>1717</v>
      </c>
      <c r="B5919" s="7" t="n">
        <v>12125.69</v>
      </c>
      <c r="C5919" s="7" t="n">
        <f aca="false">AVERAGE(B5870:B5919)</f>
        <v>12178.6792</v>
      </c>
      <c r="D5919" s="7" t="n">
        <f aca="false">AVERAGE(B5720:B5919)</f>
        <v>14359.5169</v>
      </c>
      <c r="E5919" s="7" t="n">
        <f aca="false">B5919/MAX(B5668:B5919)-1</f>
        <v>-0.268361718277668</v>
      </c>
      <c r="F5919" s="7" t="str">
        <f aca="false">IFERROR(INDEX(02_轉折點45個!B:B,MATCH(A5919,02_轉折點45個!A:A,0)),"")</f>
        <v/>
      </c>
      <c r="G5919" s="7" t="s">
        <v>5494</v>
      </c>
    </row>
    <row r="5920" customFormat="false" ht="15" hidden="false" customHeight="false" outlineLevel="0" collapsed="false">
      <c r="A5920" s="7" t="s">
        <v>6549</v>
      </c>
      <c r="B5920" s="7" t="n">
        <v>11860.28</v>
      </c>
      <c r="C5920" s="7" t="n">
        <f aca="false">AVERAGE(B5871:B5920)</f>
        <v>12155.8176</v>
      </c>
      <c r="D5920" s="7" t="n">
        <f aca="false">AVERAGE(B5721:B5920)</f>
        <v>14342.93575</v>
      </c>
      <c r="E5920" s="7" t="n">
        <f aca="false">B5920/MAX(B5669:B5920)-1</f>
        <v>-0.284375991803704</v>
      </c>
      <c r="F5920" s="7" t="str">
        <f aca="false">IFERROR(INDEX(02_轉折點45個!B:B,MATCH(A5920,02_轉折點45個!A:A,0)),"")</f>
        <v/>
      </c>
      <c r="G5920" s="7" t="s">
        <v>5494</v>
      </c>
    </row>
    <row r="5921" customFormat="false" ht="15" hidden="false" customHeight="false" outlineLevel="0" collapsed="false">
      <c r="A5921" s="7" t="s">
        <v>6550</v>
      </c>
      <c r="B5921" s="7" t="n">
        <v>11744.99</v>
      </c>
      <c r="C5921" s="7" t="n">
        <f aca="false">AVERAGE(B5872:B5921)</f>
        <v>12121.5962</v>
      </c>
      <c r="D5921" s="7" t="n">
        <f aca="false">AVERAGE(B5722:B5921)</f>
        <v>14325.0778</v>
      </c>
      <c r="E5921" s="7" t="n">
        <f aca="false">B5921/MAX(B5670:B5921)-1</f>
        <v>-0.291332344596804</v>
      </c>
      <c r="F5921" s="7" t="str">
        <f aca="false">IFERROR(INDEX(02_轉折點45個!B:B,MATCH(A5921,02_轉折點45個!A:A,0)),"")</f>
        <v/>
      </c>
      <c r="G5921" s="7" t="s">
        <v>5494</v>
      </c>
    </row>
    <row r="5922" customFormat="false" ht="15" hidden="false" customHeight="false" outlineLevel="0" collapsed="false">
      <c r="A5922" s="7" t="s">
        <v>6551</v>
      </c>
      <c r="B5922" s="7" t="n">
        <v>11728.53</v>
      </c>
      <c r="C5922" s="7" t="n">
        <f aca="false">AVERAGE(B5873:B5922)</f>
        <v>12099.0708</v>
      </c>
      <c r="D5922" s="7" t="n">
        <f aca="false">AVERAGE(B5723:B5922)</f>
        <v>14307.07205</v>
      </c>
      <c r="E5922" s="7" t="n">
        <f aca="false">B5922/MAX(B5671:B5922)-1</f>
        <v>-0.292325505902854</v>
      </c>
      <c r="F5922" s="7" t="str">
        <f aca="false">IFERROR(INDEX(02_轉折點45個!B:B,MATCH(A5922,02_轉折點45個!A:A,0)),"")</f>
        <v/>
      </c>
      <c r="G5922" s="7" t="s">
        <v>5494</v>
      </c>
    </row>
    <row r="5923" customFormat="false" ht="15" hidden="false" customHeight="false" outlineLevel="0" collapsed="false">
      <c r="A5923" s="7" t="s">
        <v>6552</v>
      </c>
      <c r="B5923" s="7" t="n">
        <v>11768.4</v>
      </c>
      <c r="C5923" s="7" t="n">
        <f aca="false">AVERAGE(B5874:B5923)</f>
        <v>12072.9218</v>
      </c>
      <c r="D5923" s="7" t="n">
        <f aca="false">AVERAGE(B5724:B5923)</f>
        <v>14289.88995</v>
      </c>
      <c r="E5923" s="7" t="n">
        <f aca="false">B5923/MAX(B5672:B5923)-1</f>
        <v>-0.289919835108675</v>
      </c>
      <c r="F5923" s="7" t="str">
        <f aca="false">IFERROR(INDEX(02_轉折點45個!B:B,MATCH(A5923,02_轉折點45個!A:A,0)),"")</f>
        <v/>
      </c>
      <c r="G5923" s="7" t="s">
        <v>5494</v>
      </c>
    </row>
    <row r="5924" customFormat="false" ht="15" hidden="false" customHeight="false" outlineLevel="0" collapsed="false">
      <c r="A5924" s="7" t="s">
        <v>6553</v>
      </c>
      <c r="B5924" s="7" t="n">
        <v>11983.62</v>
      </c>
      <c r="C5924" s="7" t="n">
        <f aca="false">AVERAGE(B5875:B5924)</f>
        <v>12050.7962</v>
      </c>
      <c r="D5924" s="7" t="n">
        <f aca="false">AVERAGE(B5725:B5924)</f>
        <v>14275.95655</v>
      </c>
      <c r="E5924" s="7" t="n">
        <f aca="false">B5924/MAX(B5673:B5924)-1</f>
        <v>-0.276933919173806</v>
      </c>
      <c r="F5924" s="7" t="str">
        <f aca="false">IFERROR(INDEX(02_轉折點45個!B:B,MATCH(A5924,02_轉折點45個!A:A,0)),"")</f>
        <v/>
      </c>
      <c r="G5924" s="7" t="s">
        <v>5494</v>
      </c>
    </row>
    <row r="5925" customFormat="false" ht="15" hidden="false" customHeight="false" outlineLevel="0" collapsed="false">
      <c r="A5925" s="7" t="s">
        <v>6554</v>
      </c>
      <c r="B5925" s="7" t="n">
        <v>11877.5</v>
      </c>
      <c r="C5925" s="7" t="n">
        <f aca="false">AVERAGE(B5876:B5925)</f>
        <v>12017.632</v>
      </c>
      <c r="D5925" s="7" t="n">
        <f aca="false">AVERAGE(B5726:B5925)</f>
        <v>14261.5796</v>
      </c>
      <c r="E5925" s="7" t="n">
        <f aca="false">B5925/MAX(B5674:B5925)-1</f>
        <v>-0.283336973718031</v>
      </c>
      <c r="F5925" s="7" t="str">
        <f aca="false">IFERROR(INDEX(02_轉折點45個!B:B,MATCH(A5925,02_轉折點45個!A:A,0)),"")</f>
        <v/>
      </c>
      <c r="G5925" s="7" t="s">
        <v>5494</v>
      </c>
    </row>
    <row r="5926" customFormat="false" ht="15" hidden="false" customHeight="false" outlineLevel="0" collapsed="false">
      <c r="A5926" s="7" t="s">
        <v>6555</v>
      </c>
      <c r="B5926" s="7" t="n">
        <v>12249.42</v>
      </c>
      <c r="C5926" s="7" t="n">
        <f aca="false">AVERAGE(B5877:B5926)</f>
        <v>12005.6094</v>
      </c>
      <c r="D5926" s="7" t="n">
        <f aca="false">AVERAGE(B5727:B5926)</f>
        <v>14249.3786</v>
      </c>
      <c r="E5926" s="7" t="n">
        <f aca="false">B5926/MAX(B5675:B5926)-1</f>
        <v>-0.260896113879278</v>
      </c>
      <c r="F5926" s="7" t="str">
        <f aca="false">IFERROR(INDEX(02_轉折點45個!B:B,MATCH(A5926,02_轉折點45個!A:A,0)),"")</f>
        <v/>
      </c>
      <c r="G5926" s="7" t="s">
        <v>5494</v>
      </c>
    </row>
    <row r="5927" customFormat="false" ht="15" hidden="false" customHeight="false" outlineLevel="0" collapsed="false">
      <c r="A5927" s="7" t="s">
        <v>1718</v>
      </c>
      <c r="B5927" s="7" t="n">
        <v>12439.68</v>
      </c>
      <c r="C5927" s="7" t="n">
        <f aca="false">AVERAGE(B5878:B5927)</f>
        <v>12000.5324</v>
      </c>
      <c r="D5927" s="7" t="n">
        <f aca="false">AVERAGE(B5728:B5927)</f>
        <v>14237.61765</v>
      </c>
      <c r="E5927" s="7" t="n">
        <f aca="false">B5927/MAX(B5676:B5927)-1</f>
        <v>-0.249416231127823</v>
      </c>
      <c r="F5927" s="7" t="str">
        <f aca="false">IFERROR(INDEX(02_轉折點45個!B:B,MATCH(A5927,02_轉折點45個!A:A,0)),"")</f>
        <v/>
      </c>
      <c r="G5927" s="7" t="s">
        <v>5494</v>
      </c>
    </row>
    <row r="5928" customFormat="false" ht="15" hidden="false" customHeight="false" outlineLevel="0" collapsed="false">
      <c r="A5928" s="7" t="s">
        <v>6556</v>
      </c>
      <c r="B5928" s="7" t="n">
        <v>12619.41</v>
      </c>
      <c r="C5928" s="7" t="n">
        <f aca="false">AVERAGE(B5879:B5928)</f>
        <v>12009.1662</v>
      </c>
      <c r="D5928" s="7" t="n">
        <f aca="false">AVERAGE(B5729:B5928)</f>
        <v>14228.3541</v>
      </c>
      <c r="E5928" s="7" t="n">
        <f aca="false">B5928/MAX(B5677:B5928)-1</f>
        <v>-0.238571706125621</v>
      </c>
      <c r="F5928" s="7" t="str">
        <f aca="false">IFERROR(INDEX(02_轉折點45個!B:B,MATCH(A5928,02_轉折點45個!A:A,0)),"")</f>
        <v/>
      </c>
      <c r="G5928" s="7" t="s">
        <v>5494</v>
      </c>
    </row>
    <row r="5929" customFormat="false" ht="15" hidden="false" customHeight="false" outlineLevel="0" collapsed="false">
      <c r="A5929" s="7" t="s">
        <v>1719</v>
      </c>
      <c r="B5929" s="7" t="n">
        <v>12396.47</v>
      </c>
      <c r="C5929" s="7" t="n">
        <f aca="false">AVERAGE(B5880:B5929)</f>
        <v>12010.1784</v>
      </c>
      <c r="D5929" s="7" t="n">
        <f aca="false">AVERAGE(B5730:B5929)</f>
        <v>14216.9657</v>
      </c>
      <c r="E5929" s="7" t="n">
        <f aca="false">B5929/MAX(B5678:B5929)-1</f>
        <v>-0.252023430400873</v>
      </c>
      <c r="F5929" s="7" t="str">
        <f aca="false">IFERROR(INDEX(02_轉折點45個!B:B,MATCH(A5929,02_轉折點45個!A:A,0)),"")</f>
        <v/>
      </c>
      <c r="G5929" s="7" t="s">
        <v>5494</v>
      </c>
    </row>
    <row r="5930" customFormat="false" ht="15" hidden="false" customHeight="false" outlineLevel="0" collapsed="false">
      <c r="A5930" s="7" t="s">
        <v>6557</v>
      </c>
      <c r="B5930" s="7" t="n">
        <v>12328.41</v>
      </c>
      <c r="C5930" s="7" t="n">
        <f aca="false">AVERAGE(B5881:B5930)</f>
        <v>12017.3954</v>
      </c>
      <c r="D5930" s="7" t="n">
        <f aca="false">AVERAGE(B5731:B5930)</f>
        <v>14204.774</v>
      </c>
      <c r="E5930" s="7" t="n">
        <f aca="false">B5930/MAX(B5679:B5930)-1</f>
        <v>-0.256130025691864</v>
      </c>
      <c r="F5930" s="7" t="str">
        <f aca="false">IFERROR(INDEX(02_轉折點45個!B:B,MATCH(A5930,02_轉折點45個!A:A,0)),"")</f>
        <v/>
      </c>
      <c r="G5930" s="7" t="s">
        <v>5494</v>
      </c>
    </row>
    <row r="5931" customFormat="false" ht="15" hidden="false" customHeight="false" outlineLevel="0" collapsed="false">
      <c r="A5931" s="7" t="s">
        <v>6558</v>
      </c>
      <c r="B5931" s="7" t="n">
        <v>12086.9</v>
      </c>
      <c r="C5931" s="7" t="n">
        <f aca="false">AVERAGE(B5882:B5931)</f>
        <v>12020.2234</v>
      </c>
      <c r="D5931" s="7" t="n">
        <f aca="false">AVERAGE(B5732:B5931)</f>
        <v>14190.72285</v>
      </c>
      <c r="E5931" s="7" t="n">
        <f aca="false">B5931/MAX(B5680:B5931)-1</f>
        <v>-0.270702224174488</v>
      </c>
      <c r="F5931" s="7" t="str">
        <f aca="false">IFERROR(INDEX(02_轉折點45個!B:B,MATCH(A5931,02_轉折點45個!A:A,0)),"")</f>
        <v/>
      </c>
      <c r="G5931" s="7" t="s">
        <v>5494</v>
      </c>
    </row>
    <row r="5932" customFormat="false" ht="15" hidden="false" customHeight="false" outlineLevel="0" collapsed="false">
      <c r="A5932" s="7" t="s">
        <v>1720</v>
      </c>
      <c r="B5932" s="7" t="n">
        <v>12601.47</v>
      </c>
      <c r="C5932" s="7" t="n">
        <f aca="false">AVERAGE(B5883:B5932)</f>
        <v>12024.5048</v>
      </c>
      <c r="D5932" s="7" t="n">
        <f aca="false">AVERAGE(B5733:B5932)</f>
        <v>14179.62645</v>
      </c>
      <c r="E5932" s="7" t="n">
        <f aca="false">B5932/MAX(B5681:B5932)-1</f>
        <v>-0.2396541674762</v>
      </c>
      <c r="F5932" s="7" t="str">
        <f aca="false">IFERROR(INDEX(02_轉折點45個!B:B,MATCH(A5932,02_轉折點45個!A:A,0)),"")</f>
        <v/>
      </c>
      <c r="G5932" s="7" t="s">
        <v>5494</v>
      </c>
    </row>
    <row r="5933" customFormat="false" ht="15" hidden="false" customHeight="false" outlineLevel="0" collapsed="false">
      <c r="A5933" s="7" t="s">
        <v>6559</v>
      </c>
      <c r="B5933" s="7" t="n">
        <v>12717.87</v>
      </c>
      <c r="C5933" s="7" t="n">
        <f aca="false">AVERAGE(B5884:B5933)</f>
        <v>12033.9906</v>
      </c>
      <c r="D5933" s="7" t="n">
        <f aca="false">AVERAGE(B5734:B5933)</f>
        <v>14169.64715</v>
      </c>
      <c r="E5933" s="7" t="n">
        <f aca="false">B5933/MAX(B5682:B5933)-1</f>
        <v>-0.232630839649702</v>
      </c>
      <c r="F5933" s="7" t="str">
        <f aca="false">IFERROR(INDEX(02_轉折點45個!B:B,MATCH(A5933,02_轉折點45個!A:A,0)),"")</f>
        <v/>
      </c>
      <c r="G5933" s="7" t="s">
        <v>5494</v>
      </c>
    </row>
    <row r="5934" customFormat="false" ht="15" hidden="false" customHeight="false" outlineLevel="0" collapsed="false">
      <c r="A5934" s="7" t="s">
        <v>6560</v>
      </c>
      <c r="B5934" s="7" t="n">
        <v>12947.97</v>
      </c>
      <c r="C5934" s="7" t="n">
        <f aca="false">AVERAGE(B5885:B5934)</f>
        <v>12041.668</v>
      </c>
      <c r="D5934" s="7" t="n">
        <f aca="false">AVERAGE(B5735:B5934)</f>
        <v>14161.07645</v>
      </c>
      <c r="E5934" s="7" t="n">
        <f aca="false">B5934/MAX(B5683:B5934)-1</f>
        <v>-0.218747096240106</v>
      </c>
      <c r="F5934" s="7" t="str">
        <f aca="false">IFERROR(INDEX(02_轉折點45個!B:B,MATCH(A5934,02_轉折點45個!A:A,0)),"")</f>
        <v/>
      </c>
      <c r="G5934" s="7" t="s">
        <v>5494</v>
      </c>
    </row>
    <row r="5935" customFormat="false" ht="15" hidden="false" customHeight="false" outlineLevel="0" collapsed="false">
      <c r="A5935" s="7" t="s">
        <v>6561</v>
      </c>
      <c r="B5935" s="7" t="n">
        <v>12940.78</v>
      </c>
      <c r="C5935" s="7" t="n">
        <f aca="false">AVERAGE(B5886:B5935)</f>
        <v>12061.9174</v>
      </c>
      <c r="D5935" s="7" t="n">
        <f aca="false">AVERAGE(B5736:B5935)</f>
        <v>14151.90735</v>
      </c>
      <c r="E5935" s="7" t="n">
        <f aca="false">B5935/MAX(B5684:B5935)-1</f>
        <v>-0.219180925510489</v>
      </c>
      <c r="F5935" s="7" t="str">
        <f aca="false">IFERROR(INDEX(02_轉折點45個!B:B,MATCH(A5935,02_轉折點45個!A:A,0)),"")</f>
        <v/>
      </c>
      <c r="G5935" s="7" t="s">
        <v>5494</v>
      </c>
    </row>
    <row r="5936" customFormat="false" ht="15" hidden="false" customHeight="false" outlineLevel="0" collapsed="false">
      <c r="A5936" s="7" t="s">
        <v>6562</v>
      </c>
      <c r="B5936" s="7" t="n">
        <v>12901.6</v>
      </c>
      <c r="C5936" s="7" t="n">
        <f aca="false">AVERAGE(B5887:B5936)</f>
        <v>12082.4368</v>
      </c>
      <c r="D5936" s="7" t="n">
        <f aca="false">AVERAGE(B5737:B5936)</f>
        <v>14141.15325</v>
      </c>
      <c r="E5936" s="7" t="n">
        <f aca="false">B5936/MAX(B5685:B5936)-1</f>
        <v>-0.221544963175799</v>
      </c>
      <c r="F5936" s="7" t="str">
        <f aca="false">IFERROR(INDEX(02_轉折點45個!B:B,MATCH(A5936,02_轉折點45個!A:A,0)),"")</f>
        <v/>
      </c>
      <c r="G5936" s="7" t="s">
        <v>5494</v>
      </c>
    </row>
    <row r="5937" customFormat="false" ht="15" hidden="false" customHeight="false" outlineLevel="0" collapsed="false">
      <c r="A5937" s="7" t="s">
        <v>1721</v>
      </c>
      <c r="B5937" s="7" t="n">
        <v>13253.26</v>
      </c>
      <c r="C5937" s="7" t="n">
        <f aca="false">AVERAGE(B5888:B5937)</f>
        <v>12110.7896</v>
      </c>
      <c r="D5937" s="7" t="n">
        <f aca="false">AVERAGE(B5738:B5937)</f>
        <v>14131.68495</v>
      </c>
      <c r="E5937" s="7" t="n">
        <f aca="false">B5937/MAX(B5686:B5937)-1</f>
        <v>-0.200326548541211</v>
      </c>
      <c r="F5937" s="7" t="str">
        <f aca="false">IFERROR(INDEX(02_轉折點45個!B:B,MATCH(A5937,02_轉折點45個!A:A,0)),"")</f>
        <v/>
      </c>
      <c r="G5937" s="7" t="s">
        <v>5494</v>
      </c>
    </row>
    <row r="5938" customFormat="false" ht="15" hidden="false" customHeight="false" outlineLevel="0" collapsed="false">
      <c r="A5938" s="7" t="s">
        <v>1722</v>
      </c>
      <c r="B5938" s="7" t="n">
        <v>13311.04</v>
      </c>
      <c r="C5938" s="7" t="n">
        <f aca="false">AVERAGE(B5889:B5938)</f>
        <v>12136.3248</v>
      </c>
      <c r="D5938" s="7" t="n">
        <f aca="false">AVERAGE(B5739:B5938)</f>
        <v>14121.7357</v>
      </c>
      <c r="E5938" s="7" t="n">
        <f aca="false">B5938/MAX(B5687:B5938)-1</f>
        <v>-0.196840226532491</v>
      </c>
      <c r="F5938" s="7" t="str">
        <f aca="false">IFERROR(INDEX(02_轉折點45個!B:B,MATCH(A5938,02_轉折點45個!A:A,0)),"")</f>
        <v/>
      </c>
      <c r="G5938" s="7" t="s">
        <v>5494</v>
      </c>
    </row>
    <row r="5939" customFormat="false" ht="15" hidden="false" customHeight="false" outlineLevel="0" collapsed="false">
      <c r="A5939" s="7" t="s">
        <v>6563</v>
      </c>
      <c r="B5939" s="7" t="n">
        <v>13207.69</v>
      </c>
      <c r="C5939" s="7" t="n">
        <f aca="false">AVERAGE(B5890:B5939)</f>
        <v>12165.0818</v>
      </c>
      <c r="D5939" s="7" t="n">
        <f aca="false">AVERAGE(B5740:B5939)</f>
        <v>14110.72055</v>
      </c>
      <c r="E5939" s="7" t="n">
        <f aca="false">B5939/MAX(B5688:B5939)-1</f>
        <v>-0.203076145182564</v>
      </c>
      <c r="F5939" s="7" t="str">
        <f aca="false">IFERROR(INDEX(02_轉折點45個!B:B,MATCH(A5939,02_轉折點45個!A:A,0)),"")</f>
        <v/>
      </c>
      <c r="G5939" s="7" t="s">
        <v>5494</v>
      </c>
    </row>
    <row r="5940" customFormat="false" ht="15" hidden="false" customHeight="false" outlineLevel="0" collapsed="false">
      <c r="A5940" s="7" t="s">
        <v>6564</v>
      </c>
      <c r="B5940" s="7" t="n">
        <v>13159.16</v>
      </c>
      <c r="C5940" s="7" t="n">
        <f aca="false">AVERAGE(B5891:B5940)</f>
        <v>12189.3864</v>
      </c>
      <c r="D5940" s="7" t="n">
        <f aca="false">AVERAGE(B5741:B5940)</f>
        <v>14099.5728</v>
      </c>
      <c r="E5940" s="7" t="n">
        <f aca="false">B5940/MAX(B5689:B5940)-1</f>
        <v>-0.206004341912976</v>
      </c>
      <c r="F5940" s="7" t="str">
        <f aca="false">IFERROR(INDEX(02_轉折點45個!B:B,MATCH(A5940,02_轉折點45個!A:A,0)),"")</f>
        <v/>
      </c>
      <c r="G5940" s="7" t="s">
        <v>5494</v>
      </c>
    </row>
    <row r="5941" customFormat="false" ht="15" hidden="false" customHeight="false" outlineLevel="0" collapsed="false">
      <c r="A5941" s="7" t="s">
        <v>6565</v>
      </c>
      <c r="B5941" s="7" t="n">
        <v>13008.17</v>
      </c>
      <c r="C5941" s="7" t="n">
        <f aca="false">AVERAGE(B5892:B5941)</f>
        <v>12204.014</v>
      </c>
      <c r="D5941" s="7" t="n">
        <f aca="false">AVERAGE(B5742:B5941)</f>
        <v>14087.1657</v>
      </c>
      <c r="E5941" s="7" t="n">
        <f aca="false">B5941/MAX(B5690:B5941)-1</f>
        <v>-0.215114756591007</v>
      </c>
      <c r="F5941" s="7" t="str">
        <f aca="false">IFERROR(INDEX(02_轉折點45個!B:B,MATCH(A5941,02_轉折點45個!A:A,0)),"")</f>
        <v/>
      </c>
      <c r="G5941" s="7" t="s">
        <v>5494</v>
      </c>
    </row>
    <row r="5942" customFormat="false" ht="15" hidden="false" customHeight="false" outlineLevel="0" collapsed="false">
      <c r="A5942" s="7" t="s">
        <v>6566</v>
      </c>
      <c r="B5942" s="7" t="n">
        <v>13378.32</v>
      </c>
      <c r="C5942" s="7" t="n">
        <f aca="false">AVERAGE(B5893:B5942)</f>
        <v>12217.952</v>
      </c>
      <c r="D5942" s="7" t="n">
        <f aca="false">AVERAGE(B5743:B5942)</f>
        <v>14077.28195</v>
      </c>
      <c r="E5942" s="7" t="n">
        <f aca="false">B5942/MAX(B5691:B5942)-1</f>
        <v>-0.192780694778482</v>
      </c>
      <c r="F5942" s="7" t="str">
        <f aca="false">IFERROR(INDEX(02_轉折點45個!B:B,MATCH(A5942,02_轉折點45個!A:A,0)),"")</f>
        <v/>
      </c>
      <c r="G5942" s="7" t="s">
        <v>5494</v>
      </c>
    </row>
    <row r="5943" customFormat="false" ht="15" hidden="false" customHeight="false" outlineLevel="0" collapsed="false">
      <c r="A5943" s="7" t="s">
        <v>6567</v>
      </c>
      <c r="B5943" s="7" t="n">
        <v>13291.99</v>
      </c>
      <c r="C5943" s="7" t="n">
        <f aca="false">AVERAGE(B5894:B5943)</f>
        <v>12230.9498</v>
      </c>
      <c r="D5943" s="7" t="n">
        <f aca="false">AVERAGE(B5744:B5943)</f>
        <v>14066.17095</v>
      </c>
      <c r="E5943" s="7" t="n">
        <f aca="false">B5943/MAX(B5692:B5943)-1</f>
        <v>-0.197989662916467</v>
      </c>
      <c r="F5943" s="7" t="str">
        <f aca="false">IFERROR(INDEX(02_轉折點45個!B:B,MATCH(A5943,02_轉折點45個!A:A,0)),"")</f>
        <v/>
      </c>
      <c r="G5943" s="7" t="s">
        <v>5494</v>
      </c>
    </row>
    <row r="5944" customFormat="false" ht="15" hidden="false" customHeight="false" outlineLevel="0" collapsed="false">
      <c r="A5944" s="7" t="s">
        <v>6568</v>
      </c>
      <c r="B5944" s="7" t="n">
        <v>13565.87</v>
      </c>
      <c r="C5944" s="7" t="n">
        <f aca="false">AVERAGE(B5895:B5944)</f>
        <v>12251.3</v>
      </c>
      <c r="D5944" s="7" t="n">
        <f aca="false">AVERAGE(B5745:B5944)</f>
        <v>14056.20285</v>
      </c>
      <c r="E5944" s="7" t="n">
        <f aca="false">B5944/MAX(B5693:B5944)-1</f>
        <v>-0.181464327649104</v>
      </c>
      <c r="F5944" s="7" t="str">
        <f aca="false">IFERROR(INDEX(02_轉折點45個!B:B,MATCH(A5944,02_轉折點45個!A:A,0)),"")</f>
        <v/>
      </c>
      <c r="G5944" s="7" t="s">
        <v>5494</v>
      </c>
    </row>
    <row r="5945" customFormat="false" ht="15" hidden="false" customHeight="false" outlineLevel="0" collapsed="false">
      <c r="A5945" s="7" t="s">
        <v>154</v>
      </c>
      <c r="B5945" s="7" t="n">
        <v>13667.18</v>
      </c>
      <c r="C5945" s="7" t="n">
        <f aca="false">AVERAGE(B5896:B5945)</f>
        <v>12266.7858</v>
      </c>
      <c r="D5945" s="7" t="n">
        <f aca="false">AVERAGE(B5746:B5945)</f>
        <v>14046.5468</v>
      </c>
      <c r="E5945" s="7" t="n">
        <f aca="false">B5945/MAX(B5694:B5945)-1</f>
        <v>-0.175351498249598</v>
      </c>
      <c r="F5945" s="7" t="str">
        <f aca="false">IFERROR(INDEX(02_轉折點45個!B:B,MATCH(A5945,02_轉折點45個!A:A,0)),"")</f>
        <v>TOP</v>
      </c>
      <c r="G5945" s="7" t="s">
        <v>5494</v>
      </c>
    </row>
    <row r="5946" customFormat="false" ht="15" hidden="false" customHeight="false" outlineLevel="0" collapsed="false">
      <c r="A5946" s="7" t="s">
        <v>6569</v>
      </c>
      <c r="B5946" s="7" t="n">
        <v>13635.21</v>
      </c>
      <c r="C5946" s="7" t="n">
        <f aca="false">AVERAGE(B5897:B5946)</f>
        <v>12288.5294</v>
      </c>
      <c r="D5946" s="7" t="n">
        <f aca="false">AVERAGE(B5747:B5946)</f>
        <v>14035.83205</v>
      </c>
      <c r="E5946" s="7" t="n">
        <f aca="false">B5946/MAX(B5695:B5946)-1</f>
        <v>-0.177280499887168</v>
      </c>
      <c r="F5946" s="7" t="str">
        <f aca="false">IFERROR(INDEX(02_轉折點45個!B:B,MATCH(A5946,02_轉折點45個!A:A,0)),"")</f>
        <v/>
      </c>
      <c r="G5946" s="7" t="s">
        <v>5494</v>
      </c>
    </row>
    <row r="5947" customFormat="false" ht="15" hidden="false" customHeight="false" outlineLevel="0" collapsed="false">
      <c r="A5947" s="7" t="s">
        <v>6570</v>
      </c>
      <c r="B5947" s="7" t="n">
        <v>13470.86</v>
      </c>
      <c r="C5947" s="7" t="n">
        <f aca="false">AVERAGE(B5898:B5947)</f>
        <v>12305.954</v>
      </c>
      <c r="D5947" s="7" t="n">
        <f aca="false">AVERAGE(B5748:B5947)</f>
        <v>14023.934</v>
      </c>
      <c r="E5947" s="7" t="n">
        <f aca="false">B5947/MAX(B5696:B5947)-1</f>
        <v>-0.18719702848068</v>
      </c>
      <c r="F5947" s="7" t="str">
        <f aca="false">IFERROR(INDEX(02_轉折點45個!B:B,MATCH(A5947,02_轉折點45個!A:A,0)),"")</f>
        <v/>
      </c>
      <c r="G5947" s="7" t="s">
        <v>5494</v>
      </c>
    </row>
    <row r="5948" customFormat="false" ht="15" hidden="false" customHeight="false" outlineLevel="0" collapsed="false">
      <c r="A5948" s="7" t="s">
        <v>6571</v>
      </c>
      <c r="B5948" s="7" t="n">
        <v>13505.99</v>
      </c>
      <c r="C5948" s="7" t="n">
        <f aca="false">AVERAGE(B5899:B5948)</f>
        <v>12321.8402</v>
      </c>
      <c r="D5948" s="7" t="n">
        <f aca="false">AVERAGE(B5749:B5948)</f>
        <v>14011.93755</v>
      </c>
      <c r="E5948" s="7" t="n">
        <f aca="false">B5948/MAX(B5697:B5948)-1</f>
        <v>-0.185077359180467</v>
      </c>
      <c r="F5948" s="7" t="str">
        <f aca="false">IFERROR(INDEX(02_轉折點45個!B:B,MATCH(A5948,02_轉折點45個!A:A,0)),"")</f>
        <v/>
      </c>
      <c r="G5948" s="7" t="s">
        <v>5494</v>
      </c>
    </row>
    <row r="5949" customFormat="false" ht="15" hidden="false" customHeight="false" outlineLevel="0" collapsed="false">
      <c r="A5949" s="7" t="s">
        <v>6572</v>
      </c>
      <c r="B5949" s="7" t="n">
        <v>13242.9</v>
      </c>
      <c r="C5949" s="7" t="n">
        <f aca="false">AVERAGE(B5900:B5949)</f>
        <v>12334.3956</v>
      </c>
      <c r="D5949" s="7" t="n">
        <f aca="false">AVERAGE(B5750:B5949)</f>
        <v>13998.2896</v>
      </c>
      <c r="E5949" s="7" t="n">
        <f aca="false">B5949/MAX(B5698:B5949)-1</f>
        <v>-0.200951648852917</v>
      </c>
      <c r="F5949" s="7" t="str">
        <f aca="false">IFERROR(INDEX(02_轉折點45個!B:B,MATCH(A5949,02_轉折點45個!A:A,0)),"")</f>
        <v/>
      </c>
      <c r="G5949" s="7" t="s">
        <v>5494</v>
      </c>
    </row>
    <row r="5950" customFormat="false" ht="15" hidden="false" customHeight="false" outlineLevel="0" collapsed="false">
      <c r="A5950" s="7" t="s">
        <v>6573</v>
      </c>
      <c r="B5950" s="7" t="n">
        <v>12890.54</v>
      </c>
      <c r="C5950" s="7" t="n">
        <f aca="false">AVERAGE(B5901:B5950)</f>
        <v>12346.8108</v>
      </c>
      <c r="D5950" s="7" t="n">
        <f aca="false">AVERAGE(B5751:B5950)</f>
        <v>13982.0198</v>
      </c>
      <c r="E5950" s="7" t="n">
        <f aca="false">B5950/MAX(B5699:B5950)-1</f>
        <v>-0.222212299995052</v>
      </c>
      <c r="F5950" s="7" t="str">
        <f aca="false">IFERROR(INDEX(02_轉折點45個!B:B,MATCH(A5950,02_轉折點45個!A:A,0)),"")</f>
        <v/>
      </c>
      <c r="G5950" s="7" t="s">
        <v>5494</v>
      </c>
    </row>
    <row r="5951" customFormat="false" ht="15" hidden="false" customHeight="false" outlineLevel="0" collapsed="false">
      <c r="A5951" s="7" t="s">
        <v>6574</v>
      </c>
      <c r="B5951" s="7" t="n">
        <v>12881.79</v>
      </c>
      <c r="C5951" s="7" t="n">
        <f aca="false">AVERAGE(B5902:B5951)</f>
        <v>12367.7902</v>
      </c>
      <c r="D5951" s="7" t="n">
        <f aca="false">AVERAGE(B5752:B5951)</f>
        <v>13964.69755</v>
      </c>
      <c r="E5951" s="7" t="n">
        <f aca="false">B5951/MAX(B5700:B5951)-1</f>
        <v>-0.222740256339398</v>
      </c>
      <c r="F5951" s="7" t="str">
        <f aca="false">IFERROR(INDEX(02_轉折點45個!B:B,MATCH(A5951,02_轉折點45個!A:A,0)),"")</f>
        <v/>
      </c>
      <c r="G5951" s="7" t="s">
        <v>5494</v>
      </c>
    </row>
    <row r="5952" customFormat="false" ht="15" hidden="false" customHeight="false" outlineLevel="0" collapsed="false">
      <c r="A5952" s="7" t="s">
        <v>6575</v>
      </c>
      <c r="B5952" s="7" t="n">
        <v>12917.86</v>
      </c>
      <c r="C5952" s="7" t="n">
        <f aca="false">AVERAGE(B5903:B5952)</f>
        <v>12400.381</v>
      </c>
      <c r="D5952" s="7" t="n">
        <f aca="false">AVERAGE(B5753:B5952)</f>
        <v>13947.48995</v>
      </c>
      <c r="E5952" s="7" t="n">
        <f aca="false">B5952/MAX(B5701:B5952)-1</f>
        <v>-0.220563869443335</v>
      </c>
      <c r="F5952" s="7" t="str">
        <f aca="false">IFERROR(INDEX(02_轉折點45個!B:B,MATCH(A5952,02_轉折點45個!A:A,0)),"")</f>
        <v/>
      </c>
      <c r="G5952" s="7" t="s">
        <v>5494</v>
      </c>
    </row>
    <row r="5953" customFormat="false" ht="15" hidden="false" customHeight="false" outlineLevel="0" collapsed="false">
      <c r="A5953" s="7" t="s">
        <v>6576</v>
      </c>
      <c r="B5953" s="7" t="n">
        <v>13143.58</v>
      </c>
      <c r="C5953" s="7" t="n">
        <f aca="false">AVERAGE(B5904:B5953)</f>
        <v>12437.0188</v>
      </c>
      <c r="D5953" s="7" t="n">
        <f aca="false">AVERAGE(B5754:B5953)</f>
        <v>13931.5277</v>
      </c>
      <c r="E5953" s="7" t="n">
        <f aca="false">B5953/MAX(B5702:B5953)-1</f>
        <v>-0.206944405895251</v>
      </c>
      <c r="F5953" s="7" t="str">
        <f aca="false">IFERROR(INDEX(02_轉折點45個!B:B,MATCH(A5953,02_轉折點45個!A:A,0)),"")</f>
        <v/>
      </c>
      <c r="G5953" s="7" t="s">
        <v>5494</v>
      </c>
    </row>
    <row r="5954" customFormat="false" ht="15" hidden="false" customHeight="false" outlineLevel="0" collapsed="false">
      <c r="A5954" s="7" t="s">
        <v>6577</v>
      </c>
      <c r="B5954" s="7" t="n">
        <v>12605.17</v>
      </c>
      <c r="C5954" s="7" t="n">
        <f aca="false">AVERAGE(B5905:B5954)</f>
        <v>12457.2468</v>
      </c>
      <c r="D5954" s="7" t="n">
        <f aca="false">AVERAGE(B5755:B5954)</f>
        <v>13913.45385</v>
      </c>
      <c r="E5954" s="7" t="n">
        <f aca="false">B5954/MAX(B5703:B5954)-1</f>
        <v>-0.239430917364876</v>
      </c>
      <c r="F5954" s="7" t="str">
        <f aca="false">IFERROR(INDEX(02_轉折點45個!B:B,MATCH(A5954,02_轉折點45個!A:A,0)),"")</f>
        <v/>
      </c>
      <c r="G5954" s="7" t="s">
        <v>5494</v>
      </c>
    </row>
    <row r="5955" customFormat="false" ht="15" hidden="false" customHeight="false" outlineLevel="0" collapsed="false">
      <c r="A5955" s="7" t="s">
        <v>6578</v>
      </c>
      <c r="B5955" s="7" t="n">
        <v>12484.32</v>
      </c>
      <c r="C5955" s="7" t="n">
        <f aca="false">AVERAGE(B5906:B5955)</f>
        <v>12484.3818</v>
      </c>
      <c r="D5955" s="7" t="n">
        <f aca="false">AVERAGE(B5756:B5955)</f>
        <v>13895.9476</v>
      </c>
      <c r="E5955" s="7" t="n">
        <f aca="false">B5955/MAX(B5704:B5955)-1</f>
        <v>-0.246722748703641</v>
      </c>
      <c r="F5955" s="7" t="str">
        <f aca="false">IFERROR(INDEX(02_轉折點45個!B:B,MATCH(A5955,02_轉折點45個!A:A,0)),"")</f>
        <v/>
      </c>
      <c r="G5955" s="7" t="s">
        <v>5494</v>
      </c>
    </row>
    <row r="5956" customFormat="false" ht="15" hidden="false" customHeight="false" outlineLevel="0" collapsed="false">
      <c r="A5956" s="7" t="s">
        <v>6579</v>
      </c>
      <c r="B5956" s="7" t="n">
        <v>12342.7</v>
      </c>
      <c r="C5956" s="7" t="n">
        <f aca="false">AVERAGE(B5907:B5956)</f>
        <v>12505.916</v>
      </c>
      <c r="D5956" s="7" t="n">
        <f aca="false">AVERAGE(B5757:B5956)</f>
        <v>13877.49875</v>
      </c>
      <c r="E5956" s="7" t="n">
        <f aca="false">B5956/MAX(B5705:B5956)-1</f>
        <v>-0.255267797559213</v>
      </c>
      <c r="F5956" s="7" t="str">
        <f aca="false">IFERROR(INDEX(02_轉折點45個!B:B,MATCH(A5956,02_轉折點45個!A:A,0)),"")</f>
        <v/>
      </c>
      <c r="G5956" s="7" t="s">
        <v>5494</v>
      </c>
    </row>
    <row r="5957" customFormat="false" ht="15" hidden="false" customHeight="false" outlineLevel="0" collapsed="false">
      <c r="A5957" s="7" t="s">
        <v>6580</v>
      </c>
      <c r="B5957" s="7" t="n">
        <v>12272.03</v>
      </c>
      <c r="C5957" s="7" t="n">
        <f aca="false">AVERAGE(B5908:B5957)</f>
        <v>12520.4214</v>
      </c>
      <c r="D5957" s="7" t="n">
        <f aca="false">AVERAGE(B5758:B5957)</f>
        <v>13857.85945</v>
      </c>
      <c r="E5957" s="7" t="n">
        <f aca="false">B5957/MAX(B5706:B5957)-1</f>
        <v>-0.259531874685489</v>
      </c>
      <c r="F5957" s="7" t="str">
        <f aca="false">IFERROR(INDEX(02_轉折點45個!B:B,MATCH(A5957,02_轉折點45個!A:A,0)),"")</f>
        <v/>
      </c>
      <c r="G5957" s="7" t="s">
        <v>5494</v>
      </c>
    </row>
    <row r="5958" customFormat="false" ht="15" hidden="false" customHeight="false" outlineLevel="0" collapsed="false">
      <c r="A5958" s="7" t="s">
        <v>6581</v>
      </c>
      <c r="B5958" s="7" t="n">
        <v>12274.62</v>
      </c>
      <c r="C5958" s="7" t="n">
        <f aca="false">AVERAGE(B5909:B5958)</f>
        <v>12535.3596</v>
      </c>
      <c r="D5958" s="7" t="n">
        <f aca="false">AVERAGE(B5759:B5958)</f>
        <v>13838.28695</v>
      </c>
      <c r="E5958" s="7" t="n">
        <f aca="false">B5958/MAX(B5707:B5958)-1</f>
        <v>-0.259375599607563</v>
      </c>
      <c r="F5958" s="7" t="str">
        <f aca="false">IFERROR(INDEX(02_轉折點45個!B:B,MATCH(A5958,02_轉折點45個!A:A,0)),"")</f>
        <v/>
      </c>
      <c r="G5958" s="7" t="s">
        <v>5494</v>
      </c>
    </row>
    <row r="5959" customFormat="false" ht="15" hidden="false" customHeight="false" outlineLevel="0" collapsed="false">
      <c r="A5959" s="7" t="s">
        <v>1723</v>
      </c>
      <c r="B5959" s="7" t="n">
        <v>12098.44</v>
      </c>
      <c r="C5959" s="7" t="n">
        <f aca="false">AVERAGE(B5910:B5959)</f>
        <v>12543.3748</v>
      </c>
      <c r="D5959" s="7" t="n">
        <f aca="false">AVERAGE(B5760:B5959)</f>
        <v>13817.2303</v>
      </c>
      <c r="E5959" s="7" t="n">
        <f aca="false">B5959/MAX(B5708:B5959)-1</f>
        <v>-0.27000592517863</v>
      </c>
      <c r="F5959" s="7" t="str">
        <f aca="false">IFERROR(INDEX(02_轉折點45個!B:B,MATCH(A5959,02_轉折點45個!A:A,0)),"")</f>
        <v/>
      </c>
      <c r="G5959" s="7" t="s">
        <v>5494</v>
      </c>
    </row>
    <row r="5960" customFormat="false" ht="15" hidden="false" customHeight="false" outlineLevel="0" collapsed="false">
      <c r="A5960" s="7" t="s">
        <v>6582</v>
      </c>
      <c r="B5960" s="7" t="n">
        <v>12011.31</v>
      </c>
      <c r="C5960" s="7" t="n">
        <f aca="false">AVERAGE(B5911:B5960)</f>
        <v>12541.484</v>
      </c>
      <c r="D5960" s="7" t="n">
        <f aca="false">AVERAGE(B5761:B5960)</f>
        <v>13795.7465</v>
      </c>
      <c r="E5960" s="7" t="n">
        <f aca="false">B5960/MAX(B5709:B5960)-1</f>
        <v>-0.275263163610956</v>
      </c>
      <c r="F5960" s="7" t="str">
        <f aca="false">IFERROR(INDEX(02_轉折點45個!B:B,MATCH(A5960,02_轉折點45個!A:A,0)),"")</f>
        <v/>
      </c>
      <c r="G5960" s="7" t="s">
        <v>5494</v>
      </c>
    </row>
    <row r="5961" customFormat="false" ht="15" hidden="false" customHeight="false" outlineLevel="0" collapsed="false">
      <c r="A5961" s="7" t="s">
        <v>6583</v>
      </c>
      <c r="B5961" s="7" t="n">
        <v>12259.39</v>
      </c>
      <c r="C5961" s="7" t="n">
        <f aca="false">AVERAGE(B5912:B5961)</f>
        <v>12546.507</v>
      </c>
      <c r="D5961" s="7" t="n">
        <f aca="false">AVERAGE(B5762:B5961)</f>
        <v>13774.6286</v>
      </c>
      <c r="E5961" s="7" t="n">
        <f aca="false">B5961/MAX(B5710:B5961)-1</f>
        <v>-0.260294545336064</v>
      </c>
      <c r="F5961" s="7" t="str">
        <f aca="false">IFERROR(INDEX(02_轉折點45個!B:B,MATCH(A5961,02_轉折點45個!A:A,0)),"")</f>
        <v/>
      </c>
      <c r="G5961" s="7" t="s">
        <v>5494</v>
      </c>
    </row>
    <row r="5962" customFormat="false" ht="15" hidden="false" customHeight="false" outlineLevel="0" collapsed="false">
      <c r="A5962" s="7" t="s">
        <v>6584</v>
      </c>
      <c r="B5962" s="7" t="n">
        <v>12321.19</v>
      </c>
      <c r="C5962" s="7" t="n">
        <f aca="false">AVERAGE(B5913:B5962)</f>
        <v>12560.1754</v>
      </c>
      <c r="D5962" s="7" t="n">
        <f aca="false">AVERAGE(B5763:B5962)</f>
        <v>13753.36785</v>
      </c>
      <c r="E5962" s="7" t="n">
        <f aca="false">B5962/MAX(B5711:B5962)-1</f>
        <v>-0.256565665098284</v>
      </c>
      <c r="F5962" s="7" t="str">
        <f aca="false">IFERROR(INDEX(02_轉折點45個!B:B,MATCH(A5962,02_轉折點45個!A:A,0)),"")</f>
        <v/>
      </c>
      <c r="G5962" s="7" t="s">
        <v>5494</v>
      </c>
    </row>
    <row r="5963" customFormat="false" ht="15" hidden="false" customHeight="false" outlineLevel="0" collapsed="false">
      <c r="A5963" s="7" t="s">
        <v>1724</v>
      </c>
      <c r="B5963" s="7" t="n">
        <v>12588.29</v>
      </c>
      <c r="C5963" s="7" t="n">
        <f aca="false">AVERAGE(B5914:B5963)</f>
        <v>12578.776</v>
      </c>
      <c r="D5963" s="7" t="n">
        <f aca="false">AVERAGE(B5764:B5963)</f>
        <v>13734.4044</v>
      </c>
      <c r="E5963" s="7" t="n">
        <f aca="false">B5963/MAX(B5712:B5963)-1</f>
        <v>-0.240449420575454</v>
      </c>
      <c r="F5963" s="7" t="str">
        <f aca="false">IFERROR(INDEX(02_轉折點45個!B:B,MATCH(A5963,02_轉折點45個!A:A,0)),"")</f>
        <v/>
      </c>
      <c r="G5963" s="7" t="s">
        <v>5494</v>
      </c>
    </row>
    <row r="5964" customFormat="false" ht="15" hidden="false" customHeight="false" outlineLevel="0" collapsed="false">
      <c r="A5964" s="7" t="s">
        <v>1725</v>
      </c>
      <c r="B5964" s="7" t="n">
        <v>12739.72</v>
      </c>
      <c r="C5964" s="7" t="n">
        <f aca="false">AVERAGE(B5915:B5964)</f>
        <v>12603.496</v>
      </c>
      <c r="D5964" s="7" t="n">
        <f aca="false">AVERAGE(B5765:B5964)</f>
        <v>13716.5694</v>
      </c>
      <c r="E5964" s="7" t="n">
        <f aca="false">B5964/MAX(B5713:B5964)-1</f>
        <v>-0.231312457235536</v>
      </c>
      <c r="F5964" s="7" t="str">
        <f aca="false">IFERROR(INDEX(02_轉折點45個!B:B,MATCH(A5964,02_轉折點45個!A:A,0)),"")</f>
        <v/>
      </c>
      <c r="G5964" s="7" t="s">
        <v>5494</v>
      </c>
    </row>
    <row r="5965" customFormat="false" ht="15" hidden="false" customHeight="false" outlineLevel="0" collapsed="false">
      <c r="A5965" s="7" t="s">
        <v>6585</v>
      </c>
      <c r="B5965" s="7" t="n">
        <v>12033.62</v>
      </c>
      <c r="C5965" s="7" t="n">
        <f aca="false">AVERAGE(B5916:B5965)</f>
        <v>12612.4548</v>
      </c>
      <c r="D5965" s="7" t="n">
        <f aca="false">AVERAGE(B5766:B5965)</f>
        <v>13694.89845</v>
      </c>
      <c r="E5965" s="7" t="n">
        <f aca="false">B5965/MAX(B5714:B5965)-1</f>
        <v>-0.273917025777544</v>
      </c>
      <c r="F5965" s="7" t="str">
        <f aca="false">IFERROR(INDEX(02_轉折點45個!B:B,MATCH(A5965,02_轉折點45個!A:A,0)),"")</f>
        <v/>
      </c>
      <c r="G5965" s="7" t="s">
        <v>5494</v>
      </c>
    </row>
    <row r="5966" customFormat="false" ht="15" hidden="false" customHeight="false" outlineLevel="0" collapsed="false">
      <c r="A5966" s="7" t="s">
        <v>6586</v>
      </c>
      <c r="B5966" s="7" t="n">
        <v>12134.4</v>
      </c>
      <c r="C5966" s="7" t="n">
        <f aca="false">AVERAGE(B5917:B5966)</f>
        <v>12619.5448</v>
      </c>
      <c r="D5966" s="7" t="n">
        <f aca="false">AVERAGE(B5767:B5966)</f>
        <v>13675.44255</v>
      </c>
      <c r="E5966" s="7" t="n">
        <f aca="false">B5966/MAX(B5715:B5966)-1</f>
        <v>-0.267836175448039</v>
      </c>
      <c r="F5966" s="7" t="str">
        <f aca="false">IFERROR(INDEX(02_轉折點45個!B:B,MATCH(A5966,02_轉折點45個!A:A,0)),"")</f>
        <v/>
      </c>
      <c r="G5966" s="7" t="s">
        <v>5494</v>
      </c>
    </row>
    <row r="5967" customFormat="false" ht="15" hidden="false" customHeight="false" outlineLevel="0" collapsed="false">
      <c r="A5967" s="7" t="s">
        <v>6587</v>
      </c>
      <c r="B5967" s="7" t="n">
        <v>11927.49</v>
      </c>
      <c r="C5967" s="7" t="n">
        <f aca="false">AVERAGE(B5918:B5967)</f>
        <v>12621.0428</v>
      </c>
      <c r="D5967" s="7" t="n">
        <f aca="false">AVERAGE(B5768:B5967)</f>
        <v>13653.0838</v>
      </c>
      <c r="E5967" s="7" t="n">
        <f aca="false">B5967/MAX(B5716:B5967)-1</f>
        <v>-0.280320683700449</v>
      </c>
      <c r="F5967" s="7" t="str">
        <f aca="false">IFERROR(INDEX(02_轉折點45個!B:B,MATCH(A5967,02_轉折點45個!A:A,0)),"")</f>
        <v/>
      </c>
      <c r="G5967" s="7" t="s">
        <v>5494</v>
      </c>
    </row>
    <row r="5968" customFormat="false" ht="15" hidden="false" customHeight="false" outlineLevel="0" collapsed="false">
      <c r="A5968" s="7" t="s">
        <v>6588</v>
      </c>
      <c r="B5968" s="7" t="n">
        <v>11861.38</v>
      </c>
      <c r="C5968" s="7" t="n">
        <f aca="false">AVERAGE(B5919:B5968)</f>
        <v>12616.0894</v>
      </c>
      <c r="D5968" s="7" t="n">
        <f aca="false">AVERAGE(B5769:B5968)</f>
        <v>13631.7111</v>
      </c>
      <c r="E5968" s="7" t="n">
        <f aca="false">B5968/MAX(B5717:B5968)-1</f>
        <v>-0.284309620148986</v>
      </c>
      <c r="F5968" s="7" t="str">
        <f aca="false">IFERROR(INDEX(02_轉折點45個!B:B,MATCH(A5968,02_轉折點45個!A:A,0)),"")</f>
        <v/>
      </c>
      <c r="G5968" s="7" t="s">
        <v>5494</v>
      </c>
    </row>
    <row r="5969" customFormat="false" ht="15" hidden="false" customHeight="false" outlineLevel="0" collapsed="false">
      <c r="A5969" s="7" t="s">
        <v>6589</v>
      </c>
      <c r="B5969" s="7" t="n">
        <v>11953.27</v>
      </c>
      <c r="C5969" s="7" t="n">
        <f aca="false">AVERAGE(B5920:B5969)</f>
        <v>12612.641</v>
      </c>
      <c r="D5969" s="7" t="n">
        <f aca="false">AVERAGE(B5770:B5969)</f>
        <v>13612.08885</v>
      </c>
      <c r="E5969" s="7" t="n">
        <f aca="false">B5969/MAX(B5718:B5969)-1</f>
        <v>-0.278765173465336</v>
      </c>
      <c r="F5969" s="7" t="str">
        <f aca="false">IFERROR(INDEX(02_轉折點45個!B:B,MATCH(A5969,02_轉折點45個!A:A,0)),"")</f>
        <v/>
      </c>
      <c r="G5969" s="7" t="s">
        <v>5494</v>
      </c>
    </row>
    <row r="5970" customFormat="false" ht="15" hidden="false" customHeight="false" outlineLevel="0" collapsed="false">
      <c r="A5970" s="7" t="s">
        <v>6590</v>
      </c>
      <c r="B5970" s="7" t="n">
        <v>11851.54</v>
      </c>
      <c r="C5970" s="7" t="n">
        <f aca="false">AVERAGE(B5921:B5970)</f>
        <v>12612.4662</v>
      </c>
      <c r="D5970" s="7" t="n">
        <f aca="false">AVERAGE(B5771:B5970)</f>
        <v>13591.39275</v>
      </c>
      <c r="E5970" s="7" t="n">
        <f aca="false">B5970/MAX(B5719:B5970)-1</f>
        <v>-0.284903344769371</v>
      </c>
      <c r="F5970" s="7" t="str">
        <f aca="false">IFERROR(INDEX(02_轉折點45個!B:B,MATCH(A5970,02_轉折點45個!A:A,0)),"")</f>
        <v/>
      </c>
      <c r="G5970" s="7" t="s">
        <v>5494</v>
      </c>
    </row>
    <row r="5971" customFormat="false" ht="15" hidden="false" customHeight="false" outlineLevel="0" collapsed="false">
      <c r="A5971" s="7" t="s">
        <v>6591</v>
      </c>
      <c r="B5971" s="7" t="n">
        <v>11637.79</v>
      </c>
      <c r="C5971" s="7" t="n">
        <f aca="false">AVERAGE(B5922:B5971)</f>
        <v>12610.3222</v>
      </c>
      <c r="D5971" s="7" t="n">
        <f aca="false">AVERAGE(B5772:B5971)</f>
        <v>13571.0215</v>
      </c>
      <c r="E5971" s="7" t="n">
        <f aca="false">B5971/MAX(B5720:B5971)-1</f>
        <v>-0.297800564038389</v>
      </c>
      <c r="F5971" s="7" t="str">
        <f aca="false">IFERROR(INDEX(02_轉折點45個!B:B,MATCH(A5971,02_轉折點45個!A:A,0)),"")</f>
        <v/>
      </c>
      <c r="G5971" s="7" t="s">
        <v>5494</v>
      </c>
    </row>
    <row r="5972" customFormat="false" ht="15" hidden="false" customHeight="false" outlineLevel="0" collapsed="false">
      <c r="A5972" s="7" t="s">
        <v>6592</v>
      </c>
      <c r="B5972" s="7" t="n">
        <v>11501.65</v>
      </c>
      <c r="C5972" s="7" t="n">
        <f aca="false">AVERAGE(B5923:B5972)</f>
        <v>12605.7846</v>
      </c>
      <c r="D5972" s="7" t="n">
        <f aca="false">AVERAGE(B5773:B5972)</f>
        <v>13549.29895</v>
      </c>
      <c r="E5972" s="7" t="n">
        <f aca="false">B5972/MAX(B5721:B5972)-1</f>
        <v>-0.306014961377731</v>
      </c>
      <c r="F5972" s="7" t="str">
        <f aca="false">IFERROR(INDEX(02_轉折點45個!B:B,MATCH(A5972,02_轉折點45個!A:A,0)),"")</f>
        <v/>
      </c>
      <c r="G5972" s="7" t="s">
        <v>5494</v>
      </c>
    </row>
    <row r="5973" customFormat="false" ht="15" hidden="false" customHeight="false" outlineLevel="0" collapsed="false">
      <c r="A5973" s="7" t="s">
        <v>1726</v>
      </c>
      <c r="B5973" s="7" t="n">
        <v>11311.24</v>
      </c>
      <c r="C5973" s="7" t="n">
        <f aca="false">AVERAGE(B5924:B5973)</f>
        <v>12596.6414</v>
      </c>
      <c r="D5973" s="7" t="n">
        <f aca="false">AVERAGE(B5774:B5973)</f>
        <v>13524.22685</v>
      </c>
      <c r="E5973" s="7" t="n">
        <f aca="false">B5973/MAX(B5722:B5973)-1</f>
        <v>-0.317503894809375</v>
      </c>
      <c r="F5973" s="7" t="str">
        <f aca="false">IFERROR(INDEX(02_轉折點45個!B:B,MATCH(A5973,02_轉折點45個!A:A,0)),"")</f>
        <v/>
      </c>
      <c r="G5973" s="7" t="s">
        <v>5494</v>
      </c>
    </row>
    <row r="5974" customFormat="false" ht="15" hidden="false" customHeight="false" outlineLevel="0" collapsed="false">
      <c r="A5974" s="7" t="s">
        <v>6593</v>
      </c>
      <c r="B5974" s="7" t="n">
        <v>11254.11</v>
      </c>
      <c r="C5974" s="7" t="n">
        <f aca="false">AVERAGE(B5925:B5974)</f>
        <v>12582.0512</v>
      </c>
      <c r="D5974" s="7" t="n">
        <f aca="false">AVERAGE(B5775:B5974)</f>
        <v>13498.5257</v>
      </c>
      <c r="E5974" s="7" t="n">
        <f aca="false">B5974/MAX(B5723:B5974)-1</f>
        <v>-0.320950997203943</v>
      </c>
      <c r="F5974" s="7" t="str">
        <f aca="false">IFERROR(INDEX(02_轉折點45個!B:B,MATCH(A5974,02_轉折點45個!A:A,0)),"")</f>
        <v/>
      </c>
      <c r="G5974" s="7" t="s">
        <v>5494</v>
      </c>
    </row>
    <row r="5975" customFormat="false" ht="15" hidden="false" customHeight="false" outlineLevel="0" collapsed="false">
      <c r="A5975" s="7" t="s">
        <v>6594</v>
      </c>
      <c r="B5975" s="7" t="n">
        <v>11271.75</v>
      </c>
      <c r="C5975" s="7" t="n">
        <f aca="false">AVERAGE(B5926:B5975)</f>
        <v>12569.9362</v>
      </c>
      <c r="D5975" s="7" t="n">
        <f aca="false">AVERAGE(B5776:B5975)</f>
        <v>13474.1366</v>
      </c>
      <c r="E5975" s="7" t="n">
        <f aca="false">B5975/MAX(B5724:B5975)-1</f>
        <v>-0.319886637213742</v>
      </c>
      <c r="F5975" s="7" t="str">
        <f aca="false">IFERROR(INDEX(02_轉折點45個!B:B,MATCH(A5975,02_轉折點45個!A:A,0)),"")</f>
        <v/>
      </c>
      <c r="G5975" s="7" t="s">
        <v>5494</v>
      </c>
    </row>
    <row r="5976" customFormat="false" ht="15" hidden="false" customHeight="false" outlineLevel="0" collapsed="false">
      <c r="A5976" s="7" t="s">
        <v>6595</v>
      </c>
      <c r="B5976" s="7" t="n">
        <v>11493.83</v>
      </c>
      <c r="C5976" s="7" t="n">
        <f aca="false">AVERAGE(B5927:B5976)</f>
        <v>12554.8244</v>
      </c>
      <c r="D5976" s="7" t="n">
        <f aca="false">AVERAGE(B5777:B5976)</f>
        <v>13449.94585</v>
      </c>
      <c r="E5976" s="7" t="n">
        <f aca="false">B5976/MAX(B5725:B5976)-1</f>
        <v>-0.306486803504906</v>
      </c>
      <c r="F5976" s="7" t="str">
        <f aca="false">IFERROR(INDEX(02_轉折點45個!B:B,MATCH(A5976,02_轉折點45個!A:A,0)),"")</f>
        <v/>
      </c>
      <c r="G5976" s="7" t="s">
        <v>5494</v>
      </c>
    </row>
    <row r="5977" customFormat="false" ht="15" hidden="false" customHeight="false" outlineLevel="0" collapsed="false">
      <c r="A5977" s="7" t="s">
        <v>1727</v>
      </c>
      <c r="B5977" s="7" t="n">
        <v>11164.78</v>
      </c>
      <c r="C5977" s="7" t="n">
        <f aca="false">AVERAGE(B5928:B5977)</f>
        <v>12529.3264</v>
      </c>
      <c r="D5977" s="7" t="n">
        <f aca="false">AVERAGE(B5778:B5977)</f>
        <v>13425.357</v>
      </c>
      <c r="E5977" s="7" t="n">
        <f aca="false">B5977/MAX(B5726:B5977)-1</f>
        <v>-0.326340978945704</v>
      </c>
      <c r="F5977" s="7" t="str">
        <f aca="false">IFERROR(INDEX(02_轉折點45個!B:B,MATCH(A5977,02_轉折點45個!A:A,0)),"")</f>
        <v/>
      </c>
      <c r="G5977" s="7" t="s">
        <v>5494</v>
      </c>
    </row>
    <row r="5978" customFormat="false" ht="15" hidden="false" customHeight="false" outlineLevel="0" collapsed="false">
      <c r="A5978" s="7" t="s">
        <v>6596</v>
      </c>
      <c r="B5978" s="7" t="n">
        <v>10971.22</v>
      </c>
      <c r="C5978" s="7" t="n">
        <f aca="false">AVERAGE(B5929:B5978)</f>
        <v>12496.3626</v>
      </c>
      <c r="D5978" s="7" t="n">
        <f aca="false">AVERAGE(B5779:B5978)</f>
        <v>13400.6386</v>
      </c>
      <c r="E5978" s="7" t="n">
        <f aca="false">B5978/MAX(B5727:B5978)-1</f>
        <v>-0.338019976661313</v>
      </c>
      <c r="F5978" s="7" t="str">
        <f aca="false">IFERROR(INDEX(02_轉折點45個!B:B,MATCH(A5978,02_轉折點45個!A:A,0)),"")</f>
        <v/>
      </c>
      <c r="G5978" s="7" t="s">
        <v>5494</v>
      </c>
    </row>
    <row r="5979" customFormat="false" ht="15" hidden="false" customHeight="false" outlineLevel="0" collapsed="false">
      <c r="A5979" s="7" t="s">
        <v>6597</v>
      </c>
      <c r="B5979" s="7" t="n">
        <v>11229.73</v>
      </c>
      <c r="C5979" s="7" t="n">
        <f aca="false">AVERAGE(B5930:B5979)</f>
        <v>12473.0278</v>
      </c>
      <c r="D5979" s="7" t="n">
        <f aca="false">AVERAGE(B5780:B5979)</f>
        <v>13375.3393</v>
      </c>
      <c r="E5979" s="7" t="n">
        <f aca="false">B5979/MAX(B5728:B5979)-1</f>
        <v>-0.32242203442396</v>
      </c>
      <c r="F5979" s="7" t="str">
        <f aca="false">IFERROR(INDEX(02_轉折點45個!B:B,MATCH(A5979,02_轉折點45個!A:A,0)),"")</f>
        <v/>
      </c>
      <c r="G5979" s="7" t="s">
        <v>5494</v>
      </c>
    </row>
    <row r="5980" customFormat="false" ht="15" hidden="false" customHeight="false" outlineLevel="0" collapsed="false">
      <c r="A5980" s="7" t="s">
        <v>6598</v>
      </c>
      <c r="B5980" s="7" t="n">
        <v>11582.54</v>
      </c>
      <c r="C5980" s="7" t="n">
        <f aca="false">AVERAGE(B5931:B5980)</f>
        <v>12458.1104</v>
      </c>
      <c r="D5980" s="7" t="n">
        <f aca="false">AVERAGE(B5781:B5980)</f>
        <v>13353.9323</v>
      </c>
      <c r="E5980" s="7" t="n">
        <f aca="false">B5980/MAX(B5729:B5980)-1</f>
        <v>-0.301134231241259</v>
      </c>
      <c r="F5980" s="7" t="str">
        <f aca="false">IFERROR(INDEX(02_轉折點45個!B:B,MATCH(A5980,02_轉折點45個!A:A,0)),"")</f>
        <v/>
      </c>
      <c r="G5980" s="7" t="s">
        <v>5494</v>
      </c>
    </row>
    <row r="5981" customFormat="false" ht="15" hidden="false" customHeight="false" outlineLevel="0" collapsed="false">
      <c r="A5981" s="7" t="s">
        <v>6599</v>
      </c>
      <c r="B5981" s="7" t="n">
        <v>11573.18</v>
      </c>
      <c r="C5981" s="7" t="n">
        <f aca="false">AVERAGE(B5932:B5981)</f>
        <v>12447.836</v>
      </c>
      <c r="D5981" s="7" t="n">
        <f aca="false">AVERAGE(B5782:B5981)</f>
        <v>13332.7909</v>
      </c>
      <c r="E5981" s="7" t="n">
        <f aca="false">B5981/MAX(B5730:B5981)-1</f>
        <v>-0.301698993685039</v>
      </c>
      <c r="F5981" s="7" t="str">
        <f aca="false">IFERROR(INDEX(02_轉折點45個!B:B,MATCH(A5981,02_轉折點45個!A:A,0)),"")</f>
        <v/>
      </c>
      <c r="G5981" s="7" t="s">
        <v>5494</v>
      </c>
    </row>
    <row r="5982" customFormat="false" ht="15" hidden="false" customHeight="false" outlineLevel="0" collapsed="false">
      <c r="A5982" s="7" t="s">
        <v>1728</v>
      </c>
      <c r="B5982" s="7" t="n">
        <v>11485.5</v>
      </c>
      <c r="C5982" s="7" t="n">
        <f aca="false">AVERAGE(B5933:B5982)</f>
        <v>12425.5166</v>
      </c>
      <c r="D5982" s="7" t="n">
        <f aca="false">AVERAGE(B5783:B5982)</f>
        <v>13312.0802</v>
      </c>
      <c r="E5982" s="7" t="n">
        <f aca="false">B5982/MAX(B5731:B5982)-1</f>
        <v>-0.306989417944723</v>
      </c>
      <c r="F5982" s="7" t="str">
        <f aca="false">IFERROR(INDEX(02_轉折點45個!B:B,MATCH(A5982,02_轉折點45個!A:A,0)),"")</f>
        <v/>
      </c>
      <c r="G5982" s="7" t="s">
        <v>5494</v>
      </c>
    </row>
    <row r="5983" customFormat="false" ht="15" hidden="false" customHeight="false" outlineLevel="0" collapsed="false">
      <c r="A5983" s="7" t="s">
        <v>6600</v>
      </c>
      <c r="B5983" s="7" t="n">
        <v>11039.47</v>
      </c>
      <c r="C5983" s="7" t="n">
        <f aca="false">AVERAGE(B5934:B5983)</f>
        <v>12391.9486</v>
      </c>
      <c r="D5983" s="7" t="n">
        <f aca="false">AVERAGE(B5784:B5983)</f>
        <v>13287.34615</v>
      </c>
      <c r="E5983" s="7" t="n">
        <f aca="false">B5983/MAX(B5732:B5983)-1</f>
        <v>-0.333901917175416</v>
      </c>
      <c r="F5983" s="7" t="str">
        <f aca="false">IFERROR(INDEX(02_轉折點45個!B:B,MATCH(A5983,02_轉折點45個!A:A,0)),"")</f>
        <v/>
      </c>
      <c r="G5983" s="7" t="s">
        <v>5494</v>
      </c>
    </row>
    <row r="5984" customFormat="false" ht="15" hidden="false" customHeight="false" outlineLevel="0" collapsed="false">
      <c r="A5984" s="7" t="s">
        <v>1729</v>
      </c>
      <c r="B5984" s="7" t="n">
        <v>10926.97</v>
      </c>
      <c r="C5984" s="7" t="n">
        <f aca="false">AVERAGE(B5935:B5984)</f>
        <v>12351.5286</v>
      </c>
      <c r="D5984" s="7" t="n">
        <f aca="false">AVERAGE(B5785:B5984)</f>
        <v>13261.0803</v>
      </c>
      <c r="E5984" s="7" t="n">
        <f aca="false">B5984/MAX(B5733:B5984)-1</f>
        <v>-0.340689927317004</v>
      </c>
      <c r="F5984" s="7" t="str">
        <f aca="false">IFERROR(INDEX(02_轉折點45個!B:B,MATCH(A5984,02_轉折點45個!A:A,0)),"")</f>
        <v/>
      </c>
      <c r="G5984" s="7" t="s">
        <v>5494</v>
      </c>
    </row>
    <row r="5985" customFormat="false" ht="15" hidden="false" customHeight="false" outlineLevel="0" collapsed="false">
      <c r="A5985" s="7" t="s">
        <v>1730</v>
      </c>
      <c r="B5985" s="7" t="n">
        <v>10791.35</v>
      </c>
      <c r="C5985" s="7" t="n">
        <f aca="false">AVERAGE(B5936:B5985)</f>
        <v>12308.54</v>
      </c>
      <c r="D5985" s="7" t="n">
        <f aca="false">AVERAGE(B5786:B5985)</f>
        <v>13233.496</v>
      </c>
      <c r="E5985" s="7" t="n">
        <f aca="false">B5985/MAX(B5734:B5985)-1</f>
        <v>-0.348872948965025</v>
      </c>
      <c r="F5985" s="7" t="str">
        <f aca="false">IFERROR(INDEX(02_轉折點45個!B:B,MATCH(A5985,02_轉折點45個!A:A,0)),"")</f>
        <v/>
      </c>
      <c r="G5985" s="7" t="s">
        <v>5494</v>
      </c>
    </row>
    <row r="5986" customFormat="false" ht="15" hidden="false" customHeight="false" outlineLevel="0" collapsed="false">
      <c r="A5986" s="7" t="s">
        <v>1731</v>
      </c>
      <c r="B5986" s="7" t="n">
        <v>10785.62</v>
      </c>
      <c r="C5986" s="7" t="n">
        <f aca="false">AVERAGE(B5937:B5986)</f>
        <v>12266.2204</v>
      </c>
      <c r="D5986" s="7" t="n">
        <f aca="false">AVERAGE(B5787:B5986)</f>
        <v>13204.5866</v>
      </c>
      <c r="E5986" s="7" t="n">
        <f aca="false">B5986/MAX(B5735:B5986)-1</f>
        <v>-0.349218684948236</v>
      </c>
      <c r="F5986" s="7" t="str">
        <f aca="false">IFERROR(INDEX(02_轉折點45個!B:B,MATCH(A5986,02_轉折點45個!A:A,0)),"")</f>
        <v/>
      </c>
      <c r="G5986" s="7" t="s">
        <v>5494</v>
      </c>
    </row>
    <row r="5987" customFormat="false" ht="15" hidden="false" customHeight="false" outlineLevel="0" collapsed="false">
      <c r="A5987" s="7" t="s">
        <v>6601</v>
      </c>
      <c r="B5987" s="7" t="n">
        <v>11033.58</v>
      </c>
      <c r="C5987" s="7" t="n">
        <f aca="false">AVERAGE(B5938:B5987)</f>
        <v>12221.8268</v>
      </c>
      <c r="D5987" s="7" t="n">
        <f aca="false">AVERAGE(B5788:B5987)</f>
        <v>13177.3112</v>
      </c>
      <c r="E5987" s="7" t="n">
        <f aca="false">B5987/MAX(B5736:B5987)-1</f>
        <v>-0.334257307217495</v>
      </c>
      <c r="F5987" s="7" t="str">
        <f aca="false">IFERROR(INDEX(02_轉折點45個!B:B,MATCH(A5987,02_轉折點45個!A:A,0)),"")</f>
        <v/>
      </c>
      <c r="G5987" s="7" t="s">
        <v>5494</v>
      </c>
    </row>
    <row r="5988" customFormat="false" ht="15" hidden="false" customHeight="false" outlineLevel="0" collapsed="false">
      <c r="A5988" s="7" t="s">
        <v>1732</v>
      </c>
      <c r="B5988" s="7" t="n">
        <v>10692.06</v>
      </c>
      <c r="C5988" s="7" t="n">
        <f aca="false">AVERAGE(B5939:B5988)</f>
        <v>12169.4472</v>
      </c>
      <c r="D5988" s="7" t="n">
        <f aca="false">AVERAGE(B5789:B5988)</f>
        <v>13148.31645</v>
      </c>
      <c r="E5988" s="7" t="n">
        <f aca="false">B5988/MAX(B5737:B5988)-1</f>
        <v>-0.354863895871321</v>
      </c>
      <c r="F5988" s="7" t="str">
        <f aca="false">IFERROR(INDEX(02_轉折點45個!B:B,MATCH(A5988,02_轉折點45個!A:A,0)),"")</f>
        <v/>
      </c>
      <c r="G5988" s="7" t="s">
        <v>5494</v>
      </c>
    </row>
    <row r="5989" customFormat="false" ht="15" hidden="false" customHeight="false" outlineLevel="0" collapsed="false">
      <c r="A5989" s="7" t="s">
        <v>6602</v>
      </c>
      <c r="B5989" s="7" t="n">
        <v>11062.53</v>
      </c>
      <c r="C5989" s="7" t="n">
        <f aca="false">AVERAGE(B5940:B5989)</f>
        <v>12126.544</v>
      </c>
      <c r="D5989" s="7" t="n">
        <f aca="false">AVERAGE(B5790:B5989)</f>
        <v>13121.4836</v>
      </c>
      <c r="E5989" s="7" t="n">
        <f aca="false">B5989/MAX(B5738:B5989)-1</f>
        <v>-0.33251052594106</v>
      </c>
      <c r="F5989" s="7" t="str">
        <f aca="false">IFERROR(INDEX(02_轉折點45個!B:B,MATCH(A5989,02_轉折點45個!A:A,0)),"")</f>
        <v/>
      </c>
      <c r="G5989" s="7" t="s">
        <v>5494</v>
      </c>
    </row>
    <row r="5990" customFormat="false" ht="15" hidden="false" customHeight="false" outlineLevel="0" collapsed="false">
      <c r="A5990" s="7" t="s">
        <v>6603</v>
      </c>
      <c r="B5990" s="7" t="n">
        <v>11147.74</v>
      </c>
      <c r="C5990" s="7" t="n">
        <f aca="false">AVERAGE(B5941:B5990)</f>
        <v>12086.3156</v>
      </c>
      <c r="D5990" s="7" t="n">
        <f aca="false">AVERAGE(B5791:B5990)</f>
        <v>13095.6219</v>
      </c>
      <c r="E5990" s="7" t="n">
        <f aca="false">B5990/MAX(B5739:B5990)-1</f>
        <v>-0.32736913621515</v>
      </c>
      <c r="F5990" s="7" t="str">
        <f aca="false">IFERROR(INDEX(02_轉折點45個!B:B,MATCH(A5990,02_轉折點45個!A:A,0)),"")</f>
        <v/>
      </c>
      <c r="G5990" s="7" t="s">
        <v>5494</v>
      </c>
    </row>
    <row r="5991" customFormat="false" ht="15" hidden="false" customHeight="false" outlineLevel="0" collapsed="false">
      <c r="A5991" s="7" t="s">
        <v>1733</v>
      </c>
      <c r="B5991" s="7" t="n">
        <v>11103.38</v>
      </c>
      <c r="C5991" s="7" t="n">
        <f aca="false">AVERAGE(B5942:B5991)</f>
        <v>12048.2198</v>
      </c>
      <c r="D5991" s="7" t="n">
        <f aca="false">AVERAGE(B5792:B5991)</f>
        <v>13068.62995</v>
      </c>
      <c r="E5991" s="7" t="n">
        <f aca="false">B5991/MAX(B5740:B5991)-1</f>
        <v>-0.330045724036314</v>
      </c>
      <c r="F5991" s="7" t="str">
        <f aca="false">IFERROR(INDEX(02_轉折點45個!B:B,MATCH(A5991,02_轉折點45個!A:A,0)),"")</f>
        <v/>
      </c>
      <c r="G5991" s="7" t="s">
        <v>5494</v>
      </c>
    </row>
    <row r="5992" customFormat="false" ht="15" hidden="false" customHeight="false" outlineLevel="0" collapsed="false">
      <c r="A5992" s="7" t="s">
        <v>6604</v>
      </c>
      <c r="B5992" s="7" t="n">
        <v>11046.71</v>
      </c>
      <c r="C5992" s="7" t="n">
        <f aca="false">AVERAGE(B5943:B5992)</f>
        <v>12001.5876</v>
      </c>
      <c r="D5992" s="7" t="n">
        <f aca="false">AVERAGE(B5793:B5992)</f>
        <v>13042.46485</v>
      </c>
      <c r="E5992" s="7" t="n">
        <f aca="false">B5992/MAX(B5741:B5992)-1</f>
        <v>-0.333465071011637</v>
      </c>
      <c r="F5992" s="7" t="str">
        <f aca="false">IFERROR(INDEX(02_轉折點45個!B:B,MATCH(A5992,02_轉折點45個!A:A,0)),"")</f>
        <v/>
      </c>
      <c r="G5992" s="7" t="s">
        <v>5494</v>
      </c>
    </row>
    <row r="5993" customFormat="false" ht="15" hidden="false" customHeight="false" outlineLevel="0" collapsed="false">
      <c r="A5993" s="7" t="s">
        <v>6605</v>
      </c>
      <c r="B5993" s="7" t="n">
        <v>11310.33</v>
      </c>
      <c r="C5993" s="7" t="n">
        <f aca="false">AVERAGE(B5944:B5993)</f>
        <v>11961.9544</v>
      </c>
      <c r="D5993" s="7" t="n">
        <f aca="false">AVERAGE(B5794:B5993)</f>
        <v>13020.1576</v>
      </c>
      <c r="E5993" s="7" t="n">
        <f aca="false">B5993/MAX(B5742:B5993)-1</f>
        <v>-0.317558802269187</v>
      </c>
      <c r="F5993" s="7" t="str">
        <f aca="false">IFERROR(INDEX(02_轉折點45個!B:B,MATCH(A5993,02_轉折點45個!A:A,0)),"")</f>
        <v/>
      </c>
      <c r="G5993" s="7" t="s">
        <v>5494</v>
      </c>
    </row>
    <row r="5994" customFormat="false" ht="15" hidden="false" customHeight="false" outlineLevel="0" collapsed="false">
      <c r="A5994" s="7" t="s">
        <v>6606</v>
      </c>
      <c r="B5994" s="7" t="n">
        <v>11430.26</v>
      </c>
      <c r="C5994" s="7" t="n">
        <f aca="false">AVERAGE(B5945:B5994)</f>
        <v>11919.2422</v>
      </c>
      <c r="D5994" s="7" t="n">
        <f aca="false">AVERAGE(B5795:B5994)</f>
        <v>12998.4821</v>
      </c>
      <c r="E5994" s="7" t="n">
        <f aca="false">B5994/MAX(B5743:B5994)-1</f>
        <v>-0.310322481768913</v>
      </c>
      <c r="F5994" s="7" t="str">
        <f aca="false">IFERROR(INDEX(02_轉折點45個!B:B,MATCH(A5994,02_轉折點45個!A:A,0)),"")</f>
        <v/>
      </c>
      <c r="G5994" s="7" t="s">
        <v>5494</v>
      </c>
    </row>
    <row r="5995" customFormat="false" ht="15" hidden="false" customHeight="false" outlineLevel="0" collapsed="false">
      <c r="A5995" s="7" t="s">
        <v>6607</v>
      </c>
      <c r="B5995" s="7" t="n">
        <v>11669.99</v>
      </c>
      <c r="C5995" s="7" t="n">
        <f aca="false">AVERAGE(B5946:B5995)</f>
        <v>11879.2984</v>
      </c>
      <c r="D5995" s="7" t="n">
        <f aca="false">AVERAGE(B5796:B5995)</f>
        <v>12978.8711</v>
      </c>
      <c r="E5995" s="7" t="n">
        <f aca="false">B5995/MAX(B5744:B5995)-1</f>
        <v>-0.295857684691197</v>
      </c>
      <c r="F5995" s="7" t="str">
        <f aca="false">IFERROR(INDEX(02_轉折點45個!B:B,MATCH(A5995,02_轉折點45個!A:A,0)),"")</f>
        <v/>
      </c>
      <c r="G5995" s="7" t="s">
        <v>5494</v>
      </c>
    </row>
    <row r="5996" customFormat="false" ht="15" hidden="false" customHeight="false" outlineLevel="0" collapsed="false">
      <c r="A5996" s="7" t="s">
        <v>1734</v>
      </c>
      <c r="B5996" s="7" t="n">
        <v>11405.9</v>
      </c>
      <c r="C5996" s="7" t="n">
        <f aca="false">AVERAGE(B5947:B5996)</f>
        <v>11834.7122</v>
      </c>
      <c r="D5996" s="7" t="n">
        <f aca="false">AVERAGE(B5797:B5996)</f>
        <v>12957.82845</v>
      </c>
      <c r="E5996" s="7" t="n">
        <f aca="false">B5996/MAX(B5745:B5996)-1</f>
        <v>-0.311792312231572</v>
      </c>
      <c r="F5996" s="7" t="str">
        <f aca="false">IFERROR(INDEX(02_轉折點45個!B:B,MATCH(A5996,02_轉折點45個!A:A,0)),"")</f>
        <v/>
      </c>
      <c r="G5996" s="7" t="s">
        <v>5494</v>
      </c>
    </row>
    <row r="5997" customFormat="false" ht="15" hidden="false" customHeight="false" outlineLevel="0" collapsed="false">
      <c r="A5997" s="7" t="s">
        <v>6608</v>
      </c>
      <c r="B5997" s="7" t="n">
        <v>11191.63</v>
      </c>
      <c r="C5997" s="7" t="n">
        <f aca="false">AVERAGE(B5948:B5997)</f>
        <v>11789.1276</v>
      </c>
      <c r="D5997" s="7" t="n">
        <f aca="false">AVERAGE(B5798:B5997)</f>
        <v>12934.566</v>
      </c>
      <c r="E5997" s="7" t="n">
        <f aca="false">B5997/MAX(B5746:B5997)-1</f>
        <v>-0.324720907191912</v>
      </c>
      <c r="F5997" s="7" t="str">
        <f aca="false">IFERROR(INDEX(02_轉折點45個!B:B,MATCH(A5997,02_轉折點45個!A:A,0)),"")</f>
        <v/>
      </c>
      <c r="G5997" s="7" t="s">
        <v>5494</v>
      </c>
    </row>
    <row r="5998" customFormat="false" ht="15" hidden="false" customHeight="false" outlineLevel="0" collapsed="false">
      <c r="A5998" s="7" t="s">
        <v>6609</v>
      </c>
      <c r="B5998" s="7" t="n">
        <v>11546.21</v>
      </c>
      <c r="C5998" s="7" t="n">
        <f aca="false">AVERAGE(B5949:B5998)</f>
        <v>11749.932</v>
      </c>
      <c r="D5998" s="7" t="n">
        <f aca="false">AVERAGE(B5799:B5998)</f>
        <v>12912.77155</v>
      </c>
      <c r="E5998" s="7" t="n">
        <f aca="false">B5998/MAX(B5747:B5998)-1</f>
        <v>-0.303326305982982</v>
      </c>
      <c r="F5998" s="7" t="str">
        <f aca="false">IFERROR(INDEX(02_轉折點45個!B:B,MATCH(A5998,02_轉折點45個!A:A,0)),"")</f>
        <v/>
      </c>
      <c r="G5998" s="7" t="s">
        <v>5494</v>
      </c>
    </row>
    <row r="5999" customFormat="false" ht="15" hidden="false" customHeight="false" outlineLevel="0" collapsed="false">
      <c r="A5999" s="7" t="s">
        <v>1735</v>
      </c>
      <c r="B5999" s="7" t="n">
        <v>11405.57</v>
      </c>
      <c r="C5999" s="7" t="n">
        <f aca="false">AVERAGE(B5950:B5999)</f>
        <v>11713.1854</v>
      </c>
      <c r="D5999" s="7" t="n">
        <f aca="false">AVERAGE(B5800:B5999)</f>
        <v>12892.3213</v>
      </c>
      <c r="E5999" s="7" t="n">
        <f aca="false">B5999/MAX(B5748:B5999)-1</f>
        <v>-0.311812223727987</v>
      </c>
      <c r="F5999" s="7" t="str">
        <f aca="false">IFERROR(INDEX(02_轉折點45個!B:B,MATCH(A5999,02_轉折點45個!A:A,0)),"")</f>
        <v/>
      </c>
      <c r="G5999" s="7" t="s">
        <v>5494</v>
      </c>
    </row>
    <row r="6000" customFormat="false" ht="15" hidden="false" customHeight="false" outlineLevel="0" collapsed="false">
      <c r="A6000" s="7" t="s">
        <v>6610</v>
      </c>
      <c r="B6000" s="7" t="n">
        <v>11288.95</v>
      </c>
      <c r="C6000" s="7" t="n">
        <f aca="false">AVERAGE(B5951:B6000)</f>
        <v>11681.1536</v>
      </c>
      <c r="D6000" s="7" t="n">
        <f aca="false">AVERAGE(B5801:B6000)</f>
        <v>12870.7081</v>
      </c>
      <c r="E6000" s="7" t="n">
        <f aca="false">B6000/MAX(B5749:B6000)-1</f>
        <v>-0.318848825885428</v>
      </c>
      <c r="F6000" s="7" t="str">
        <f aca="false">IFERROR(INDEX(02_轉折點45個!B:B,MATCH(A6000,02_轉折點45個!A:A,0)),"")</f>
        <v/>
      </c>
      <c r="G6000" s="7" t="s">
        <v>5494</v>
      </c>
    </row>
    <row r="6001" customFormat="false" ht="15" hidden="false" customHeight="false" outlineLevel="0" collapsed="false">
      <c r="A6001" s="7" t="s">
        <v>6611</v>
      </c>
      <c r="B6001" s="7" t="n">
        <v>10906.34</v>
      </c>
      <c r="C6001" s="7" t="n">
        <f aca="false">AVERAGE(B5952:B6001)</f>
        <v>11641.6446</v>
      </c>
      <c r="D6001" s="7" t="n">
        <f aca="false">AVERAGE(B5802:B6001)</f>
        <v>12849.186</v>
      </c>
      <c r="E6001" s="7" t="n">
        <f aca="false">B6001/MAX(B5750:B6001)-1</f>
        <v>-0.341934697532302</v>
      </c>
      <c r="F6001" s="7" t="str">
        <f aca="false">IFERROR(INDEX(02_轉折點45個!B:B,MATCH(A6001,02_轉折點45個!A:A,0)),"")</f>
        <v/>
      </c>
      <c r="G6001" s="7" t="s">
        <v>5494</v>
      </c>
    </row>
    <row r="6002" customFormat="false" ht="15" hidden="false" customHeight="false" outlineLevel="0" collapsed="false">
      <c r="A6002" s="7" t="s">
        <v>1736</v>
      </c>
      <c r="B6002" s="7" t="n">
        <v>10690.6</v>
      </c>
      <c r="C6002" s="7" t="n">
        <f aca="false">AVERAGE(B5953:B6002)</f>
        <v>11597.0994</v>
      </c>
      <c r="D6002" s="7" t="n">
        <f aca="false">AVERAGE(B5803:B6002)</f>
        <v>12827.3998</v>
      </c>
      <c r="E6002" s="7" t="n">
        <f aca="false">B6002/MAX(B5751:B6002)-1</f>
        <v>-0.354951989158492</v>
      </c>
      <c r="F6002" s="7" t="str">
        <f aca="false">IFERROR(INDEX(02_轉折點45個!B:B,MATCH(A6002,02_轉折點45個!A:A,0)),"")</f>
        <v/>
      </c>
      <c r="G6002" s="7" t="s">
        <v>5494</v>
      </c>
    </row>
    <row r="6003" customFormat="false" ht="15" hidden="false" customHeight="false" outlineLevel="0" collapsed="false">
      <c r="A6003" s="7" t="s">
        <v>6612</v>
      </c>
      <c r="B6003" s="7" t="n">
        <v>10857.03</v>
      </c>
      <c r="C6003" s="7" t="n">
        <f aca="false">AVERAGE(B5954:B6003)</f>
        <v>11551.3684</v>
      </c>
      <c r="D6003" s="7" t="n">
        <f aca="false">AVERAGE(B5804:B6003)</f>
        <v>12807.45265</v>
      </c>
      <c r="E6003" s="7" t="n">
        <f aca="false">B6003/MAX(B5752:B6003)-1</f>
        <v>-0.344909957799695</v>
      </c>
      <c r="F6003" s="7" t="str">
        <f aca="false">IFERROR(INDEX(02_轉折點45個!B:B,MATCH(A6003,02_轉折點45個!A:A,0)),"")</f>
        <v/>
      </c>
      <c r="G6003" s="7" t="s">
        <v>5494</v>
      </c>
    </row>
    <row r="6004" customFormat="false" ht="15" hidden="false" customHeight="false" outlineLevel="0" collapsed="false">
      <c r="A6004" s="7" t="s">
        <v>6613</v>
      </c>
      <c r="B6004" s="7" t="n">
        <v>10977</v>
      </c>
      <c r="C6004" s="7" t="n">
        <f aca="false">AVERAGE(B5955:B6004)</f>
        <v>11518.805</v>
      </c>
      <c r="D6004" s="7" t="n">
        <f aca="false">AVERAGE(B5805:B6004)</f>
        <v>12790.14565</v>
      </c>
      <c r="E6004" s="7" t="n">
        <f aca="false">B6004/MAX(B5753:B6004)-1</f>
        <v>-0.337671223784705</v>
      </c>
      <c r="F6004" s="7" t="str">
        <f aca="false">IFERROR(INDEX(02_轉折點45個!B:B,MATCH(A6004,02_轉折點45個!A:A,0)),"")</f>
        <v/>
      </c>
      <c r="G6004" s="7" t="s">
        <v>5494</v>
      </c>
    </row>
    <row r="6005" customFormat="false" ht="15" hidden="false" customHeight="false" outlineLevel="0" collapsed="false">
      <c r="A6005" s="7" t="s">
        <v>6614</v>
      </c>
      <c r="B6005" s="7" t="n">
        <v>11059.5</v>
      </c>
      <c r="C6005" s="7" t="n">
        <f aca="false">AVERAGE(B5956:B6005)</f>
        <v>11490.3086</v>
      </c>
      <c r="D6005" s="7" t="n">
        <f aca="false">AVERAGE(B5806:B6005)</f>
        <v>12772.89525</v>
      </c>
      <c r="E6005" s="7" t="n">
        <f aca="false">B6005/MAX(B5754:B6005)-1</f>
        <v>-0.332693349680873</v>
      </c>
      <c r="F6005" s="7" t="str">
        <f aca="false">IFERROR(INDEX(02_轉折點45個!B:B,MATCH(A6005,02_轉折點45個!A:A,0)),"")</f>
        <v/>
      </c>
      <c r="G6005" s="7" t="s">
        <v>5494</v>
      </c>
    </row>
    <row r="6006" customFormat="false" ht="15" hidden="false" customHeight="false" outlineLevel="0" collapsed="false">
      <c r="A6006" s="7" t="s">
        <v>6615</v>
      </c>
      <c r="B6006" s="7" t="n">
        <v>10797.55</v>
      </c>
      <c r="C6006" s="7" t="n">
        <f aca="false">AVERAGE(B5957:B6006)</f>
        <v>11459.4056</v>
      </c>
      <c r="D6006" s="7" t="n">
        <f aca="false">AVERAGE(B5807:B6006)</f>
        <v>12756.1374</v>
      </c>
      <c r="E6006" s="7" t="n">
        <f aca="false">B6006/MAX(B5755:B6006)-1</f>
        <v>-0.348498854183888</v>
      </c>
      <c r="F6006" s="7" t="str">
        <f aca="false">IFERROR(INDEX(02_轉折點45個!B:B,MATCH(A6006,02_轉折點45個!A:A,0)),"")</f>
        <v/>
      </c>
      <c r="G6006" s="7" t="s">
        <v>5494</v>
      </c>
    </row>
    <row r="6007" customFormat="false" ht="15" hidden="false" customHeight="false" outlineLevel="0" collapsed="false">
      <c r="A6007" s="7" t="s">
        <v>1737</v>
      </c>
      <c r="B6007" s="7" t="n">
        <v>11605.96</v>
      </c>
      <c r="C6007" s="7" t="n">
        <f aca="false">AVERAGE(B5958:B6007)</f>
        <v>11446.0842</v>
      </c>
      <c r="D6007" s="7" t="n">
        <f aca="false">AVERAGE(B5808:B6007)</f>
        <v>12743.3034</v>
      </c>
      <c r="E6007" s="7" t="n">
        <f aca="false">B6007/MAX(B5756:B6007)-1</f>
        <v>-0.29972111837445</v>
      </c>
      <c r="F6007" s="7" t="str">
        <f aca="false">IFERROR(INDEX(02_轉折點45個!B:B,MATCH(A6007,02_轉折點45個!A:A,0)),"")</f>
        <v/>
      </c>
      <c r="G6007" s="7" t="s">
        <v>5494</v>
      </c>
    </row>
    <row r="6008" customFormat="false" ht="15" hidden="false" customHeight="false" outlineLevel="0" collapsed="false">
      <c r="A6008" s="7" t="s">
        <v>1738</v>
      </c>
      <c r="B6008" s="7" t="n">
        <v>11817.01</v>
      </c>
      <c r="C6008" s="7" t="n">
        <f aca="false">AVERAGE(B5959:B6008)</f>
        <v>11436.932</v>
      </c>
      <c r="D6008" s="7" t="n">
        <f aca="false">AVERAGE(B5809:B6008)</f>
        <v>12732.3729</v>
      </c>
      <c r="E6008" s="7" t="n">
        <f aca="false">B6008/MAX(B5757:B6008)-1</f>
        <v>-0.286986811348829</v>
      </c>
      <c r="F6008" s="7" t="str">
        <f aca="false">IFERROR(INDEX(02_轉折點45個!B:B,MATCH(A6008,02_轉折點45個!A:A,0)),"")</f>
        <v/>
      </c>
      <c r="G6008" s="7" t="s">
        <v>5494</v>
      </c>
    </row>
    <row r="6009" customFormat="false" ht="15" hidden="false" customHeight="false" outlineLevel="0" collapsed="false">
      <c r="A6009" s="7" t="s">
        <v>6616</v>
      </c>
      <c r="B6009" s="7" t="n">
        <v>11700.94</v>
      </c>
      <c r="C6009" s="7" t="n">
        <f aca="false">AVERAGE(B5960:B6009)</f>
        <v>11428.982</v>
      </c>
      <c r="D6009" s="7" t="n">
        <f aca="false">AVERAGE(B5810:B6009)</f>
        <v>12718.60455</v>
      </c>
      <c r="E6009" s="7" t="n">
        <f aca="false">B6009/MAX(B5758:B6009)-1</f>
        <v>-0.293990227678911</v>
      </c>
      <c r="F6009" s="7" t="str">
        <f aca="false">IFERROR(INDEX(02_轉折點45個!B:B,MATCH(A6009,02_轉折點45個!A:A,0)),"")</f>
        <v/>
      </c>
      <c r="G6009" s="7" t="s">
        <v>5494</v>
      </c>
    </row>
    <row r="6010" customFormat="false" ht="15" hidden="false" customHeight="false" outlineLevel="0" collapsed="false">
      <c r="A6010" s="7" t="s">
        <v>6617</v>
      </c>
      <c r="B6010" s="7" t="n">
        <v>11871.15</v>
      </c>
      <c r="C6010" s="7" t="n">
        <f aca="false">AVERAGE(B5961:B6010)</f>
        <v>11426.1788</v>
      </c>
      <c r="D6010" s="7" t="n">
        <f aca="false">AVERAGE(B5811:B6010)</f>
        <v>12703.31005</v>
      </c>
      <c r="E6010" s="7" t="n">
        <f aca="false">B6010/MAX(B5759:B6010)-1</f>
        <v>-0.283720119179357</v>
      </c>
      <c r="F6010" s="7" t="str">
        <f aca="false">IFERROR(INDEX(02_轉折點45個!B:B,MATCH(A6010,02_轉折點45個!A:A,0)),"")</f>
        <v/>
      </c>
      <c r="G6010" s="7" t="s">
        <v>5494</v>
      </c>
    </row>
    <row r="6011" customFormat="false" ht="15" hidden="false" customHeight="false" outlineLevel="0" collapsed="false">
      <c r="A6011" s="7" t="s">
        <v>6618</v>
      </c>
      <c r="B6011" s="7" t="n">
        <v>11699.09</v>
      </c>
      <c r="C6011" s="7" t="n">
        <f aca="false">AVERAGE(B5962:B6011)</f>
        <v>11414.9728</v>
      </c>
      <c r="D6011" s="7" t="n">
        <f aca="false">AVERAGE(B5812:B6011)</f>
        <v>12686.7071</v>
      </c>
      <c r="E6011" s="7" t="n">
        <f aca="false">B6011/MAX(B5760:B6011)-1</f>
        <v>-0.294101852734572</v>
      </c>
      <c r="F6011" s="7" t="str">
        <f aca="false">IFERROR(INDEX(02_轉折點45個!B:B,MATCH(A6011,02_轉折點45個!A:A,0)),"")</f>
        <v/>
      </c>
      <c r="G6011" s="7" t="s">
        <v>5494</v>
      </c>
    </row>
    <row r="6012" customFormat="false" ht="15" hidden="false" customHeight="false" outlineLevel="0" collapsed="false">
      <c r="A6012" s="7" t="s">
        <v>6619</v>
      </c>
      <c r="B6012" s="7" t="n">
        <v>11676.86</v>
      </c>
      <c r="C6012" s="7" t="n">
        <f aca="false">AVERAGE(B5963:B6012)</f>
        <v>11402.0862</v>
      </c>
      <c r="D6012" s="7" t="n">
        <f aca="false">AVERAGE(B5813:B6012)</f>
        <v>12669.3927</v>
      </c>
      <c r="E6012" s="7" t="n">
        <f aca="false">B6012/MAX(B5761:B6012)-1</f>
        <v>-0.295443163538551</v>
      </c>
      <c r="F6012" s="7" t="str">
        <f aca="false">IFERROR(INDEX(02_轉折點45個!B:B,MATCH(A6012,02_轉折點45個!A:A,0)),"")</f>
        <v/>
      </c>
      <c r="G6012" s="7" t="s">
        <v>5494</v>
      </c>
    </row>
    <row r="6013" customFormat="false" ht="15" hidden="false" customHeight="false" outlineLevel="0" collapsed="false">
      <c r="A6013" s="7" t="s">
        <v>6620</v>
      </c>
      <c r="B6013" s="7" t="n">
        <v>11677.02</v>
      </c>
      <c r="C6013" s="7" t="n">
        <f aca="false">AVERAGE(B5964:B6013)</f>
        <v>11383.8608</v>
      </c>
      <c r="D6013" s="7" t="n">
        <f aca="false">AVERAGE(B5814:B6013)</f>
        <v>12655.27225</v>
      </c>
      <c r="E6013" s="7" t="n">
        <f aca="false">B6013/MAX(B5762:B6013)-1</f>
        <v>-0.295433509479682</v>
      </c>
      <c r="F6013" s="7" t="str">
        <f aca="false">IFERROR(INDEX(02_轉折點45個!B:B,MATCH(A6013,02_轉折點45個!A:A,0)),"")</f>
        <v/>
      </c>
      <c r="G6013" s="7" t="s">
        <v>5494</v>
      </c>
    </row>
    <row r="6014" customFormat="false" ht="15" hidden="false" customHeight="false" outlineLevel="0" collapsed="false">
      <c r="A6014" s="7" t="s">
        <v>6621</v>
      </c>
      <c r="B6014" s="7" t="n">
        <v>11553.45</v>
      </c>
      <c r="C6014" s="7" t="n">
        <f aca="false">AVERAGE(B5965:B6014)</f>
        <v>11360.1354</v>
      </c>
      <c r="D6014" s="7" t="n">
        <f aca="false">AVERAGE(B5815:B6014)</f>
        <v>12639.56775</v>
      </c>
      <c r="E6014" s="7" t="n">
        <f aca="false">B6014/MAX(B5763:B6014)-1</f>
        <v>-0.302643730194658</v>
      </c>
      <c r="F6014" s="7" t="str">
        <f aca="false">IFERROR(INDEX(02_轉折點45個!B:B,MATCH(A6014,02_轉折點45個!A:A,0)),"")</f>
        <v/>
      </c>
      <c r="G6014" s="7" t="s">
        <v>5494</v>
      </c>
    </row>
    <row r="6015" customFormat="false" ht="15" hidden="false" customHeight="false" outlineLevel="0" collapsed="false">
      <c r="A6015" s="7" t="s">
        <v>6622</v>
      </c>
      <c r="B6015" s="7" t="n">
        <v>11724.84</v>
      </c>
      <c r="C6015" s="7" t="n">
        <f aca="false">AVERAGE(B5966:B6015)</f>
        <v>11353.9598</v>
      </c>
      <c r="D6015" s="7" t="n">
        <f aca="false">AVERAGE(B5816:B6015)</f>
        <v>12625.3357</v>
      </c>
      <c r="E6015" s="7" t="n">
        <f aca="false">B6015/MAX(B5764:B6015)-1</f>
        <v>-0.292298777727479</v>
      </c>
      <c r="F6015" s="7" t="str">
        <f aca="false">IFERROR(INDEX(02_轉折點45個!B:B,MATCH(A6015,02_轉折點45個!A:A,0)),"")</f>
        <v/>
      </c>
      <c r="G6015" s="7" t="s">
        <v>5494</v>
      </c>
    </row>
    <row r="6016" customFormat="false" ht="15" hidden="false" customHeight="false" outlineLevel="0" collapsed="false">
      <c r="A6016" s="7" t="s">
        <v>6623</v>
      </c>
      <c r="B6016" s="7" t="n">
        <v>11838.72</v>
      </c>
      <c r="C6016" s="7" t="n">
        <f aca="false">AVERAGE(B5967:B6016)</f>
        <v>11348.0462</v>
      </c>
      <c r="D6016" s="7" t="n">
        <f aca="false">AVERAGE(B5817:B6016)</f>
        <v>12610.79415</v>
      </c>
      <c r="E6016" s="7" t="n">
        <f aca="false">B6016/MAX(B5765:B6016)-1</f>
        <v>-0.285425079221367</v>
      </c>
      <c r="F6016" s="7" t="str">
        <f aca="false">IFERROR(INDEX(02_轉折點45個!B:B,MATCH(A6016,02_轉折點45個!A:A,0)),"")</f>
        <v/>
      </c>
      <c r="G6016" s="7" t="s">
        <v>5494</v>
      </c>
    </row>
    <row r="6017" customFormat="false" ht="15" hidden="false" customHeight="false" outlineLevel="0" collapsed="false">
      <c r="A6017" s="7" t="s">
        <v>6624</v>
      </c>
      <c r="B6017" s="7" t="n">
        <v>11756.03</v>
      </c>
      <c r="C6017" s="7" t="n">
        <f aca="false">AVERAGE(B5968:B6017)</f>
        <v>11344.617</v>
      </c>
      <c r="D6017" s="7" t="n">
        <f aca="false">AVERAGE(B5818:B6017)</f>
        <v>12594.2895</v>
      </c>
      <c r="E6017" s="7" t="n">
        <f aca="false">B6017/MAX(B5766:B6017)-1</f>
        <v>-0.29041617624868</v>
      </c>
      <c r="F6017" s="7" t="str">
        <f aca="false">IFERROR(INDEX(02_轉折點45個!B:B,MATCH(A6017,02_轉折點45個!A:A,0)),"")</f>
        <v/>
      </c>
      <c r="G6017" s="7" t="s">
        <v>5494</v>
      </c>
    </row>
    <row r="6018" customFormat="false" ht="15" hidden="false" customHeight="false" outlineLevel="0" collapsed="false">
      <c r="A6018" s="7" t="s">
        <v>6625</v>
      </c>
      <c r="B6018" s="7" t="n">
        <v>11587.75</v>
      </c>
      <c r="C6018" s="7" t="n">
        <f aca="false">AVERAGE(B5969:B6018)</f>
        <v>11339.1444</v>
      </c>
      <c r="D6018" s="7" t="n">
        <f aca="false">AVERAGE(B5819:B6018)</f>
        <v>12578.70005</v>
      </c>
      <c r="E6018" s="7" t="n">
        <f aca="false">B6018/MAX(B5767:B6018)-1</f>
        <v>-0.300573411800211</v>
      </c>
      <c r="F6018" s="7" t="str">
        <f aca="false">IFERROR(INDEX(02_轉折點45個!B:B,MATCH(A6018,02_轉折點45個!A:A,0)),"")</f>
        <v/>
      </c>
      <c r="G6018" s="7" t="s">
        <v>5494</v>
      </c>
    </row>
    <row r="6019" customFormat="false" ht="15" hidden="false" customHeight="false" outlineLevel="0" collapsed="false">
      <c r="A6019" s="7" t="s">
        <v>6626</v>
      </c>
      <c r="B6019" s="7" t="n">
        <v>11503.45</v>
      </c>
      <c r="C6019" s="7" t="n">
        <f aca="false">AVERAGE(B5970:B6019)</f>
        <v>11330.148</v>
      </c>
      <c r="D6019" s="7" t="n">
        <f aca="false">AVERAGE(B5820:B6019)</f>
        <v>12564.9481</v>
      </c>
      <c r="E6019" s="7" t="n">
        <f aca="false">B6019/MAX(B5768:B6019)-1</f>
        <v>-0.305661687037875</v>
      </c>
      <c r="F6019" s="7" t="str">
        <f aca="false">IFERROR(INDEX(02_轉折點45個!B:B,MATCH(A6019,02_轉折點45個!A:A,0)),"")</f>
        <v/>
      </c>
      <c r="G6019" s="7" t="s">
        <v>5494</v>
      </c>
    </row>
    <row r="6020" customFormat="false" ht="15" hidden="false" customHeight="false" outlineLevel="0" collapsed="false">
      <c r="A6020" s="7" t="s">
        <v>1739</v>
      </c>
      <c r="B6020" s="7" t="n">
        <v>12030.06</v>
      </c>
      <c r="C6020" s="7" t="n">
        <f aca="false">AVERAGE(B5971:B6020)</f>
        <v>11333.7184</v>
      </c>
      <c r="D6020" s="7" t="n">
        <f aca="false">AVERAGE(B5821:B6020)</f>
        <v>12553.75545</v>
      </c>
      <c r="E6020" s="7" t="n">
        <f aca="false">B6020/MAX(B5769:B6020)-1</f>
        <v>-0.273875961973744</v>
      </c>
      <c r="F6020" s="7" t="str">
        <f aca="false">IFERROR(INDEX(02_轉折點45個!B:B,MATCH(A6020,02_轉折點45個!A:A,0)),"")</f>
        <v/>
      </c>
      <c r="G6020" s="7" t="s">
        <v>5494</v>
      </c>
    </row>
    <row r="6021" customFormat="false" ht="15" hidden="false" customHeight="false" outlineLevel="0" collapsed="false">
      <c r="A6021" s="7" t="s">
        <v>6627</v>
      </c>
      <c r="B6021" s="7" t="n">
        <v>12041.89</v>
      </c>
      <c r="C6021" s="7" t="n">
        <f aca="false">AVERAGE(B5972:B6021)</f>
        <v>11341.8004</v>
      </c>
      <c r="D6021" s="7" t="n">
        <f aca="false">AVERAGE(B5822:B6021)</f>
        <v>12540.8608</v>
      </c>
      <c r="E6021" s="7" t="n">
        <f aca="false">B6021/MAX(B5770:B6021)-1</f>
        <v>-0.273161913384639</v>
      </c>
      <c r="F6021" s="7" t="str">
        <f aca="false">IFERROR(INDEX(02_轉折點45個!B:B,MATCH(A6021,02_轉折點45個!A:A,0)),"")</f>
        <v/>
      </c>
      <c r="G6021" s="7" t="s">
        <v>5494</v>
      </c>
    </row>
    <row r="6022" customFormat="false" ht="15" hidden="false" customHeight="false" outlineLevel="0" collapsed="false">
      <c r="A6022" s="7" t="s">
        <v>6628</v>
      </c>
      <c r="B6022" s="7" t="n">
        <v>11994.26</v>
      </c>
      <c r="C6022" s="7" t="n">
        <f aca="false">AVERAGE(B5973:B6022)</f>
        <v>11351.6526</v>
      </c>
      <c r="D6022" s="7" t="n">
        <f aca="false">AVERAGE(B5823:B6022)</f>
        <v>12527.8139</v>
      </c>
      <c r="E6022" s="7" t="n">
        <f aca="false">B6022/MAX(B5771:B6022)-1</f>
        <v>-0.276036819073487</v>
      </c>
      <c r="F6022" s="7" t="str">
        <f aca="false">IFERROR(INDEX(02_轉折點45個!B:B,MATCH(A6022,02_轉折點45個!A:A,0)),"")</f>
        <v/>
      </c>
      <c r="G6022" s="7" t="s">
        <v>5494</v>
      </c>
    </row>
    <row r="6023" customFormat="false" ht="15" hidden="false" customHeight="false" outlineLevel="0" collapsed="false">
      <c r="A6023" s="7" t="s">
        <v>6629</v>
      </c>
      <c r="B6023" s="7" t="n">
        <v>11786.8</v>
      </c>
      <c r="C6023" s="7" t="n">
        <f aca="false">AVERAGE(B5974:B6023)</f>
        <v>11361.1638</v>
      </c>
      <c r="D6023" s="7" t="n">
        <f aca="false">AVERAGE(B5824:B6023)</f>
        <v>12515.8892</v>
      </c>
      <c r="E6023" s="7" t="n">
        <f aca="false">B6023/MAX(B5772:B6023)-1</f>
        <v>-0.288558925607364</v>
      </c>
      <c r="F6023" s="7" t="str">
        <f aca="false">IFERROR(INDEX(02_轉折點45個!B:B,MATCH(A6023,02_轉折點45個!A:A,0)),"")</f>
        <v/>
      </c>
      <c r="G6023" s="7" t="s">
        <v>5494</v>
      </c>
    </row>
    <row r="6024" customFormat="false" ht="15" hidden="false" customHeight="false" outlineLevel="0" collapsed="false">
      <c r="A6024" s="7" t="s">
        <v>6630</v>
      </c>
      <c r="B6024" s="7" t="n">
        <v>11549.69</v>
      </c>
      <c r="C6024" s="7" t="n">
        <f aca="false">AVERAGE(B5975:B6024)</f>
        <v>11367.0754</v>
      </c>
      <c r="D6024" s="7" t="n">
        <f aca="false">AVERAGE(B5825:B6024)</f>
        <v>12503.58995</v>
      </c>
      <c r="E6024" s="7" t="n">
        <f aca="false">B6024/MAX(B5773:B6024)-1</f>
        <v>-0.302870680549268</v>
      </c>
      <c r="F6024" s="7" t="str">
        <f aca="false">IFERROR(INDEX(02_轉折點45個!B:B,MATCH(A6024,02_轉折點45個!A:A,0)),"")</f>
        <v/>
      </c>
      <c r="G6024" s="7" t="s">
        <v>5494</v>
      </c>
    </row>
    <row r="6025" customFormat="false" ht="15" hidden="false" customHeight="false" outlineLevel="0" collapsed="false">
      <c r="A6025" s="7" t="s">
        <v>6631</v>
      </c>
      <c r="B6025" s="7" t="n">
        <v>11497.39</v>
      </c>
      <c r="C6025" s="7" t="n">
        <f aca="false">AVERAGE(B5976:B6025)</f>
        <v>11371.5882</v>
      </c>
      <c r="D6025" s="7" t="n">
        <f aca="false">AVERAGE(B5826:B6025)</f>
        <v>12491.72425</v>
      </c>
      <c r="E6025" s="7" t="n">
        <f aca="false">B6025/MAX(B5774:B6025)-1</f>
        <v>-0.306027463407273</v>
      </c>
      <c r="F6025" s="7" t="str">
        <f aca="false">IFERROR(INDEX(02_轉折點45個!B:B,MATCH(A6025,02_轉折點45個!A:A,0)),"")</f>
        <v/>
      </c>
      <c r="G6025" s="7" t="s">
        <v>5494</v>
      </c>
    </row>
    <row r="6026" customFormat="false" ht="15" hidden="false" customHeight="false" outlineLevel="0" collapsed="false">
      <c r="A6026" s="7" t="s">
        <v>6632</v>
      </c>
      <c r="B6026" s="7" t="n">
        <v>11637.5</v>
      </c>
      <c r="C6026" s="7" t="n">
        <f aca="false">AVERAGE(B5977:B6026)</f>
        <v>11374.4616</v>
      </c>
      <c r="D6026" s="7" t="n">
        <f aca="false">AVERAGE(B5827:B6026)</f>
        <v>12482.3646</v>
      </c>
      <c r="E6026" s="7" t="n">
        <f aca="false">B6026/MAX(B5775:B6026)-1</f>
        <v>-0.29757054474121</v>
      </c>
      <c r="F6026" s="7" t="str">
        <f aca="false">IFERROR(INDEX(02_轉折點45個!B:B,MATCH(A6026,02_轉折點45個!A:A,0)),"")</f>
        <v/>
      </c>
      <c r="G6026" s="7" t="s">
        <v>5494</v>
      </c>
    </row>
    <row r="6027" customFormat="false" ht="15" hidden="false" customHeight="false" outlineLevel="0" collapsed="false">
      <c r="A6027" s="7" t="s">
        <v>6633</v>
      </c>
      <c r="B6027" s="7" t="n">
        <v>11563.33</v>
      </c>
      <c r="C6027" s="7" t="n">
        <f aca="false">AVERAGE(B5978:B6027)</f>
        <v>11382.4326</v>
      </c>
      <c r="D6027" s="7" t="n">
        <f aca="false">AVERAGE(B5828:B6027)</f>
        <v>12470.3079</v>
      </c>
      <c r="E6027" s="7" t="n">
        <f aca="false">B6027/MAX(B5776:B6027)-1</f>
        <v>-0.302047381922439</v>
      </c>
      <c r="F6027" s="7" t="str">
        <f aca="false">IFERROR(INDEX(02_轉折點45個!B:B,MATCH(A6027,02_轉折點45個!A:A,0)),"")</f>
        <v/>
      </c>
      <c r="G6027" s="7" t="s">
        <v>5494</v>
      </c>
    </row>
    <row r="6028" customFormat="false" ht="15" hidden="false" customHeight="false" outlineLevel="0" collapsed="false">
      <c r="A6028" s="7" t="s">
        <v>6634</v>
      </c>
      <c r="B6028" s="7" t="n">
        <v>11706.44</v>
      </c>
      <c r="C6028" s="7" t="n">
        <f aca="false">AVERAGE(B5979:B6028)</f>
        <v>11397.137</v>
      </c>
      <c r="D6028" s="7" t="n">
        <f aca="false">AVERAGE(B5829:B6028)</f>
        <v>12457.8943</v>
      </c>
      <c r="E6028" s="7" t="n">
        <f aca="false">B6028/MAX(B5777:B6028)-1</f>
        <v>-0.293409385845782</v>
      </c>
      <c r="F6028" s="7" t="str">
        <f aca="false">IFERROR(INDEX(02_轉折點45個!B:B,MATCH(A6028,02_轉折點45個!A:A,0)),"")</f>
        <v/>
      </c>
      <c r="G6028" s="7" t="s">
        <v>5494</v>
      </c>
    </row>
    <row r="6029" customFormat="false" ht="15" hidden="false" customHeight="false" outlineLevel="0" collapsed="false">
      <c r="A6029" s="7" t="s">
        <v>6635</v>
      </c>
      <c r="B6029" s="7" t="n">
        <v>11834.21</v>
      </c>
      <c r="C6029" s="7" t="n">
        <f aca="false">AVERAGE(B5980:B6029)</f>
        <v>11409.2266</v>
      </c>
      <c r="D6029" s="7" t="n">
        <f aca="false">AVERAGE(B5830:B6029)</f>
        <v>12445.8763</v>
      </c>
      <c r="E6029" s="7" t="n">
        <f aca="false">B6029/MAX(B5778:B6029)-1</f>
        <v>-0.285697298928625</v>
      </c>
      <c r="F6029" s="7" t="str">
        <f aca="false">IFERROR(INDEX(02_轉折點45個!B:B,MATCH(A6029,02_轉折點45個!A:A,0)),"")</f>
        <v/>
      </c>
      <c r="G6029" s="7" t="s">
        <v>5494</v>
      </c>
    </row>
    <row r="6030" customFormat="false" ht="15" hidden="false" customHeight="false" outlineLevel="0" collapsed="false">
      <c r="A6030" s="7" t="s">
        <v>6636</v>
      </c>
      <c r="B6030" s="7" t="n">
        <v>11740.92</v>
      </c>
      <c r="C6030" s="7" t="n">
        <f aca="false">AVERAGE(B5981:B6030)</f>
        <v>11412.3942</v>
      </c>
      <c r="D6030" s="7" t="n">
        <f aca="false">AVERAGE(B5831:B6030)</f>
        <v>12434.55095</v>
      </c>
      <c r="E6030" s="7" t="n">
        <f aca="false">B6030/MAX(B5779:B6030)-1</f>
        <v>-0.2913282028067</v>
      </c>
      <c r="F6030" s="7" t="str">
        <f aca="false">IFERROR(INDEX(02_轉折點45個!B:B,MATCH(A6030,02_轉折點45個!A:A,0)),"")</f>
        <v/>
      </c>
      <c r="G6030" s="7" t="s">
        <v>5494</v>
      </c>
    </row>
    <row r="6031" customFormat="false" ht="15" hidden="false" customHeight="false" outlineLevel="0" collapsed="false">
      <c r="A6031" s="7" t="s">
        <v>6637</v>
      </c>
      <c r="B6031" s="7" t="n">
        <v>11345.22</v>
      </c>
      <c r="C6031" s="7" t="n">
        <f aca="false">AVERAGE(B5982:B6031)</f>
        <v>11407.835</v>
      </c>
      <c r="D6031" s="7" t="n">
        <f aca="false">AVERAGE(B5832:B6031)</f>
        <v>12420.0586</v>
      </c>
      <c r="E6031" s="7" t="n">
        <f aca="false">B6031/MAX(B5780:B6031)-1</f>
        <v>-0.31521231326392</v>
      </c>
      <c r="F6031" s="7" t="str">
        <f aca="false">IFERROR(INDEX(02_轉折點45個!B:B,MATCH(A6031,02_轉折點45個!A:A,0)),"")</f>
        <v/>
      </c>
      <c r="G6031" s="7" t="s">
        <v>5494</v>
      </c>
    </row>
    <row r="6032" customFormat="false" ht="15" hidden="false" customHeight="false" outlineLevel="0" collapsed="false">
      <c r="A6032" s="7" t="s">
        <v>6638</v>
      </c>
      <c r="B6032" s="7" t="n">
        <v>11243.72</v>
      </c>
      <c r="C6032" s="7" t="n">
        <f aca="false">AVERAGE(B5983:B6032)</f>
        <v>11402.9994</v>
      </c>
      <c r="D6032" s="7" t="n">
        <f aca="false">AVERAGE(B5833:B6032)</f>
        <v>12406.10115</v>
      </c>
      <c r="E6032" s="7" t="n">
        <f aca="false">B6032/MAX(B5781:B6032)-1</f>
        <v>-0.321338765655651</v>
      </c>
      <c r="F6032" s="7" t="str">
        <f aca="false">IFERROR(INDEX(02_轉折點45個!B:B,MATCH(A6032,02_轉折點45個!A:A,0)),"")</f>
        <v/>
      </c>
      <c r="G6032" s="7" t="s">
        <v>5494</v>
      </c>
    </row>
    <row r="6033" customFormat="false" ht="15" hidden="false" customHeight="false" outlineLevel="0" collapsed="false">
      <c r="A6033" s="7" t="s">
        <v>6639</v>
      </c>
      <c r="B6033" s="7" t="n">
        <v>11084.59</v>
      </c>
      <c r="C6033" s="7" t="n">
        <f aca="false">AVERAGE(B5984:B6033)</f>
        <v>11403.9018</v>
      </c>
      <c r="D6033" s="7" t="n">
        <f aca="false">AVERAGE(B5834:B6033)</f>
        <v>12392.33495</v>
      </c>
      <c r="E6033" s="7" t="n">
        <f aca="false">B6033/MAX(B5782:B6033)-1</f>
        <v>-0.330943715104874</v>
      </c>
      <c r="F6033" s="7" t="str">
        <f aca="false">IFERROR(INDEX(02_轉折點45個!B:B,MATCH(A6033,02_轉折點45個!A:A,0)),"")</f>
        <v/>
      </c>
      <c r="G6033" s="7" t="s">
        <v>5494</v>
      </c>
    </row>
    <row r="6034" customFormat="false" ht="15" hidden="false" customHeight="false" outlineLevel="0" collapsed="false">
      <c r="A6034" s="7" t="s">
        <v>6640</v>
      </c>
      <c r="B6034" s="7" t="n">
        <v>11072.42</v>
      </c>
      <c r="C6034" s="7" t="n">
        <f aca="false">AVERAGE(B5985:B6034)</f>
        <v>11406.8108</v>
      </c>
      <c r="D6034" s="7" t="n">
        <f aca="false">AVERAGE(B5835:B6034)</f>
        <v>12381.10015</v>
      </c>
      <c r="E6034" s="7" t="n">
        <f aca="false">B6034/MAX(B5783:B6034)-1</f>
        <v>-0.331678285800513</v>
      </c>
      <c r="F6034" s="7" t="str">
        <f aca="false">IFERROR(INDEX(02_轉折點45個!B:B,MATCH(A6034,02_轉折點45個!A:A,0)),"")</f>
        <v/>
      </c>
      <c r="G6034" s="7" t="s">
        <v>5494</v>
      </c>
    </row>
    <row r="6035" customFormat="false" ht="15" hidden="false" customHeight="false" outlineLevel="0" collapsed="false">
      <c r="A6035" s="7" t="s">
        <v>1740</v>
      </c>
      <c r="B6035" s="7" t="n">
        <v>11235.88</v>
      </c>
      <c r="C6035" s="7" t="n">
        <f aca="false">AVERAGE(B5986:B6035)</f>
        <v>11415.7014</v>
      </c>
      <c r="D6035" s="7" t="n">
        <f aca="false">AVERAGE(B5836:B6035)</f>
        <v>12370.9415</v>
      </c>
      <c r="E6035" s="7" t="n">
        <f aca="false">B6035/MAX(B5784:B6035)-1</f>
        <v>-0.321811981288668</v>
      </c>
      <c r="F6035" s="7" t="str">
        <f aca="false">IFERROR(INDEX(02_轉折點45個!B:B,MATCH(A6035,02_轉折點45個!A:A,0)),"")</f>
        <v/>
      </c>
      <c r="G6035" s="7" t="s">
        <v>5494</v>
      </c>
    </row>
    <row r="6036" customFormat="false" ht="15" hidden="false" customHeight="false" outlineLevel="0" collapsed="false">
      <c r="A6036" s="7" t="s">
        <v>6641</v>
      </c>
      <c r="B6036" s="7" t="n">
        <v>10956.14</v>
      </c>
      <c r="C6036" s="7" t="n">
        <f aca="false">AVERAGE(B5987:B6036)</f>
        <v>11419.1118</v>
      </c>
      <c r="D6036" s="7" t="n">
        <f aca="false">AVERAGE(B5837:B6036)</f>
        <v>12357.0112</v>
      </c>
      <c r="E6036" s="7" t="n">
        <f aca="false">B6036/MAX(B5785:B6036)-1</f>
        <v>-0.338696846235099</v>
      </c>
      <c r="F6036" s="7" t="str">
        <f aca="false">IFERROR(INDEX(02_轉折點45個!B:B,MATCH(A6036,02_轉折點45個!A:A,0)),"")</f>
        <v/>
      </c>
      <c r="G6036" s="7" t="s">
        <v>5494</v>
      </c>
    </row>
    <row r="6037" customFormat="false" ht="15" hidden="false" customHeight="false" outlineLevel="0" collapsed="false">
      <c r="A6037" s="7" t="s">
        <v>6642</v>
      </c>
      <c r="B6037" s="7" t="n">
        <v>10985.45</v>
      </c>
      <c r="C6037" s="7" t="n">
        <f aca="false">AVERAGE(B5988:B6037)</f>
        <v>11418.1492</v>
      </c>
      <c r="D6037" s="7" t="n">
        <f aca="false">AVERAGE(B5838:B6037)</f>
        <v>12343.98345</v>
      </c>
      <c r="E6037" s="7" t="n">
        <f aca="false">B6037/MAX(B5786:B6037)-1</f>
        <v>-0.336927719933605</v>
      </c>
      <c r="F6037" s="7" t="str">
        <f aca="false">IFERROR(INDEX(02_轉折點45個!B:B,MATCH(A6037,02_轉折點45個!A:A,0)),"")</f>
        <v/>
      </c>
      <c r="G6037" s="7" t="s">
        <v>5494</v>
      </c>
    </row>
    <row r="6038" customFormat="false" ht="15" hidden="false" customHeight="false" outlineLevel="0" collapsed="false">
      <c r="A6038" s="7" t="s">
        <v>6643</v>
      </c>
      <c r="B6038" s="7" t="n">
        <v>10822.51</v>
      </c>
      <c r="C6038" s="7" t="n">
        <f aca="false">AVERAGE(B5989:B6038)</f>
        <v>11420.7582</v>
      </c>
      <c r="D6038" s="7" t="n">
        <f aca="false">AVERAGE(B5839:B6038)</f>
        <v>12331.58685</v>
      </c>
      <c r="E6038" s="7" t="n">
        <f aca="false">B6038/MAX(B5787:B6038)-1</f>
        <v>-0.344160656705311</v>
      </c>
      <c r="F6038" s="7" t="str">
        <f aca="false">IFERROR(INDEX(02_轉折點45個!B:B,MATCH(A6038,02_轉折點45個!A:A,0)),"")</f>
        <v/>
      </c>
      <c r="G6038" s="7" t="s">
        <v>5494</v>
      </c>
    </row>
    <row r="6039" customFormat="false" ht="15" hidden="false" customHeight="false" outlineLevel="0" collapsed="false">
      <c r="A6039" s="7" t="s">
        <v>155</v>
      </c>
      <c r="B6039" s="7" t="n">
        <v>10679.34</v>
      </c>
      <c r="C6039" s="7" t="n">
        <f aca="false">AVERAGE(B5990:B6039)</f>
        <v>11413.0944</v>
      </c>
      <c r="D6039" s="7" t="n">
        <f aca="false">AVERAGE(B5840:B6039)</f>
        <v>12319.75035</v>
      </c>
      <c r="E6039" s="7" t="n">
        <f aca="false">B6039/MAX(B5788:B6039)-1</f>
        <v>-0.352836695699916</v>
      </c>
      <c r="F6039" s="7" t="str">
        <f aca="false">IFERROR(INDEX(02_轉折點45個!B:B,MATCH(A6039,02_轉折點45個!A:A,0)),"")</f>
        <v>BOTTOM</v>
      </c>
      <c r="G6039" s="7" t="s">
        <v>5494</v>
      </c>
    </row>
    <row r="6040" customFormat="false" ht="15" hidden="false" customHeight="false" outlineLevel="0" collapsed="false">
      <c r="A6040" s="7" t="s">
        <v>6644</v>
      </c>
      <c r="B6040" s="7" t="n">
        <v>10951.05</v>
      </c>
      <c r="C6040" s="7" t="n">
        <f aca="false">AVERAGE(B5991:B6040)</f>
        <v>11409.1606</v>
      </c>
      <c r="D6040" s="7" t="n">
        <f aca="false">AVERAGE(B5841:B6040)</f>
        <v>12307.2128</v>
      </c>
      <c r="E6040" s="7" t="n">
        <f aca="false">B6040/MAX(B5789:B6040)-1</f>
        <v>-0.336371189272424</v>
      </c>
      <c r="F6040" s="7" t="str">
        <f aca="false">IFERROR(INDEX(02_轉折點45個!B:B,MATCH(A6040,02_轉折點45個!A:A,0)),"")</f>
        <v/>
      </c>
      <c r="G6040" s="7" t="s">
        <v>5494</v>
      </c>
    </row>
    <row r="6041" customFormat="false" ht="15" hidden="false" customHeight="false" outlineLevel="0" collapsed="false">
      <c r="A6041" s="7" t="s">
        <v>6645</v>
      </c>
      <c r="B6041" s="7" t="n">
        <v>10939.76</v>
      </c>
      <c r="C6041" s="7" t="n">
        <f aca="false">AVERAGE(B5992:B6041)</f>
        <v>11405.8882</v>
      </c>
      <c r="D6041" s="7" t="n">
        <f aca="false">AVERAGE(B5842:B6041)</f>
        <v>12292.12765</v>
      </c>
      <c r="E6041" s="7" t="n">
        <f aca="false">B6041/MAX(B5790:B6041)-1</f>
        <v>-0.337055358303988</v>
      </c>
      <c r="F6041" s="7" t="str">
        <f aca="false">IFERROR(INDEX(02_轉折點45個!B:B,MATCH(A6041,02_轉折點45個!A:A,0)),"")</f>
        <v/>
      </c>
      <c r="G6041" s="7" t="s">
        <v>5494</v>
      </c>
    </row>
    <row r="6042" customFormat="false" ht="15" hidden="false" customHeight="false" outlineLevel="0" collapsed="false">
      <c r="A6042" s="7" t="s">
        <v>1741</v>
      </c>
      <c r="B6042" s="7" t="n">
        <v>10862.64</v>
      </c>
      <c r="C6042" s="7" t="n">
        <f aca="false">AVERAGE(B5993:B6042)</f>
        <v>11402.2068</v>
      </c>
      <c r="D6042" s="7" t="n">
        <f aca="false">AVERAGE(B5843:B6042)</f>
        <v>12275.84785</v>
      </c>
      <c r="E6042" s="7" t="n">
        <f aca="false">B6042/MAX(B5791:B6042)-1</f>
        <v>-0.341728796365481</v>
      </c>
      <c r="F6042" s="7" t="str">
        <f aca="false">IFERROR(INDEX(02_轉折點45個!B:B,MATCH(A6042,02_轉折點45個!A:A,0)),"")</f>
        <v/>
      </c>
      <c r="G6042" s="7" t="s">
        <v>5494</v>
      </c>
    </row>
    <row r="6043" customFormat="false" ht="15" hidden="false" customHeight="false" outlineLevel="0" collapsed="false">
      <c r="A6043" s="7" t="s">
        <v>6646</v>
      </c>
      <c r="B6043" s="7" t="n">
        <v>10914.8</v>
      </c>
      <c r="C6043" s="7" t="n">
        <f aca="false">AVERAGE(B5994:B6043)</f>
        <v>11394.2962</v>
      </c>
      <c r="D6043" s="7" t="n">
        <f aca="false">AVERAGE(B5844:B6043)</f>
        <v>12258.32145</v>
      </c>
      <c r="E6043" s="7" t="n">
        <f aca="false">B6043/MAX(B5792:B6043)-1</f>
        <v>-0.32954662024493</v>
      </c>
      <c r="F6043" s="7" t="str">
        <f aca="false">IFERROR(INDEX(02_轉折點45個!B:B,MATCH(A6043,02_轉折點45個!A:A,0)),"")</f>
        <v/>
      </c>
      <c r="G6043" s="7" t="s">
        <v>5494</v>
      </c>
    </row>
    <row r="6044" customFormat="false" ht="15" hidden="false" customHeight="false" outlineLevel="0" collapsed="false">
      <c r="A6044" s="7" t="s">
        <v>6647</v>
      </c>
      <c r="B6044" s="7" t="n">
        <v>10741.22</v>
      </c>
      <c r="C6044" s="7" t="n">
        <f aca="false">AVERAGE(B5995:B6044)</f>
        <v>11380.5154</v>
      </c>
      <c r="D6044" s="7" t="n">
        <f aca="false">AVERAGE(B5845:B6044)</f>
        <v>12240.1471</v>
      </c>
      <c r="E6044" s="7" t="n">
        <f aca="false">B6044/MAX(B5793:B6044)-1</f>
        <v>-0.324668188191209</v>
      </c>
      <c r="F6044" s="7" t="str">
        <f aca="false">IFERROR(INDEX(02_轉折點45個!B:B,MATCH(A6044,02_轉折點45個!A:A,0)),"")</f>
        <v/>
      </c>
      <c r="G6044" s="7" t="s">
        <v>5494</v>
      </c>
    </row>
    <row r="6045" customFormat="false" ht="15" hidden="false" customHeight="false" outlineLevel="0" collapsed="false">
      <c r="A6045" s="7" t="s">
        <v>1742</v>
      </c>
      <c r="B6045" s="7" t="n">
        <v>11040.35</v>
      </c>
      <c r="C6045" s="7" t="n">
        <f aca="false">AVERAGE(B5996:B6045)</f>
        <v>11367.9226</v>
      </c>
      <c r="D6045" s="7" t="n">
        <f aca="false">AVERAGE(B5846:B6045)</f>
        <v>12222.0772</v>
      </c>
      <c r="E6045" s="7" t="n">
        <f aca="false">B6045/MAX(B5794:B6045)-1</f>
        <v>-0.305861013134152</v>
      </c>
      <c r="F6045" s="7" t="str">
        <f aca="false">IFERROR(INDEX(02_轉折點45個!B:B,MATCH(A6045,02_轉折點45個!A:A,0)),"")</f>
        <v/>
      </c>
      <c r="G6045" s="7" t="s">
        <v>5494</v>
      </c>
    </row>
    <row r="6046" customFormat="false" ht="15" hidden="false" customHeight="false" outlineLevel="0" collapsed="false">
      <c r="A6046" s="7" t="s">
        <v>6648</v>
      </c>
      <c r="B6046" s="7" t="n">
        <v>11108.45</v>
      </c>
      <c r="C6046" s="7" t="n">
        <f aca="false">AVERAGE(B5997:B6046)</f>
        <v>11361.9736</v>
      </c>
      <c r="D6046" s="7" t="n">
        <f aca="false">AVERAGE(B5847:B6046)</f>
        <v>12205.3817</v>
      </c>
      <c r="E6046" s="7" t="n">
        <f aca="false">B6046/MAX(B5795:B6046)-1</f>
        <v>-0.301579367624221</v>
      </c>
      <c r="F6046" s="7" t="str">
        <f aca="false">IFERROR(INDEX(02_轉折點45個!B:B,MATCH(A6046,02_轉折點45個!A:A,0)),"")</f>
        <v/>
      </c>
      <c r="G6046" s="7" t="s">
        <v>5494</v>
      </c>
    </row>
    <row r="6047" customFormat="false" ht="15" hidden="false" customHeight="false" outlineLevel="0" collapsed="false">
      <c r="A6047" s="7" t="s">
        <v>6649</v>
      </c>
      <c r="B6047" s="7" t="n">
        <v>11205.78</v>
      </c>
      <c r="C6047" s="7" t="n">
        <f aca="false">AVERAGE(B5998:B6047)</f>
        <v>11362.2566</v>
      </c>
      <c r="D6047" s="7" t="n">
        <f aca="false">AVERAGE(B5848:B6047)</f>
        <v>12187.58215</v>
      </c>
      <c r="E6047" s="7" t="n">
        <f aca="false">B6047/MAX(B5796:B6047)-1</f>
        <v>-0.295459946809514</v>
      </c>
      <c r="F6047" s="7" t="str">
        <f aca="false">IFERROR(INDEX(02_轉折點45個!B:B,MATCH(A6047,02_轉折點45個!A:A,0)),"")</f>
        <v/>
      </c>
      <c r="G6047" s="7" t="s">
        <v>5494</v>
      </c>
    </row>
    <row r="6048" customFormat="false" ht="15" hidden="false" customHeight="false" outlineLevel="0" collapsed="false">
      <c r="A6048" s="7" t="s">
        <v>6650</v>
      </c>
      <c r="B6048" s="7" t="n">
        <v>11402.52</v>
      </c>
      <c r="C6048" s="7" t="n">
        <f aca="false">AVERAGE(B5999:B6048)</f>
        <v>11359.3828</v>
      </c>
      <c r="D6048" s="7" t="n">
        <f aca="false">AVERAGE(B5849:B6048)</f>
        <v>12170.8232</v>
      </c>
      <c r="E6048" s="7" t="n">
        <f aca="false">B6048/MAX(B5797:B6048)-1</f>
        <v>-0.283090329516947</v>
      </c>
      <c r="F6048" s="7" t="str">
        <f aca="false">IFERROR(INDEX(02_轉折點45個!B:B,MATCH(A6048,02_轉折點45個!A:A,0)),"")</f>
        <v/>
      </c>
      <c r="G6048" s="7" t="s">
        <v>5494</v>
      </c>
    </row>
    <row r="6049" customFormat="false" ht="15" hidden="false" customHeight="false" outlineLevel="0" collapsed="false">
      <c r="A6049" s="7" t="s">
        <v>1743</v>
      </c>
      <c r="B6049" s="7" t="n">
        <v>11459.61</v>
      </c>
      <c r="C6049" s="7" t="n">
        <f aca="false">AVERAGE(B6000:B6049)</f>
        <v>11360.4636</v>
      </c>
      <c r="D6049" s="7" t="n">
        <f aca="false">AVERAGE(B5850:B6049)</f>
        <v>12153.18425</v>
      </c>
      <c r="E6049" s="7" t="n">
        <f aca="false">B6049/MAX(B5798:B6049)-1</f>
        <v>-0.279500914800913</v>
      </c>
      <c r="F6049" s="7" t="str">
        <f aca="false">IFERROR(INDEX(02_轉折點45個!B:B,MATCH(A6049,02_轉折點45個!A:A,0)),"")</f>
        <v/>
      </c>
      <c r="G6049" s="7" t="s">
        <v>5494</v>
      </c>
    </row>
    <row r="6050" customFormat="false" ht="15" hidden="false" customHeight="false" outlineLevel="0" collapsed="false">
      <c r="A6050" s="7" t="s">
        <v>1744</v>
      </c>
      <c r="B6050" s="7" t="n">
        <v>11541.48</v>
      </c>
      <c r="C6050" s="7" t="n">
        <f aca="false">AVERAGE(B6001:B6050)</f>
        <v>11365.5142</v>
      </c>
      <c r="D6050" s="7" t="n">
        <f aca="false">AVERAGE(B5851:B6050)</f>
        <v>12134.69505</v>
      </c>
      <c r="E6050" s="7" t="n">
        <f aca="false">B6050/MAX(B5799:B6050)-1</f>
        <v>-0.260710792430496</v>
      </c>
      <c r="F6050" s="7" t="str">
        <f aca="false">IFERROR(INDEX(02_轉折點45個!B:B,MATCH(A6050,02_轉折點45個!A:A,0)),"")</f>
        <v/>
      </c>
      <c r="G6050" s="7" t="s">
        <v>5494</v>
      </c>
    </row>
    <row r="6051" customFormat="false" ht="15" hidden="false" customHeight="false" outlineLevel="0" collapsed="false">
      <c r="A6051" s="7" t="s">
        <v>6651</v>
      </c>
      <c r="B6051" s="7" t="n">
        <v>11557.19</v>
      </c>
      <c r="C6051" s="7" t="n">
        <f aca="false">AVERAGE(B6002:B6051)</f>
        <v>11378.5312</v>
      </c>
      <c r="D6051" s="7" t="n">
        <f aca="false">AVERAGE(B5852:B6051)</f>
        <v>12117.12325</v>
      </c>
      <c r="E6051" s="7" t="n">
        <f aca="false">B6051/MAX(B5800:B6051)-1</f>
        <v>-0.259704488780451</v>
      </c>
      <c r="F6051" s="7" t="str">
        <f aca="false">IFERROR(INDEX(02_轉折點45個!B:B,MATCH(A6051,02_轉折點45個!A:A,0)),"")</f>
        <v/>
      </c>
      <c r="G6051" s="7" t="s">
        <v>5494</v>
      </c>
    </row>
    <row r="6052" customFormat="false" ht="15" hidden="false" customHeight="false" outlineLevel="0" collapsed="false">
      <c r="A6052" s="7" t="s">
        <v>6652</v>
      </c>
      <c r="B6052" s="7" t="n">
        <v>11410.29</v>
      </c>
      <c r="C6052" s="7" t="n">
        <f aca="false">AVERAGE(B6003:B6052)</f>
        <v>11392.925</v>
      </c>
      <c r="D6052" s="7" t="n">
        <f aca="false">AVERAGE(B5853:B6052)</f>
        <v>12099.98225</v>
      </c>
      <c r="E6052" s="7" t="n">
        <f aca="false">B6052/MAX(B5801:B6052)-1</f>
        <v>-0.251259898735639</v>
      </c>
      <c r="F6052" s="7" t="str">
        <f aca="false">IFERROR(INDEX(02_轉折點45個!B:B,MATCH(A6052,02_轉折點45個!A:A,0)),"")</f>
        <v/>
      </c>
      <c r="G6052" s="7" t="s">
        <v>5494</v>
      </c>
    </row>
    <row r="6053" customFormat="false" ht="15" hidden="false" customHeight="false" outlineLevel="0" collapsed="false">
      <c r="A6053" s="7" t="s">
        <v>6653</v>
      </c>
      <c r="B6053" s="7" t="n">
        <v>11295.67</v>
      </c>
      <c r="C6053" s="7" t="n">
        <f aca="false">AVERAGE(B6004:B6053)</f>
        <v>11401.6978</v>
      </c>
      <c r="D6053" s="7" t="n">
        <f aca="false">AVERAGE(B5854:B6053)</f>
        <v>12082.15455</v>
      </c>
      <c r="E6053" s="7" t="n">
        <f aca="false">B6053/MAX(B5802:B6053)-1</f>
        <v>-0.258781231708501</v>
      </c>
      <c r="F6053" s="7" t="str">
        <f aca="false">IFERROR(INDEX(02_轉折點45個!B:B,MATCH(A6053,02_轉折點45個!A:A,0)),"")</f>
        <v/>
      </c>
      <c r="G6053" s="7" t="s">
        <v>5494</v>
      </c>
    </row>
    <row r="6054" customFormat="false" ht="15" hidden="false" customHeight="false" outlineLevel="0" collapsed="false">
      <c r="A6054" s="7" t="s">
        <v>6654</v>
      </c>
      <c r="B6054" s="7" t="n">
        <v>11619.03</v>
      </c>
      <c r="C6054" s="7" t="n">
        <f aca="false">AVERAGE(B6005:B6054)</f>
        <v>11414.5384</v>
      </c>
      <c r="D6054" s="7" t="n">
        <f aca="false">AVERAGE(B5855:B6054)</f>
        <v>12064.4518</v>
      </c>
      <c r="E6054" s="7" t="n">
        <f aca="false">B6054/MAX(B5803:B6054)-1</f>
        <v>-0.237562437169113</v>
      </c>
      <c r="F6054" s="7" t="str">
        <f aca="false">IFERROR(INDEX(02_轉折點45個!B:B,MATCH(A6054,02_轉折點45個!A:A,0)),"")</f>
        <v/>
      </c>
      <c r="G6054" s="7" t="s">
        <v>5494</v>
      </c>
    </row>
    <row r="6055" customFormat="false" ht="15" hidden="false" customHeight="false" outlineLevel="0" collapsed="false">
      <c r="A6055" s="7" t="s">
        <v>6655</v>
      </c>
      <c r="B6055" s="7" t="n">
        <v>11872.54</v>
      </c>
      <c r="C6055" s="7" t="n">
        <f aca="false">AVERAGE(B6006:B6055)</f>
        <v>11430.7992</v>
      </c>
      <c r="D6055" s="7" t="n">
        <f aca="false">AVERAGE(B5856:B6055)</f>
        <v>12049.7113</v>
      </c>
      <c r="E6055" s="7" t="n">
        <f aca="false">B6055/MAX(B5804:B6055)-1</f>
        <v>-0.220927180477869</v>
      </c>
      <c r="F6055" s="7" t="str">
        <f aca="false">IFERROR(INDEX(02_轉折點45個!B:B,MATCH(A6055,02_轉折點45個!A:A,0)),"")</f>
        <v/>
      </c>
      <c r="G6055" s="7" t="s">
        <v>5494</v>
      </c>
    </row>
    <row r="6056" customFormat="false" ht="15" hidden="false" customHeight="false" outlineLevel="0" collapsed="false">
      <c r="A6056" s="7" t="s">
        <v>6656</v>
      </c>
      <c r="B6056" s="7" t="n">
        <v>11846.64</v>
      </c>
      <c r="C6056" s="7" t="n">
        <f aca="false">AVERAGE(B6007:B6056)</f>
        <v>11451.781</v>
      </c>
      <c r="D6056" s="7" t="n">
        <f aca="false">AVERAGE(B5857:B6056)</f>
        <v>12036.45005</v>
      </c>
      <c r="E6056" s="7" t="n">
        <f aca="false">B6056/MAX(B5805:B6056)-1</f>
        <v>-0.222626731376466</v>
      </c>
      <c r="F6056" s="7" t="str">
        <f aca="false">IFERROR(INDEX(02_轉折點45個!B:B,MATCH(A6056,02_轉折點45個!A:A,0)),"")</f>
        <v/>
      </c>
      <c r="G6056" s="7" t="s">
        <v>5494</v>
      </c>
    </row>
    <row r="6057" customFormat="false" ht="15" hidden="false" customHeight="false" outlineLevel="0" collapsed="false">
      <c r="A6057" s="7" t="s">
        <v>6657</v>
      </c>
      <c r="B6057" s="7" t="n">
        <v>11814.69</v>
      </c>
      <c r="C6057" s="7" t="n">
        <f aca="false">AVERAGE(B6008:B6057)</f>
        <v>11455.9556</v>
      </c>
      <c r="D6057" s="7" t="n">
        <f aca="false">AVERAGE(B5858:B6057)</f>
        <v>12022.86445</v>
      </c>
      <c r="E6057" s="7" t="n">
        <f aca="false">B6057/MAX(B5806:B6057)-1</f>
        <v>-0.22472328161624</v>
      </c>
      <c r="F6057" s="7" t="str">
        <f aca="false">IFERROR(INDEX(02_轉折點45個!B:B,MATCH(A6057,02_轉折點45個!A:A,0)),"")</f>
        <v/>
      </c>
      <c r="G6057" s="7" t="s">
        <v>5494</v>
      </c>
    </row>
    <row r="6058" customFormat="false" ht="15" hidden="false" customHeight="false" outlineLevel="0" collapsed="false">
      <c r="A6058" s="7" t="s">
        <v>1745</v>
      </c>
      <c r="B6058" s="7" t="n">
        <v>12051.48</v>
      </c>
      <c r="C6058" s="7" t="n">
        <f aca="false">AVERAGE(B6009:B6058)</f>
        <v>11460.645</v>
      </c>
      <c r="D6058" s="7" t="n">
        <f aca="false">AVERAGE(B5859:B6058)</f>
        <v>12011.48555</v>
      </c>
      <c r="E6058" s="7" t="n">
        <f aca="false">B6058/MAX(B5807:B6058)-1</f>
        <v>-0.209185186740616</v>
      </c>
      <c r="F6058" s="7" t="str">
        <f aca="false">IFERROR(INDEX(02_轉折點45個!B:B,MATCH(A6058,02_轉折點45個!A:A,0)),"")</f>
        <v/>
      </c>
      <c r="G6058" s="7" t="s">
        <v>5494</v>
      </c>
    </row>
    <row r="6059" customFormat="false" ht="15" hidden="false" customHeight="false" outlineLevel="0" collapsed="false">
      <c r="A6059" s="7" t="s">
        <v>6658</v>
      </c>
      <c r="B6059" s="7" t="n">
        <v>12166.6</v>
      </c>
      <c r="C6059" s="7" t="n">
        <f aca="false">AVERAGE(B6010:B6059)</f>
        <v>11469.9582</v>
      </c>
      <c r="D6059" s="7" t="n">
        <f aca="false">AVERAGE(B5860:B6059)</f>
        <v>12002.3675</v>
      </c>
      <c r="E6059" s="7" t="n">
        <f aca="false">B6059/MAX(B5808:B6059)-1</f>
        <v>-0.201631043904846</v>
      </c>
      <c r="F6059" s="7" t="str">
        <f aca="false">IFERROR(INDEX(02_轉折點45個!B:B,MATCH(A6059,02_轉折點45個!A:A,0)),"")</f>
        <v/>
      </c>
      <c r="G6059" s="7" t="s">
        <v>5494</v>
      </c>
    </row>
    <row r="6060" customFormat="false" ht="15" hidden="false" customHeight="false" outlineLevel="0" collapsed="false">
      <c r="A6060" s="7" t="s">
        <v>1746</v>
      </c>
      <c r="B6060" s="7" t="n">
        <v>11912.39</v>
      </c>
      <c r="C6060" s="7" t="n">
        <f aca="false">AVERAGE(B6011:B6060)</f>
        <v>11470.783</v>
      </c>
      <c r="D6060" s="7" t="n">
        <f aca="false">AVERAGE(B5861:B6060)</f>
        <v>11992.22825</v>
      </c>
      <c r="E6060" s="7" t="n">
        <f aca="false">B6060/MAX(B5809:B6060)-1</f>
        <v>-0.21831223440416</v>
      </c>
      <c r="F6060" s="7" t="str">
        <f aca="false">IFERROR(INDEX(02_轉折點45個!B:B,MATCH(A6060,02_轉折點45個!A:A,0)),"")</f>
        <v/>
      </c>
      <c r="G6060" s="7" t="s">
        <v>5494</v>
      </c>
    </row>
    <row r="6061" customFormat="false" ht="15" hidden="false" customHeight="false" outlineLevel="0" collapsed="false">
      <c r="A6061" s="7" t="s">
        <v>1747</v>
      </c>
      <c r="B6061" s="7" t="n">
        <v>12101.93</v>
      </c>
      <c r="C6061" s="7" t="n">
        <f aca="false">AVERAGE(B6012:B6061)</f>
        <v>11478.8398</v>
      </c>
      <c r="D6061" s="7" t="n">
        <f aca="false">AVERAGE(B5862:B6061)</f>
        <v>11981.65145</v>
      </c>
      <c r="E6061" s="7" t="n">
        <f aca="false">B6061/MAX(B5810:B6061)-1</f>
        <v>-0.205874671573272</v>
      </c>
      <c r="F6061" s="7" t="str">
        <f aca="false">IFERROR(INDEX(02_轉折點45個!B:B,MATCH(A6061,02_轉折點45個!A:A,0)),"")</f>
        <v/>
      </c>
      <c r="G6061" s="7" t="s">
        <v>5494</v>
      </c>
    </row>
    <row r="6062" customFormat="false" ht="15" hidden="false" customHeight="false" outlineLevel="0" collapsed="false">
      <c r="A6062" s="7" t="s">
        <v>1748</v>
      </c>
      <c r="B6062" s="7" t="n">
        <v>12363.1</v>
      </c>
      <c r="C6062" s="7" t="n">
        <f aca="false">AVERAGE(B6013:B6062)</f>
        <v>11492.5646</v>
      </c>
      <c r="D6062" s="7" t="n">
        <f aca="false">AVERAGE(B5863:B6062)</f>
        <v>11974.0009</v>
      </c>
      <c r="E6062" s="7" t="n">
        <f aca="false">B6062/MAX(B5811:B6062)-1</f>
        <v>-0.188736767782289</v>
      </c>
      <c r="F6062" s="7" t="str">
        <f aca="false">IFERROR(INDEX(02_轉折點45個!B:B,MATCH(A6062,02_轉折點45個!A:A,0)),"")</f>
        <v/>
      </c>
      <c r="G6062" s="7" t="s">
        <v>5494</v>
      </c>
    </row>
    <row r="6063" customFormat="false" ht="15" hidden="false" customHeight="false" outlineLevel="0" collapsed="false">
      <c r="A6063" s="7" t="s">
        <v>6659</v>
      </c>
      <c r="B6063" s="7" t="n">
        <v>12803.14</v>
      </c>
      <c r="C6063" s="7" t="n">
        <f aca="false">AVERAGE(B6014:B6063)</f>
        <v>11515.087</v>
      </c>
      <c r="D6063" s="7" t="n">
        <f aca="false">AVERAGE(B5864:B6063)</f>
        <v>11968.4628</v>
      </c>
      <c r="E6063" s="7" t="n">
        <f aca="false">B6063/MAX(B5812:B6063)-1</f>
        <v>-0.15986146363486</v>
      </c>
      <c r="F6063" s="7" t="str">
        <f aca="false">IFERROR(INDEX(02_轉折點45個!B:B,MATCH(A6063,02_轉折點45個!A:A,0)),"")</f>
        <v/>
      </c>
      <c r="G6063" s="7" t="s">
        <v>5494</v>
      </c>
    </row>
    <row r="6064" customFormat="false" ht="15" hidden="false" customHeight="false" outlineLevel="0" collapsed="false">
      <c r="A6064" s="7" t="s">
        <v>1749</v>
      </c>
      <c r="B6064" s="7" t="n">
        <v>12573.36</v>
      </c>
      <c r="C6064" s="7" t="n">
        <f aca="false">AVERAGE(B6015:B6064)</f>
        <v>11535.4852</v>
      </c>
      <c r="D6064" s="7" t="n">
        <f aca="false">AVERAGE(B5865:B6064)</f>
        <v>11960.2783</v>
      </c>
      <c r="E6064" s="7" t="n">
        <f aca="false">B6064/MAX(B5813:B6064)-1</f>
        <v>-0.174939564232525</v>
      </c>
      <c r="F6064" s="7" t="str">
        <f aca="false">IFERROR(INDEX(02_轉折點45個!B:B,MATCH(A6064,02_轉折點45個!A:A,0)),"")</f>
        <v/>
      </c>
      <c r="G6064" s="7" t="s">
        <v>5494</v>
      </c>
    </row>
    <row r="6065" customFormat="false" ht="15" hidden="false" customHeight="false" outlineLevel="0" collapsed="false">
      <c r="A6065" s="7" t="s">
        <v>6660</v>
      </c>
      <c r="B6065" s="7" t="n">
        <v>12464.51</v>
      </c>
      <c r="C6065" s="7" t="n">
        <f aca="false">AVERAGE(B6016:B6065)</f>
        <v>11550.2786</v>
      </c>
      <c r="D6065" s="7" t="n">
        <f aca="false">AVERAGE(B5866:B6065)</f>
        <v>11952.6082</v>
      </c>
      <c r="E6065" s="7" t="n">
        <f aca="false">B6065/MAX(B5814:B6065)-1</f>
        <v>-0.182082271387437</v>
      </c>
      <c r="F6065" s="7" t="str">
        <f aca="false">IFERROR(INDEX(02_轉折點45個!B:B,MATCH(A6065,02_轉折點45個!A:A,0)),"")</f>
        <v/>
      </c>
      <c r="G6065" s="7" t="s">
        <v>5494</v>
      </c>
    </row>
    <row r="6066" customFormat="false" ht="15" hidden="false" customHeight="false" outlineLevel="0" collapsed="false">
      <c r="A6066" s="7" t="s">
        <v>1750</v>
      </c>
      <c r="B6066" s="7" t="n">
        <v>12728.27</v>
      </c>
      <c r="C6066" s="7" t="n">
        <f aca="false">AVERAGE(B6017:B6066)</f>
        <v>11568.0696</v>
      </c>
      <c r="D6066" s="7" t="n">
        <f aca="false">AVERAGE(B5867:B6066)</f>
        <v>11947.6473</v>
      </c>
      <c r="E6066" s="7" t="n">
        <f aca="false">B6066/MAX(B5815:B6066)-1</f>
        <v>-0.164774412506595</v>
      </c>
      <c r="F6066" s="7" t="str">
        <f aca="false">IFERROR(INDEX(02_轉折點45個!B:B,MATCH(A6066,02_轉折點45個!A:A,0)),"")</f>
        <v/>
      </c>
      <c r="G6066" s="7" t="s">
        <v>5494</v>
      </c>
    </row>
    <row r="6067" customFormat="false" ht="15" hidden="false" customHeight="false" outlineLevel="0" collapsed="false">
      <c r="A6067" s="7" t="s">
        <v>6661</v>
      </c>
      <c r="B6067" s="7" t="n">
        <v>12495.38</v>
      </c>
      <c r="C6067" s="7" t="n">
        <f aca="false">AVERAGE(B6018:B6067)</f>
        <v>11582.8566</v>
      </c>
      <c r="D6067" s="7" t="n">
        <f aca="false">AVERAGE(B5868:B6067)</f>
        <v>11943.33985</v>
      </c>
      <c r="E6067" s="7" t="n">
        <f aca="false">B6067/MAX(B5816:B6067)-1</f>
        <v>-0.180056590451543</v>
      </c>
      <c r="F6067" s="7" t="str">
        <f aca="false">IFERROR(INDEX(02_轉折點45個!B:B,MATCH(A6067,02_轉折點45個!A:A,0)),"")</f>
        <v/>
      </c>
      <c r="G6067" s="7" t="s">
        <v>5494</v>
      </c>
    </row>
    <row r="6068" customFormat="false" ht="15" hidden="false" customHeight="false" outlineLevel="0" collapsed="false">
      <c r="A6068" s="7" t="s">
        <v>6662</v>
      </c>
      <c r="B6068" s="7" t="n">
        <v>12381.17</v>
      </c>
      <c r="C6068" s="7" t="n">
        <f aca="false">AVERAGE(B6019:B6068)</f>
        <v>11598.725</v>
      </c>
      <c r="D6068" s="7" t="n">
        <f aca="false">AVERAGE(B5869:B6068)</f>
        <v>11937.5796</v>
      </c>
      <c r="E6068" s="7" t="n">
        <f aca="false">B6068/MAX(B5817:B6068)-1</f>
        <v>-0.187551019336821</v>
      </c>
      <c r="F6068" s="7" t="str">
        <f aca="false">IFERROR(INDEX(02_轉折點45個!B:B,MATCH(A6068,02_轉折點45個!A:A,0)),"")</f>
        <v/>
      </c>
      <c r="G6068" s="7" t="s">
        <v>5494</v>
      </c>
    </row>
    <row r="6069" customFormat="false" ht="15" hidden="false" customHeight="false" outlineLevel="0" collapsed="false">
      <c r="A6069" s="7" t="s">
        <v>6663</v>
      </c>
      <c r="B6069" s="7" t="n">
        <v>12304.92</v>
      </c>
      <c r="C6069" s="7" t="n">
        <f aca="false">AVERAGE(B6020:B6069)</f>
        <v>11614.7544</v>
      </c>
      <c r="D6069" s="7" t="n">
        <f aca="false">AVERAGE(B5870:B6069)</f>
        <v>11934.05565</v>
      </c>
      <c r="E6069" s="7" t="n">
        <f aca="false">B6069/MAX(B5818:B6069)-1</f>
        <v>-0.192554523430179</v>
      </c>
      <c r="F6069" s="7" t="str">
        <f aca="false">IFERROR(INDEX(02_轉折點45個!B:B,MATCH(A6069,02_轉折點45個!A:A,0)),"")</f>
        <v/>
      </c>
      <c r="G6069" s="7" t="s">
        <v>5494</v>
      </c>
    </row>
    <row r="6070" customFormat="false" ht="15" hidden="false" customHeight="false" outlineLevel="0" collapsed="false">
      <c r="A6070" s="7" t="s">
        <v>6664</v>
      </c>
      <c r="B6070" s="7" t="n">
        <v>12502.31</v>
      </c>
      <c r="C6070" s="7" t="n">
        <f aca="false">AVERAGE(B6021:B6070)</f>
        <v>11624.1994</v>
      </c>
      <c r="D6070" s="7" t="n">
        <f aca="false">AVERAGE(B5871:B6070)</f>
        <v>11931.5504</v>
      </c>
      <c r="E6070" s="7" t="n">
        <f aca="false">B6070/MAX(B5819:B6070)-1</f>
        <v>-0.179601845751648</v>
      </c>
      <c r="F6070" s="7" t="str">
        <f aca="false">IFERROR(INDEX(02_轉折點45個!B:B,MATCH(A6070,02_轉折點45個!A:A,0)),"")</f>
        <v/>
      </c>
      <c r="G6070" s="7" t="s">
        <v>5494</v>
      </c>
    </row>
    <row r="6071" customFormat="false" ht="15" hidden="false" customHeight="false" outlineLevel="0" collapsed="false">
      <c r="A6071" s="7" t="s">
        <v>6665</v>
      </c>
      <c r="B6071" s="7" t="n">
        <v>12590.89</v>
      </c>
      <c r="C6071" s="7" t="n">
        <f aca="false">AVERAGE(B6022:B6071)</f>
        <v>11635.1794</v>
      </c>
      <c r="D6071" s="7" t="n">
        <f aca="false">AVERAGE(B5872:B6071)</f>
        <v>11927.22455</v>
      </c>
      <c r="E6071" s="7" t="n">
        <f aca="false">B6071/MAX(B5820:B6071)-1</f>
        <v>-0.173789250438996</v>
      </c>
      <c r="F6071" s="7" t="str">
        <f aca="false">IFERROR(INDEX(02_轉折點45個!B:B,MATCH(A6071,02_轉折點45個!A:A,0)),"")</f>
        <v/>
      </c>
      <c r="G6071" s="7" t="s">
        <v>5494</v>
      </c>
    </row>
    <row r="6072" customFormat="false" ht="15" hidden="false" customHeight="false" outlineLevel="0" collapsed="false">
      <c r="A6072" s="7" t="s">
        <v>6666</v>
      </c>
      <c r="B6072" s="7" t="n">
        <v>12687.89</v>
      </c>
      <c r="C6072" s="7" t="n">
        <f aca="false">AVERAGE(B6023:B6072)</f>
        <v>11649.052</v>
      </c>
      <c r="D6072" s="7" t="n">
        <f aca="false">AVERAGE(B5873:B6072)</f>
        <v>11926.39</v>
      </c>
      <c r="E6072" s="7" t="n">
        <f aca="false">B6072/MAX(B5821:B6072)-1</f>
        <v>-0.167424137034986</v>
      </c>
      <c r="F6072" s="7" t="str">
        <f aca="false">IFERROR(INDEX(02_轉折點45個!B:B,MATCH(A6072,02_轉折點45個!A:A,0)),"")</f>
        <v/>
      </c>
      <c r="G6072" s="7" t="s">
        <v>5494</v>
      </c>
    </row>
    <row r="6073" customFormat="false" ht="15" hidden="false" customHeight="false" outlineLevel="0" collapsed="false">
      <c r="A6073" s="7" t="s">
        <v>6667</v>
      </c>
      <c r="B6073" s="7" t="n">
        <v>12442.48</v>
      </c>
      <c r="C6073" s="7" t="n">
        <f aca="false">AVERAGE(B6024:B6073)</f>
        <v>11662.1656</v>
      </c>
      <c r="D6073" s="7" t="n">
        <f aca="false">AVERAGE(B5874:B6073)</f>
        <v>11923.22315</v>
      </c>
      <c r="E6073" s="7" t="n">
        <f aca="false">B6073/MAX(B5822:B6073)-1</f>
        <v>-0.183527873947132</v>
      </c>
      <c r="F6073" s="7" t="str">
        <f aca="false">IFERROR(INDEX(02_轉折點45個!B:B,MATCH(A6073,02_轉折點45個!A:A,0)),"")</f>
        <v/>
      </c>
      <c r="G6073" s="7" t="s">
        <v>5494</v>
      </c>
    </row>
    <row r="6074" customFormat="false" ht="15" hidden="false" customHeight="false" outlineLevel="0" collapsed="false">
      <c r="A6074" s="7" t="s">
        <v>6668</v>
      </c>
      <c r="B6074" s="7" t="n">
        <v>12358.18</v>
      </c>
      <c r="C6074" s="7" t="n">
        <f aca="false">AVERAGE(B6025:B6074)</f>
        <v>11678.3354</v>
      </c>
      <c r="D6074" s="7" t="n">
        <f aca="false">AVERAGE(B5875:B6074)</f>
        <v>11919.56455</v>
      </c>
      <c r="E6074" s="7" t="n">
        <f aca="false">B6074/MAX(B5823:B6074)-1</f>
        <v>-0.189059616833297</v>
      </c>
      <c r="F6074" s="7" t="str">
        <f aca="false">IFERROR(INDEX(02_轉折點45個!B:B,MATCH(A6074,02_轉折點45個!A:A,0)),"")</f>
        <v/>
      </c>
      <c r="G6074" s="7" t="s">
        <v>5494</v>
      </c>
    </row>
    <row r="6075" customFormat="false" ht="15" hidden="false" customHeight="false" outlineLevel="0" collapsed="false">
      <c r="A6075" s="7" t="s">
        <v>6669</v>
      </c>
      <c r="B6075" s="7" t="n">
        <v>12060.3</v>
      </c>
      <c r="C6075" s="7" t="n">
        <f aca="false">AVERAGE(B6026:B6075)</f>
        <v>11689.5936</v>
      </c>
      <c r="D6075" s="7" t="n">
        <f aca="false">AVERAGE(B5876:B6075)</f>
        <v>11912.1875</v>
      </c>
      <c r="E6075" s="7" t="n">
        <f aca="false">B6075/MAX(B5824:B6075)-1</f>
        <v>-0.208606420758932</v>
      </c>
      <c r="F6075" s="7" t="str">
        <f aca="false">IFERROR(INDEX(02_轉折點45個!B:B,MATCH(A6075,02_轉折點45個!A:A,0)),"")</f>
        <v/>
      </c>
      <c r="G6075" s="7" t="s">
        <v>5494</v>
      </c>
    </row>
    <row r="6076" customFormat="false" ht="15" hidden="false" customHeight="false" outlineLevel="0" collapsed="false">
      <c r="A6076" s="7" t="s">
        <v>6670</v>
      </c>
      <c r="B6076" s="7" t="n">
        <v>12066.27</v>
      </c>
      <c r="C6076" s="7" t="n">
        <f aca="false">AVERAGE(B6027:B6076)</f>
        <v>11698.169</v>
      </c>
      <c r="D6076" s="7" t="n">
        <f aca="false">AVERAGE(B5877:B6076)</f>
        <v>11908.2661</v>
      </c>
      <c r="E6076" s="7" t="n">
        <f aca="false">B6076/MAX(B5825:B6076)-1</f>
        <v>-0.208214670995819</v>
      </c>
      <c r="F6076" s="7" t="str">
        <f aca="false">IFERROR(INDEX(02_轉折點45個!B:B,MATCH(A6076,02_轉折點45個!A:A,0)),"")</f>
        <v/>
      </c>
      <c r="G6076" s="7" t="s">
        <v>5494</v>
      </c>
    </row>
    <row r="6077" customFormat="false" ht="15" hidden="false" customHeight="false" outlineLevel="0" collapsed="false">
      <c r="A6077" s="7" t="s">
        <v>6671</v>
      </c>
      <c r="B6077" s="7" t="n">
        <v>12180.14</v>
      </c>
      <c r="C6077" s="7" t="n">
        <f aca="false">AVERAGE(B6028:B6077)</f>
        <v>11710.5052</v>
      </c>
      <c r="D6077" s="7" t="n">
        <f aca="false">AVERAGE(B5878:B6077)</f>
        <v>11905.69915</v>
      </c>
      <c r="E6077" s="7" t="n">
        <f aca="false">B6077/MAX(B5826:B6077)-1</f>
        <v>-0.200742552817317</v>
      </c>
      <c r="F6077" s="7" t="str">
        <f aca="false">IFERROR(INDEX(02_轉折點45個!B:B,MATCH(A6077,02_轉折點45個!A:A,0)),"")</f>
        <v/>
      </c>
      <c r="G6077" s="7" t="s">
        <v>5494</v>
      </c>
    </row>
    <row r="6078" customFormat="false" ht="15" hidden="false" customHeight="false" outlineLevel="0" collapsed="false">
      <c r="A6078" s="7" t="s">
        <v>6672</v>
      </c>
      <c r="B6078" s="7" t="n">
        <v>11969.65</v>
      </c>
      <c r="C6078" s="7" t="n">
        <f aca="false">AVERAGE(B6029:B6078)</f>
        <v>11715.7694</v>
      </c>
      <c r="D6078" s="7" t="n">
        <f aca="false">AVERAGE(B5879:B6078)</f>
        <v>11904.6088</v>
      </c>
      <c r="E6078" s="7" t="n">
        <f aca="false">B6078/MAX(B5827:B6078)-1</f>
        <v>-0.214554848904019</v>
      </c>
      <c r="F6078" s="7" t="str">
        <f aca="false">IFERROR(INDEX(02_轉折點45個!B:B,MATCH(A6078,02_轉折點45個!A:A,0)),"")</f>
        <v/>
      </c>
      <c r="G6078" s="7" t="s">
        <v>5494</v>
      </c>
    </row>
    <row r="6079" customFormat="false" ht="15" hidden="false" customHeight="false" outlineLevel="0" collapsed="false">
      <c r="A6079" s="7" t="s">
        <v>6673</v>
      </c>
      <c r="B6079" s="7" t="n">
        <v>12057.79</v>
      </c>
      <c r="C6079" s="7" t="n">
        <f aca="false">AVERAGE(B6030:B6079)</f>
        <v>11720.241</v>
      </c>
      <c r="D6079" s="7" t="n">
        <f aca="false">AVERAGE(B5880:B6079)</f>
        <v>11903.16845</v>
      </c>
      <c r="E6079" s="7" t="n">
        <f aca="false">B6079/MAX(B5828:B6079)-1</f>
        <v>-0.208771126270726</v>
      </c>
      <c r="F6079" s="7" t="str">
        <f aca="false">IFERROR(INDEX(02_轉折點45個!B:B,MATCH(A6079,02_轉折點45個!A:A,0)),"")</f>
        <v/>
      </c>
      <c r="G6079" s="7" t="s">
        <v>5494</v>
      </c>
    </row>
    <row r="6080" customFormat="false" ht="15" hidden="false" customHeight="false" outlineLevel="0" collapsed="false">
      <c r="A6080" s="7" t="s">
        <v>6674</v>
      </c>
      <c r="B6080" s="7" t="n">
        <v>12042.12</v>
      </c>
      <c r="C6080" s="7" t="n">
        <f aca="false">AVERAGE(B6031:B6080)</f>
        <v>11726.265</v>
      </c>
      <c r="D6080" s="7" t="n">
        <f aca="false">AVERAGE(B5881:B6080)</f>
        <v>11903.54125</v>
      </c>
      <c r="E6080" s="7" t="n">
        <f aca="false">B6080/MAX(B5829:B6080)-1</f>
        <v>-0.20979938737424</v>
      </c>
      <c r="F6080" s="7" t="str">
        <f aca="false">IFERROR(INDEX(02_轉折點45個!B:B,MATCH(A6080,02_轉折點45個!A:A,0)),"")</f>
        <v/>
      </c>
      <c r="G6080" s="7" t="s">
        <v>5494</v>
      </c>
    </row>
    <row r="6081" customFormat="false" ht="15" hidden="false" customHeight="false" outlineLevel="0" collapsed="false">
      <c r="A6081" s="7" t="s">
        <v>6675</v>
      </c>
      <c r="B6081" s="7" t="n">
        <v>11938.57</v>
      </c>
      <c r="C6081" s="7" t="n">
        <f aca="false">AVERAGE(B6032:B6081)</f>
        <v>11738.132</v>
      </c>
      <c r="D6081" s="7" t="n">
        <f aca="false">AVERAGE(B5882:B6081)</f>
        <v>11903.5066</v>
      </c>
      <c r="E6081" s="7" t="n">
        <f aca="false">B6081/MAX(B5830:B6081)-1</f>
        <v>-0.216594309982335</v>
      </c>
      <c r="F6081" s="7" t="str">
        <f aca="false">IFERROR(INDEX(02_轉折點45個!B:B,MATCH(A6081,02_轉折點45個!A:A,0)),"")</f>
        <v/>
      </c>
      <c r="G6081" s="7" t="s">
        <v>5494</v>
      </c>
    </row>
    <row r="6082" customFormat="false" ht="15" hidden="false" customHeight="false" outlineLevel="0" collapsed="false">
      <c r="A6082" s="7" t="s">
        <v>1751</v>
      </c>
      <c r="B6082" s="7" t="n">
        <v>12044.87</v>
      </c>
      <c r="C6082" s="7" t="n">
        <f aca="false">AVERAGE(B6033:B6082)</f>
        <v>11754.155</v>
      </c>
      <c r="D6082" s="7" t="n">
        <f aca="false">AVERAGE(B5883:B6082)</f>
        <v>11901.79395</v>
      </c>
      <c r="E6082" s="7" t="n">
        <f aca="false">B6082/MAX(B5831:B6082)-1</f>
        <v>-0.20961893312825</v>
      </c>
      <c r="F6082" s="7" t="str">
        <f aca="false">IFERROR(INDEX(02_轉折點45個!B:B,MATCH(A6082,02_轉折點45個!A:A,0)),"")</f>
        <v/>
      </c>
      <c r="G6082" s="7" t="s">
        <v>5494</v>
      </c>
    </row>
    <row r="6083" customFormat="false" ht="15" hidden="false" customHeight="false" outlineLevel="0" collapsed="false">
      <c r="A6083" s="7" t="s">
        <v>6676</v>
      </c>
      <c r="B6083" s="7" t="n">
        <v>12290.81</v>
      </c>
      <c r="C6083" s="7" t="n">
        <f aca="false">AVERAGE(B6034:B6083)</f>
        <v>11778.2794</v>
      </c>
      <c r="D6083" s="7" t="n">
        <f aca="false">AVERAGE(B5884:B6083)</f>
        <v>11902.0301</v>
      </c>
      <c r="E6083" s="7" t="n">
        <f aca="false">B6083/MAX(B5832:B6083)-1</f>
        <v>-0.193480417761422</v>
      </c>
      <c r="F6083" s="7" t="str">
        <f aca="false">IFERROR(INDEX(02_轉折點45個!B:B,MATCH(A6083,02_轉折點45個!A:A,0)),"")</f>
        <v/>
      </c>
      <c r="G6083" s="7" t="s">
        <v>5494</v>
      </c>
    </row>
    <row r="6084" customFormat="false" ht="15" hidden="false" customHeight="false" outlineLevel="0" collapsed="false">
      <c r="A6084" s="7" t="s">
        <v>6677</v>
      </c>
      <c r="B6084" s="7" t="n">
        <v>12302.48</v>
      </c>
      <c r="C6084" s="7" t="n">
        <f aca="false">AVERAGE(B6035:B6084)</f>
        <v>11802.8806</v>
      </c>
      <c r="D6084" s="7" t="n">
        <f aca="false">AVERAGE(B5885:B6084)</f>
        <v>11900.722</v>
      </c>
      <c r="E6084" s="7" t="n">
        <f aca="false">B6084/MAX(B5833:B6084)-1</f>
        <v>-0.192714635561167</v>
      </c>
      <c r="F6084" s="7" t="str">
        <f aca="false">IFERROR(INDEX(02_轉折點45個!B:B,MATCH(A6084,02_轉折點45個!A:A,0)),"")</f>
        <v/>
      </c>
      <c r="G6084" s="7" t="s">
        <v>5494</v>
      </c>
    </row>
    <row r="6085" customFormat="false" ht="15" hidden="false" customHeight="false" outlineLevel="0" collapsed="false">
      <c r="A6085" s="7" t="s">
        <v>6678</v>
      </c>
      <c r="B6085" s="7" t="n">
        <v>12152.17</v>
      </c>
      <c r="C6085" s="7" t="n">
        <f aca="false">AVERAGE(B6036:B6085)</f>
        <v>11821.2064</v>
      </c>
      <c r="D6085" s="7" t="n">
        <f aca="false">AVERAGE(B5886:B6085)</f>
        <v>11901.8413</v>
      </c>
      <c r="E6085" s="7" t="n">
        <f aca="false">B6085/MAX(B5834:B6085)-1</f>
        <v>-0.20257793654835</v>
      </c>
      <c r="F6085" s="7" t="str">
        <f aca="false">IFERROR(INDEX(02_轉折點45個!B:B,MATCH(A6085,02_轉折點45個!A:A,0)),"")</f>
        <v/>
      </c>
      <c r="G6085" s="7" t="s">
        <v>5494</v>
      </c>
    </row>
    <row r="6086" customFormat="false" ht="15" hidden="false" customHeight="false" outlineLevel="0" collapsed="false">
      <c r="A6086" s="7" t="s">
        <v>6679</v>
      </c>
      <c r="B6086" s="7" t="n">
        <v>12215.33</v>
      </c>
      <c r="C6086" s="7" t="n">
        <f aca="false">AVERAGE(B6037:B6086)</f>
        <v>11846.3902</v>
      </c>
      <c r="D6086" s="7" t="n">
        <f aca="false">AVERAGE(B5887:B6086)</f>
        <v>11903.5398</v>
      </c>
      <c r="E6086" s="7" t="n">
        <f aca="false">B6086/MAX(B5835:B6086)-1</f>
        <v>-0.198433394665904</v>
      </c>
      <c r="F6086" s="7" t="str">
        <f aca="false">IFERROR(INDEX(02_轉折點45個!B:B,MATCH(A6086,02_轉折點45個!A:A,0)),"")</f>
        <v/>
      </c>
      <c r="G6086" s="7" t="s">
        <v>5494</v>
      </c>
    </row>
    <row r="6087" customFormat="false" ht="15" hidden="false" customHeight="false" outlineLevel="0" collapsed="false">
      <c r="A6087" s="7" t="s">
        <v>6680</v>
      </c>
      <c r="B6087" s="7" t="n">
        <v>11995.88</v>
      </c>
      <c r="C6087" s="7" t="n">
        <f aca="false">AVERAGE(B6038:B6087)</f>
        <v>11866.5988</v>
      </c>
      <c r="D6087" s="7" t="n">
        <f aca="false">AVERAGE(B5888:B6087)</f>
        <v>11904.3411</v>
      </c>
      <c r="E6087" s="7" t="n">
        <f aca="false">B6087/MAX(B5836:B6087)-1</f>
        <v>-0.212833643495904</v>
      </c>
      <c r="F6087" s="7" t="str">
        <f aca="false">IFERROR(INDEX(02_轉折點45個!B:B,MATCH(A6087,02_轉折點45個!A:A,0)),"")</f>
        <v/>
      </c>
      <c r="G6087" s="7" t="s">
        <v>5494</v>
      </c>
    </row>
    <row r="6088" customFormat="false" ht="15" hidden="false" customHeight="false" outlineLevel="0" collapsed="false">
      <c r="A6088" s="7" t="s">
        <v>1752</v>
      </c>
      <c r="B6088" s="7" t="n">
        <v>11830.28</v>
      </c>
      <c r="C6088" s="7" t="n">
        <f aca="false">AVERAGE(B6039:B6088)</f>
        <v>11886.7542</v>
      </c>
      <c r="D6088" s="7" t="n">
        <f aca="false">AVERAGE(B5889:B6088)</f>
        <v>11903.3211</v>
      </c>
      <c r="E6088" s="7" t="n">
        <f aca="false">B6088/MAX(B5837:B6088)-1</f>
        <v>-0.223700270090791</v>
      </c>
      <c r="F6088" s="7" t="str">
        <f aca="false">IFERROR(INDEX(02_轉折點45個!B:B,MATCH(A6088,02_轉折點45個!A:A,0)),"")</f>
        <v/>
      </c>
      <c r="G6088" s="7" t="s">
        <v>5494</v>
      </c>
    </row>
    <row r="6089" customFormat="false" ht="15" hidden="false" customHeight="false" outlineLevel="0" collapsed="false">
      <c r="A6089" s="7" t="s">
        <v>1753</v>
      </c>
      <c r="B6089" s="7" t="n">
        <v>11923.17</v>
      </c>
      <c r="C6089" s="7" t="n">
        <f aca="false">AVERAGE(B6040:B6089)</f>
        <v>11911.6308</v>
      </c>
      <c r="D6089" s="7" t="n">
        <f aca="false">AVERAGE(B5890:B6089)</f>
        <v>11904.08775</v>
      </c>
      <c r="E6089" s="7" t="n">
        <f aca="false">B6089/MAX(B5838:B6089)-1</f>
        <v>-0.217604853759879</v>
      </c>
      <c r="F6089" s="7" t="str">
        <f aca="false">IFERROR(INDEX(02_轉折點45個!B:B,MATCH(A6089,02_轉折點45個!A:A,0)),"")</f>
        <v/>
      </c>
      <c r="G6089" s="7" t="s">
        <v>5494</v>
      </c>
    </row>
    <row r="6090" customFormat="false" ht="15" hidden="false" customHeight="false" outlineLevel="0" collapsed="false">
      <c r="A6090" s="7" t="s">
        <v>6681</v>
      </c>
      <c r="B6090" s="7" t="n">
        <v>12199.79</v>
      </c>
      <c r="C6090" s="7" t="n">
        <f aca="false">AVERAGE(B6041:B6090)</f>
        <v>11936.6056</v>
      </c>
      <c r="D6090" s="7" t="n">
        <f aca="false">AVERAGE(B5891:B6090)</f>
        <v>11905.36705</v>
      </c>
      <c r="E6090" s="7" t="n">
        <f aca="false">B6090/MAX(B5839:B6090)-1</f>
        <v>-0.199453125205062</v>
      </c>
      <c r="F6090" s="7" t="str">
        <f aca="false">IFERROR(INDEX(02_轉折點45個!B:B,MATCH(A6090,02_轉折點45個!A:A,0)),"")</f>
        <v/>
      </c>
      <c r="G6090" s="7" t="s">
        <v>5494</v>
      </c>
    </row>
    <row r="6091" customFormat="false" ht="15" hidden="false" customHeight="false" outlineLevel="0" collapsed="false">
      <c r="A6091" s="7" t="s">
        <v>1754</v>
      </c>
      <c r="B6091" s="7" t="n">
        <v>12251.32</v>
      </c>
      <c r="C6091" s="7" t="n">
        <f aca="false">AVERAGE(B6042:B6091)</f>
        <v>11962.8368</v>
      </c>
      <c r="D6091" s="7" t="n">
        <f aca="false">AVERAGE(B5892:B6091)</f>
        <v>11905.2397</v>
      </c>
      <c r="E6091" s="7" t="n">
        <f aca="false">B6091/MAX(B5840:B6091)-1</f>
        <v>-0.196071740733838</v>
      </c>
      <c r="F6091" s="7" t="str">
        <f aca="false">IFERROR(INDEX(02_轉折點45個!B:B,MATCH(A6091,02_轉折點45個!A:A,0)),"")</f>
        <v/>
      </c>
      <c r="G6091" s="7" t="s">
        <v>5494</v>
      </c>
    </row>
    <row r="6092" customFormat="false" ht="15" hidden="false" customHeight="false" outlineLevel="0" collapsed="false">
      <c r="A6092" s="7" t="s">
        <v>6682</v>
      </c>
      <c r="B6092" s="7" t="n">
        <v>12581.39</v>
      </c>
      <c r="C6092" s="7" t="n">
        <f aca="false">AVERAGE(B6043:B6092)</f>
        <v>11997.2118</v>
      </c>
      <c r="D6092" s="7" t="n">
        <f aca="false">AVERAGE(B5893:B6092)</f>
        <v>11904.73955</v>
      </c>
      <c r="E6092" s="7" t="n">
        <f aca="false">B6092/MAX(B5841:B6092)-1</f>
        <v>-0.174412637834234</v>
      </c>
      <c r="F6092" s="7" t="str">
        <f aca="false">IFERROR(INDEX(02_轉折點45個!B:B,MATCH(A6092,02_轉折點45個!A:A,0)),"")</f>
        <v/>
      </c>
      <c r="G6092" s="7" t="s">
        <v>5494</v>
      </c>
    </row>
    <row r="6093" customFormat="false" ht="15" hidden="false" customHeight="false" outlineLevel="0" collapsed="false">
      <c r="A6093" s="7" t="s">
        <v>6683</v>
      </c>
      <c r="B6093" s="7" t="n">
        <v>12519.88</v>
      </c>
      <c r="C6093" s="7" t="n">
        <f aca="false">AVERAGE(B6044:B6093)</f>
        <v>12029.3134</v>
      </c>
      <c r="D6093" s="7" t="n">
        <f aca="false">AVERAGE(B5894:B6093)</f>
        <v>11904.12845</v>
      </c>
      <c r="E6093" s="7" t="n">
        <f aca="false">B6093/MAX(B5842:B6093)-1</f>
        <v>-0.178448907169086</v>
      </c>
      <c r="F6093" s="7" t="str">
        <f aca="false">IFERROR(INDEX(02_轉折點45個!B:B,MATCH(A6093,02_轉折點45個!A:A,0)),"")</f>
        <v/>
      </c>
      <c r="G6093" s="7" t="s">
        <v>5494</v>
      </c>
    </row>
    <row r="6094" customFormat="false" ht="15" hidden="false" customHeight="false" outlineLevel="0" collapsed="false">
      <c r="A6094" s="7" t="s">
        <v>6684</v>
      </c>
      <c r="B6094" s="7" t="n">
        <v>12562.61</v>
      </c>
      <c r="C6094" s="7" t="n">
        <f aca="false">AVERAGE(B6045:B6094)</f>
        <v>12065.7412</v>
      </c>
      <c r="D6094" s="7" t="n">
        <f aca="false">AVERAGE(B5895:B6094)</f>
        <v>11904.1997</v>
      </c>
      <c r="E6094" s="7" t="n">
        <f aca="false">B6094/MAX(B5843:B6094)-1</f>
        <v>-0.175644976285031</v>
      </c>
      <c r="F6094" s="7" t="str">
        <f aca="false">IFERROR(INDEX(02_轉折點45個!B:B,MATCH(A6094,02_轉折點45個!A:A,0)),"")</f>
        <v/>
      </c>
      <c r="G6094" s="7" t="s">
        <v>5494</v>
      </c>
    </row>
    <row r="6095" customFormat="false" ht="15" hidden="false" customHeight="false" outlineLevel="0" collapsed="false">
      <c r="A6095" s="7" t="s">
        <v>1755</v>
      </c>
      <c r="B6095" s="7" t="n">
        <v>12741.44</v>
      </c>
      <c r="C6095" s="7" t="n">
        <f aca="false">AVERAGE(B6046:B6095)</f>
        <v>12099.763</v>
      </c>
      <c r="D6095" s="7" t="n">
        <f aca="false">AVERAGE(B5896:B6095)</f>
        <v>11903.44245</v>
      </c>
      <c r="E6095" s="7" t="n">
        <f aca="false">B6095/MAX(B5844:B6095)-1</f>
        <v>-0.163910200717617</v>
      </c>
      <c r="F6095" s="7" t="str">
        <f aca="false">IFERROR(INDEX(02_轉折點45個!B:B,MATCH(A6095,02_轉折點45個!A:A,0)),"")</f>
        <v/>
      </c>
      <c r="G6095" s="7" t="s">
        <v>5494</v>
      </c>
    </row>
    <row r="6096" customFormat="false" ht="15" hidden="false" customHeight="false" outlineLevel="0" collapsed="false">
      <c r="A6096" s="7" t="s">
        <v>6685</v>
      </c>
      <c r="B6096" s="7" t="n">
        <v>12567.15</v>
      </c>
      <c r="C6096" s="7" t="n">
        <f aca="false">AVERAGE(B6047:B6096)</f>
        <v>12128.937</v>
      </c>
      <c r="D6096" s="7" t="n">
        <f aca="false">AVERAGE(B5897:B6096)</f>
        <v>11903.53805</v>
      </c>
      <c r="E6096" s="7" t="n">
        <f aca="false">B6096/MAX(B5845:B6096)-1</f>
        <v>-0.175347062729833</v>
      </c>
      <c r="F6096" s="7" t="str">
        <f aca="false">IFERROR(INDEX(02_轉折點45個!B:B,MATCH(A6096,02_轉折點45個!A:A,0)),"")</f>
        <v/>
      </c>
      <c r="G6096" s="7" t="s">
        <v>5494</v>
      </c>
    </row>
    <row r="6097" customFormat="false" ht="15" hidden="false" customHeight="false" outlineLevel="0" collapsed="false">
      <c r="A6097" s="7" t="s">
        <v>6686</v>
      </c>
      <c r="B6097" s="7" t="n">
        <v>12729.23</v>
      </c>
      <c r="C6097" s="7" t="n">
        <f aca="false">AVERAGE(B6048:B6097)</f>
        <v>12159.406</v>
      </c>
      <c r="D6097" s="7" t="n">
        <f aca="false">AVERAGE(B5898:B6097)</f>
        <v>11904.18605</v>
      </c>
      <c r="E6097" s="7" t="n">
        <f aca="false">B6097/MAX(B5846:B6097)-1</f>
        <v>-0.164711417569813</v>
      </c>
      <c r="F6097" s="7" t="str">
        <f aca="false">IFERROR(INDEX(02_轉折點45個!B:B,MATCH(A6097,02_轉折點45個!A:A,0)),"")</f>
        <v/>
      </c>
      <c r="G6097" s="7" t="s">
        <v>5494</v>
      </c>
    </row>
    <row r="6098" customFormat="false" ht="15" hidden="false" customHeight="false" outlineLevel="0" collapsed="false">
      <c r="A6098" s="7" t="s">
        <v>1756</v>
      </c>
      <c r="B6098" s="7" t="n">
        <v>12767.05</v>
      </c>
      <c r="C6098" s="7" t="n">
        <f aca="false">AVERAGE(B6049:B6098)</f>
        <v>12186.6966</v>
      </c>
      <c r="D6098" s="7" t="n">
        <f aca="false">AVERAGE(B5899:B6098)</f>
        <v>11904.4629</v>
      </c>
      <c r="E6098" s="7" t="n">
        <f aca="false">B6098/MAX(B5847:B6098)-1</f>
        <v>-0.162229679539507</v>
      </c>
      <c r="F6098" s="7" t="str">
        <f aca="false">IFERROR(INDEX(02_轉折點45個!B:B,MATCH(A6098,02_轉折點45個!A:A,0)),"")</f>
        <v/>
      </c>
      <c r="G6098" s="7" t="s">
        <v>5494</v>
      </c>
    </row>
    <row r="6099" customFormat="false" ht="15" hidden="false" customHeight="false" outlineLevel="0" collapsed="false">
      <c r="A6099" s="7" t="s">
        <v>6687</v>
      </c>
      <c r="B6099" s="7" t="n">
        <v>12673.07</v>
      </c>
      <c r="C6099" s="7" t="n">
        <f aca="false">AVERAGE(B6050:B6099)</f>
        <v>12210.9658</v>
      </c>
      <c r="D6099" s="7" t="n">
        <f aca="false">AVERAGE(B5900:B6099)</f>
        <v>11904.7526</v>
      </c>
      <c r="E6099" s="7" t="n">
        <f aca="false">B6099/MAX(B5848:B6099)-1</f>
        <v>-0.168396621371557</v>
      </c>
      <c r="F6099" s="7" t="str">
        <f aca="false">IFERROR(INDEX(02_轉折點45個!B:B,MATCH(A6099,02_轉折點45個!A:A,0)),"")</f>
        <v/>
      </c>
      <c r="G6099" s="7" t="s">
        <v>5494</v>
      </c>
    </row>
    <row r="6100" customFormat="false" ht="15" hidden="false" customHeight="false" outlineLevel="0" collapsed="false">
      <c r="A6100" s="7" t="s">
        <v>6688</v>
      </c>
      <c r="B6100" s="7" t="n">
        <v>12610.57</v>
      </c>
      <c r="C6100" s="7" t="n">
        <f aca="false">AVERAGE(B6051:B6100)</f>
        <v>12232.3476</v>
      </c>
      <c r="D6100" s="7" t="n">
        <f aca="false">AVERAGE(B5901:B6100)</f>
        <v>11906.45655</v>
      </c>
      <c r="E6100" s="7" t="n">
        <f aca="false">B6100/MAX(B5849:B6100)-1</f>
        <v>-0.172497854234966</v>
      </c>
      <c r="F6100" s="7" t="str">
        <f aca="false">IFERROR(INDEX(02_轉折點45個!B:B,MATCH(A6100,02_轉折點45個!A:A,0)),"")</f>
        <v/>
      </c>
      <c r="G6100" s="7" t="s">
        <v>5494</v>
      </c>
    </row>
    <row r="6101" customFormat="false" ht="15" hidden="false" customHeight="false" outlineLevel="0" collapsed="false">
      <c r="A6101" s="7" t="s">
        <v>1757</v>
      </c>
      <c r="B6101" s="7" t="n">
        <v>12846.03</v>
      </c>
      <c r="C6101" s="7" t="n">
        <f aca="false">AVERAGE(B6052:B6101)</f>
        <v>12258.1244</v>
      </c>
      <c r="D6101" s="7" t="n">
        <f aca="false">AVERAGE(B5902:B6101)</f>
        <v>11911.5226</v>
      </c>
      <c r="E6101" s="7" t="n">
        <f aca="false">B6101/MAX(B5850:B6101)-1</f>
        <v>-0.157047033594675</v>
      </c>
      <c r="F6101" s="7" t="str">
        <f aca="false">IFERROR(INDEX(02_轉折點45個!B:B,MATCH(A6101,02_轉折點45個!A:A,0)),"")</f>
        <v/>
      </c>
      <c r="G6101" s="7" t="s">
        <v>5494</v>
      </c>
    </row>
    <row r="6102" customFormat="false" ht="15" hidden="false" customHeight="false" outlineLevel="0" collapsed="false">
      <c r="A6102" s="7" t="s">
        <v>1758</v>
      </c>
      <c r="B6102" s="7" t="n">
        <v>12963.14</v>
      </c>
      <c r="C6102" s="7" t="n">
        <f aca="false">AVERAGE(B6053:B6102)</f>
        <v>12289.1814</v>
      </c>
      <c r="D6102" s="7" t="n">
        <f aca="false">AVERAGE(B5903:B6102)</f>
        <v>11919.8967</v>
      </c>
      <c r="E6102" s="7" t="n">
        <f aca="false">B6102/MAX(B5851:B6102)-1</f>
        <v>-0.144887919058444</v>
      </c>
      <c r="F6102" s="7" t="str">
        <f aca="false">IFERROR(INDEX(02_轉折點45個!B:B,MATCH(A6102,02_轉折點45個!A:A,0)),"")</f>
        <v/>
      </c>
      <c r="G6102" s="7" t="s">
        <v>5494</v>
      </c>
    </row>
    <row r="6103" customFormat="false" ht="15" hidden="false" customHeight="false" outlineLevel="0" collapsed="false">
      <c r="A6103" s="7" t="s">
        <v>1759</v>
      </c>
      <c r="B6103" s="7" t="n">
        <v>13181.35</v>
      </c>
      <c r="C6103" s="7" t="n">
        <f aca="false">AVERAGE(B6054:B6103)</f>
        <v>12326.895</v>
      </c>
      <c r="D6103" s="7" t="n">
        <f aca="false">AVERAGE(B5904:B6103)</f>
        <v>11929.245</v>
      </c>
      <c r="E6103" s="7" t="n">
        <f aca="false">B6103/MAX(B5852:B6103)-1</f>
        <v>-0.130493720802291</v>
      </c>
      <c r="F6103" s="7" t="str">
        <f aca="false">IFERROR(INDEX(02_轉折點45個!B:B,MATCH(A6103,02_轉折點45個!A:A,0)),"")</f>
        <v/>
      </c>
      <c r="G6103" s="7" t="s">
        <v>5494</v>
      </c>
    </row>
    <row r="6104" customFormat="false" ht="15" hidden="false" customHeight="false" outlineLevel="0" collapsed="false">
      <c r="A6104" s="7" t="s">
        <v>6689</v>
      </c>
      <c r="B6104" s="7" t="n">
        <v>13148.35</v>
      </c>
      <c r="C6104" s="7" t="n">
        <f aca="false">AVERAGE(B6055:B6104)</f>
        <v>12357.4814</v>
      </c>
      <c r="D6104" s="7" t="n">
        <f aca="false">AVERAGE(B5905:B6104)</f>
        <v>11937.0179</v>
      </c>
      <c r="E6104" s="7" t="n">
        <f aca="false">B6104/MAX(B5853:B6104)-1</f>
        <v>-0.132670562113198</v>
      </c>
      <c r="F6104" s="7" t="str">
        <f aca="false">IFERROR(INDEX(02_轉折點45個!B:B,MATCH(A6104,02_轉折點45個!A:A,0)),"")</f>
        <v/>
      </c>
      <c r="G6104" s="7" t="s">
        <v>5494</v>
      </c>
    </row>
    <row r="6105" customFormat="false" ht="15" hidden="false" customHeight="false" outlineLevel="0" collapsed="false">
      <c r="A6105" s="7" t="s">
        <v>6690</v>
      </c>
      <c r="B6105" s="7" t="n">
        <v>13100.08</v>
      </c>
      <c r="C6105" s="7" t="n">
        <f aca="false">AVERAGE(B6056:B6105)</f>
        <v>12382.0322</v>
      </c>
      <c r="D6105" s="7" t="n">
        <f aca="false">AVERAGE(B5906:B6105)</f>
        <v>11946.88045</v>
      </c>
      <c r="E6105" s="7" t="n">
        <f aca="false">B6105/MAX(B5854:B6105)-1</f>
        <v>-0.135854687267062</v>
      </c>
      <c r="F6105" s="7" t="str">
        <f aca="false">IFERROR(INDEX(02_轉折點45個!B:B,MATCH(A6105,02_轉折點45個!A:A,0)),"")</f>
        <v/>
      </c>
      <c r="G6105" s="7" t="s">
        <v>5494</v>
      </c>
    </row>
    <row r="6106" customFormat="false" ht="15" hidden="false" customHeight="false" outlineLevel="0" collapsed="false">
      <c r="A6106" s="7" t="s">
        <v>6691</v>
      </c>
      <c r="B6106" s="7" t="n">
        <v>12967.2</v>
      </c>
      <c r="C6106" s="7" t="n">
        <f aca="false">AVERAGE(B6057:B6106)</f>
        <v>12404.4434</v>
      </c>
      <c r="D6106" s="7" t="n">
        <f aca="false">AVERAGE(B5907:B6106)</f>
        <v>11955.3865</v>
      </c>
      <c r="E6106" s="7" t="n">
        <f aca="false">B6106/MAX(B5855:B6106)-1</f>
        <v>-0.125058027183711</v>
      </c>
      <c r="F6106" s="7" t="str">
        <f aca="false">IFERROR(INDEX(02_轉折點45個!B:B,MATCH(A6106,02_轉折點45個!A:A,0)),"")</f>
        <v/>
      </c>
      <c r="G6106" s="7" t="s">
        <v>5494</v>
      </c>
    </row>
    <row r="6107" customFormat="false" ht="15" hidden="false" customHeight="false" outlineLevel="0" collapsed="false">
      <c r="A6107" s="7" t="s">
        <v>6692</v>
      </c>
      <c r="B6107" s="7" t="n">
        <v>13062.6</v>
      </c>
      <c r="C6107" s="7" t="n">
        <f aca="false">AVERAGE(B6058:B6107)</f>
        <v>12429.4016</v>
      </c>
      <c r="D6107" s="7" t="n">
        <f aca="false">AVERAGE(B5908:B6107)</f>
        <v>11962.9657</v>
      </c>
      <c r="E6107" s="7" t="n">
        <f aca="false">B6107/MAX(B5856:B6107)-1</f>
        <v>-0.101103028459634</v>
      </c>
      <c r="F6107" s="7" t="str">
        <f aca="false">IFERROR(INDEX(02_轉折點45個!B:B,MATCH(A6107,02_轉折點45個!A:A,0)),"")</f>
        <v/>
      </c>
      <c r="G6107" s="7" t="s">
        <v>5494</v>
      </c>
    </row>
    <row r="6108" customFormat="false" ht="15" hidden="false" customHeight="false" outlineLevel="0" collapsed="false">
      <c r="A6108" s="7" t="s">
        <v>1760</v>
      </c>
      <c r="B6108" s="7" t="n">
        <v>13051.23</v>
      </c>
      <c r="C6108" s="7" t="n">
        <f aca="false">AVERAGE(B6059:B6108)</f>
        <v>12449.3966</v>
      </c>
      <c r="D6108" s="7" t="n">
        <f aca="false">AVERAGE(B5909:B6108)</f>
        <v>11970.5833</v>
      </c>
      <c r="E6108" s="7" t="n">
        <f aca="false">B6108/MAX(B5857:B6108)-1</f>
        <v>-0.101885449919865</v>
      </c>
      <c r="F6108" s="7" t="str">
        <f aca="false">IFERROR(INDEX(02_轉折點45個!B:B,MATCH(A6108,02_轉折點45個!A:A,0)),"")</f>
        <v/>
      </c>
      <c r="G6108" s="7" t="s">
        <v>5494</v>
      </c>
    </row>
    <row r="6109" customFormat="false" ht="15" hidden="false" customHeight="false" outlineLevel="0" collapsed="false">
      <c r="A6109" s="7" t="s">
        <v>6693</v>
      </c>
      <c r="B6109" s="7" t="n">
        <v>12964.15</v>
      </c>
      <c r="C6109" s="7" t="n">
        <f aca="false">AVERAGE(B6060:B6109)</f>
        <v>12465.3476</v>
      </c>
      <c r="D6109" s="7" t="n">
        <f aca="false">AVERAGE(B5910:B6109)</f>
        <v>11976.91565</v>
      </c>
      <c r="E6109" s="7" t="n">
        <f aca="false">B6109/MAX(B5858:B6109)-1</f>
        <v>-0.0951410109120656</v>
      </c>
      <c r="F6109" s="7" t="str">
        <f aca="false">IFERROR(INDEX(02_轉折點45個!B:B,MATCH(A6109,02_轉折點45個!A:A,0)),"")</f>
        <v/>
      </c>
      <c r="G6109" s="7" t="s">
        <v>5494</v>
      </c>
    </row>
    <row r="6110" customFormat="false" ht="15" hidden="false" customHeight="false" outlineLevel="0" collapsed="false">
      <c r="A6110" s="7" t="s">
        <v>6694</v>
      </c>
      <c r="B6110" s="7" t="n">
        <v>12848.35</v>
      </c>
      <c r="C6110" s="7" t="n">
        <f aca="false">AVERAGE(B6061:B6110)</f>
        <v>12484.0668</v>
      </c>
      <c r="D6110" s="7" t="n">
        <f aca="false">AVERAGE(B5911:B6110)</f>
        <v>11980.62815</v>
      </c>
      <c r="E6110" s="7" t="n">
        <f aca="false">B6110/MAX(B5859:B6110)-1</f>
        <v>-0.0962869857757702</v>
      </c>
      <c r="F6110" s="7" t="str">
        <f aca="false">IFERROR(INDEX(02_轉折點45個!B:B,MATCH(A6110,02_轉折點45個!A:A,0)),"")</f>
        <v/>
      </c>
      <c r="G6110" s="7" t="s">
        <v>5494</v>
      </c>
    </row>
    <row r="6111" customFormat="false" ht="15" hidden="false" customHeight="false" outlineLevel="0" collapsed="false">
      <c r="A6111" s="7" t="s">
        <v>6695</v>
      </c>
      <c r="B6111" s="7" t="n">
        <v>13109.39</v>
      </c>
      <c r="C6111" s="7" t="n">
        <f aca="false">AVERAGE(B6062:B6111)</f>
        <v>12504.216</v>
      </c>
      <c r="D6111" s="7" t="n">
        <f aca="false">AVERAGE(B5912:B6111)</f>
        <v>11986.1339</v>
      </c>
      <c r="E6111" s="7" t="n">
        <f aca="false">B6111/MAX(B5860:B6111)-1</f>
        <v>-0.0779262433276666</v>
      </c>
      <c r="F6111" s="7" t="str">
        <f aca="false">IFERROR(INDEX(02_轉折點45個!B:B,MATCH(A6111,02_轉折點45個!A:A,0)),"")</f>
        <v/>
      </c>
      <c r="G6111" s="7" t="s">
        <v>5494</v>
      </c>
    </row>
    <row r="6112" customFormat="false" ht="15" hidden="false" customHeight="false" outlineLevel="0" collapsed="false">
      <c r="A6112" s="7" t="s">
        <v>6696</v>
      </c>
      <c r="B6112" s="7" t="n">
        <v>13079.52</v>
      </c>
      <c r="C6112" s="7" t="n">
        <f aca="false">AVERAGE(B6063:B6112)</f>
        <v>12518.5444</v>
      </c>
      <c r="D6112" s="7" t="n">
        <f aca="false">AVERAGE(B5913:B6112)</f>
        <v>11993.34265</v>
      </c>
      <c r="E6112" s="7" t="n">
        <f aca="false">B6112/MAX(B5861:B6112)-1</f>
        <v>-0.0800272063100633</v>
      </c>
      <c r="F6112" s="7" t="str">
        <f aca="false">IFERROR(INDEX(02_轉折點45個!B:B,MATCH(A6112,02_轉折點45個!A:A,0)),"")</f>
        <v/>
      </c>
      <c r="G6112" s="7" t="s">
        <v>5494</v>
      </c>
    </row>
    <row r="6113" customFormat="false" ht="15" hidden="false" customHeight="false" outlineLevel="0" collapsed="false">
      <c r="A6113" s="7" t="s">
        <v>6697</v>
      </c>
      <c r="B6113" s="7" t="n">
        <v>13087.71</v>
      </c>
      <c r="C6113" s="7" t="n">
        <f aca="false">AVERAGE(B6064:B6113)</f>
        <v>12524.2358</v>
      </c>
      <c r="D6113" s="7" t="n">
        <f aca="false">AVERAGE(B5914:B6113)</f>
        <v>12000.4899</v>
      </c>
      <c r="E6113" s="7" t="n">
        <f aca="false">B6113/MAX(B5862:B6113)-1</f>
        <v>-0.0789957396979366</v>
      </c>
      <c r="F6113" s="7" t="str">
        <f aca="false">IFERROR(INDEX(02_轉折點45個!B:B,MATCH(A6113,02_轉折點45個!A:A,0)),"")</f>
        <v/>
      </c>
      <c r="G6113" s="7" t="s">
        <v>5494</v>
      </c>
    </row>
    <row r="6114" customFormat="false" ht="15" hidden="false" customHeight="false" outlineLevel="0" collapsed="false">
      <c r="A6114" s="7" t="s">
        <v>6698</v>
      </c>
      <c r="B6114" s="7" t="n">
        <v>13091.79</v>
      </c>
      <c r="C6114" s="7" t="n">
        <f aca="false">AVERAGE(B6065:B6114)</f>
        <v>12534.6044</v>
      </c>
      <c r="D6114" s="7" t="n">
        <f aca="false">AVERAGE(B5915:B6114)</f>
        <v>12008.43025</v>
      </c>
      <c r="E6114" s="7" t="n">
        <f aca="false">B6114/MAX(B5863:B6114)-1</f>
        <v>-0.0787086232060497</v>
      </c>
      <c r="F6114" s="7" t="str">
        <f aca="false">IFERROR(INDEX(02_轉折點45個!B:B,MATCH(A6114,02_轉折點45個!A:A,0)),"")</f>
        <v/>
      </c>
      <c r="G6114" s="7" t="s">
        <v>5494</v>
      </c>
    </row>
    <row r="6115" customFormat="false" ht="15" hidden="false" customHeight="false" outlineLevel="0" collapsed="false">
      <c r="A6115" s="7" t="s">
        <v>6699</v>
      </c>
      <c r="B6115" s="7" t="n">
        <v>13088.71</v>
      </c>
      <c r="C6115" s="7" t="n">
        <f aca="false">AVERAGE(B6066:B6115)</f>
        <v>12547.0884</v>
      </c>
      <c r="D6115" s="7" t="n">
        <f aca="false">AVERAGE(B5916:B6115)</f>
        <v>12015.9454</v>
      </c>
      <c r="E6115" s="7" t="n">
        <f aca="false">B6115/MAX(B5864:B6115)-1</f>
        <v>-0.0789253680087487</v>
      </c>
      <c r="F6115" s="7" t="str">
        <f aca="false">IFERROR(INDEX(02_轉折點45個!B:B,MATCH(A6115,02_轉折點45個!A:A,0)),"")</f>
        <v/>
      </c>
      <c r="G6115" s="7" t="s">
        <v>5494</v>
      </c>
    </row>
    <row r="6116" customFormat="false" ht="15" hidden="false" customHeight="false" outlineLevel="0" collapsed="false">
      <c r="A6116" s="7" t="s">
        <v>6700</v>
      </c>
      <c r="B6116" s="7" t="n">
        <v>12985.98</v>
      </c>
      <c r="C6116" s="7" t="n">
        <f aca="false">AVERAGE(B6067:B6116)</f>
        <v>12552.2426</v>
      </c>
      <c r="D6116" s="7" t="n">
        <f aca="false">AVERAGE(B5917:B6116)</f>
        <v>12021.9758</v>
      </c>
      <c r="E6116" s="7" t="n">
        <f aca="false">B6116/MAX(B5865:B6116)-1</f>
        <v>-0.0723325949224669</v>
      </c>
      <c r="F6116" s="7" t="str">
        <f aca="false">IFERROR(INDEX(02_轉折點45個!B:B,MATCH(A6116,02_轉折點45個!A:A,0)),"")</f>
        <v/>
      </c>
      <c r="G6116" s="7" t="s">
        <v>5494</v>
      </c>
    </row>
    <row r="6117" customFormat="false" ht="15" hidden="false" customHeight="false" outlineLevel="0" collapsed="false">
      <c r="A6117" s="7" t="s">
        <v>6701</v>
      </c>
      <c r="B6117" s="7" t="n">
        <v>13000.77</v>
      </c>
      <c r="C6117" s="7" t="n">
        <f aca="false">AVERAGE(B6068:B6117)</f>
        <v>12562.3504</v>
      </c>
      <c r="D6117" s="7" t="n">
        <f aca="false">AVERAGE(B5918:B6117)</f>
        <v>12027.7167</v>
      </c>
      <c r="E6117" s="7" t="n">
        <f aca="false">B6117/MAX(B5866:B6117)-1</f>
        <v>-0.0524530900954415</v>
      </c>
      <c r="F6117" s="7" t="str">
        <f aca="false">IFERROR(INDEX(02_轉折點45個!B:B,MATCH(A6117,02_轉折點45個!A:A,0)),"")</f>
        <v/>
      </c>
      <c r="G6117" s="7" t="s">
        <v>5494</v>
      </c>
    </row>
    <row r="6118" customFormat="false" ht="15" hidden="false" customHeight="false" outlineLevel="0" collapsed="false">
      <c r="A6118" s="7" t="s">
        <v>6702</v>
      </c>
      <c r="B6118" s="7" t="n">
        <v>12969.76</v>
      </c>
      <c r="C6118" s="7" t="n">
        <f aca="false">AVERAGE(B6069:B6118)</f>
        <v>12574.1222</v>
      </c>
      <c r="D6118" s="7" t="n">
        <f aca="false">AVERAGE(B5919:B6118)</f>
        <v>12032.02025</v>
      </c>
      <c r="E6118" s="7" t="n">
        <f aca="false">B6118/MAX(B5867:B6118)-1</f>
        <v>-0.0510288150152409</v>
      </c>
      <c r="F6118" s="7" t="str">
        <f aca="false">IFERROR(INDEX(02_轉折點45個!B:B,MATCH(A6118,02_轉折點45個!A:A,0)),"")</f>
        <v/>
      </c>
      <c r="G6118" s="7" t="s">
        <v>5494</v>
      </c>
    </row>
    <row r="6119" customFormat="false" ht="15" hidden="false" customHeight="false" outlineLevel="0" collapsed="false">
      <c r="A6119" s="7" t="s">
        <v>1761</v>
      </c>
      <c r="B6119" s="7" t="n">
        <v>12725.11</v>
      </c>
      <c r="C6119" s="7" t="n">
        <f aca="false">AVERAGE(B6070:B6119)</f>
        <v>12582.526</v>
      </c>
      <c r="D6119" s="7" t="n">
        <f aca="false">AVERAGE(B5920:B6119)</f>
        <v>12035.01735</v>
      </c>
      <c r="E6119" s="7" t="n">
        <f aca="false">B6119/MAX(B5868:B6119)-1</f>
        <v>-0.0689293621654211</v>
      </c>
      <c r="F6119" s="7" t="str">
        <f aca="false">IFERROR(INDEX(02_轉折點45個!B:B,MATCH(A6119,02_轉折點45個!A:A,0)),"")</f>
        <v/>
      </c>
      <c r="G6119" s="7" t="s">
        <v>5494</v>
      </c>
    </row>
    <row r="6120" customFormat="false" ht="15" hidden="false" customHeight="false" outlineLevel="0" collapsed="false">
      <c r="A6120" s="7" t="s">
        <v>6703</v>
      </c>
      <c r="B6120" s="7" t="n">
        <v>12806.48</v>
      </c>
      <c r="C6120" s="7" t="n">
        <f aca="false">AVERAGE(B6071:B6120)</f>
        <v>12588.6094</v>
      </c>
      <c r="D6120" s="7" t="n">
        <f aca="false">AVERAGE(B5921:B6120)</f>
        <v>12039.74835</v>
      </c>
      <c r="E6120" s="7" t="n">
        <f aca="false">B6120/MAX(B5869:B6120)-1</f>
        <v>-0.0629756833523815</v>
      </c>
      <c r="F6120" s="7" t="str">
        <f aca="false">IFERROR(INDEX(02_轉折點45個!B:B,MATCH(A6120,02_轉折點45個!A:A,0)),"")</f>
        <v/>
      </c>
      <c r="G6120" s="7" t="s">
        <v>5494</v>
      </c>
    </row>
    <row r="6121" customFormat="false" ht="15" hidden="false" customHeight="false" outlineLevel="0" collapsed="false">
      <c r="A6121" s="7" t="s">
        <v>6704</v>
      </c>
      <c r="B6121" s="7" t="n">
        <v>13160.03</v>
      </c>
      <c r="C6121" s="7" t="n">
        <f aca="false">AVERAGE(B6072:B6121)</f>
        <v>12599.9922</v>
      </c>
      <c r="D6121" s="7" t="n">
        <f aca="false">AVERAGE(B5922:B6121)</f>
        <v>12046.82355</v>
      </c>
      <c r="E6121" s="7" t="n">
        <f aca="false">B6121/MAX(B5870:B6121)-1</f>
        <v>-0.03710714280488</v>
      </c>
      <c r="F6121" s="7" t="str">
        <f aca="false">IFERROR(INDEX(02_轉折點45個!B:B,MATCH(A6121,02_轉折點45個!A:A,0)),"")</f>
        <v/>
      </c>
      <c r="G6121" s="7" t="s">
        <v>5494</v>
      </c>
    </row>
    <row r="6122" customFormat="false" ht="15" hidden="false" customHeight="false" outlineLevel="0" collapsed="false">
      <c r="A6122" s="7" t="s">
        <v>1762</v>
      </c>
      <c r="B6122" s="7" t="n">
        <v>13245.99</v>
      </c>
      <c r="C6122" s="7" t="n">
        <f aca="false">AVERAGE(B6073:B6122)</f>
        <v>12611.1542</v>
      </c>
      <c r="D6122" s="7" t="n">
        <f aca="false">AVERAGE(B5923:B6122)</f>
        <v>12054.41085</v>
      </c>
      <c r="E6122" s="7" t="n">
        <f aca="false">B6122/MAX(B5871:B6122)-1</f>
        <v>-0.030817622947821</v>
      </c>
      <c r="F6122" s="7" t="str">
        <f aca="false">IFERROR(INDEX(02_轉折點45個!B:B,MATCH(A6122,02_轉折點45個!A:A,0)),"")</f>
        <v/>
      </c>
      <c r="G6122" s="7" t="s">
        <v>5494</v>
      </c>
    </row>
    <row r="6123" customFormat="false" ht="15" hidden="false" customHeight="false" outlineLevel="0" collapsed="false">
      <c r="A6123" s="7" t="s">
        <v>6705</v>
      </c>
      <c r="B6123" s="7" t="n">
        <v>13231.47</v>
      </c>
      <c r="C6123" s="7" t="n">
        <f aca="false">AVERAGE(B6074:B6123)</f>
        <v>12626.934</v>
      </c>
      <c r="D6123" s="7" t="n">
        <f aca="false">AVERAGE(B5924:B6123)</f>
        <v>12061.7262</v>
      </c>
      <c r="E6123" s="7" t="n">
        <f aca="false">B6123/MAX(B5872:B6123)-1</f>
        <v>-0.0318800220674639</v>
      </c>
      <c r="F6123" s="7" t="str">
        <f aca="false">IFERROR(INDEX(02_轉折點45個!B:B,MATCH(A6123,02_轉折點45個!A:A,0)),"")</f>
        <v/>
      </c>
      <c r="G6123" s="7" t="s">
        <v>5494</v>
      </c>
    </row>
    <row r="6124" customFormat="false" ht="15" hidden="false" customHeight="false" outlineLevel="0" collapsed="false">
      <c r="A6124" s="7" t="s">
        <v>6706</v>
      </c>
      <c r="B6124" s="7" t="n">
        <v>13113.66</v>
      </c>
      <c r="C6124" s="7" t="n">
        <f aca="false">AVERAGE(B6075:B6124)</f>
        <v>12642.0436</v>
      </c>
      <c r="D6124" s="7" t="n">
        <f aca="false">AVERAGE(B5925:B6124)</f>
        <v>12067.3764</v>
      </c>
      <c r="E6124" s="7" t="n">
        <f aca="false">B6124/MAX(B5873:B6124)-1</f>
        <v>-0.0404999421972931</v>
      </c>
      <c r="F6124" s="7" t="str">
        <f aca="false">IFERROR(INDEX(02_轉折點45個!B:B,MATCH(A6124,02_轉折點45個!A:A,0)),"")</f>
        <v/>
      </c>
      <c r="G6124" s="7" t="s">
        <v>5494</v>
      </c>
    </row>
    <row r="6125" customFormat="false" ht="15" hidden="false" customHeight="false" outlineLevel="0" collapsed="false">
      <c r="A6125" s="7" t="s">
        <v>6707</v>
      </c>
      <c r="B6125" s="7" t="n">
        <v>13030.21</v>
      </c>
      <c r="C6125" s="7" t="n">
        <f aca="false">AVERAGE(B6076:B6125)</f>
        <v>12661.4418</v>
      </c>
      <c r="D6125" s="7" t="n">
        <f aca="false">AVERAGE(B5926:B6125)</f>
        <v>12073.13995</v>
      </c>
      <c r="E6125" s="7" t="n">
        <f aca="false">B6125/MAX(B5874:B6125)-1</f>
        <v>-0.0466058104159015</v>
      </c>
      <c r="F6125" s="7" t="str">
        <f aca="false">IFERROR(INDEX(02_轉折點45個!B:B,MATCH(A6125,02_轉折點45個!A:A,0)),"")</f>
        <v/>
      </c>
      <c r="G6125" s="7" t="s">
        <v>5494</v>
      </c>
    </row>
    <row r="6126" customFormat="false" ht="15" hidden="false" customHeight="false" outlineLevel="0" collapsed="false">
      <c r="A6126" s="7" t="s">
        <v>6708</v>
      </c>
      <c r="B6126" s="7" t="n">
        <v>12982.48</v>
      </c>
      <c r="C6126" s="7" t="n">
        <f aca="false">AVERAGE(B6077:B6126)</f>
        <v>12679.766</v>
      </c>
      <c r="D6126" s="7" t="n">
        <f aca="false">AVERAGE(B5927:B6126)</f>
        <v>12076.80525</v>
      </c>
      <c r="E6126" s="7" t="n">
        <f aca="false">B6126/MAX(B5875:B6126)-1</f>
        <v>-0.0500981182658018</v>
      </c>
      <c r="F6126" s="7" t="str">
        <f aca="false">IFERROR(INDEX(02_轉折點45個!B:B,MATCH(A6126,02_轉折點45個!A:A,0)),"")</f>
        <v/>
      </c>
      <c r="G6126" s="7" t="s">
        <v>5494</v>
      </c>
    </row>
    <row r="6127" customFormat="false" ht="15" hidden="false" customHeight="false" outlineLevel="0" collapsed="false">
      <c r="A6127" s="7" t="s">
        <v>1764</v>
      </c>
      <c r="B6127" s="7" t="n">
        <v>13259.13</v>
      </c>
      <c r="C6127" s="7" t="n">
        <f aca="false">AVERAGE(B6078:B6127)</f>
        <v>12701.3458</v>
      </c>
      <c r="D6127" s="7" t="n">
        <f aca="false">AVERAGE(B5928:B6127)</f>
        <v>12080.9025</v>
      </c>
      <c r="E6127" s="7" t="n">
        <f aca="false">B6127/MAX(B5876:B6127)-1</f>
        <v>-0.0298561956453344</v>
      </c>
      <c r="F6127" s="7" t="str">
        <f aca="false">IFERROR(INDEX(02_轉折點45個!B:B,MATCH(A6127,02_轉折點45個!A:A,0)),"")</f>
        <v/>
      </c>
      <c r="G6127" s="7" t="s">
        <v>5494</v>
      </c>
    </row>
    <row r="6128" customFormat="false" ht="15" hidden="false" customHeight="false" outlineLevel="0" collapsed="false">
      <c r="A6128" s="7" t="s">
        <v>1765</v>
      </c>
      <c r="B6128" s="7" t="n">
        <v>13291.64</v>
      </c>
      <c r="C6128" s="7" t="n">
        <f aca="false">AVERAGE(B6079:B6128)</f>
        <v>12727.7856</v>
      </c>
      <c r="D6128" s="7" t="n">
        <f aca="false">AVERAGE(B5929:B6128)</f>
        <v>12084.26365</v>
      </c>
      <c r="E6128" s="7" t="n">
        <f aca="false">B6128/MAX(B5877:B6128)-1</f>
        <v>-0.0274775045034894</v>
      </c>
      <c r="F6128" s="7" t="str">
        <f aca="false">IFERROR(INDEX(02_轉折點45個!B:B,MATCH(A6128,02_轉折點45個!A:A,0)),"")</f>
        <v/>
      </c>
      <c r="G6128" s="7" t="s">
        <v>5494</v>
      </c>
    </row>
    <row r="6129" customFormat="false" ht="15" hidden="false" customHeight="false" outlineLevel="0" collapsed="false">
      <c r="A6129" s="7" t="s">
        <v>6709</v>
      </c>
      <c r="B6129" s="7" t="n">
        <v>13201.11</v>
      </c>
      <c r="C6129" s="7" t="n">
        <f aca="false">AVERAGE(B6080:B6129)</f>
        <v>12750.652</v>
      </c>
      <c r="D6129" s="7" t="n">
        <f aca="false">AVERAGE(B5930:B6129)</f>
        <v>12088.28685</v>
      </c>
      <c r="E6129" s="7" t="n">
        <f aca="false">B6129/MAX(B5878:B6129)-1</f>
        <v>-0.0341014020448988</v>
      </c>
      <c r="F6129" s="7" t="str">
        <f aca="false">IFERROR(INDEX(02_轉折點45個!B:B,MATCH(A6129,02_轉折點45個!A:A,0)),"")</f>
        <v/>
      </c>
      <c r="G6129" s="7" t="s">
        <v>5494</v>
      </c>
    </row>
    <row r="6130" customFormat="false" ht="15" hidden="false" customHeight="false" outlineLevel="0" collapsed="false">
      <c r="A6130" s="7" t="s">
        <v>1766</v>
      </c>
      <c r="B6130" s="7" t="n">
        <v>13347.83</v>
      </c>
      <c r="C6130" s="7" t="n">
        <f aca="false">AVERAGE(B6081:B6130)</f>
        <v>12776.7662</v>
      </c>
      <c r="D6130" s="7" t="n">
        <f aca="false">AVERAGE(B5931:B6130)</f>
        <v>12093.38395</v>
      </c>
      <c r="E6130" s="7" t="n">
        <f aca="false">B6130/MAX(B5879:B6130)-1</f>
        <v>-0.023366195513632</v>
      </c>
      <c r="F6130" s="7" t="str">
        <f aca="false">IFERROR(INDEX(02_轉折點45個!B:B,MATCH(A6130,02_轉折點45個!A:A,0)),"")</f>
        <v/>
      </c>
      <c r="G6130" s="7" t="s">
        <v>5494</v>
      </c>
    </row>
    <row r="6131" customFormat="false" ht="15" hidden="false" customHeight="false" outlineLevel="0" collapsed="false">
      <c r="A6131" s="7" t="s">
        <v>1767</v>
      </c>
      <c r="B6131" s="7" t="n">
        <v>13389.78</v>
      </c>
      <c r="C6131" s="7" t="n">
        <f aca="false">AVERAGE(B6082:B6131)</f>
        <v>12805.7904</v>
      </c>
      <c r="D6131" s="7" t="n">
        <f aca="false">AVERAGE(B5932:B6131)</f>
        <v>12099.89835</v>
      </c>
      <c r="E6131" s="7" t="n">
        <f aca="false">B6131/MAX(B5880:B6131)-1</f>
        <v>-0.0202967986080522</v>
      </c>
      <c r="F6131" s="7" t="str">
        <f aca="false">IFERROR(INDEX(02_轉折點45個!B:B,MATCH(A6131,02_轉折點45個!A:A,0)),"")</f>
        <v/>
      </c>
      <c r="G6131" s="7" t="s">
        <v>5494</v>
      </c>
    </row>
    <row r="6132" customFormat="false" ht="15" hidden="false" customHeight="false" outlineLevel="0" collapsed="false">
      <c r="A6132" s="7" t="s">
        <v>6710</v>
      </c>
      <c r="B6132" s="7" t="n">
        <v>13340.18</v>
      </c>
      <c r="C6132" s="7" t="n">
        <f aca="false">AVERAGE(B6083:B6132)</f>
        <v>12831.6966</v>
      </c>
      <c r="D6132" s="7" t="n">
        <f aca="false">AVERAGE(B5933:B6132)</f>
        <v>12103.5919</v>
      </c>
      <c r="E6132" s="7" t="n">
        <f aca="false">B6132/MAX(B5881:B6132)-1</f>
        <v>-0.0239259305869974</v>
      </c>
      <c r="F6132" s="7" t="str">
        <f aca="false">IFERROR(INDEX(02_轉折點45個!B:B,MATCH(A6132,02_轉折點45個!A:A,0)),"")</f>
        <v/>
      </c>
      <c r="G6132" s="7" t="s">
        <v>5494</v>
      </c>
    </row>
    <row r="6133" customFormat="false" ht="15" hidden="false" customHeight="false" outlineLevel="0" collapsed="false">
      <c r="A6133" s="7" t="s">
        <v>6711</v>
      </c>
      <c r="B6133" s="7" t="n">
        <v>13413.51</v>
      </c>
      <c r="C6133" s="7" t="n">
        <f aca="false">AVERAGE(B6084:B6133)</f>
        <v>12854.1506</v>
      </c>
      <c r="D6133" s="7" t="n">
        <f aca="false">AVERAGE(B5934:B6133)</f>
        <v>12107.0701</v>
      </c>
      <c r="E6133" s="7" t="n">
        <f aca="false">B6133/MAX(B5882:B6133)-1</f>
        <v>-0.0185605223608675</v>
      </c>
      <c r="F6133" s="7" t="str">
        <f aca="false">IFERROR(INDEX(02_轉折點45個!B:B,MATCH(A6133,02_轉折點45個!A:A,0)),"")</f>
        <v/>
      </c>
      <c r="G6133" s="7" t="s">
        <v>5494</v>
      </c>
    </row>
    <row r="6134" customFormat="false" ht="15" hidden="false" customHeight="false" outlineLevel="0" collapsed="false">
      <c r="A6134" s="7" t="s">
        <v>6712</v>
      </c>
      <c r="B6134" s="7" t="n">
        <v>13426.01</v>
      </c>
      <c r="C6134" s="7" t="n">
        <f aca="false">AVERAGE(B6085:B6134)</f>
        <v>12876.6212</v>
      </c>
      <c r="D6134" s="7" t="n">
        <f aca="false">AVERAGE(B5935:B6134)</f>
        <v>12109.4603</v>
      </c>
      <c r="E6134" s="7" t="n">
        <f aca="false">B6134/MAX(B5883:B6134)-1</f>
        <v>-0.0176459225677865</v>
      </c>
      <c r="F6134" s="7" t="str">
        <f aca="false">IFERROR(INDEX(02_轉折點45個!B:B,MATCH(A6134,02_轉折點45個!A:A,0)),"")</f>
        <v/>
      </c>
      <c r="G6134" s="7" t="s">
        <v>5494</v>
      </c>
    </row>
    <row r="6135" customFormat="false" ht="15" hidden="false" customHeight="false" outlineLevel="0" collapsed="false">
      <c r="A6135" s="7" t="s">
        <v>6713</v>
      </c>
      <c r="B6135" s="7" t="n">
        <v>13589.26</v>
      </c>
      <c r="C6135" s="7" t="n">
        <f aca="false">AVERAGE(B6086:B6135)</f>
        <v>12905.363</v>
      </c>
      <c r="D6135" s="7" t="n">
        <f aca="false">AVERAGE(B5936:B6135)</f>
        <v>12112.7027</v>
      </c>
      <c r="E6135" s="7" t="n">
        <f aca="false">B6135/MAX(B5884:B6135)-1</f>
        <v>-0.00570124927014937</v>
      </c>
      <c r="F6135" s="7" t="str">
        <f aca="false">IFERROR(INDEX(02_轉折點45個!B:B,MATCH(A6135,02_轉折點45個!A:A,0)),"")</f>
        <v/>
      </c>
      <c r="G6135" s="7" t="s">
        <v>5494</v>
      </c>
    </row>
    <row r="6136" customFormat="false" ht="15" hidden="false" customHeight="false" outlineLevel="0" collapsed="false">
      <c r="A6136" s="7" t="s">
        <v>6714</v>
      </c>
      <c r="B6136" s="7" t="n">
        <v>13834.62</v>
      </c>
      <c r="C6136" s="7" t="n">
        <f aca="false">AVERAGE(B6087:B6136)</f>
        <v>12937.7488</v>
      </c>
      <c r="D6136" s="7" t="n">
        <f aca="false">AVERAGE(B5937:B6136)</f>
        <v>12117.3678</v>
      </c>
      <c r="E6136" s="7" t="n">
        <f aca="false">B6136/MAX(B5885:B6136)-1</f>
        <v>0</v>
      </c>
      <c r="F6136" s="7" t="str">
        <f aca="false">IFERROR(INDEX(02_轉折點45個!B:B,MATCH(A6136,02_轉折點45個!A:A,0)),"")</f>
        <v/>
      </c>
      <c r="G6136" s="7" t="s">
        <v>5494</v>
      </c>
    </row>
    <row r="6137" customFormat="false" ht="15" hidden="false" customHeight="false" outlineLevel="0" collapsed="false">
      <c r="A6137" s="7" t="s">
        <v>6715</v>
      </c>
      <c r="B6137" s="7" t="n">
        <v>13803.49</v>
      </c>
      <c r="C6137" s="7" t="n">
        <f aca="false">AVERAGE(B6088:B6137)</f>
        <v>12973.901</v>
      </c>
      <c r="D6137" s="7" t="n">
        <f aca="false">AVERAGE(B5938:B6137)</f>
        <v>12120.11895</v>
      </c>
      <c r="E6137" s="7" t="n">
        <f aca="false">B6137/MAX(B5886:B6137)-1</f>
        <v>-0.00225015215452262</v>
      </c>
      <c r="F6137" s="7" t="str">
        <f aca="false">IFERROR(INDEX(02_轉折點45個!B:B,MATCH(A6137,02_轉折點45個!A:A,0)),"")</f>
        <v/>
      </c>
      <c r="G6137" s="7" t="s">
        <v>5494</v>
      </c>
    </row>
    <row r="6138" customFormat="false" ht="15" hidden="false" customHeight="false" outlineLevel="0" collapsed="false">
      <c r="A6138" s="7" t="s">
        <v>6716</v>
      </c>
      <c r="B6138" s="7" t="n">
        <v>13849.74</v>
      </c>
      <c r="C6138" s="7" t="n">
        <f aca="false">AVERAGE(B6089:B6138)</f>
        <v>13014.2902</v>
      </c>
      <c r="D6138" s="7" t="n">
        <f aca="false">AVERAGE(B5939:B6138)</f>
        <v>12122.81245</v>
      </c>
      <c r="E6138" s="7" t="n">
        <f aca="false">B6138/MAX(B5887:B6138)-1</f>
        <v>0</v>
      </c>
      <c r="F6138" s="7" t="str">
        <f aca="false">IFERROR(INDEX(02_轉折點45個!B:B,MATCH(A6138,02_轉折點45個!A:A,0)),"")</f>
        <v/>
      </c>
      <c r="G6138" s="7" t="s">
        <v>5494</v>
      </c>
    </row>
    <row r="6139" customFormat="false" ht="15" hidden="false" customHeight="false" outlineLevel="0" collapsed="false">
      <c r="A6139" s="7" t="s">
        <v>6717</v>
      </c>
      <c r="B6139" s="7" t="n">
        <v>13672.54</v>
      </c>
      <c r="C6139" s="7" t="n">
        <f aca="false">AVERAGE(B6090:B6139)</f>
        <v>13049.2776</v>
      </c>
      <c r="D6139" s="7" t="n">
        <f aca="false">AVERAGE(B5940:B6139)</f>
        <v>12125.1367</v>
      </c>
      <c r="E6139" s="7" t="n">
        <f aca="false">B6139/MAX(B5888:B6139)-1</f>
        <v>-0.0127944640115987</v>
      </c>
      <c r="F6139" s="7" t="str">
        <f aca="false">IFERROR(INDEX(02_轉折點45個!B:B,MATCH(A6139,02_轉折點45個!A:A,0)),"")</f>
        <v/>
      </c>
      <c r="G6139" s="7" t="s">
        <v>5494</v>
      </c>
    </row>
    <row r="6140" customFormat="false" ht="15" hidden="false" customHeight="false" outlineLevel="0" collapsed="false">
      <c r="A6140" s="7" t="s">
        <v>6718</v>
      </c>
      <c r="B6140" s="7" t="n">
        <v>13604.48</v>
      </c>
      <c r="C6140" s="7" t="n">
        <f aca="false">AVERAGE(B6091:B6140)</f>
        <v>13077.3714</v>
      </c>
      <c r="D6140" s="7" t="n">
        <f aca="false">AVERAGE(B5941:B6140)</f>
        <v>12127.3633</v>
      </c>
      <c r="E6140" s="7" t="n">
        <f aca="false">B6140/MAX(B5889:B6140)-1</f>
        <v>-0.0177086356855797</v>
      </c>
      <c r="F6140" s="7" t="str">
        <f aca="false">IFERROR(INDEX(02_轉折點45個!B:B,MATCH(A6140,02_轉折點45個!A:A,0)),"")</f>
        <v/>
      </c>
      <c r="G6140" s="7" t="s">
        <v>5494</v>
      </c>
    </row>
    <row r="6141" customFormat="false" ht="15" hidden="false" customHeight="false" outlineLevel="0" collapsed="false">
      <c r="A6141" s="7" t="s">
        <v>1768</v>
      </c>
      <c r="B6141" s="7" t="n">
        <v>13938.53</v>
      </c>
      <c r="C6141" s="7" t="n">
        <f aca="false">AVERAGE(B6092:B6141)</f>
        <v>13111.1156</v>
      </c>
      <c r="D6141" s="7" t="n">
        <f aca="false">AVERAGE(B5942:B6141)</f>
        <v>12132.0151</v>
      </c>
      <c r="E6141" s="7" t="n">
        <f aca="false">B6141/MAX(B5890:B6141)-1</f>
        <v>0</v>
      </c>
      <c r="F6141" s="7" t="str">
        <f aca="false">IFERROR(INDEX(02_轉折點45個!B:B,MATCH(A6141,02_轉折點45個!A:A,0)),"")</f>
        <v/>
      </c>
      <c r="G6141" s="7" t="s">
        <v>5494</v>
      </c>
    </row>
    <row r="6142" customFormat="false" ht="15" hidden="false" customHeight="false" outlineLevel="0" collapsed="false">
      <c r="A6142" s="7" t="s">
        <v>1769</v>
      </c>
      <c r="B6142" s="7" t="n">
        <v>14298.41</v>
      </c>
      <c r="C6142" s="7" t="n">
        <f aca="false">AVERAGE(B6093:B6142)</f>
        <v>13145.456</v>
      </c>
      <c r="D6142" s="7" t="n">
        <f aca="false">AVERAGE(B5943:B6142)</f>
        <v>12136.61555</v>
      </c>
      <c r="E6142" s="7" t="n">
        <f aca="false">B6142/MAX(B5891:B6142)-1</f>
        <v>0</v>
      </c>
      <c r="F6142" s="7" t="str">
        <f aca="false">IFERROR(INDEX(02_轉折點45個!B:B,MATCH(A6142,02_轉折點45個!A:A,0)),"")</f>
        <v/>
      </c>
      <c r="G6142" s="7" t="s">
        <v>5494</v>
      </c>
    </row>
    <row r="6143" customFormat="false" ht="15" hidden="false" customHeight="false" outlineLevel="0" collapsed="false">
      <c r="A6143" s="7" t="s">
        <v>6719</v>
      </c>
      <c r="B6143" s="7" t="n">
        <v>14354.99</v>
      </c>
      <c r="C6143" s="7" t="n">
        <f aca="false">AVERAGE(B6094:B6143)</f>
        <v>13182.1582</v>
      </c>
      <c r="D6143" s="7" t="n">
        <f aca="false">AVERAGE(B5944:B6143)</f>
        <v>12141.93055</v>
      </c>
      <c r="E6143" s="7" t="n">
        <f aca="false">B6143/MAX(B5892:B6143)-1</f>
        <v>0</v>
      </c>
      <c r="F6143" s="7" t="str">
        <f aca="false">IFERROR(INDEX(02_轉折點45個!B:B,MATCH(A6143,02_轉折點45個!A:A,0)),"")</f>
        <v/>
      </c>
      <c r="G6143" s="7" t="s">
        <v>5494</v>
      </c>
    </row>
    <row r="6144" customFormat="false" ht="15" hidden="false" customHeight="false" outlineLevel="0" collapsed="false">
      <c r="A6144" s="7" t="s">
        <v>6720</v>
      </c>
      <c r="B6144" s="7" t="n">
        <v>14254.09</v>
      </c>
      <c r="C6144" s="7" t="n">
        <f aca="false">AVERAGE(B6095:B6144)</f>
        <v>13215.9878</v>
      </c>
      <c r="D6144" s="7" t="n">
        <f aca="false">AVERAGE(B5945:B6144)</f>
        <v>12145.37165</v>
      </c>
      <c r="E6144" s="7" t="n">
        <f aca="false">B6144/MAX(B5893:B6144)-1</f>
        <v>-0.00702891468402278</v>
      </c>
      <c r="F6144" s="7" t="str">
        <f aca="false">IFERROR(INDEX(02_轉折點45個!B:B,MATCH(A6144,02_轉折點45個!A:A,0)),"")</f>
        <v/>
      </c>
      <c r="G6144" s="7" t="s">
        <v>5494</v>
      </c>
    </row>
    <row r="6145" customFormat="false" ht="15" hidden="false" customHeight="false" outlineLevel="0" collapsed="false">
      <c r="A6145" s="7" t="s">
        <v>1770</v>
      </c>
      <c r="B6145" s="7" t="n">
        <v>14441.51</v>
      </c>
      <c r="C6145" s="7" t="n">
        <f aca="false">AVERAGE(B6096:B6145)</f>
        <v>13249.9892</v>
      </c>
      <c r="D6145" s="7" t="n">
        <f aca="false">AVERAGE(B5946:B6145)</f>
        <v>12149.2433</v>
      </c>
      <c r="E6145" s="7" t="n">
        <f aca="false">B6145/MAX(B5894:B6145)-1</f>
        <v>0</v>
      </c>
      <c r="F6145" s="7" t="str">
        <f aca="false">IFERROR(INDEX(02_轉折點45個!B:B,MATCH(A6145,02_轉折點45個!A:A,0)),"")</f>
        <v/>
      </c>
      <c r="G6145" s="7" t="s">
        <v>5494</v>
      </c>
    </row>
    <row r="6146" customFormat="false" ht="15" hidden="false" customHeight="false" outlineLevel="0" collapsed="false">
      <c r="A6146" s="7" t="s">
        <v>6721</v>
      </c>
      <c r="B6146" s="7" t="n">
        <v>14546.64</v>
      </c>
      <c r="C6146" s="7" t="n">
        <f aca="false">AVERAGE(B6097:B6146)</f>
        <v>13289.579</v>
      </c>
      <c r="D6146" s="7" t="n">
        <f aca="false">AVERAGE(B5947:B6146)</f>
        <v>12153.80045</v>
      </c>
      <c r="E6146" s="7" t="n">
        <f aca="false">B6146/MAX(B5895:B6146)-1</f>
        <v>0</v>
      </c>
      <c r="F6146" s="7" t="str">
        <f aca="false">IFERROR(INDEX(02_轉折點45個!B:B,MATCH(A6146,02_轉折點45個!A:A,0)),"")</f>
        <v/>
      </c>
      <c r="G6146" s="7" t="s">
        <v>5494</v>
      </c>
    </row>
    <row r="6147" customFormat="false" ht="15" hidden="false" customHeight="false" outlineLevel="0" collapsed="false">
      <c r="A6147" s="7" t="s">
        <v>6722</v>
      </c>
      <c r="B6147" s="7" t="n">
        <v>14556.5</v>
      </c>
      <c r="C6147" s="7" t="n">
        <f aca="false">AVERAGE(B6098:B6147)</f>
        <v>13326.1244</v>
      </c>
      <c r="D6147" s="7" t="n">
        <f aca="false">AVERAGE(B5948:B6147)</f>
        <v>12159.22865</v>
      </c>
      <c r="E6147" s="7" t="n">
        <f aca="false">B6147/MAX(B5896:B6147)-1</f>
        <v>0</v>
      </c>
      <c r="F6147" s="7" t="str">
        <f aca="false">IFERROR(INDEX(02_轉折點45個!B:B,MATCH(A6147,02_轉折點45個!A:A,0)),"")</f>
        <v/>
      </c>
      <c r="G6147" s="7" t="s">
        <v>5494</v>
      </c>
    </row>
    <row r="6148" customFormat="false" ht="15" hidden="false" customHeight="false" outlineLevel="0" collapsed="false">
      <c r="A6148" s="7" t="s">
        <v>6723</v>
      </c>
      <c r="B6148" s="7" t="n">
        <v>14558.09</v>
      </c>
      <c r="C6148" s="7" t="n">
        <f aca="false">AVERAGE(B6099:B6148)</f>
        <v>13361.9452</v>
      </c>
      <c r="D6148" s="7" t="n">
        <f aca="false">AVERAGE(B5949:B6148)</f>
        <v>12164.48915</v>
      </c>
      <c r="E6148" s="7" t="n">
        <f aca="false">B6148/MAX(B5897:B6148)-1</f>
        <v>0</v>
      </c>
      <c r="F6148" s="7" t="str">
        <f aca="false">IFERROR(INDEX(02_轉折點45個!B:B,MATCH(A6148,02_轉折點45個!A:A,0)),"")</f>
        <v/>
      </c>
      <c r="G6148" s="7" t="s">
        <v>5494</v>
      </c>
    </row>
    <row r="6149" customFormat="false" ht="15" hidden="false" customHeight="false" outlineLevel="0" collapsed="false">
      <c r="A6149" s="7" t="s">
        <v>6724</v>
      </c>
      <c r="B6149" s="7" t="n">
        <v>14303.29</v>
      </c>
      <c r="C6149" s="7" t="n">
        <f aca="false">AVERAGE(B6100:B6149)</f>
        <v>13394.5496</v>
      </c>
      <c r="D6149" s="7" t="n">
        <f aca="false">AVERAGE(B5950:B6149)</f>
        <v>12169.7911</v>
      </c>
      <c r="E6149" s="7" t="n">
        <f aca="false">B6149/MAX(B5898:B6149)-1</f>
        <v>-0.0175022959742658</v>
      </c>
      <c r="F6149" s="7" t="str">
        <f aca="false">IFERROR(INDEX(02_轉折點45個!B:B,MATCH(A6149,02_轉折點45個!A:A,0)),"")</f>
        <v/>
      </c>
      <c r="G6149" s="7" t="s">
        <v>5494</v>
      </c>
    </row>
    <row r="6150" customFormat="false" ht="15" hidden="false" customHeight="false" outlineLevel="0" collapsed="false">
      <c r="A6150" s="7" t="s">
        <v>6725</v>
      </c>
      <c r="B6150" s="7" t="n">
        <v>14484.54</v>
      </c>
      <c r="C6150" s="7" t="n">
        <f aca="false">AVERAGE(B6101:B6150)</f>
        <v>13432.029</v>
      </c>
      <c r="D6150" s="7" t="n">
        <f aca="false">AVERAGE(B5951:B6150)</f>
        <v>12177.7611</v>
      </c>
      <c r="E6150" s="7" t="n">
        <f aca="false">B6150/MAX(B5899:B6150)-1</f>
        <v>-0.00505217373982436</v>
      </c>
      <c r="F6150" s="7" t="str">
        <f aca="false">IFERROR(INDEX(02_轉折點45個!B:B,MATCH(A6150,02_轉折點45個!A:A,0)),"")</f>
        <v/>
      </c>
      <c r="G6150" s="7" t="s">
        <v>5494</v>
      </c>
    </row>
    <row r="6151" customFormat="false" ht="15" hidden="false" customHeight="false" outlineLevel="0" collapsed="false">
      <c r="A6151" s="7" t="s">
        <v>6726</v>
      </c>
      <c r="B6151" s="7" t="n">
        <v>14528.36</v>
      </c>
      <c r="C6151" s="7" t="n">
        <f aca="false">AVERAGE(B6102:B6151)</f>
        <v>13465.6756</v>
      </c>
      <c r="D6151" s="7" t="n">
        <f aca="false">AVERAGE(B5952:B6151)</f>
        <v>12185.99395</v>
      </c>
      <c r="E6151" s="7" t="n">
        <f aca="false">B6151/MAX(B5900:B6151)-1</f>
        <v>-0.00204216349809627</v>
      </c>
      <c r="F6151" s="7" t="str">
        <f aca="false">IFERROR(INDEX(02_轉折點45個!B:B,MATCH(A6151,02_轉折點45個!A:A,0)),"")</f>
        <v/>
      </c>
      <c r="G6151" s="7" t="s">
        <v>5494</v>
      </c>
    </row>
    <row r="6152" customFormat="false" ht="15" hidden="false" customHeight="false" outlineLevel="0" collapsed="false">
      <c r="A6152" s="7" t="s">
        <v>1771</v>
      </c>
      <c r="B6152" s="7" t="n">
        <v>14784.3</v>
      </c>
      <c r="C6152" s="7" t="n">
        <f aca="false">AVERAGE(B6103:B6152)</f>
        <v>13502.0988</v>
      </c>
      <c r="D6152" s="7" t="n">
        <f aca="false">AVERAGE(B5953:B6152)</f>
        <v>12195.32615</v>
      </c>
      <c r="E6152" s="7" t="n">
        <f aca="false">B6152/MAX(B5901:B6152)-1</f>
        <v>0</v>
      </c>
      <c r="F6152" s="7" t="str">
        <f aca="false">IFERROR(INDEX(02_轉折點45個!B:B,MATCH(A6152,02_轉折點45個!A:A,0)),"")</f>
        <v/>
      </c>
      <c r="G6152" s="7" t="s">
        <v>5494</v>
      </c>
    </row>
    <row r="6153" customFormat="false" ht="15" hidden="false" customHeight="false" outlineLevel="0" collapsed="false">
      <c r="A6153" s="7" t="s">
        <v>6727</v>
      </c>
      <c r="B6153" s="7" t="n">
        <v>14900.85</v>
      </c>
      <c r="C6153" s="7" t="n">
        <f aca="false">AVERAGE(B6104:B6153)</f>
        <v>13536.4888</v>
      </c>
      <c r="D6153" s="7" t="n">
        <f aca="false">AVERAGE(B5954:B6153)</f>
        <v>12204.1125</v>
      </c>
      <c r="E6153" s="7" t="n">
        <f aca="false">B6153/MAX(B5902:B6153)-1</f>
        <v>0</v>
      </c>
      <c r="F6153" s="7" t="str">
        <f aca="false">IFERROR(INDEX(02_轉折點45個!B:B,MATCH(A6153,02_轉折點45個!A:A,0)),"")</f>
        <v/>
      </c>
      <c r="G6153" s="7" t="s">
        <v>5494</v>
      </c>
    </row>
    <row r="6154" customFormat="false" ht="15" hidden="false" customHeight="false" outlineLevel="0" collapsed="false">
      <c r="A6154" s="7" t="s">
        <v>6728</v>
      </c>
      <c r="B6154" s="7" t="n">
        <v>15005.69</v>
      </c>
      <c r="C6154" s="7" t="n">
        <f aca="false">AVERAGE(B6105:B6154)</f>
        <v>13573.6356</v>
      </c>
      <c r="D6154" s="7" t="n">
        <f aca="false">AVERAGE(B5955:B6154)</f>
        <v>12216.1151</v>
      </c>
      <c r="E6154" s="7" t="n">
        <f aca="false">B6154/MAX(B5903:B6154)-1</f>
        <v>0</v>
      </c>
      <c r="F6154" s="7" t="str">
        <f aca="false">IFERROR(INDEX(02_轉折點45個!B:B,MATCH(A6154,02_轉折點45個!A:A,0)),"")</f>
        <v/>
      </c>
      <c r="G6154" s="7" t="s">
        <v>5494</v>
      </c>
    </row>
    <row r="6155" customFormat="false" ht="15" hidden="false" customHeight="false" outlineLevel="0" collapsed="false">
      <c r="A6155" s="7" t="s">
        <v>6729</v>
      </c>
      <c r="B6155" s="7" t="n">
        <v>15185.48</v>
      </c>
      <c r="C6155" s="7" t="n">
        <f aca="false">AVERAGE(B6106:B6155)</f>
        <v>13615.3436</v>
      </c>
      <c r="D6155" s="7" t="n">
        <f aca="false">AVERAGE(B5956:B6155)</f>
        <v>12229.6209</v>
      </c>
      <c r="E6155" s="7" t="n">
        <f aca="false">B6155/MAX(B5904:B6155)-1</f>
        <v>0</v>
      </c>
      <c r="F6155" s="7" t="str">
        <f aca="false">IFERROR(INDEX(02_轉折點45個!B:B,MATCH(A6155,02_轉折點45個!A:A,0)),"")</f>
        <v/>
      </c>
      <c r="G6155" s="7" t="s">
        <v>5494</v>
      </c>
    </row>
    <row r="6156" customFormat="false" ht="15" hidden="false" customHeight="false" outlineLevel="0" collapsed="false">
      <c r="A6156" s="7" t="s">
        <v>6730</v>
      </c>
      <c r="B6156" s="7" t="n">
        <v>15083.92</v>
      </c>
      <c r="C6156" s="7" t="n">
        <f aca="false">AVERAGE(B6107:B6156)</f>
        <v>13657.678</v>
      </c>
      <c r="D6156" s="7" t="n">
        <f aca="false">AVERAGE(B5957:B6156)</f>
        <v>12243.327</v>
      </c>
      <c r="E6156" s="7" t="n">
        <f aca="false">B6156/MAX(B5905:B6156)-1</f>
        <v>-0.00668796771652913</v>
      </c>
      <c r="F6156" s="7" t="str">
        <f aca="false">IFERROR(INDEX(02_轉折點45個!B:B,MATCH(A6156,02_轉折點45個!A:A,0)),"")</f>
        <v/>
      </c>
      <c r="G6156" s="7" t="s">
        <v>5494</v>
      </c>
    </row>
    <row r="6157" customFormat="false" ht="15" hidden="false" customHeight="false" outlineLevel="0" collapsed="false">
      <c r="A6157" s="7" t="s">
        <v>6731</v>
      </c>
      <c r="B6157" s="7" t="n">
        <v>15070.15</v>
      </c>
      <c r="C6157" s="7" t="n">
        <f aca="false">AVERAGE(B6108:B6157)</f>
        <v>13697.829</v>
      </c>
      <c r="D6157" s="7" t="n">
        <f aca="false">AVERAGE(B5958:B6157)</f>
        <v>12257.3176</v>
      </c>
      <c r="E6157" s="7" t="n">
        <f aca="false">B6157/MAX(B5906:B6157)-1</f>
        <v>-0.0075947549896348</v>
      </c>
      <c r="F6157" s="7" t="str">
        <f aca="false">IFERROR(INDEX(02_轉折點45個!B:B,MATCH(A6157,02_轉折點45個!A:A,0)),"")</f>
        <v/>
      </c>
      <c r="G6157" s="7" t="s">
        <v>5494</v>
      </c>
    </row>
    <row r="6158" customFormat="false" ht="15" hidden="false" customHeight="false" outlineLevel="0" collapsed="false">
      <c r="A6158" s="7" t="s">
        <v>6732</v>
      </c>
      <c r="B6158" s="7" t="n">
        <v>14867.45</v>
      </c>
      <c r="C6158" s="7" t="n">
        <f aca="false">AVERAGE(B6109:B6158)</f>
        <v>13734.1534</v>
      </c>
      <c r="D6158" s="7" t="n">
        <f aca="false">AVERAGE(B5959:B6158)</f>
        <v>12270.28175</v>
      </c>
      <c r="E6158" s="7" t="n">
        <f aca="false">B6158/MAX(B5907:B6158)-1</f>
        <v>-0.0209430324230777</v>
      </c>
      <c r="F6158" s="7" t="str">
        <f aca="false">IFERROR(INDEX(02_轉折點45個!B:B,MATCH(A6158,02_轉折點45個!A:A,0)),"")</f>
        <v/>
      </c>
      <c r="G6158" s="7" t="s">
        <v>5494</v>
      </c>
    </row>
    <row r="6159" customFormat="false" ht="15" hidden="false" customHeight="false" outlineLevel="0" collapsed="false">
      <c r="A6159" s="7" t="s">
        <v>6733</v>
      </c>
      <c r="B6159" s="7" t="n">
        <v>15042.32</v>
      </c>
      <c r="C6159" s="7" t="n">
        <f aca="false">AVERAGE(B6110:B6159)</f>
        <v>13775.7168</v>
      </c>
      <c r="D6159" s="7" t="n">
        <f aca="false">AVERAGE(B5960:B6159)</f>
        <v>12285.00115</v>
      </c>
      <c r="E6159" s="7" t="n">
        <f aca="false">B6159/MAX(B5908:B6159)-1</f>
        <v>-0.00942742672605668</v>
      </c>
      <c r="F6159" s="7" t="str">
        <f aca="false">IFERROR(INDEX(02_轉折點45個!B:B,MATCH(A6159,02_轉折點45個!A:A,0)),"")</f>
        <v/>
      </c>
      <c r="G6159" s="7" t="s">
        <v>5494</v>
      </c>
    </row>
    <row r="6160" customFormat="false" ht="15" hidden="false" customHeight="false" outlineLevel="0" collapsed="false">
      <c r="A6160" s="7" t="s">
        <v>6734</v>
      </c>
      <c r="B6160" s="7" t="n">
        <v>14891.48</v>
      </c>
      <c r="C6160" s="7" t="n">
        <f aca="false">AVERAGE(B6111:B6160)</f>
        <v>13816.5794</v>
      </c>
      <c r="D6160" s="7" t="n">
        <f aca="false">AVERAGE(B5961:B6160)</f>
        <v>12299.402</v>
      </c>
      <c r="E6160" s="7" t="n">
        <f aca="false">B6160/MAX(B5909:B6160)-1</f>
        <v>-0.0193605997307955</v>
      </c>
      <c r="F6160" s="7" t="str">
        <f aca="false">IFERROR(INDEX(02_轉折點45個!B:B,MATCH(A6160,02_轉折點45個!A:A,0)),"")</f>
        <v/>
      </c>
      <c r="G6160" s="7" t="s">
        <v>5494</v>
      </c>
    </row>
    <row r="6161" customFormat="false" ht="15" hidden="false" customHeight="false" outlineLevel="0" collapsed="false">
      <c r="A6161" s="7" t="s">
        <v>1772</v>
      </c>
      <c r="B6161" s="7" t="n">
        <v>14689.02</v>
      </c>
      <c r="C6161" s="7" t="n">
        <f aca="false">AVERAGE(B6112:B6161)</f>
        <v>13848.172</v>
      </c>
      <c r="D6161" s="7" t="n">
        <f aca="false">AVERAGE(B5962:B6161)</f>
        <v>12311.55015</v>
      </c>
      <c r="E6161" s="7" t="n">
        <f aca="false">B6161/MAX(B5910:B6161)-1</f>
        <v>-0.0326930725930296</v>
      </c>
      <c r="F6161" s="7" t="str">
        <f aca="false">IFERROR(INDEX(02_轉折點45個!B:B,MATCH(A6161,02_轉折點45個!A:A,0)),"")</f>
        <v/>
      </c>
      <c r="G6161" s="7" t="s">
        <v>5494</v>
      </c>
    </row>
    <row r="6162" customFormat="false" ht="15" hidden="false" customHeight="false" outlineLevel="0" collapsed="false">
      <c r="A6162" s="7" t="s">
        <v>6735</v>
      </c>
      <c r="B6162" s="7" t="n">
        <v>14945.91</v>
      </c>
      <c r="C6162" s="7" t="n">
        <f aca="false">AVERAGE(B6113:B6162)</f>
        <v>13885.4998</v>
      </c>
      <c r="D6162" s="7" t="n">
        <f aca="false">AVERAGE(B5963:B6162)</f>
        <v>12324.67375</v>
      </c>
      <c r="E6162" s="7" t="n">
        <f aca="false">B6162/MAX(B5911:B6162)-1</f>
        <v>-0.0157762546853968</v>
      </c>
      <c r="F6162" s="7" t="str">
        <f aca="false">IFERROR(INDEX(02_轉折點45個!B:B,MATCH(A6162,02_轉折點45個!A:A,0)),"")</f>
        <v/>
      </c>
      <c r="G6162" s="7" t="s">
        <v>5494</v>
      </c>
    </row>
    <row r="6163" customFormat="false" ht="15" hidden="false" customHeight="false" outlineLevel="0" collapsed="false">
      <c r="A6163" s="7" t="s">
        <v>6736</v>
      </c>
      <c r="B6163" s="7" t="n">
        <v>14964.57</v>
      </c>
      <c r="C6163" s="7" t="n">
        <f aca="false">AVERAGE(B6114:B6163)</f>
        <v>13923.037</v>
      </c>
      <c r="D6163" s="7" t="n">
        <f aca="false">AVERAGE(B5964:B6163)</f>
        <v>12336.55515</v>
      </c>
      <c r="E6163" s="7" t="n">
        <f aca="false">B6163/MAX(B5912:B6163)-1</f>
        <v>-0.0145474492739116</v>
      </c>
      <c r="F6163" s="7" t="str">
        <f aca="false">IFERROR(INDEX(02_轉折點45個!B:B,MATCH(A6163,02_轉折點45個!A:A,0)),"")</f>
        <v/>
      </c>
      <c r="G6163" s="7" t="s">
        <v>5494</v>
      </c>
    </row>
    <row r="6164" customFormat="false" ht="15" hidden="false" customHeight="false" outlineLevel="0" collapsed="false">
      <c r="A6164" s="7" t="s">
        <v>6737</v>
      </c>
      <c r="B6164" s="7" t="n">
        <v>14939.95</v>
      </c>
      <c r="C6164" s="7" t="n">
        <f aca="false">AVERAGE(B6115:B6164)</f>
        <v>13960.0002</v>
      </c>
      <c r="D6164" s="7" t="n">
        <f aca="false">AVERAGE(B5965:B6164)</f>
        <v>12347.5563</v>
      </c>
      <c r="E6164" s="7" t="n">
        <f aca="false">B6164/MAX(B5913:B6164)-1</f>
        <v>-0.0161687348704156</v>
      </c>
      <c r="F6164" s="7" t="str">
        <f aca="false">IFERROR(INDEX(02_轉折點45個!B:B,MATCH(A6164,02_轉折點45個!A:A,0)),"")</f>
        <v/>
      </c>
      <c r="G6164" s="7" t="s">
        <v>5494</v>
      </c>
    </row>
    <row r="6165" customFormat="false" ht="15" hidden="false" customHeight="false" outlineLevel="0" collapsed="false">
      <c r="A6165" s="7" t="s">
        <v>6738</v>
      </c>
      <c r="B6165" s="7" t="n">
        <v>15179.21</v>
      </c>
      <c r="C6165" s="7" t="n">
        <f aca="false">AVERAGE(B6116:B6165)</f>
        <v>14001.8102</v>
      </c>
      <c r="D6165" s="7" t="n">
        <f aca="false">AVERAGE(B5966:B6165)</f>
        <v>12363.28425</v>
      </c>
      <c r="E6165" s="7" t="n">
        <f aca="false">B6165/MAX(B5914:B6165)-1</f>
        <v>-0.000412894422830212</v>
      </c>
      <c r="F6165" s="7" t="str">
        <f aca="false">IFERROR(INDEX(02_轉折點45個!B:B,MATCH(A6165,02_轉折點45個!A:A,0)),"")</f>
        <v/>
      </c>
      <c r="G6165" s="7" t="s">
        <v>5494</v>
      </c>
    </row>
    <row r="6166" customFormat="false" ht="15" hidden="false" customHeight="false" outlineLevel="0" collapsed="false">
      <c r="A6166" s="7" t="s">
        <v>1773</v>
      </c>
      <c r="B6166" s="7" t="n">
        <v>15208.69</v>
      </c>
      <c r="C6166" s="7" t="n">
        <f aca="false">AVERAGE(B6117:B6166)</f>
        <v>14046.2644</v>
      </c>
      <c r="D6166" s="7" t="n">
        <f aca="false">AVERAGE(B5967:B6166)</f>
        <v>12378.6557</v>
      </c>
      <c r="E6166" s="7" t="n">
        <f aca="false">B6166/MAX(B5915:B6166)-1</f>
        <v>0</v>
      </c>
      <c r="F6166" s="7" t="str">
        <f aca="false">IFERROR(INDEX(02_轉折點45個!B:B,MATCH(A6166,02_轉折點45個!A:A,0)),"")</f>
        <v/>
      </c>
      <c r="G6166" s="7" t="s">
        <v>5494</v>
      </c>
    </row>
    <row r="6167" customFormat="false" ht="15" hidden="false" customHeight="false" outlineLevel="0" collapsed="false">
      <c r="A6167" s="7" t="s">
        <v>6739</v>
      </c>
      <c r="B6167" s="7" t="n">
        <v>15203.78</v>
      </c>
      <c r="C6167" s="7" t="n">
        <f aca="false">AVERAGE(B6118:B6167)</f>
        <v>14090.3246</v>
      </c>
      <c r="D6167" s="7" t="n">
        <f aca="false">AVERAGE(B5968:B6167)</f>
        <v>12395.03715</v>
      </c>
      <c r="E6167" s="7" t="n">
        <f aca="false">B6167/MAX(B5916:B6167)-1</f>
        <v>-0.000322841743766178</v>
      </c>
      <c r="F6167" s="7" t="str">
        <f aca="false">IFERROR(INDEX(02_轉折點45個!B:B,MATCH(A6167,02_轉折點45個!A:A,0)),"")</f>
        <v/>
      </c>
      <c r="G6167" s="7" t="s">
        <v>5494</v>
      </c>
    </row>
    <row r="6168" customFormat="false" ht="15" hidden="false" customHeight="false" outlineLevel="0" collapsed="false">
      <c r="A6168" s="7" t="s">
        <v>6740</v>
      </c>
      <c r="B6168" s="7" t="n">
        <v>15089.45</v>
      </c>
      <c r="C6168" s="7" t="n">
        <f aca="false">AVERAGE(B6119:B6168)</f>
        <v>14132.7184</v>
      </c>
      <c r="D6168" s="7" t="n">
        <f aca="false">AVERAGE(B5969:B6168)</f>
        <v>12411.1775</v>
      </c>
      <c r="E6168" s="7" t="n">
        <f aca="false">B6168/MAX(B5917:B6168)-1</f>
        <v>-0.00784025448608661</v>
      </c>
      <c r="F6168" s="7" t="str">
        <f aca="false">IFERROR(INDEX(02_轉折點45個!B:B,MATCH(A6168,02_轉折點45個!A:A,0)),"")</f>
        <v/>
      </c>
      <c r="G6168" s="7" t="s">
        <v>5494</v>
      </c>
    </row>
    <row r="6169" customFormat="false" ht="15" hidden="false" customHeight="false" outlineLevel="0" collapsed="false">
      <c r="A6169" s="7" t="s">
        <v>6741</v>
      </c>
      <c r="B6169" s="7" t="n">
        <v>15036.85</v>
      </c>
      <c r="C6169" s="7" t="n">
        <f aca="false">AVERAGE(B6120:B6169)</f>
        <v>14178.9532</v>
      </c>
      <c r="D6169" s="7" t="n">
        <f aca="false">AVERAGE(B5970:B6169)</f>
        <v>12426.5954</v>
      </c>
      <c r="E6169" s="7" t="n">
        <f aca="false">B6169/MAX(B5918:B6169)-1</f>
        <v>-0.0112988035129916</v>
      </c>
      <c r="F6169" s="7" t="str">
        <f aca="false">IFERROR(INDEX(02_轉折點45個!B:B,MATCH(A6169,02_轉折點45個!A:A,0)),"")</f>
        <v/>
      </c>
      <c r="G6169" s="7" t="s">
        <v>5494</v>
      </c>
    </row>
    <row r="6170" customFormat="false" ht="15" hidden="false" customHeight="false" outlineLevel="0" collapsed="false">
      <c r="A6170" s="7" t="s">
        <v>6742</v>
      </c>
      <c r="B6170" s="7" t="n">
        <v>15045.64</v>
      </c>
      <c r="C6170" s="7" t="n">
        <f aca="false">AVERAGE(B6121:B6170)</f>
        <v>14223.7364</v>
      </c>
      <c r="D6170" s="7" t="n">
        <f aca="false">AVERAGE(B5971:B6170)</f>
        <v>12442.5659</v>
      </c>
      <c r="E6170" s="7" t="n">
        <f aca="false">B6170/MAX(B5919:B6170)-1</f>
        <v>-0.0107208444645792</v>
      </c>
      <c r="F6170" s="7" t="str">
        <f aca="false">IFERROR(INDEX(02_轉折點45個!B:B,MATCH(A6170,02_轉折點45個!A:A,0)),"")</f>
        <v/>
      </c>
      <c r="G6170" s="7" t="s">
        <v>5494</v>
      </c>
    </row>
    <row r="6171" customFormat="false" ht="15" hidden="false" customHeight="false" outlineLevel="0" collapsed="false">
      <c r="A6171" s="7" t="s">
        <v>6743</v>
      </c>
      <c r="B6171" s="7" t="n">
        <v>15119.06</v>
      </c>
      <c r="C6171" s="7" t="n">
        <f aca="false">AVERAGE(B6122:B6171)</f>
        <v>14262.917</v>
      </c>
      <c r="D6171" s="7" t="n">
        <f aca="false">AVERAGE(B5972:B6171)</f>
        <v>12459.97225</v>
      </c>
      <c r="E6171" s="7" t="n">
        <f aca="false">B6171/MAX(B5920:B6171)-1</f>
        <v>-0.0058933412410932</v>
      </c>
      <c r="F6171" s="7" t="str">
        <f aca="false">IFERROR(INDEX(02_轉折點45個!B:B,MATCH(A6171,02_轉折點45個!A:A,0)),"")</f>
        <v/>
      </c>
      <c r="G6171" s="7" t="s">
        <v>5494</v>
      </c>
    </row>
    <row r="6172" customFormat="false" ht="15" hidden="false" customHeight="false" outlineLevel="0" collapsed="false">
      <c r="A6172" s="7" t="s">
        <v>1774</v>
      </c>
      <c r="B6172" s="7" t="n">
        <v>15307.23</v>
      </c>
      <c r="C6172" s="7" t="n">
        <f aca="false">AVERAGE(B6123:B6172)</f>
        <v>14304.1418</v>
      </c>
      <c r="D6172" s="7" t="n">
        <f aca="false">AVERAGE(B5973:B6172)</f>
        <v>12479.00015</v>
      </c>
      <c r="E6172" s="7" t="n">
        <f aca="false">B6172/MAX(B5921:B6172)-1</f>
        <v>0</v>
      </c>
      <c r="F6172" s="7" t="str">
        <f aca="false">IFERROR(INDEX(02_轉折點45個!B:B,MATCH(A6172,02_轉折點45個!A:A,0)),"")</f>
        <v/>
      </c>
      <c r="G6172" s="7" t="s">
        <v>5494</v>
      </c>
    </row>
    <row r="6173" customFormat="false" ht="15" hidden="false" customHeight="false" outlineLevel="0" collapsed="false">
      <c r="A6173" s="7" t="s">
        <v>1775</v>
      </c>
      <c r="B6173" s="7" t="n">
        <v>15571.98</v>
      </c>
      <c r="C6173" s="7" t="n">
        <f aca="false">AVERAGE(B6124:B6173)</f>
        <v>14350.952</v>
      </c>
      <c r="D6173" s="7" t="n">
        <f aca="false">AVERAGE(B5974:B6173)</f>
        <v>12500.30385</v>
      </c>
      <c r="E6173" s="7" t="n">
        <f aca="false">B6173/MAX(B5922:B6173)-1</f>
        <v>0</v>
      </c>
      <c r="F6173" s="7" t="str">
        <f aca="false">IFERROR(INDEX(02_轉折點45個!B:B,MATCH(A6173,02_轉折點45個!A:A,0)),"")</f>
        <v/>
      </c>
      <c r="G6173" s="7" t="s">
        <v>5494</v>
      </c>
    </row>
    <row r="6174" customFormat="false" ht="15" hidden="false" customHeight="false" outlineLevel="0" collapsed="false">
      <c r="A6174" s="7" t="s">
        <v>6744</v>
      </c>
      <c r="B6174" s="7" t="n">
        <v>15565.6</v>
      </c>
      <c r="C6174" s="7" t="n">
        <f aca="false">AVERAGE(B6125:B6174)</f>
        <v>14399.9908</v>
      </c>
      <c r="D6174" s="7" t="n">
        <f aca="false">AVERAGE(B5975:B6174)</f>
        <v>12521.8613</v>
      </c>
      <c r="E6174" s="7" t="n">
        <f aca="false">B6174/MAX(B5923:B6174)-1</f>
        <v>-0.000409710261636609</v>
      </c>
      <c r="F6174" s="7" t="str">
        <f aca="false">IFERROR(INDEX(02_轉折點45個!B:B,MATCH(A6174,02_轉折點45個!A:A,0)),"")</f>
        <v/>
      </c>
      <c r="G6174" s="7" t="s">
        <v>5494</v>
      </c>
    </row>
    <row r="6175" customFormat="false" ht="15" hidden="false" customHeight="false" outlineLevel="0" collapsed="false">
      <c r="A6175" s="7" t="s">
        <v>1776</v>
      </c>
      <c r="B6175" s="7" t="n">
        <v>15713.28</v>
      </c>
      <c r="C6175" s="7" t="n">
        <f aca="false">AVERAGE(B6126:B6175)</f>
        <v>14453.6522</v>
      </c>
      <c r="D6175" s="7" t="n">
        <f aca="false">AVERAGE(B5976:B6175)</f>
        <v>12544.06895</v>
      </c>
      <c r="E6175" s="7" t="n">
        <f aca="false">B6175/MAX(B5924:B6175)-1</f>
        <v>0</v>
      </c>
      <c r="F6175" s="7" t="str">
        <f aca="false">IFERROR(INDEX(02_轉折點45個!B:B,MATCH(A6175,02_轉折點45個!A:A,0)),"")</f>
        <v/>
      </c>
      <c r="G6175" s="7" t="s">
        <v>5494</v>
      </c>
    </row>
    <row r="6176" customFormat="false" ht="15" hidden="false" customHeight="false" outlineLevel="0" collapsed="false">
      <c r="A6176" s="7" t="s">
        <v>6745</v>
      </c>
      <c r="B6176" s="7" t="n">
        <v>15841.35</v>
      </c>
      <c r="C6176" s="7" t="n">
        <f aca="false">AVERAGE(B6127:B6176)</f>
        <v>14510.8296</v>
      </c>
      <c r="D6176" s="7" t="n">
        <f aca="false">AVERAGE(B5977:B6176)</f>
        <v>12565.80655</v>
      </c>
      <c r="E6176" s="7" t="n">
        <f aca="false">B6176/MAX(B5925:B6176)-1</f>
        <v>0</v>
      </c>
      <c r="F6176" s="7" t="str">
        <f aca="false">IFERROR(INDEX(02_轉折點45個!B:B,MATCH(A6176,02_轉折點45個!A:A,0)),"")</f>
        <v/>
      </c>
      <c r="G6176" s="7" t="s">
        <v>5494</v>
      </c>
    </row>
    <row r="6177" customFormat="false" ht="15" hidden="false" customHeight="false" outlineLevel="0" collapsed="false">
      <c r="A6177" s="7" t="s">
        <v>6746</v>
      </c>
      <c r="B6177" s="7" t="n">
        <v>15826.35</v>
      </c>
      <c r="C6177" s="7" t="n">
        <f aca="false">AVERAGE(B6128:B6177)</f>
        <v>14562.174</v>
      </c>
      <c r="D6177" s="7" t="n">
        <f aca="false">AVERAGE(B5978:B6177)</f>
        <v>12589.1144</v>
      </c>
      <c r="E6177" s="7" t="n">
        <f aca="false">B6177/MAX(B5926:B6177)-1</f>
        <v>-0.000946888996202988</v>
      </c>
      <c r="F6177" s="7" t="str">
        <f aca="false">IFERROR(INDEX(02_轉折點45個!B:B,MATCH(A6177,02_轉折點45個!A:A,0)),"")</f>
        <v/>
      </c>
      <c r="G6177" s="7" t="s">
        <v>5494</v>
      </c>
    </row>
    <row r="6178" customFormat="false" ht="15" hidden="false" customHeight="false" outlineLevel="0" collapsed="false">
      <c r="A6178" s="7" t="s">
        <v>6747</v>
      </c>
      <c r="B6178" s="7" t="n">
        <v>15466.09</v>
      </c>
      <c r="C6178" s="7" t="n">
        <f aca="false">AVERAGE(B6129:B6178)</f>
        <v>14605.663</v>
      </c>
      <c r="D6178" s="7" t="n">
        <f aca="false">AVERAGE(B5979:B6178)</f>
        <v>12611.58875</v>
      </c>
      <c r="E6178" s="7" t="n">
        <f aca="false">B6178/MAX(B5927:B6178)-1</f>
        <v>-0.0236886376476753</v>
      </c>
      <c r="F6178" s="7" t="str">
        <f aca="false">IFERROR(INDEX(02_轉折點45個!B:B,MATCH(A6178,02_轉折點45個!A:A,0)),"")</f>
        <v/>
      </c>
      <c r="G6178" s="7" t="s">
        <v>5494</v>
      </c>
    </row>
    <row r="6179" customFormat="false" ht="15" hidden="false" customHeight="false" outlineLevel="0" collapsed="false">
      <c r="A6179" s="7" t="s">
        <v>6748</v>
      </c>
      <c r="B6179" s="7" t="n">
        <v>15425.67</v>
      </c>
      <c r="C6179" s="7" t="n">
        <f aca="false">AVERAGE(B6130:B6179)</f>
        <v>14650.1542</v>
      </c>
      <c r="D6179" s="7" t="n">
        <f aca="false">AVERAGE(B5980:B6179)</f>
        <v>12632.56845</v>
      </c>
      <c r="E6179" s="7" t="n">
        <f aca="false">B6179/MAX(B5928:B6179)-1</f>
        <v>-0.0262401878627768</v>
      </c>
      <c r="F6179" s="7" t="str">
        <f aca="false">IFERROR(INDEX(02_轉折點45個!B:B,MATCH(A6179,02_轉折點45個!A:A,0)),"")</f>
        <v/>
      </c>
      <c r="G6179" s="7" t="s">
        <v>5494</v>
      </c>
    </row>
    <row r="6180" customFormat="false" ht="15" hidden="false" customHeight="false" outlineLevel="0" collapsed="false">
      <c r="A6180" s="7" t="s">
        <v>6749</v>
      </c>
      <c r="B6180" s="7" t="n">
        <v>15448.02</v>
      </c>
      <c r="C6180" s="7" t="n">
        <f aca="false">AVERAGE(B6131:B6180)</f>
        <v>14692.158</v>
      </c>
      <c r="D6180" s="7" t="n">
        <f aca="false">AVERAGE(B5981:B6180)</f>
        <v>12651.89585</v>
      </c>
      <c r="E6180" s="7" t="n">
        <f aca="false">B6180/MAX(B5929:B6180)-1</f>
        <v>-0.0248293232584345</v>
      </c>
      <c r="F6180" s="7" t="str">
        <f aca="false">IFERROR(INDEX(02_轉折點45個!B:B,MATCH(A6180,02_轉折點45個!A:A,0)),"")</f>
        <v/>
      </c>
      <c r="G6180" s="7" t="s">
        <v>5494</v>
      </c>
    </row>
    <row r="6181" customFormat="false" ht="15" hidden="false" customHeight="false" outlineLevel="0" collapsed="false">
      <c r="A6181" s="7" t="s">
        <v>1777</v>
      </c>
      <c r="B6181" s="7" t="n">
        <v>15561.42</v>
      </c>
      <c r="C6181" s="7" t="n">
        <f aca="false">AVERAGE(B6132:B6181)</f>
        <v>14735.5908</v>
      </c>
      <c r="D6181" s="7" t="n">
        <f aca="false">AVERAGE(B5982:B6181)</f>
        <v>12671.83705</v>
      </c>
      <c r="E6181" s="7" t="n">
        <f aca="false">B6181/MAX(B5930:B6181)-1</f>
        <v>-0.0176708424471399</v>
      </c>
      <c r="F6181" s="7" t="str">
        <f aca="false">IFERROR(INDEX(02_轉折點45個!B:B,MATCH(A6181,02_轉折點45個!A:A,0)),"")</f>
        <v/>
      </c>
      <c r="G6181" s="7" t="s">
        <v>5494</v>
      </c>
    </row>
    <row r="6182" customFormat="false" ht="15" hidden="false" customHeight="false" outlineLevel="0" collapsed="false">
      <c r="A6182" s="7" t="s">
        <v>6750</v>
      </c>
      <c r="B6182" s="7" t="n">
        <v>15499.26</v>
      </c>
      <c r="C6182" s="7" t="n">
        <f aca="false">AVERAGE(B6133:B6182)</f>
        <v>14778.7724</v>
      </c>
      <c r="D6182" s="7" t="n">
        <f aca="false">AVERAGE(B5983:B6182)</f>
        <v>12691.90585</v>
      </c>
      <c r="E6182" s="7" t="n">
        <f aca="false">B6182/MAX(B5931:B6182)-1</f>
        <v>-0.0215947504474051</v>
      </c>
      <c r="F6182" s="7" t="str">
        <f aca="false">IFERROR(INDEX(02_轉折點45個!B:B,MATCH(A6182,02_轉折點45個!A:A,0)),"")</f>
        <v/>
      </c>
      <c r="G6182" s="7" t="s">
        <v>5494</v>
      </c>
    </row>
    <row r="6183" customFormat="false" ht="15" hidden="false" customHeight="false" outlineLevel="0" collapsed="false">
      <c r="A6183" s="7" t="s">
        <v>6751</v>
      </c>
      <c r="B6183" s="7" t="n">
        <v>15464.93</v>
      </c>
      <c r="C6183" s="7" t="n">
        <f aca="false">AVERAGE(B6134:B6183)</f>
        <v>14819.8008</v>
      </c>
      <c r="D6183" s="7" t="n">
        <f aca="false">AVERAGE(B5984:B6183)</f>
        <v>12714.03315</v>
      </c>
      <c r="E6183" s="7" t="n">
        <f aca="false">B6183/MAX(B5932:B6183)-1</f>
        <v>-0.0237618637300483</v>
      </c>
      <c r="F6183" s="7" t="str">
        <f aca="false">IFERROR(INDEX(02_轉折點45個!B:B,MATCH(A6183,02_轉折點45個!A:A,0)),"")</f>
        <v/>
      </c>
      <c r="G6183" s="7" t="s">
        <v>5494</v>
      </c>
    </row>
    <row r="6184" customFormat="false" ht="15" hidden="false" customHeight="false" outlineLevel="0" collapsed="false">
      <c r="A6184" s="7" t="s">
        <v>6752</v>
      </c>
      <c r="B6184" s="7" t="n">
        <v>15750.93</v>
      </c>
      <c r="C6184" s="7" t="n">
        <f aca="false">AVERAGE(B6135:B6184)</f>
        <v>14866.2992</v>
      </c>
      <c r="D6184" s="7" t="n">
        <f aca="false">AVERAGE(B5985:B6184)</f>
        <v>12738.15295</v>
      </c>
      <c r="E6184" s="7" t="n">
        <f aca="false">B6184/MAX(B5933:B6184)-1</f>
        <v>-0.00570784686911152</v>
      </c>
      <c r="F6184" s="7" t="str">
        <f aca="false">IFERROR(INDEX(02_轉折點45個!B:B,MATCH(A6184,02_轉折點45個!A:A,0)),"")</f>
        <v/>
      </c>
      <c r="G6184" s="7" t="s">
        <v>5494</v>
      </c>
    </row>
    <row r="6185" customFormat="false" ht="15" hidden="false" customHeight="false" outlineLevel="0" collapsed="false">
      <c r="A6185" s="7" t="s">
        <v>6753</v>
      </c>
      <c r="B6185" s="7" t="n">
        <v>15757</v>
      </c>
      <c r="C6185" s="7" t="n">
        <f aca="false">AVERAGE(B6136:B6185)</f>
        <v>14909.654</v>
      </c>
      <c r="D6185" s="7" t="n">
        <f aca="false">AVERAGE(B5986:B6185)</f>
        <v>12762.9812</v>
      </c>
      <c r="E6185" s="7" t="n">
        <f aca="false">B6185/MAX(B5934:B6185)-1</f>
        <v>-0.00532467245531476</v>
      </c>
      <c r="F6185" s="7" t="str">
        <f aca="false">IFERROR(INDEX(02_轉折點45個!B:B,MATCH(A6185,02_轉折點45個!A:A,0)),"")</f>
        <v/>
      </c>
      <c r="G6185" s="7" t="s">
        <v>5494</v>
      </c>
    </row>
    <row r="6186" customFormat="false" ht="15" hidden="false" customHeight="false" outlineLevel="0" collapsed="false">
      <c r="A6186" s="7" t="s">
        <v>6754</v>
      </c>
      <c r="B6186" s="7" t="n">
        <v>15718.01</v>
      </c>
      <c r="C6186" s="7" t="n">
        <f aca="false">AVERAGE(B6137:B6186)</f>
        <v>14947.3218</v>
      </c>
      <c r="D6186" s="7" t="n">
        <f aca="false">AVERAGE(B5987:B6186)</f>
        <v>12787.64315</v>
      </c>
      <c r="E6186" s="7" t="n">
        <f aca="false">B6186/MAX(B5935:B6186)-1</f>
        <v>-0.0077859525861117</v>
      </c>
      <c r="F6186" s="7" t="str">
        <f aca="false">IFERROR(INDEX(02_轉折點45個!B:B,MATCH(A6186,02_轉折點45個!A:A,0)),"")</f>
        <v/>
      </c>
      <c r="G6186" s="7" t="s">
        <v>5494</v>
      </c>
    </row>
    <row r="6187" customFormat="false" ht="15" hidden="false" customHeight="false" outlineLevel="0" collapsed="false">
      <c r="A6187" s="7" t="s">
        <v>6755</v>
      </c>
      <c r="B6187" s="7" t="n">
        <v>15370.74</v>
      </c>
      <c r="C6187" s="7" t="n">
        <f aca="false">AVERAGE(B6138:B6187)</f>
        <v>14978.6668</v>
      </c>
      <c r="D6187" s="7" t="n">
        <f aca="false">AVERAGE(B5988:B6187)</f>
        <v>12809.32895</v>
      </c>
      <c r="E6187" s="7" t="n">
        <f aca="false">B6187/MAX(B5936:B6187)-1</f>
        <v>-0.0297076953668721</v>
      </c>
      <c r="F6187" s="7" t="str">
        <f aca="false">IFERROR(INDEX(02_轉折點45個!B:B,MATCH(A6187,02_轉折點45個!A:A,0)),"")</f>
        <v/>
      </c>
      <c r="G6187" s="7" t="s">
        <v>5494</v>
      </c>
    </row>
    <row r="6188" customFormat="false" ht="15" hidden="false" customHeight="false" outlineLevel="0" collapsed="false">
      <c r="A6188" s="7" t="s">
        <v>6756</v>
      </c>
      <c r="B6188" s="7" t="n">
        <v>15353.54</v>
      </c>
      <c r="C6188" s="7" t="n">
        <f aca="false">AVERAGE(B6139:B6188)</f>
        <v>15008.7428</v>
      </c>
      <c r="D6188" s="7" t="n">
        <f aca="false">AVERAGE(B5989:B6188)</f>
        <v>12832.63635</v>
      </c>
      <c r="E6188" s="7" t="n">
        <f aca="false">B6188/MAX(B5937:B6188)-1</f>
        <v>-0.0307934614158515</v>
      </c>
      <c r="F6188" s="7" t="str">
        <f aca="false">IFERROR(INDEX(02_轉折點45個!B:B,MATCH(A6188,02_轉折點45個!A:A,0)),"")</f>
        <v/>
      </c>
      <c r="G6188" s="7" t="s">
        <v>5494</v>
      </c>
    </row>
    <row r="6189" customFormat="false" ht="15" hidden="false" customHeight="false" outlineLevel="0" collapsed="false">
      <c r="A6189" s="7" t="s">
        <v>1778</v>
      </c>
      <c r="B6189" s="7" t="n">
        <v>15274.92</v>
      </c>
      <c r="C6189" s="7" t="n">
        <f aca="false">AVERAGE(B6140:B6189)</f>
        <v>15040.7904</v>
      </c>
      <c r="D6189" s="7" t="n">
        <f aca="false">AVERAGE(B5990:B6189)</f>
        <v>12853.6983</v>
      </c>
      <c r="E6189" s="7" t="n">
        <f aca="false">B6189/MAX(B5938:B6189)-1</f>
        <v>-0.0357564222746167</v>
      </c>
      <c r="F6189" s="7" t="str">
        <f aca="false">IFERROR(INDEX(02_轉折點45個!B:B,MATCH(A6189,02_轉折點45個!A:A,0)),"")</f>
        <v/>
      </c>
      <c r="G6189" s="7" t="s">
        <v>5494</v>
      </c>
    </row>
    <row r="6190" customFormat="false" ht="15" hidden="false" customHeight="false" outlineLevel="0" collapsed="false">
      <c r="A6190" s="7" t="s">
        <v>6757</v>
      </c>
      <c r="B6190" s="7" t="n">
        <v>15407.85</v>
      </c>
      <c r="C6190" s="7" t="n">
        <f aca="false">AVERAGE(B6141:B6190)</f>
        <v>15076.8578</v>
      </c>
      <c r="D6190" s="7" t="n">
        <f aca="false">AVERAGE(B5991:B6190)</f>
        <v>12874.99885</v>
      </c>
      <c r="E6190" s="7" t="n">
        <f aca="false">B6190/MAX(B5939:B6190)-1</f>
        <v>-0.0273650919902659</v>
      </c>
      <c r="F6190" s="7" t="str">
        <f aca="false">IFERROR(INDEX(02_轉折點45個!B:B,MATCH(A6190,02_轉折點45個!A:A,0)),"")</f>
        <v/>
      </c>
      <c r="G6190" s="7" t="s">
        <v>5494</v>
      </c>
    </row>
    <row r="6191" customFormat="false" ht="15" hidden="false" customHeight="false" outlineLevel="0" collapsed="false">
      <c r="A6191" s="7" t="s">
        <v>6758</v>
      </c>
      <c r="B6191" s="7" t="n">
        <v>15273.05</v>
      </c>
      <c r="C6191" s="7" t="n">
        <f aca="false">AVERAGE(B6142:B6191)</f>
        <v>15103.5482</v>
      </c>
      <c r="D6191" s="7" t="n">
        <f aca="false">AVERAGE(B5992:B6191)</f>
        <v>12895.8472</v>
      </c>
      <c r="E6191" s="7" t="n">
        <f aca="false">B6191/MAX(B5940:B6191)-1</f>
        <v>-0.0358744677694768</v>
      </c>
      <c r="F6191" s="7" t="str">
        <f aca="false">IFERROR(INDEX(02_轉折點45個!B:B,MATCH(A6191,02_轉折點45個!A:A,0)),"")</f>
        <v/>
      </c>
      <c r="G6191" s="7" t="s">
        <v>5494</v>
      </c>
    </row>
    <row r="6192" customFormat="false" ht="15" hidden="false" customHeight="false" outlineLevel="0" collapsed="false">
      <c r="A6192" s="7" t="s">
        <v>6759</v>
      </c>
      <c r="B6192" s="7" t="n">
        <v>15101.71</v>
      </c>
      <c r="C6192" s="7" t="n">
        <f aca="false">AVERAGE(B6143:B6192)</f>
        <v>15119.6142</v>
      </c>
      <c r="D6192" s="7" t="n">
        <f aca="false">AVERAGE(B5993:B6192)</f>
        <v>12916.1222</v>
      </c>
      <c r="E6192" s="7" t="n">
        <f aca="false">B6192/MAX(B5941:B6192)-1</f>
        <v>-0.046690465143438</v>
      </c>
      <c r="F6192" s="7" t="str">
        <f aca="false">IFERROR(INDEX(02_轉折點45個!B:B,MATCH(A6192,02_轉折點45個!A:A,0)),"")</f>
        <v/>
      </c>
      <c r="G6192" s="7" t="s">
        <v>5494</v>
      </c>
    </row>
    <row r="6193" customFormat="false" ht="15" hidden="false" customHeight="false" outlineLevel="0" collapsed="false">
      <c r="A6193" s="7" t="s">
        <v>6760</v>
      </c>
      <c r="B6193" s="7" t="n">
        <v>15128.84</v>
      </c>
      <c r="C6193" s="7" t="n">
        <f aca="false">AVERAGE(B6144:B6193)</f>
        <v>15135.0912</v>
      </c>
      <c r="D6193" s="7" t="n">
        <f aca="false">AVERAGE(B5994:B6193)</f>
        <v>12935.21475</v>
      </c>
      <c r="E6193" s="7" t="n">
        <f aca="false">B6193/MAX(B5942:B6193)-1</f>
        <v>-0.0449778585789722</v>
      </c>
      <c r="F6193" s="7" t="str">
        <f aca="false">IFERROR(INDEX(02_轉折點45個!B:B,MATCH(A6193,02_轉折點45個!A:A,0)),"")</f>
        <v/>
      </c>
      <c r="G6193" s="7" t="s">
        <v>5494</v>
      </c>
    </row>
    <row r="6194" customFormat="false" ht="15" hidden="false" customHeight="false" outlineLevel="0" collapsed="false">
      <c r="A6194" s="7" t="s">
        <v>6761</v>
      </c>
      <c r="B6194" s="7" t="n">
        <v>15028.07</v>
      </c>
      <c r="C6194" s="7" t="n">
        <f aca="false">AVERAGE(B6145:B6194)</f>
        <v>15150.5708</v>
      </c>
      <c r="D6194" s="7" t="n">
        <f aca="false">AVERAGE(B5995:B6194)</f>
        <v>12953.2038</v>
      </c>
      <c r="E6194" s="7" t="n">
        <f aca="false">B6194/MAX(B5943:B6194)-1</f>
        <v>-0.0513390588554638</v>
      </c>
      <c r="F6194" s="7" t="str">
        <f aca="false">IFERROR(INDEX(02_轉折點45個!B:B,MATCH(A6194,02_轉折點45個!A:A,0)),"")</f>
        <v/>
      </c>
      <c r="G6194" s="7" t="s">
        <v>5494</v>
      </c>
    </row>
    <row r="6195" customFormat="false" ht="15" hidden="false" customHeight="false" outlineLevel="0" collapsed="false">
      <c r="A6195" s="7" t="s">
        <v>1779</v>
      </c>
      <c r="B6195" s="7" t="n">
        <v>15205.59</v>
      </c>
      <c r="C6195" s="7" t="n">
        <f aca="false">AVERAGE(B6146:B6195)</f>
        <v>15165.8524</v>
      </c>
      <c r="D6195" s="7" t="n">
        <f aca="false">AVERAGE(B5996:B6195)</f>
        <v>12970.8818</v>
      </c>
      <c r="E6195" s="7" t="n">
        <f aca="false">B6195/MAX(B5944:B6195)-1</f>
        <v>-0.0401329432150669</v>
      </c>
      <c r="F6195" s="7" t="str">
        <f aca="false">IFERROR(INDEX(02_轉折點45個!B:B,MATCH(A6195,02_轉折點45個!A:A,0)),"")</f>
        <v/>
      </c>
      <c r="G6195" s="7" t="s">
        <v>5494</v>
      </c>
    </row>
    <row r="6196" customFormat="false" ht="15" hidden="false" customHeight="false" outlineLevel="0" collapsed="false">
      <c r="A6196" s="7" t="s">
        <v>6762</v>
      </c>
      <c r="B6196" s="7" t="n">
        <v>15037.65</v>
      </c>
      <c r="C6196" s="7" t="n">
        <f aca="false">AVERAGE(B6147:B6196)</f>
        <v>15175.6726</v>
      </c>
      <c r="D6196" s="7" t="n">
        <f aca="false">AVERAGE(B5997:B6196)</f>
        <v>12989.04055</v>
      </c>
      <c r="E6196" s="7" t="n">
        <f aca="false">B6196/MAX(B5945:B6196)-1</f>
        <v>-0.0507343124165555</v>
      </c>
      <c r="F6196" s="7" t="str">
        <f aca="false">IFERROR(INDEX(02_轉折點45個!B:B,MATCH(A6196,02_轉折點45個!A:A,0)),"")</f>
        <v/>
      </c>
      <c r="G6196" s="7" t="s">
        <v>5494</v>
      </c>
    </row>
    <row r="6197" customFormat="false" ht="15" hidden="false" customHeight="false" outlineLevel="0" collapsed="false">
      <c r="A6197" s="7" t="s">
        <v>1780</v>
      </c>
      <c r="B6197" s="7" t="n">
        <v>14876.47</v>
      </c>
      <c r="C6197" s="7" t="n">
        <f aca="false">AVERAGE(B6148:B6197)</f>
        <v>15182.072</v>
      </c>
      <c r="D6197" s="7" t="n">
        <f aca="false">AVERAGE(B5998:B6197)</f>
        <v>13007.46475</v>
      </c>
      <c r="E6197" s="7" t="n">
        <f aca="false">B6197/MAX(B5946:B6197)-1</f>
        <v>-0.0609089503104219</v>
      </c>
      <c r="F6197" s="7" t="str">
        <f aca="false">IFERROR(INDEX(02_轉折點45個!B:B,MATCH(A6197,02_轉折點45個!A:A,0)),"")</f>
        <v/>
      </c>
      <c r="G6197" s="7" t="s">
        <v>5494</v>
      </c>
    </row>
    <row r="6198" customFormat="false" ht="15" hidden="false" customHeight="false" outlineLevel="0" collapsed="false">
      <c r="A6198" s="7" t="s">
        <v>6763</v>
      </c>
      <c r="B6198" s="7" t="n">
        <v>14715.81</v>
      </c>
      <c r="C6198" s="7" t="n">
        <f aca="false">AVERAGE(B6149:B6198)</f>
        <v>15185.2264</v>
      </c>
      <c r="D6198" s="7" t="n">
        <f aca="false">AVERAGE(B5999:B6198)</f>
        <v>13023.31275</v>
      </c>
      <c r="E6198" s="7" t="n">
        <f aca="false">B6198/MAX(B5947:B6198)-1</f>
        <v>-0.0710507627190865</v>
      </c>
      <c r="F6198" s="7" t="str">
        <f aca="false">IFERROR(INDEX(02_轉折點45個!B:B,MATCH(A6198,02_轉折點45個!A:A,0)),"")</f>
        <v/>
      </c>
      <c r="G6198" s="7" t="s">
        <v>5494</v>
      </c>
    </row>
    <row r="6199" customFormat="false" ht="15" hidden="false" customHeight="false" outlineLevel="0" collapsed="false">
      <c r="A6199" s="7" t="s">
        <v>1781</v>
      </c>
      <c r="B6199" s="7" t="n">
        <v>14694.84</v>
      </c>
      <c r="C6199" s="7" t="n">
        <f aca="false">AVERAGE(B6150:B6199)</f>
        <v>15193.0574</v>
      </c>
      <c r="D6199" s="7" t="n">
        <f aca="false">AVERAGE(B6000:B6199)</f>
        <v>13039.7591</v>
      </c>
      <c r="E6199" s="7" t="n">
        <f aca="false">B6199/MAX(B5948:B6199)-1</f>
        <v>-0.0723745135357782</v>
      </c>
      <c r="F6199" s="7" t="str">
        <f aca="false">IFERROR(INDEX(02_轉折點45個!B:B,MATCH(A6199,02_轉折點45個!A:A,0)),"")</f>
        <v/>
      </c>
      <c r="G6199" s="7" t="s">
        <v>5494</v>
      </c>
    </row>
    <row r="6200" customFormat="false" ht="15" hidden="false" customHeight="false" outlineLevel="0" collapsed="false">
      <c r="A6200" s="7" t="s">
        <v>6764</v>
      </c>
      <c r="B6200" s="7" t="n">
        <v>14936.69</v>
      </c>
      <c r="C6200" s="7" t="n">
        <f aca="false">AVERAGE(B6151:B6200)</f>
        <v>15202.1004</v>
      </c>
      <c r="D6200" s="7" t="n">
        <f aca="false">AVERAGE(B6001:B6200)</f>
        <v>13057.9978</v>
      </c>
      <c r="E6200" s="7" t="n">
        <f aca="false">B6200/MAX(B5949:B6200)-1</f>
        <v>-0.0571075066203323</v>
      </c>
      <c r="F6200" s="7" t="str">
        <f aca="false">IFERROR(INDEX(02_轉折點45個!B:B,MATCH(A6200,02_轉折點45個!A:A,0)),"")</f>
        <v/>
      </c>
      <c r="G6200" s="7" t="s">
        <v>5494</v>
      </c>
    </row>
    <row r="6201" customFormat="false" ht="15" hidden="false" customHeight="false" outlineLevel="0" collapsed="false">
      <c r="A6201" s="7" t="s">
        <v>6765</v>
      </c>
      <c r="B6201" s="7" t="n">
        <v>14908.96</v>
      </c>
      <c r="C6201" s="7" t="n">
        <f aca="false">AVERAGE(B6152:B6201)</f>
        <v>15209.7124</v>
      </c>
      <c r="D6201" s="7" t="n">
        <f aca="false">AVERAGE(B6002:B6201)</f>
        <v>13078.0109</v>
      </c>
      <c r="E6201" s="7" t="n">
        <f aca="false">B6201/MAX(B5950:B6201)-1</f>
        <v>-0.0588579887446462</v>
      </c>
      <c r="F6201" s="7" t="str">
        <f aca="false">IFERROR(INDEX(02_轉折點45個!B:B,MATCH(A6201,02_轉折點45個!A:A,0)),"")</f>
        <v/>
      </c>
      <c r="G6201" s="7" t="s">
        <v>5494</v>
      </c>
    </row>
    <row r="6202" customFormat="false" ht="15" hidden="false" customHeight="false" outlineLevel="0" collapsed="false">
      <c r="A6202" s="7" t="s">
        <v>6766</v>
      </c>
      <c r="B6202" s="7" t="n">
        <v>15148.06</v>
      </c>
      <c r="C6202" s="7" t="n">
        <f aca="false">AVERAGE(B6153:B6202)</f>
        <v>15216.9876</v>
      </c>
      <c r="D6202" s="7" t="n">
        <f aca="false">AVERAGE(B6003:B6202)</f>
        <v>13100.2982</v>
      </c>
      <c r="E6202" s="7" t="n">
        <f aca="false">B6202/MAX(B5951:B6202)-1</f>
        <v>-0.0437645781451708</v>
      </c>
      <c r="F6202" s="7" t="str">
        <f aca="false">IFERROR(INDEX(02_轉折點45個!B:B,MATCH(A6202,02_轉折點45個!A:A,0)),"")</f>
        <v/>
      </c>
      <c r="G6202" s="7" t="s">
        <v>5494</v>
      </c>
    </row>
    <row r="6203" customFormat="false" ht="15" hidden="false" customHeight="false" outlineLevel="0" collapsed="false">
      <c r="A6203" s="7" t="s">
        <v>1782</v>
      </c>
      <c r="B6203" s="7" t="n">
        <v>14816.44</v>
      </c>
      <c r="C6203" s="7" t="n">
        <f aca="false">AVERAGE(B6154:B6203)</f>
        <v>15215.2994</v>
      </c>
      <c r="D6203" s="7" t="n">
        <f aca="false">AVERAGE(B6004:B6203)</f>
        <v>13120.09525</v>
      </c>
      <c r="E6203" s="7" t="n">
        <f aca="false">B6203/MAX(B5952:B6203)-1</f>
        <v>-0.064698400073226</v>
      </c>
      <c r="F6203" s="7" t="str">
        <f aca="false">IFERROR(INDEX(02_轉折點45個!B:B,MATCH(A6203,02_轉折點45個!A:A,0)),"")</f>
        <v/>
      </c>
      <c r="G6203" s="7" t="s">
        <v>5494</v>
      </c>
    </row>
    <row r="6204" customFormat="false" ht="15" hidden="false" customHeight="false" outlineLevel="0" collapsed="false">
      <c r="A6204" s="7" t="s">
        <v>6767</v>
      </c>
      <c r="B6204" s="7" t="n">
        <v>14941.83</v>
      </c>
      <c r="C6204" s="7" t="n">
        <f aca="false">AVERAGE(B6155:B6204)</f>
        <v>15214.0222</v>
      </c>
      <c r="D6204" s="7" t="n">
        <f aca="false">AVERAGE(B6005:B6204)</f>
        <v>13139.9194</v>
      </c>
      <c r="E6204" s="7" t="n">
        <f aca="false">B6204/MAX(B5953:B6204)-1</f>
        <v>-0.0567830393243001</v>
      </c>
      <c r="F6204" s="7" t="str">
        <f aca="false">IFERROR(INDEX(02_轉折點45個!B:B,MATCH(A6204,02_轉折點45個!A:A,0)),"")</f>
        <v/>
      </c>
      <c r="G6204" s="7" t="s">
        <v>5494</v>
      </c>
    </row>
    <row r="6205" customFormat="false" ht="15" hidden="false" customHeight="false" outlineLevel="0" collapsed="false">
      <c r="A6205" s="7" t="s">
        <v>1783</v>
      </c>
      <c r="B6205" s="7" t="n">
        <v>15052.46</v>
      </c>
      <c r="C6205" s="7" t="n">
        <f aca="false">AVERAGE(B6156:B6205)</f>
        <v>15211.3618</v>
      </c>
      <c r="D6205" s="7" t="n">
        <f aca="false">AVERAGE(B6006:B6205)</f>
        <v>13159.8842</v>
      </c>
      <c r="E6205" s="7" t="n">
        <f aca="false">B6205/MAX(B5954:B6205)-1</f>
        <v>-0.0497994173476377</v>
      </c>
      <c r="F6205" s="7" t="str">
        <f aca="false">IFERROR(INDEX(02_轉折點45個!B:B,MATCH(A6205,02_轉折點45個!A:A,0)),"")</f>
        <v/>
      </c>
      <c r="G6205" s="7" t="s">
        <v>5494</v>
      </c>
    </row>
    <row r="6206" customFormat="false" ht="15" hidden="false" customHeight="false" outlineLevel="0" collapsed="false">
      <c r="A6206" s="7" t="s">
        <v>6768</v>
      </c>
      <c r="B6206" s="7" t="n">
        <v>15376.55</v>
      </c>
      <c r="C6206" s="7" t="n">
        <f aca="false">AVERAGE(B6157:B6206)</f>
        <v>15217.2144</v>
      </c>
      <c r="D6206" s="7" t="n">
        <f aca="false">AVERAGE(B6007:B6206)</f>
        <v>13182.7792</v>
      </c>
      <c r="E6206" s="7" t="n">
        <f aca="false">B6206/MAX(B5955:B6206)-1</f>
        <v>-0.0293409336956763</v>
      </c>
      <c r="F6206" s="7" t="str">
        <f aca="false">IFERROR(INDEX(02_轉折點45個!B:B,MATCH(A6206,02_轉折點45個!A:A,0)),"")</f>
        <v/>
      </c>
      <c r="G6206" s="7" t="s">
        <v>5494</v>
      </c>
    </row>
    <row r="6207" customFormat="false" ht="15" hidden="false" customHeight="false" outlineLevel="0" collapsed="false">
      <c r="A6207" s="7" t="s">
        <v>6769</v>
      </c>
      <c r="B6207" s="7" t="n">
        <v>15462.43</v>
      </c>
      <c r="C6207" s="7" t="n">
        <f aca="false">AVERAGE(B6158:B6207)</f>
        <v>15225.06</v>
      </c>
      <c r="D6207" s="7" t="n">
        <f aca="false">AVERAGE(B6008:B6207)</f>
        <v>13202.06155</v>
      </c>
      <c r="E6207" s="7" t="n">
        <f aca="false">B6207/MAX(B5956:B6207)-1</f>
        <v>-0.0239196785627488</v>
      </c>
      <c r="F6207" s="7" t="str">
        <f aca="false">IFERROR(INDEX(02_轉折點45個!B:B,MATCH(A6207,02_轉折點45個!A:A,0)),"")</f>
        <v/>
      </c>
      <c r="G6207" s="7" t="s">
        <v>5494</v>
      </c>
    </row>
    <row r="6208" customFormat="false" ht="15" hidden="false" customHeight="false" outlineLevel="0" collapsed="false">
      <c r="A6208" s="7" t="s">
        <v>6770</v>
      </c>
      <c r="B6208" s="7" t="n">
        <v>15501.07</v>
      </c>
      <c r="C6208" s="7" t="n">
        <f aca="false">AVERAGE(B6159:B6208)</f>
        <v>15237.7324</v>
      </c>
      <c r="D6208" s="7" t="n">
        <f aca="false">AVERAGE(B6009:B6208)</f>
        <v>13220.48185</v>
      </c>
      <c r="E6208" s="7" t="n">
        <f aca="false">B6208/MAX(B5957:B6208)-1</f>
        <v>-0.0214804925085299</v>
      </c>
      <c r="F6208" s="7" t="str">
        <f aca="false">IFERROR(INDEX(02_轉折點45個!B:B,MATCH(A6208,02_轉折點45個!A:A,0)),"")</f>
        <v/>
      </c>
      <c r="G6208" s="7" t="s">
        <v>5494</v>
      </c>
    </row>
    <row r="6209" customFormat="false" ht="15" hidden="false" customHeight="false" outlineLevel="0" collapsed="false">
      <c r="A6209" s="7" t="s">
        <v>6771</v>
      </c>
      <c r="B6209" s="7" t="n">
        <v>15490.86</v>
      </c>
      <c r="C6209" s="7" t="n">
        <f aca="false">AVERAGE(B6160:B6209)</f>
        <v>15246.7032</v>
      </c>
      <c r="D6209" s="7" t="n">
        <f aca="false">AVERAGE(B6010:B6209)</f>
        <v>13239.43145</v>
      </c>
      <c r="E6209" s="7" t="n">
        <f aca="false">B6209/MAX(B5958:B6209)-1</f>
        <v>-0.0221250082852787</v>
      </c>
      <c r="F6209" s="7" t="str">
        <f aca="false">IFERROR(INDEX(02_轉折點45個!B:B,MATCH(A6209,02_轉折點45個!A:A,0)),"")</f>
        <v/>
      </c>
      <c r="G6209" s="7" t="s">
        <v>5494</v>
      </c>
    </row>
    <row r="6210" customFormat="false" ht="15" hidden="false" customHeight="false" outlineLevel="0" collapsed="false">
      <c r="A6210" s="7" t="s">
        <v>6772</v>
      </c>
      <c r="B6210" s="7" t="n">
        <v>15508.24</v>
      </c>
      <c r="C6210" s="7" t="n">
        <f aca="false">AVERAGE(B6161:B6210)</f>
        <v>15259.0384</v>
      </c>
      <c r="D6210" s="7" t="n">
        <f aca="false">AVERAGE(B6011:B6210)</f>
        <v>13257.6169</v>
      </c>
      <c r="E6210" s="7" t="n">
        <f aca="false">B6210/MAX(B5959:B6210)-1</f>
        <v>-0.021027879568345</v>
      </c>
      <c r="F6210" s="7" t="str">
        <f aca="false">IFERROR(INDEX(02_轉折點45個!B:B,MATCH(A6210,02_轉折點45個!A:A,0)),"")</f>
        <v/>
      </c>
      <c r="G6210" s="7" t="s">
        <v>5494</v>
      </c>
    </row>
    <row r="6211" customFormat="false" ht="15" hidden="false" customHeight="false" outlineLevel="0" collapsed="false">
      <c r="A6211" s="7" t="s">
        <v>6773</v>
      </c>
      <c r="B6211" s="7" t="n">
        <v>15371.44</v>
      </c>
      <c r="C6211" s="7" t="n">
        <f aca="false">AVERAGE(B6162:B6211)</f>
        <v>15272.6868</v>
      </c>
      <c r="D6211" s="7" t="n">
        <f aca="false">AVERAGE(B6012:B6211)</f>
        <v>13275.97865</v>
      </c>
      <c r="E6211" s="7" t="n">
        <f aca="false">B6211/MAX(B5960:B6211)-1</f>
        <v>-0.029663507213716</v>
      </c>
      <c r="F6211" s="7" t="str">
        <f aca="false">IFERROR(INDEX(02_轉折點45個!B:B,MATCH(A6211,02_轉折點45個!A:A,0)),"")</f>
        <v/>
      </c>
      <c r="G6211" s="7" t="s">
        <v>5494</v>
      </c>
    </row>
    <row r="6212" customFormat="false" ht="15" hidden="false" customHeight="false" outlineLevel="0" collapsed="false">
      <c r="A6212" s="7" t="s">
        <v>1784</v>
      </c>
      <c r="B6212" s="7" t="n">
        <v>15258.52</v>
      </c>
      <c r="C6212" s="7" t="n">
        <f aca="false">AVERAGE(B6163:B6212)</f>
        <v>15278.939</v>
      </c>
      <c r="D6212" s="7" t="n">
        <f aca="false">AVERAGE(B6013:B6212)</f>
        <v>13293.88695</v>
      </c>
      <c r="E6212" s="7" t="n">
        <f aca="false">B6212/MAX(B5961:B6212)-1</f>
        <v>-0.036791687577132</v>
      </c>
      <c r="F6212" s="7" t="str">
        <f aca="false">IFERROR(INDEX(02_轉折點45個!B:B,MATCH(A6212,02_轉折點45個!A:A,0)),"")</f>
        <v/>
      </c>
      <c r="G6212" s="7" t="s">
        <v>5494</v>
      </c>
    </row>
    <row r="6213" customFormat="false" ht="15" hidden="false" customHeight="false" outlineLevel="0" collapsed="false">
      <c r="A6213" s="7" t="s">
        <v>6774</v>
      </c>
      <c r="B6213" s="7" t="n">
        <v>15280.23</v>
      </c>
      <c r="C6213" s="7" t="n">
        <f aca="false">AVERAGE(B6164:B6213)</f>
        <v>15285.2522</v>
      </c>
      <c r="D6213" s="7" t="n">
        <f aca="false">AVERAGE(B6014:B6213)</f>
        <v>13311.903</v>
      </c>
      <c r="E6213" s="7" t="n">
        <f aca="false">B6213/MAX(B5962:B6213)-1</f>
        <v>-0.0354212235699609</v>
      </c>
      <c r="F6213" s="7" t="str">
        <f aca="false">IFERROR(INDEX(02_轉折點45個!B:B,MATCH(A6213,02_轉折點45個!A:A,0)),"")</f>
        <v/>
      </c>
      <c r="G6213" s="7" t="s">
        <v>5494</v>
      </c>
    </row>
    <row r="6214" customFormat="false" ht="15" hidden="false" customHeight="false" outlineLevel="0" collapsed="false">
      <c r="A6214" s="7" t="s">
        <v>1785</v>
      </c>
      <c r="B6214" s="7" t="n">
        <v>15461.87</v>
      </c>
      <c r="C6214" s="7" t="n">
        <f aca="false">AVERAGE(B6165:B6214)</f>
        <v>15295.6906</v>
      </c>
      <c r="D6214" s="7" t="n">
        <f aca="false">AVERAGE(B6015:B6214)</f>
        <v>13331.4451</v>
      </c>
      <c r="E6214" s="7" t="n">
        <f aca="false">B6214/MAX(B5963:B6214)-1</f>
        <v>-0.0239550290852737</v>
      </c>
      <c r="F6214" s="7" t="str">
        <f aca="false">IFERROR(INDEX(02_轉折點45個!B:B,MATCH(A6214,02_轉折點45個!A:A,0)),"")</f>
        <v/>
      </c>
      <c r="G6214" s="7" t="s">
        <v>5494</v>
      </c>
    </row>
    <row r="6215" customFormat="false" ht="15" hidden="false" customHeight="false" outlineLevel="0" collapsed="false">
      <c r="A6215" s="7" t="s">
        <v>6775</v>
      </c>
      <c r="B6215" s="7" t="n">
        <v>15289.74</v>
      </c>
      <c r="C6215" s="7" t="n">
        <f aca="false">AVERAGE(B6166:B6215)</f>
        <v>15297.9012</v>
      </c>
      <c r="D6215" s="7" t="n">
        <f aca="false">AVERAGE(B6016:B6215)</f>
        <v>13349.2696</v>
      </c>
      <c r="E6215" s="7" t="n">
        <f aca="false">B6215/MAX(B5964:B6215)-1</f>
        <v>-0.0348208959463683</v>
      </c>
      <c r="F6215" s="7" t="str">
        <f aca="false">IFERROR(INDEX(02_轉折點45個!B:B,MATCH(A6215,02_轉折點45個!A:A,0)),"")</f>
        <v/>
      </c>
      <c r="G6215" s="7" t="s">
        <v>5494</v>
      </c>
    </row>
    <row r="6216" customFormat="false" ht="15" hidden="false" customHeight="false" outlineLevel="0" collapsed="false">
      <c r="A6216" s="7" t="s">
        <v>6776</v>
      </c>
      <c r="B6216" s="7" t="n">
        <v>15348.53</v>
      </c>
      <c r="C6216" s="7" t="n">
        <f aca="false">AVERAGE(B6167:B6216)</f>
        <v>15300.698</v>
      </c>
      <c r="D6216" s="7" t="n">
        <f aca="false">AVERAGE(B6017:B6216)</f>
        <v>13366.81865</v>
      </c>
      <c r="E6216" s="7" t="n">
        <f aca="false">B6216/MAX(B5965:B6216)-1</f>
        <v>-0.0311097223405833</v>
      </c>
      <c r="F6216" s="7" t="str">
        <f aca="false">IFERROR(INDEX(02_轉折點45個!B:B,MATCH(A6216,02_轉折點45個!A:A,0)),"")</f>
        <v/>
      </c>
      <c r="G6216" s="7" t="s">
        <v>5494</v>
      </c>
    </row>
    <row r="6217" customFormat="false" ht="15" hidden="false" customHeight="false" outlineLevel="0" collapsed="false">
      <c r="A6217" s="7" t="s">
        <v>6777</v>
      </c>
      <c r="B6217" s="7" t="n">
        <v>15473.89</v>
      </c>
      <c r="C6217" s="7" t="n">
        <f aca="false">AVERAGE(B6168:B6217)</f>
        <v>15306.1002</v>
      </c>
      <c r="D6217" s="7" t="n">
        <f aca="false">AVERAGE(B6018:B6217)</f>
        <v>13385.40795</v>
      </c>
      <c r="E6217" s="7" t="n">
        <f aca="false">B6217/MAX(B5966:B6217)-1</f>
        <v>-0.0231962553696498</v>
      </c>
      <c r="F6217" s="7" t="str">
        <f aca="false">IFERROR(INDEX(02_轉折點45個!B:B,MATCH(A6217,02_轉折點45個!A:A,0)),"")</f>
        <v/>
      </c>
      <c r="G6217" s="7" t="s">
        <v>5494</v>
      </c>
    </row>
    <row r="6218" customFormat="false" ht="15" hidden="false" customHeight="false" outlineLevel="0" collapsed="false">
      <c r="A6218" s="7" t="s">
        <v>1786</v>
      </c>
      <c r="B6218" s="7" t="n">
        <v>15202.4</v>
      </c>
      <c r="C6218" s="7" t="n">
        <f aca="false">AVERAGE(B6169:B6218)</f>
        <v>15308.3592</v>
      </c>
      <c r="D6218" s="7" t="n">
        <f aca="false">AVERAGE(B6019:B6218)</f>
        <v>13403.4812</v>
      </c>
      <c r="E6218" s="7" t="n">
        <f aca="false">B6218/MAX(B5967:B6218)-1</f>
        <v>-0.0403343149415928</v>
      </c>
      <c r="F6218" s="7" t="str">
        <f aca="false">IFERROR(INDEX(02_轉折點45個!B:B,MATCH(A6218,02_轉折點45個!A:A,0)),"")</f>
        <v/>
      </c>
      <c r="G6218" s="7" t="s">
        <v>5494</v>
      </c>
    </row>
    <row r="6219" customFormat="false" ht="15" hidden="false" customHeight="false" outlineLevel="0" collapsed="false">
      <c r="A6219" s="7" t="s">
        <v>6778</v>
      </c>
      <c r="B6219" s="7" t="n">
        <v>15225.37</v>
      </c>
      <c r="C6219" s="7" t="n">
        <f aca="false">AVERAGE(B6170:B6219)</f>
        <v>15312.1296</v>
      </c>
      <c r="D6219" s="7" t="n">
        <f aca="false">AVERAGE(B6020:B6219)</f>
        <v>13422.0908</v>
      </c>
      <c r="E6219" s="7" t="n">
        <f aca="false">B6219/MAX(B5968:B6219)-1</f>
        <v>-0.0388843122587406</v>
      </c>
      <c r="F6219" s="7" t="str">
        <f aca="false">IFERROR(INDEX(02_轉折點45個!B:B,MATCH(A6219,02_轉折點45個!A:A,0)),"")</f>
        <v/>
      </c>
      <c r="G6219" s="7" t="s">
        <v>5494</v>
      </c>
    </row>
    <row r="6220" customFormat="false" ht="15" hidden="false" customHeight="false" outlineLevel="0" collapsed="false">
      <c r="A6220" s="7" t="s">
        <v>6779</v>
      </c>
      <c r="B6220" s="7" t="n">
        <v>15191.23</v>
      </c>
      <c r="C6220" s="7" t="n">
        <f aca="false">AVERAGE(B6171:B6220)</f>
        <v>15315.0414</v>
      </c>
      <c r="D6220" s="7" t="n">
        <f aca="false">AVERAGE(B6021:B6220)</f>
        <v>13437.89665</v>
      </c>
      <c r="E6220" s="7" t="n">
        <f aca="false">B6220/MAX(B5969:B6220)-1</f>
        <v>-0.0410394316140986</v>
      </c>
      <c r="F6220" s="7" t="str">
        <f aca="false">IFERROR(INDEX(02_轉折點45個!B:B,MATCH(A6220,02_轉折點45個!A:A,0)),"")</f>
        <v/>
      </c>
      <c r="G6220" s="7" t="s">
        <v>5494</v>
      </c>
    </row>
    <row r="6221" customFormat="false" ht="15" hidden="false" customHeight="false" outlineLevel="0" collapsed="false">
      <c r="A6221" s="7" t="s">
        <v>6780</v>
      </c>
      <c r="B6221" s="7" t="n">
        <v>14969.92</v>
      </c>
      <c r="C6221" s="7" t="n">
        <f aca="false">AVERAGE(B6172:B6221)</f>
        <v>15312.0586</v>
      </c>
      <c r="D6221" s="7" t="n">
        <f aca="false">AVERAGE(B6022:B6221)</f>
        <v>13452.5368</v>
      </c>
      <c r="E6221" s="7" t="n">
        <f aca="false">B6221/MAX(B5970:B6221)-1</f>
        <v>-0.0550098318640773</v>
      </c>
      <c r="F6221" s="7" t="str">
        <f aca="false">IFERROR(INDEX(02_轉折點45個!B:B,MATCH(A6221,02_轉折點45個!A:A,0)),"")</f>
        <v/>
      </c>
      <c r="G6221" s="7" t="s">
        <v>5494</v>
      </c>
    </row>
    <row r="6222" customFormat="false" ht="15" hidden="false" customHeight="false" outlineLevel="0" collapsed="false">
      <c r="A6222" s="7" t="s">
        <v>1787</v>
      </c>
      <c r="B6222" s="7" t="n">
        <v>14694.24</v>
      </c>
      <c r="C6222" s="7" t="n">
        <f aca="false">AVERAGE(B6173:B6222)</f>
        <v>15299.7988</v>
      </c>
      <c r="D6222" s="7" t="n">
        <f aca="false">AVERAGE(B6023:B6222)</f>
        <v>13466.0367</v>
      </c>
      <c r="E6222" s="7" t="n">
        <f aca="false">B6222/MAX(B5971:B6222)-1</f>
        <v>-0.0724123890956263</v>
      </c>
      <c r="F6222" s="7" t="str">
        <f aca="false">IFERROR(INDEX(02_轉折點45個!B:B,MATCH(A6222,02_轉折點45個!A:A,0)),"")</f>
        <v/>
      </c>
      <c r="G6222" s="7" t="s">
        <v>5494</v>
      </c>
    </row>
    <row r="6223" customFormat="false" ht="15" hidden="false" customHeight="false" outlineLevel="0" collapsed="false">
      <c r="A6223" s="7" t="s">
        <v>6781</v>
      </c>
      <c r="B6223" s="7" t="n">
        <v>14701.1</v>
      </c>
      <c r="C6223" s="7" t="n">
        <f aca="false">AVERAGE(B6174:B6223)</f>
        <v>15282.3812</v>
      </c>
      <c r="D6223" s="7" t="n">
        <f aca="false">AVERAGE(B6024:B6223)</f>
        <v>13480.6082</v>
      </c>
      <c r="E6223" s="7" t="n">
        <f aca="false">B6223/MAX(B5972:B6223)-1</f>
        <v>-0.0719793451946962</v>
      </c>
      <c r="F6223" s="7" t="str">
        <f aca="false">IFERROR(INDEX(02_轉折點45個!B:B,MATCH(A6223,02_轉折點45個!A:A,0)),"")</f>
        <v/>
      </c>
      <c r="G6223" s="7" t="s">
        <v>5494</v>
      </c>
    </row>
    <row r="6224" customFormat="false" ht="15" hidden="false" customHeight="false" outlineLevel="0" collapsed="false">
      <c r="A6224" s="7" t="s">
        <v>6782</v>
      </c>
      <c r="B6224" s="7" t="n">
        <v>14768.9</v>
      </c>
      <c r="C6224" s="7" t="n">
        <f aca="false">AVERAGE(B6175:B6224)</f>
        <v>15266.4472</v>
      </c>
      <c r="D6224" s="7" t="n">
        <f aca="false">AVERAGE(B6025:B6224)</f>
        <v>13496.70425</v>
      </c>
      <c r="E6224" s="7" t="n">
        <f aca="false">B6224/MAX(B5973:B6224)-1</f>
        <v>-0.0676994069318587</v>
      </c>
      <c r="F6224" s="7" t="str">
        <f aca="false">IFERROR(INDEX(02_轉折點45個!B:B,MATCH(A6224,02_轉折點45個!A:A,0)),"")</f>
        <v/>
      </c>
      <c r="G6224" s="7" t="s">
        <v>5494</v>
      </c>
    </row>
    <row r="6225" customFormat="false" ht="15" hidden="false" customHeight="false" outlineLevel="0" collapsed="false">
      <c r="A6225" s="7" t="s">
        <v>6783</v>
      </c>
      <c r="B6225" s="7" t="n">
        <v>14545.83</v>
      </c>
      <c r="C6225" s="7" t="n">
        <f aca="false">AVERAGE(B6176:B6225)</f>
        <v>15243.0982</v>
      </c>
      <c r="D6225" s="7" t="n">
        <f aca="false">AVERAGE(B6026:B6225)</f>
        <v>13511.94645</v>
      </c>
      <c r="E6225" s="7" t="n">
        <f aca="false">B6225/MAX(B5974:B6225)-1</f>
        <v>-0.0817809088240585</v>
      </c>
      <c r="F6225" s="7" t="str">
        <f aca="false">IFERROR(INDEX(02_轉折點45個!B:B,MATCH(A6225,02_轉折點45個!A:A,0)),"")</f>
        <v/>
      </c>
      <c r="G6225" s="7" t="s">
        <v>5494</v>
      </c>
    </row>
    <row r="6226" customFormat="false" ht="15" hidden="false" customHeight="false" outlineLevel="0" collapsed="false">
      <c r="A6226" s="7" t="s">
        <v>6784</v>
      </c>
      <c r="B6226" s="7" t="n">
        <v>14580.16</v>
      </c>
      <c r="C6226" s="7" t="n">
        <f aca="false">AVERAGE(B6177:B6226)</f>
        <v>15217.8744</v>
      </c>
      <c r="D6226" s="7" t="n">
        <f aca="false">AVERAGE(B6027:B6226)</f>
        <v>13526.65975</v>
      </c>
      <c r="E6226" s="7" t="n">
        <f aca="false">B6226/MAX(B5975:B6226)-1</f>
        <v>-0.0796137955414153</v>
      </c>
      <c r="F6226" s="7" t="str">
        <f aca="false">IFERROR(INDEX(02_轉折點45個!B:B,MATCH(A6226,02_轉折點45個!A:A,0)),"")</f>
        <v/>
      </c>
      <c r="G6226" s="7" t="s">
        <v>5494</v>
      </c>
    </row>
    <row r="6227" customFormat="false" ht="15" hidden="false" customHeight="false" outlineLevel="0" collapsed="false">
      <c r="A6227" s="7" t="s">
        <v>6785</v>
      </c>
      <c r="B6227" s="7" t="n">
        <v>14702.77</v>
      </c>
      <c r="C6227" s="7" t="n">
        <f aca="false">AVERAGE(B6178:B6227)</f>
        <v>15195.4028</v>
      </c>
      <c r="D6227" s="7" t="n">
        <f aca="false">AVERAGE(B6028:B6227)</f>
        <v>13542.35695</v>
      </c>
      <c r="E6227" s="7" t="n">
        <f aca="false">B6227/MAX(B5976:B6227)-1</f>
        <v>-0.0718739248864522</v>
      </c>
      <c r="F6227" s="7" t="str">
        <f aca="false">IFERROR(INDEX(02_轉折點45個!B:B,MATCH(A6227,02_轉折點45個!A:A,0)),"")</f>
        <v/>
      </c>
      <c r="G6227" s="7" t="s">
        <v>5494</v>
      </c>
    </row>
    <row r="6228" customFormat="false" ht="15" hidden="false" customHeight="false" outlineLevel="0" collapsed="false">
      <c r="A6228" s="7" t="s">
        <v>6786</v>
      </c>
      <c r="B6228" s="7" t="n">
        <v>14715.24</v>
      </c>
      <c r="C6228" s="7" t="n">
        <f aca="false">AVERAGE(B6179:B6228)</f>
        <v>15180.3858</v>
      </c>
      <c r="D6228" s="7" t="n">
        <f aca="false">AVERAGE(B6029:B6228)</f>
        <v>13557.40095</v>
      </c>
      <c r="E6228" s="7" t="n">
        <f aca="false">B6228/MAX(B5977:B6228)-1</f>
        <v>-0.0710867445009422</v>
      </c>
      <c r="F6228" s="7" t="str">
        <f aca="false">IFERROR(INDEX(02_轉折點45個!B:B,MATCH(A6228,02_轉折點45個!A:A,0)),"")</f>
        <v/>
      </c>
      <c r="G6228" s="7" t="s">
        <v>5494</v>
      </c>
    </row>
    <row r="6229" customFormat="false" ht="15" hidden="false" customHeight="false" outlineLevel="0" collapsed="false">
      <c r="A6229" s="7" t="s">
        <v>6787</v>
      </c>
      <c r="B6229" s="7" t="n">
        <v>14837.57</v>
      </c>
      <c r="C6229" s="7" t="n">
        <f aca="false">AVERAGE(B6180:B6229)</f>
        <v>15168.6238</v>
      </c>
      <c r="D6229" s="7" t="n">
        <f aca="false">AVERAGE(B6030:B6229)</f>
        <v>13572.41775</v>
      </c>
      <c r="E6229" s="7" t="n">
        <f aca="false">B6229/MAX(B5978:B6229)-1</f>
        <v>-0.0633645491072415</v>
      </c>
      <c r="F6229" s="7" t="str">
        <f aca="false">IFERROR(INDEX(02_轉折點45個!B:B,MATCH(A6229,02_轉折點45個!A:A,0)),"")</f>
        <v/>
      </c>
      <c r="G6229" s="7" t="s">
        <v>5494</v>
      </c>
    </row>
    <row r="6230" customFormat="false" ht="15" hidden="false" customHeight="false" outlineLevel="0" collapsed="false">
      <c r="A6230" s="7" t="s">
        <v>1789</v>
      </c>
      <c r="B6230" s="7" t="n">
        <v>14565.62</v>
      </c>
      <c r="C6230" s="7" t="n">
        <f aca="false">AVERAGE(B6181:B6230)</f>
        <v>15150.9758</v>
      </c>
      <c r="D6230" s="7" t="n">
        <f aca="false">AVERAGE(B6031:B6230)</f>
        <v>13586.54125</v>
      </c>
      <c r="E6230" s="7" t="n">
        <f aca="false">B6230/MAX(B5979:B6230)-1</f>
        <v>-0.0805316466084014</v>
      </c>
      <c r="F6230" s="7" t="str">
        <f aca="false">IFERROR(INDEX(02_轉折點45個!B:B,MATCH(A6230,02_轉折點45個!A:A,0)),"")</f>
        <v/>
      </c>
      <c r="G6230" s="7" t="s">
        <v>5494</v>
      </c>
    </row>
    <row r="6231" customFormat="false" ht="15" hidden="false" customHeight="false" outlineLevel="0" collapsed="false">
      <c r="A6231" s="7" t="s">
        <v>1790</v>
      </c>
      <c r="B6231" s="7" t="n">
        <v>14776.25</v>
      </c>
      <c r="C6231" s="7" t="n">
        <f aca="false">AVERAGE(B6182:B6231)</f>
        <v>15135.2724</v>
      </c>
      <c r="D6231" s="7" t="n">
        <f aca="false">AVERAGE(B6032:B6231)</f>
        <v>13603.6964</v>
      </c>
      <c r="E6231" s="7" t="n">
        <f aca="false">B6231/MAX(B5980:B6231)-1</f>
        <v>-0.0672354313237192</v>
      </c>
      <c r="F6231" s="7" t="str">
        <f aca="false">IFERROR(INDEX(02_轉折點45個!B:B,MATCH(A6231,02_轉折點45個!A:A,0)),"")</f>
        <v/>
      </c>
      <c r="G6231" s="7" t="s">
        <v>5494</v>
      </c>
    </row>
    <row r="6232" customFormat="false" ht="15" hidden="false" customHeight="false" outlineLevel="0" collapsed="false">
      <c r="A6232" s="7" t="s">
        <v>6788</v>
      </c>
      <c r="B6232" s="7" t="n">
        <v>14723.22</v>
      </c>
      <c r="C6232" s="7" t="n">
        <f aca="false">AVERAGE(B6183:B6232)</f>
        <v>15119.7516</v>
      </c>
      <c r="D6232" s="7" t="n">
        <f aca="false">AVERAGE(B6033:B6232)</f>
        <v>13621.0939</v>
      </c>
      <c r="E6232" s="7" t="n">
        <f aca="false">B6232/MAX(B5981:B6232)-1</f>
        <v>-0.0705829995549623</v>
      </c>
      <c r="F6232" s="7" t="str">
        <f aca="false">IFERROR(INDEX(02_轉折點45個!B:B,MATCH(A6232,02_轉折點45個!A:A,0)),"")</f>
        <v/>
      </c>
      <c r="G6232" s="7" t="s">
        <v>5494</v>
      </c>
    </row>
    <row r="6233" customFormat="false" ht="15" hidden="false" customHeight="false" outlineLevel="0" collapsed="false">
      <c r="A6233" s="7" t="s">
        <v>6789</v>
      </c>
      <c r="B6233" s="7" t="n">
        <v>14973.24</v>
      </c>
      <c r="C6233" s="7" t="n">
        <f aca="false">AVERAGE(B6184:B6233)</f>
        <v>15109.9178</v>
      </c>
      <c r="D6233" s="7" t="n">
        <f aca="false">AVERAGE(B6034:B6233)</f>
        <v>13640.53715</v>
      </c>
      <c r="E6233" s="7" t="n">
        <f aca="false">B6233/MAX(B5982:B6233)-1</f>
        <v>-0.054800253766251</v>
      </c>
      <c r="F6233" s="7" t="str">
        <f aca="false">IFERROR(INDEX(02_轉折點45個!B:B,MATCH(A6233,02_轉折點45個!A:A,0)),"")</f>
        <v/>
      </c>
      <c r="G6233" s="7" t="s">
        <v>5494</v>
      </c>
    </row>
    <row r="6234" customFormat="false" ht="15" hidden="false" customHeight="false" outlineLevel="0" collapsed="false">
      <c r="A6234" s="7" t="s">
        <v>1791</v>
      </c>
      <c r="B6234" s="7" t="n">
        <v>15047.15</v>
      </c>
      <c r="C6234" s="7" t="n">
        <f aca="false">AVERAGE(B6185:B6234)</f>
        <v>15095.8422</v>
      </c>
      <c r="D6234" s="7" t="n">
        <f aca="false">AVERAGE(B6035:B6234)</f>
        <v>13660.4108</v>
      </c>
      <c r="E6234" s="7" t="n">
        <f aca="false">B6234/MAX(B5983:B6234)-1</f>
        <v>-0.0501346160522935</v>
      </c>
      <c r="F6234" s="7" t="str">
        <f aca="false">IFERROR(INDEX(02_轉折點45個!B:B,MATCH(A6234,02_轉折點45個!A:A,0)),"")</f>
        <v/>
      </c>
      <c r="G6234" s="7" t="s">
        <v>5494</v>
      </c>
    </row>
    <row r="6235" customFormat="false" ht="15" hidden="false" customHeight="false" outlineLevel="0" collapsed="false">
      <c r="A6235" s="7" t="s">
        <v>6790</v>
      </c>
      <c r="B6235" s="7" t="n">
        <v>15131.52</v>
      </c>
      <c r="C6235" s="7" t="n">
        <f aca="false">AVERAGE(B6186:B6235)</f>
        <v>15083.3326</v>
      </c>
      <c r="D6235" s="7" t="n">
        <f aca="false">AVERAGE(B6036:B6235)</f>
        <v>13679.889</v>
      </c>
      <c r="E6235" s="7" t="n">
        <f aca="false">B6235/MAX(B5984:B6235)-1</f>
        <v>-0.0448086810783172</v>
      </c>
      <c r="F6235" s="7" t="str">
        <f aca="false">IFERROR(INDEX(02_轉折點45個!B:B,MATCH(A6235,02_轉折點45個!A:A,0)),"")</f>
        <v/>
      </c>
      <c r="G6235" s="7" t="s">
        <v>5494</v>
      </c>
    </row>
    <row r="6236" customFormat="false" ht="15" hidden="false" customHeight="false" outlineLevel="0" collapsed="false">
      <c r="A6236" s="7" t="s">
        <v>1792</v>
      </c>
      <c r="B6236" s="7" t="n">
        <v>15241.12</v>
      </c>
      <c r="C6236" s="7" t="n">
        <f aca="false">AVERAGE(B6187:B6236)</f>
        <v>15073.7948</v>
      </c>
      <c r="D6236" s="7" t="n">
        <f aca="false">AVERAGE(B6037:B6236)</f>
        <v>13701.3139</v>
      </c>
      <c r="E6236" s="7" t="n">
        <f aca="false">B6236/MAX(B5985:B6236)-1</f>
        <v>-0.0378900788127274</v>
      </c>
      <c r="F6236" s="7" t="str">
        <f aca="false">IFERROR(INDEX(02_轉折點45個!B:B,MATCH(A6236,02_轉折點45個!A:A,0)),"")</f>
        <v/>
      </c>
      <c r="G6236" s="7" t="s">
        <v>5494</v>
      </c>
    </row>
    <row r="6237" customFormat="false" ht="15" hidden="false" customHeight="false" outlineLevel="0" collapsed="false">
      <c r="A6237" s="7" t="s">
        <v>1793</v>
      </c>
      <c r="B6237" s="7" t="n">
        <v>15184.1</v>
      </c>
      <c r="C6237" s="7" t="n">
        <f aca="false">AVERAGE(B6188:B6237)</f>
        <v>15070.062</v>
      </c>
      <c r="D6237" s="7" t="n">
        <f aca="false">AVERAGE(B6038:B6237)</f>
        <v>13722.30715</v>
      </c>
      <c r="E6237" s="7" t="n">
        <f aca="false">B6237/MAX(B5986:B6237)-1</f>
        <v>-0.0414895195169603</v>
      </c>
      <c r="F6237" s="7" t="str">
        <f aca="false">IFERROR(INDEX(02_轉折點45個!B:B,MATCH(A6237,02_轉折點45個!A:A,0)),"")</f>
        <v/>
      </c>
      <c r="G6237" s="7" t="s">
        <v>5494</v>
      </c>
    </row>
    <row r="6238" customFormat="false" ht="15" hidden="false" customHeight="false" outlineLevel="0" collapsed="false">
      <c r="A6238" s="7" t="s">
        <v>1794</v>
      </c>
      <c r="B6238" s="7" t="n">
        <v>14995.12</v>
      </c>
      <c r="C6238" s="7" t="n">
        <f aca="false">AVERAGE(B6189:B6238)</f>
        <v>15062.8936</v>
      </c>
      <c r="D6238" s="7" t="n">
        <f aca="false">AVERAGE(B6039:B6238)</f>
        <v>13743.1702</v>
      </c>
      <c r="E6238" s="7" t="n">
        <f aca="false">B6238/MAX(B5987:B6238)-1</f>
        <v>-0.0534190583504562</v>
      </c>
      <c r="F6238" s="7" t="str">
        <f aca="false">IFERROR(INDEX(02_轉折點45個!B:B,MATCH(A6238,02_轉折點45個!A:A,0)),"")</f>
        <v/>
      </c>
      <c r="G6238" s="7" t="s">
        <v>5494</v>
      </c>
    </row>
    <row r="6239" customFormat="false" ht="15" hidden="false" customHeight="false" outlineLevel="0" collapsed="false">
      <c r="A6239" s="7" t="s">
        <v>6791</v>
      </c>
      <c r="B6239" s="7" t="n">
        <v>15172.73</v>
      </c>
      <c r="C6239" s="7" t="n">
        <f aca="false">AVERAGE(B6190:B6239)</f>
        <v>15060.8498</v>
      </c>
      <c r="D6239" s="7" t="n">
        <f aca="false">AVERAGE(B6040:B6239)</f>
        <v>13765.63715</v>
      </c>
      <c r="E6239" s="7" t="n">
        <f aca="false">B6239/MAX(B5988:B6239)-1</f>
        <v>-0.0422072613760822</v>
      </c>
      <c r="F6239" s="7" t="str">
        <f aca="false">IFERROR(INDEX(02_轉折點45個!B:B,MATCH(A6239,02_轉折點45個!A:A,0)),"")</f>
        <v/>
      </c>
      <c r="G6239" s="7" t="s">
        <v>5494</v>
      </c>
    </row>
    <row r="6240" customFormat="false" ht="15" hidden="false" customHeight="false" outlineLevel="0" collapsed="false">
      <c r="A6240" s="7" t="s">
        <v>6792</v>
      </c>
      <c r="B6240" s="7" t="n">
        <v>15122.01</v>
      </c>
      <c r="C6240" s="7" t="n">
        <f aca="false">AVERAGE(B6191:B6240)</f>
        <v>15055.133</v>
      </c>
      <c r="D6240" s="7" t="n">
        <f aca="false">AVERAGE(B6041:B6240)</f>
        <v>13786.49195</v>
      </c>
      <c r="E6240" s="7" t="n">
        <f aca="false">B6240/MAX(B5989:B6240)-1</f>
        <v>-0.0454090087019099</v>
      </c>
      <c r="F6240" s="7" t="str">
        <f aca="false">IFERROR(INDEX(02_轉折點45個!B:B,MATCH(A6240,02_轉折點45個!A:A,0)),"")</f>
        <v/>
      </c>
      <c r="G6240" s="7" t="s">
        <v>5494</v>
      </c>
    </row>
    <row r="6241" customFormat="false" ht="15" hidden="false" customHeight="false" outlineLevel="0" collapsed="false">
      <c r="A6241" s="7" t="s">
        <v>1795</v>
      </c>
      <c r="B6241" s="7" t="n">
        <v>14909.26</v>
      </c>
      <c r="C6241" s="7" t="n">
        <f aca="false">AVERAGE(B6192:B6241)</f>
        <v>15047.8572</v>
      </c>
      <c r="D6241" s="7" t="n">
        <f aca="false">AVERAGE(B6042:B6241)</f>
        <v>13806.33945</v>
      </c>
      <c r="E6241" s="7" t="n">
        <f aca="false">B6241/MAX(B5990:B6241)-1</f>
        <v>-0.0588390509647221</v>
      </c>
      <c r="F6241" s="7" t="str">
        <f aca="false">IFERROR(INDEX(02_轉折點45個!B:B,MATCH(A6241,02_轉折點45個!A:A,0)),"")</f>
        <v/>
      </c>
      <c r="G6241" s="7" t="s">
        <v>5494</v>
      </c>
    </row>
    <row r="6242" customFormat="false" ht="15" hidden="false" customHeight="false" outlineLevel="0" collapsed="false">
      <c r="A6242" s="7" t="s">
        <v>1796</v>
      </c>
      <c r="B6242" s="7" t="n">
        <v>14783.13</v>
      </c>
      <c r="C6242" s="7" t="n">
        <f aca="false">AVERAGE(B6193:B6242)</f>
        <v>15041.4856</v>
      </c>
      <c r="D6242" s="7" t="n">
        <f aca="false">AVERAGE(B6043:B6242)</f>
        <v>13825.9419</v>
      </c>
      <c r="E6242" s="7" t="n">
        <f aca="false">B6242/MAX(B5991:B6242)-1</f>
        <v>-0.0668011249041276</v>
      </c>
      <c r="F6242" s="7" t="str">
        <f aca="false">IFERROR(INDEX(02_轉折點45個!B:B,MATCH(A6242,02_轉折點45個!A:A,0)),"")</f>
        <v/>
      </c>
      <c r="G6242" s="7" t="s">
        <v>5494</v>
      </c>
    </row>
    <row r="6243" customFormat="false" ht="15" hidden="false" customHeight="false" outlineLevel="0" collapsed="false">
      <c r="A6243" s="7" t="s">
        <v>6793</v>
      </c>
      <c r="B6243" s="7" t="n">
        <v>14560.88</v>
      </c>
      <c r="C6243" s="7" t="n">
        <f aca="false">AVERAGE(B6194:B6243)</f>
        <v>15030.1264</v>
      </c>
      <c r="D6243" s="7" t="n">
        <f aca="false">AVERAGE(B6044:B6243)</f>
        <v>13844.1723</v>
      </c>
      <c r="E6243" s="7" t="n">
        <f aca="false">B6243/MAX(B5992:B6243)-1</f>
        <v>-0.0808308635312016</v>
      </c>
      <c r="F6243" s="7" t="str">
        <f aca="false">IFERROR(INDEX(02_轉折點45個!B:B,MATCH(A6243,02_轉折點45個!A:A,0)),"")</f>
        <v/>
      </c>
      <c r="G6243" s="7" t="s">
        <v>5494</v>
      </c>
    </row>
    <row r="6244" customFormat="false" ht="15" hidden="false" customHeight="false" outlineLevel="0" collapsed="false">
      <c r="A6244" s="7" t="s">
        <v>1797</v>
      </c>
      <c r="B6244" s="7" t="n">
        <v>14604.85</v>
      </c>
      <c r="C6244" s="7" t="n">
        <f aca="false">AVERAGE(B6195:B6244)</f>
        <v>15021.662</v>
      </c>
      <c r="D6244" s="7" t="n">
        <f aca="false">AVERAGE(B6045:B6244)</f>
        <v>13863.49045</v>
      </c>
      <c r="E6244" s="7" t="n">
        <f aca="false">B6244/MAX(B5993:B6244)-1</f>
        <v>-0.0780552162536653</v>
      </c>
      <c r="F6244" s="7" t="str">
        <f aca="false">IFERROR(INDEX(02_轉折點45個!B:B,MATCH(A6244,02_轉折點45個!A:A,0)),"")</f>
        <v/>
      </c>
      <c r="G6244" s="7" t="s">
        <v>5494</v>
      </c>
    </row>
    <row r="6245" customFormat="false" ht="15" hidden="false" customHeight="false" outlineLevel="0" collapsed="false">
      <c r="A6245" s="7" t="s">
        <v>6794</v>
      </c>
      <c r="B6245" s="7" t="n">
        <v>14745.86</v>
      </c>
      <c r="C6245" s="7" t="n">
        <f aca="false">AVERAGE(B6196:B6245)</f>
        <v>15012.4674</v>
      </c>
      <c r="D6245" s="7" t="n">
        <f aca="false">AVERAGE(B6046:B6245)</f>
        <v>13882.018</v>
      </c>
      <c r="E6245" s="7" t="n">
        <f aca="false">B6245/MAX(B5994:B6245)-1</f>
        <v>-0.0691538284300265</v>
      </c>
      <c r="F6245" s="7" t="str">
        <f aca="false">IFERROR(INDEX(02_轉折點45個!B:B,MATCH(A6245,02_轉折點45個!A:A,0)),"")</f>
        <v/>
      </c>
      <c r="G6245" s="7" t="s">
        <v>5494</v>
      </c>
    </row>
    <row r="6246" customFormat="false" ht="15" hidden="false" customHeight="false" outlineLevel="0" collapsed="false">
      <c r="A6246" s="7" t="s">
        <v>1798</v>
      </c>
      <c r="B6246" s="7" t="n">
        <v>14381.64</v>
      </c>
      <c r="C6246" s="7" t="n">
        <f aca="false">AVERAGE(B6197:B6246)</f>
        <v>14999.3472</v>
      </c>
      <c r="D6246" s="7" t="n">
        <f aca="false">AVERAGE(B6047:B6246)</f>
        <v>13898.38395</v>
      </c>
      <c r="E6246" s="7" t="n">
        <f aca="false">B6246/MAX(B5995:B6246)-1</f>
        <v>-0.0921455557764964</v>
      </c>
      <c r="F6246" s="7" t="str">
        <f aca="false">IFERROR(INDEX(02_轉折點45個!B:B,MATCH(A6246,02_轉折點45個!A:A,0)),"")</f>
        <v/>
      </c>
      <c r="G6246" s="7" t="s">
        <v>5494</v>
      </c>
    </row>
    <row r="6247" customFormat="false" ht="15" hidden="false" customHeight="false" outlineLevel="0" collapsed="false">
      <c r="A6247" s="7" t="s">
        <v>6795</v>
      </c>
      <c r="B6247" s="7" t="n">
        <v>14109.57</v>
      </c>
      <c r="C6247" s="7" t="n">
        <f aca="false">AVERAGE(B6198:B6247)</f>
        <v>14984.0092</v>
      </c>
      <c r="D6247" s="7" t="n">
        <f aca="false">AVERAGE(B6048:B6247)</f>
        <v>13912.9029</v>
      </c>
      <c r="E6247" s="7" t="n">
        <f aca="false">B6247/MAX(B5996:B6247)-1</f>
        <v>-0.109320228389626</v>
      </c>
      <c r="F6247" s="7" t="str">
        <f aca="false">IFERROR(INDEX(02_轉折點45個!B:B,MATCH(A6247,02_轉折點45個!A:A,0)),"")</f>
        <v/>
      </c>
      <c r="G6247" s="7" t="s">
        <v>5494</v>
      </c>
    </row>
    <row r="6248" customFormat="false" ht="15" hidden="false" customHeight="false" outlineLevel="0" collapsed="false">
      <c r="A6248" s="7" t="s">
        <v>1799</v>
      </c>
      <c r="B6248" s="7" t="n">
        <v>14180.42</v>
      </c>
      <c r="C6248" s="7" t="n">
        <f aca="false">AVERAGE(B6199:B6248)</f>
        <v>14973.3014</v>
      </c>
      <c r="D6248" s="7" t="n">
        <f aca="false">AVERAGE(B6049:B6248)</f>
        <v>13926.7924</v>
      </c>
      <c r="E6248" s="7" t="n">
        <f aca="false">B6248/MAX(B5997:B6248)-1</f>
        <v>-0.104847756030894</v>
      </c>
      <c r="F6248" s="7" t="str">
        <f aca="false">IFERROR(INDEX(02_轉折點45個!B:B,MATCH(A6248,02_轉折點45個!A:A,0)),"")</f>
        <v/>
      </c>
      <c r="G6248" s="7" t="s">
        <v>5494</v>
      </c>
    </row>
    <row r="6249" customFormat="false" ht="15" hidden="false" customHeight="false" outlineLevel="0" collapsed="false">
      <c r="A6249" s="7" t="s">
        <v>6796</v>
      </c>
      <c r="B6249" s="7" t="n">
        <v>14335.51</v>
      </c>
      <c r="C6249" s="7" t="n">
        <f aca="false">AVERAGE(B6200:B6249)</f>
        <v>14966.1148</v>
      </c>
      <c r="D6249" s="7" t="n">
        <f aca="false">AVERAGE(B6050:B6249)</f>
        <v>13941.1719</v>
      </c>
      <c r="E6249" s="7" t="n">
        <f aca="false">B6249/MAX(B5998:B6249)-1</f>
        <v>-0.0950575550694859</v>
      </c>
      <c r="F6249" s="7" t="str">
        <f aca="false">IFERROR(INDEX(02_轉折點45個!B:B,MATCH(A6249,02_轉折點45個!A:A,0)),"")</f>
        <v/>
      </c>
      <c r="G6249" s="7" t="s">
        <v>5494</v>
      </c>
    </row>
    <row r="6250" customFormat="false" ht="15" hidden="false" customHeight="false" outlineLevel="0" collapsed="false">
      <c r="A6250" s="7" t="s">
        <v>6797</v>
      </c>
      <c r="B6250" s="7" t="n">
        <v>14409.78</v>
      </c>
      <c r="C6250" s="7" t="n">
        <f aca="false">AVERAGE(B6201:B6250)</f>
        <v>14955.5766</v>
      </c>
      <c r="D6250" s="7" t="n">
        <f aca="false">AVERAGE(B6051:B6250)</f>
        <v>13955.5134</v>
      </c>
      <c r="E6250" s="7" t="n">
        <f aca="false">B6250/MAX(B5999:B6250)-1</f>
        <v>-0.0903691920196196</v>
      </c>
      <c r="F6250" s="7" t="str">
        <f aca="false">IFERROR(INDEX(02_轉折點45個!B:B,MATCH(A6250,02_轉折點45個!A:A,0)),"")</f>
        <v/>
      </c>
      <c r="G6250" s="7" t="s">
        <v>5494</v>
      </c>
    </row>
    <row r="6251" customFormat="false" ht="15" hidden="false" customHeight="false" outlineLevel="0" collapsed="false">
      <c r="A6251" s="7" t="s">
        <v>6798</v>
      </c>
      <c r="B6251" s="7" t="n">
        <v>14664.91</v>
      </c>
      <c r="C6251" s="7" t="n">
        <f aca="false">AVERAGE(B6202:B6251)</f>
        <v>14950.6956</v>
      </c>
      <c r="D6251" s="7" t="n">
        <f aca="false">AVERAGE(B6052:B6251)</f>
        <v>13971.052</v>
      </c>
      <c r="E6251" s="7" t="n">
        <f aca="false">B6251/MAX(B6000:B6251)-1</f>
        <v>-0.0742638727128686</v>
      </c>
      <c r="F6251" s="7" t="str">
        <f aca="false">IFERROR(INDEX(02_轉折點45個!B:B,MATCH(A6251,02_轉折點45個!A:A,0)),"")</f>
        <v/>
      </c>
      <c r="G6251" s="7" t="s">
        <v>5494</v>
      </c>
    </row>
    <row r="6252" customFormat="false" ht="15" hidden="false" customHeight="false" outlineLevel="0" collapsed="false">
      <c r="A6252" s="7" t="s">
        <v>1800</v>
      </c>
      <c r="B6252" s="7" t="n">
        <v>14919.55</v>
      </c>
      <c r="C6252" s="7" t="n">
        <f aca="false">AVERAGE(B6203:B6252)</f>
        <v>14946.1254</v>
      </c>
      <c r="D6252" s="7" t="n">
        <f aca="false">AVERAGE(B6053:B6252)</f>
        <v>13988.5983</v>
      </c>
      <c r="E6252" s="7" t="n">
        <f aca="false">B6252/MAX(B6001:B6252)-1</f>
        <v>-0.0581894851133269</v>
      </c>
      <c r="F6252" s="7" t="str">
        <f aca="false">IFERROR(INDEX(02_轉折點45個!B:B,MATCH(A6252,02_轉折點45個!A:A,0)),"")</f>
        <v/>
      </c>
      <c r="G6252" s="7" t="s">
        <v>5494</v>
      </c>
    </row>
    <row r="6253" customFormat="false" ht="15" hidden="false" customHeight="false" outlineLevel="0" collapsed="false">
      <c r="A6253" s="7" t="s">
        <v>1801</v>
      </c>
      <c r="B6253" s="7" t="n">
        <v>15099.49</v>
      </c>
      <c r="C6253" s="7" t="n">
        <f aca="false">AVERAGE(B6204:B6253)</f>
        <v>14951.7864</v>
      </c>
      <c r="D6253" s="7" t="n">
        <f aca="false">AVERAGE(B6054:B6253)</f>
        <v>14007.6174</v>
      </c>
      <c r="E6253" s="7" t="n">
        <f aca="false">B6253/MAX(B6002:B6253)-1</f>
        <v>-0.046830604714876</v>
      </c>
      <c r="F6253" s="7" t="str">
        <f aca="false">IFERROR(INDEX(02_轉折點45個!B:B,MATCH(A6253,02_轉折點45個!A:A,0)),"")</f>
        <v/>
      </c>
      <c r="G6253" s="7" t="s">
        <v>5494</v>
      </c>
    </row>
    <row r="6254" customFormat="false" ht="15" hidden="false" customHeight="false" outlineLevel="0" collapsed="false">
      <c r="A6254" s="7" t="s">
        <v>6799</v>
      </c>
      <c r="B6254" s="7" t="n">
        <v>15154.93</v>
      </c>
      <c r="C6254" s="7" t="n">
        <f aca="false">AVERAGE(B6205:B6254)</f>
        <v>14956.0484</v>
      </c>
      <c r="D6254" s="7" t="n">
        <f aca="false">AVERAGE(B6055:B6254)</f>
        <v>14025.2969</v>
      </c>
      <c r="E6254" s="7" t="n">
        <f aca="false">B6254/MAX(B6003:B6254)-1</f>
        <v>-0.0433309029849097</v>
      </c>
      <c r="F6254" s="7" t="str">
        <f aca="false">IFERROR(INDEX(02_轉折點45個!B:B,MATCH(A6254,02_轉折點45個!A:A,0)),"")</f>
        <v/>
      </c>
      <c r="G6254" s="7" t="s">
        <v>5494</v>
      </c>
    </row>
    <row r="6255" customFormat="false" ht="15" hidden="false" customHeight="false" outlineLevel="0" collapsed="false">
      <c r="A6255" s="7" t="s">
        <v>1802</v>
      </c>
      <c r="B6255" s="7" t="n">
        <v>15296.02</v>
      </c>
      <c r="C6255" s="7" t="n">
        <f aca="false">AVERAGE(B6206:B6255)</f>
        <v>14960.9196</v>
      </c>
      <c r="D6255" s="7" t="n">
        <f aca="false">AVERAGE(B6056:B6255)</f>
        <v>14042.4143</v>
      </c>
      <c r="E6255" s="7" t="n">
        <f aca="false">B6255/MAX(B6004:B6255)-1</f>
        <v>-0.0344244650866246</v>
      </c>
      <c r="F6255" s="7" t="str">
        <f aca="false">IFERROR(INDEX(02_轉折點45個!B:B,MATCH(A6255,02_轉折點45個!A:A,0)),"")</f>
        <v/>
      </c>
      <c r="G6255" s="7" t="s">
        <v>5494</v>
      </c>
    </row>
    <row r="6256" customFormat="false" ht="15" hidden="false" customHeight="false" outlineLevel="0" collapsed="false">
      <c r="A6256" s="7" t="s">
        <v>6800</v>
      </c>
      <c r="B6256" s="7" t="n">
        <v>15313.24</v>
      </c>
      <c r="C6256" s="7" t="n">
        <f aca="false">AVERAGE(B6207:B6256)</f>
        <v>14959.6534</v>
      </c>
      <c r="D6256" s="7" t="n">
        <f aca="false">AVERAGE(B6057:B6256)</f>
        <v>14059.7473</v>
      </c>
      <c r="E6256" s="7" t="n">
        <f aca="false">B6256/MAX(B6005:B6256)-1</f>
        <v>-0.0333374365189836</v>
      </c>
      <c r="F6256" s="7" t="str">
        <f aca="false">IFERROR(INDEX(02_轉折點45個!B:B,MATCH(A6256,02_轉折點45個!A:A,0)),"")</f>
        <v/>
      </c>
      <c r="G6256" s="7" t="s">
        <v>5494</v>
      </c>
    </row>
    <row r="6257" customFormat="false" ht="15" hidden="false" customHeight="false" outlineLevel="0" collapsed="false">
      <c r="A6257" s="7" t="s">
        <v>6801</v>
      </c>
      <c r="B6257" s="7" t="n">
        <v>15187.9</v>
      </c>
      <c r="C6257" s="7" t="n">
        <f aca="false">AVERAGE(B6208:B6257)</f>
        <v>14954.1628</v>
      </c>
      <c r="D6257" s="7" t="n">
        <f aca="false">AVERAGE(B6058:B6257)</f>
        <v>14076.61335</v>
      </c>
      <c r="E6257" s="7" t="n">
        <f aca="false">B6257/MAX(B6006:B6257)-1</f>
        <v>-0.0412496409712556</v>
      </c>
      <c r="F6257" s="7" t="str">
        <f aca="false">IFERROR(INDEX(02_轉折點45個!B:B,MATCH(A6257,02_轉折點45個!A:A,0)),"")</f>
        <v/>
      </c>
      <c r="G6257" s="7" t="s">
        <v>5494</v>
      </c>
    </row>
    <row r="6258" customFormat="false" ht="15" hidden="false" customHeight="false" outlineLevel="0" collapsed="false">
      <c r="A6258" s="7" t="s">
        <v>1803</v>
      </c>
      <c r="B6258" s="7" t="n">
        <v>15529.12</v>
      </c>
      <c r="C6258" s="7" t="n">
        <f aca="false">AVERAGE(B6209:B6258)</f>
        <v>14954.7238</v>
      </c>
      <c r="D6258" s="7" t="n">
        <f aca="false">AVERAGE(B6059:B6258)</f>
        <v>14094.00155</v>
      </c>
      <c r="E6258" s="7" t="n">
        <f aca="false">B6258/MAX(B6007:B6258)-1</f>
        <v>-0.0197098100856303</v>
      </c>
      <c r="F6258" s="7" t="str">
        <f aca="false">IFERROR(INDEX(02_轉折點45個!B:B,MATCH(A6258,02_轉折點45個!A:A,0)),"")</f>
        <v/>
      </c>
      <c r="G6258" s="7" t="s">
        <v>5494</v>
      </c>
    </row>
    <row r="6259" customFormat="false" ht="15" hidden="false" customHeight="false" outlineLevel="0" collapsed="false">
      <c r="A6259" s="7" t="s">
        <v>6802</v>
      </c>
      <c r="B6259" s="7" t="n">
        <v>15482.79</v>
      </c>
      <c r="C6259" s="7" t="n">
        <f aca="false">AVERAGE(B6210:B6259)</f>
        <v>14954.5624</v>
      </c>
      <c r="D6259" s="7" t="n">
        <f aca="false">AVERAGE(B6060:B6259)</f>
        <v>14110.5825</v>
      </c>
      <c r="E6259" s="7" t="n">
        <f aca="false">B6259/MAX(B6008:B6259)-1</f>
        <v>-0.0226344345652358</v>
      </c>
      <c r="F6259" s="7" t="str">
        <f aca="false">IFERROR(INDEX(02_轉折點45個!B:B,MATCH(A6259,02_轉折點45個!A:A,0)),"")</f>
        <v/>
      </c>
      <c r="G6259" s="7" t="s">
        <v>5494</v>
      </c>
    </row>
    <row r="6260" customFormat="false" ht="15" hidden="false" customHeight="false" outlineLevel="0" collapsed="false">
      <c r="A6260" s="7" t="s">
        <v>6803</v>
      </c>
      <c r="B6260" s="7" t="n">
        <v>15812.47</v>
      </c>
      <c r="C6260" s="7" t="n">
        <f aca="false">AVERAGE(B6211:B6260)</f>
        <v>14960.647</v>
      </c>
      <c r="D6260" s="7" t="n">
        <f aca="false">AVERAGE(B6061:B6260)</f>
        <v>14130.0829</v>
      </c>
      <c r="E6260" s="7" t="n">
        <f aca="false">B6260/MAX(B6009:B6260)-1</f>
        <v>-0.00182307694735617</v>
      </c>
      <c r="F6260" s="7" t="str">
        <f aca="false">IFERROR(INDEX(02_轉折點45個!B:B,MATCH(A6260,02_轉折點45個!A:A,0)),"")</f>
        <v/>
      </c>
      <c r="G6260" s="7" t="s">
        <v>5494</v>
      </c>
    </row>
    <row r="6261" customFormat="false" ht="15" hidden="false" customHeight="false" outlineLevel="0" collapsed="false">
      <c r="A6261" s="7" t="s">
        <v>6804</v>
      </c>
      <c r="B6261" s="7" t="n">
        <v>15817.18</v>
      </c>
      <c r="C6261" s="7" t="n">
        <f aca="false">AVERAGE(B6212:B6261)</f>
        <v>14969.5618</v>
      </c>
      <c r="D6261" s="7" t="n">
        <f aca="false">AVERAGE(B6062:B6261)</f>
        <v>14148.65915</v>
      </c>
      <c r="E6261" s="7" t="n">
        <f aca="false">B6261/MAX(B6010:B6261)-1</f>
        <v>-0.00152575380254838</v>
      </c>
      <c r="F6261" s="7" t="str">
        <f aca="false">IFERROR(INDEX(02_轉折點45個!B:B,MATCH(A6261,02_轉折點45個!A:A,0)),"")</f>
        <v/>
      </c>
      <c r="G6261" s="7" t="s">
        <v>5494</v>
      </c>
    </row>
    <row r="6262" customFormat="false" ht="15" hidden="false" customHeight="false" outlineLevel="0" collapsed="false">
      <c r="A6262" s="7" t="s">
        <v>1804</v>
      </c>
      <c r="B6262" s="7" t="n">
        <v>15833.17</v>
      </c>
      <c r="C6262" s="7" t="n">
        <f aca="false">AVERAGE(B6213:B6262)</f>
        <v>14981.0548</v>
      </c>
      <c r="D6262" s="7" t="n">
        <f aca="false">AVERAGE(B6063:B6262)</f>
        <v>14166.0095</v>
      </c>
      <c r="E6262" s="7" t="n">
        <f aca="false">B6262/MAX(B6011:B6262)-1</f>
        <v>-0.000516370132596089</v>
      </c>
      <c r="F6262" s="7" t="str">
        <f aca="false">IFERROR(INDEX(02_轉折點45個!B:B,MATCH(A6262,02_轉折點45個!A:A,0)),"")</f>
        <v/>
      </c>
      <c r="G6262" s="7" t="s">
        <v>5494</v>
      </c>
    </row>
    <row r="6263" customFormat="false" ht="15" hidden="false" customHeight="false" outlineLevel="0" collapsed="false">
      <c r="A6263" s="7" t="s">
        <v>6805</v>
      </c>
      <c r="B6263" s="7" t="n">
        <v>15837.99</v>
      </c>
      <c r="C6263" s="7" t="n">
        <f aca="false">AVERAGE(B6214:B6263)</f>
        <v>14992.21</v>
      </c>
      <c r="D6263" s="7" t="n">
        <f aca="false">AVERAGE(B6064:B6263)</f>
        <v>14181.18375</v>
      </c>
      <c r="E6263" s="7" t="n">
        <f aca="false">B6263/MAX(B6012:B6263)-1</f>
        <v>-0.000212103135149522</v>
      </c>
      <c r="F6263" s="7" t="str">
        <f aca="false">IFERROR(INDEX(02_轉折點45個!B:B,MATCH(A6263,02_轉折點45個!A:A,0)),"")</f>
        <v/>
      </c>
      <c r="G6263" s="7" t="s">
        <v>5494</v>
      </c>
    </row>
    <row r="6264" customFormat="false" ht="15" hidden="false" customHeight="false" outlineLevel="0" collapsed="false">
      <c r="A6264" s="7" t="s">
        <v>1805</v>
      </c>
      <c r="B6264" s="7" t="n">
        <v>16027.06</v>
      </c>
      <c r="C6264" s="7" t="n">
        <f aca="false">AVERAGE(B6215:B6264)</f>
        <v>15003.5138</v>
      </c>
      <c r="D6264" s="7" t="n">
        <f aca="false">AVERAGE(B6065:B6264)</f>
        <v>14198.45225</v>
      </c>
      <c r="E6264" s="7" t="n">
        <f aca="false">B6264/MAX(B6013:B6264)-1</f>
        <v>0</v>
      </c>
      <c r="F6264" s="7" t="str">
        <f aca="false">IFERROR(INDEX(02_轉折點45個!B:B,MATCH(A6264,02_轉折點45個!A:A,0)),"")</f>
        <v/>
      </c>
      <c r="G6264" s="7" t="s">
        <v>5494</v>
      </c>
    </row>
    <row r="6265" customFormat="false" ht="15" hidden="false" customHeight="false" outlineLevel="0" collapsed="false">
      <c r="A6265" s="7" t="s">
        <v>6806</v>
      </c>
      <c r="B6265" s="7" t="n">
        <v>15933.62</v>
      </c>
      <c r="C6265" s="7" t="n">
        <f aca="false">AVERAGE(B6216:B6265)</f>
        <v>15016.3914</v>
      </c>
      <c r="D6265" s="7" t="n">
        <f aca="false">AVERAGE(B6066:B6265)</f>
        <v>14215.7978</v>
      </c>
      <c r="E6265" s="7" t="n">
        <f aca="false">B6265/MAX(B6014:B6265)-1</f>
        <v>-0.00583013977610358</v>
      </c>
      <c r="F6265" s="7" t="str">
        <f aca="false">IFERROR(INDEX(02_轉折點45個!B:B,MATCH(A6265,02_轉折點45個!A:A,0)),"")</f>
        <v/>
      </c>
      <c r="G6265" s="7" t="s">
        <v>5494</v>
      </c>
    </row>
    <row r="6266" customFormat="false" ht="15" hidden="false" customHeight="false" outlineLevel="0" collapsed="false">
      <c r="A6266" s="7" t="s">
        <v>6807</v>
      </c>
      <c r="B6266" s="7" t="n">
        <v>16001.39</v>
      </c>
      <c r="C6266" s="7" t="n">
        <f aca="false">AVERAGE(B6217:B6266)</f>
        <v>15029.4486</v>
      </c>
      <c r="D6266" s="7" t="n">
        <f aca="false">AVERAGE(B6067:B6266)</f>
        <v>14232.1634</v>
      </c>
      <c r="E6266" s="7" t="n">
        <f aca="false">B6266/MAX(B6015:B6266)-1</f>
        <v>-0.00160166618206958</v>
      </c>
      <c r="F6266" s="7" t="str">
        <f aca="false">IFERROR(INDEX(02_轉折點45個!B:B,MATCH(A6266,02_轉折點45個!A:A,0)),"")</f>
        <v/>
      </c>
      <c r="G6266" s="7" t="s">
        <v>5494</v>
      </c>
    </row>
    <row r="6267" customFormat="false" ht="15" hidden="false" customHeight="false" outlineLevel="0" collapsed="false">
      <c r="A6267" s="7" t="s">
        <v>6808</v>
      </c>
      <c r="B6267" s="7" t="n">
        <v>15982.01</v>
      </c>
      <c r="C6267" s="7" t="n">
        <f aca="false">AVERAGE(B6218:B6267)</f>
        <v>15039.611</v>
      </c>
      <c r="D6267" s="7" t="n">
        <f aca="false">AVERAGE(B6068:B6267)</f>
        <v>14249.59655</v>
      </c>
      <c r="E6267" s="7" t="n">
        <f aca="false">B6267/MAX(B6016:B6267)-1</f>
        <v>-0.00281087111422806</v>
      </c>
      <c r="F6267" s="7" t="str">
        <f aca="false">IFERROR(INDEX(02_轉折點45個!B:B,MATCH(A6267,02_轉折點45個!A:A,0)),"")</f>
        <v/>
      </c>
      <c r="G6267" s="7" t="s">
        <v>5494</v>
      </c>
    </row>
    <row r="6268" customFormat="false" ht="15" hidden="false" customHeight="false" outlineLevel="0" collapsed="false">
      <c r="A6268" s="7" t="s">
        <v>6809</v>
      </c>
      <c r="B6268" s="7" t="n">
        <v>15961.98</v>
      </c>
      <c r="C6268" s="7" t="n">
        <f aca="false">AVERAGE(B6219:B6268)</f>
        <v>15054.8026</v>
      </c>
      <c r="D6268" s="7" t="n">
        <f aca="false">AVERAGE(B6069:B6268)</f>
        <v>14267.5006</v>
      </c>
      <c r="E6268" s="7" t="n">
        <f aca="false">B6268/MAX(B6017:B6268)-1</f>
        <v>-0.00406063245535981</v>
      </c>
      <c r="F6268" s="7" t="str">
        <f aca="false">IFERROR(INDEX(02_轉折點45個!B:B,MATCH(A6268,02_轉折點45個!A:A,0)),"")</f>
        <v/>
      </c>
      <c r="G6268" s="7" t="s">
        <v>5494</v>
      </c>
    </row>
    <row r="6269" customFormat="false" ht="15" hidden="false" customHeight="false" outlineLevel="0" collapsed="false">
      <c r="A6269" s="7" t="s">
        <v>6810</v>
      </c>
      <c r="B6269" s="7" t="n">
        <v>16010.43</v>
      </c>
      <c r="C6269" s="7" t="n">
        <f aca="false">AVERAGE(B6220:B6269)</f>
        <v>15070.5038</v>
      </c>
      <c r="D6269" s="7" t="n">
        <f aca="false">AVERAGE(B6070:B6269)</f>
        <v>14286.02815</v>
      </c>
      <c r="E6269" s="7" t="n">
        <f aca="false">B6269/MAX(B6018:B6269)-1</f>
        <v>-0.00103762012496356</v>
      </c>
      <c r="F6269" s="7" t="str">
        <f aca="false">IFERROR(INDEX(02_轉折點45個!B:B,MATCH(A6269,02_轉折點45個!A:A,0)),"")</f>
        <v/>
      </c>
      <c r="G6269" s="7" t="s">
        <v>5494</v>
      </c>
    </row>
    <row r="6270" customFormat="false" ht="15" hidden="false" customHeight="false" outlineLevel="0" collapsed="false">
      <c r="A6270" s="7" t="s">
        <v>6811</v>
      </c>
      <c r="B6270" s="7" t="n">
        <v>15987.6</v>
      </c>
      <c r="C6270" s="7" t="n">
        <f aca="false">AVERAGE(B6221:B6270)</f>
        <v>15086.4312</v>
      </c>
      <c r="D6270" s="7" t="n">
        <f aca="false">AVERAGE(B6071:B6270)</f>
        <v>14303.4546</v>
      </c>
      <c r="E6270" s="7" t="n">
        <f aca="false">B6270/MAX(B6019:B6270)-1</f>
        <v>-0.00246208599705744</v>
      </c>
      <c r="F6270" s="7" t="str">
        <f aca="false">IFERROR(INDEX(02_轉折點45個!B:B,MATCH(A6270,02_轉折點45個!A:A,0)),"")</f>
        <v/>
      </c>
      <c r="G6270" s="7" t="s">
        <v>5494</v>
      </c>
    </row>
    <row r="6271" customFormat="false" ht="15" hidden="false" customHeight="false" outlineLevel="0" collapsed="false">
      <c r="A6271" s="7" t="s">
        <v>6812</v>
      </c>
      <c r="B6271" s="7" t="n">
        <v>15947.87</v>
      </c>
      <c r="C6271" s="7" t="n">
        <f aca="false">AVERAGE(B6222:B6271)</f>
        <v>15105.9902</v>
      </c>
      <c r="D6271" s="7" t="n">
        <f aca="false">AVERAGE(B6072:B6271)</f>
        <v>14320.2395</v>
      </c>
      <c r="E6271" s="7" t="n">
        <f aca="false">B6271/MAX(B6020:B6271)-1</f>
        <v>-0.00494101850245765</v>
      </c>
      <c r="F6271" s="7" t="str">
        <f aca="false">IFERROR(INDEX(02_轉折點45個!B:B,MATCH(A6271,02_轉折點45個!A:A,0)),"")</f>
        <v/>
      </c>
      <c r="G6271" s="7" t="s">
        <v>5494</v>
      </c>
    </row>
    <row r="6272" customFormat="false" ht="15" hidden="false" customHeight="false" outlineLevel="0" collapsed="false">
      <c r="A6272" s="7" t="s">
        <v>6813</v>
      </c>
      <c r="B6272" s="7" t="n">
        <v>15997.58</v>
      </c>
      <c r="C6272" s="7" t="n">
        <f aca="false">AVERAGE(B6223:B6272)</f>
        <v>15132.057</v>
      </c>
      <c r="D6272" s="7" t="n">
        <f aca="false">AVERAGE(B6073:B6272)</f>
        <v>14336.78795</v>
      </c>
      <c r="E6272" s="7" t="n">
        <f aca="false">B6272/MAX(B6021:B6272)-1</f>
        <v>-0.00183938913312853</v>
      </c>
      <c r="F6272" s="7" t="str">
        <f aca="false">IFERROR(INDEX(02_轉折點45個!B:B,MATCH(A6272,02_轉折點45個!A:A,0)),"")</f>
        <v/>
      </c>
      <c r="G6272" s="7" t="s">
        <v>5494</v>
      </c>
    </row>
    <row r="6273" customFormat="false" ht="15" hidden="false" customHeight="false" outlineLevel="0" collapsed="false">
      <c r="A6273" s="7" t="s">
        <v>1806</v>
      </c>
      <c r="B6273" s="7" t="n">
        <v>15839.67</v>
      </c>
      <c r="C6273" s="7" t="n">
        <f aca="false">AVERAGE(B6224:B6273)</f>
        <v>15154.8284</v>
      </c>
      <c r="D6273" s="7" t="n">
        <f aca="false">AVERAGE(B6074:B6273)</f>
        <v>14353.7739</v>
      </c>
      <c r="E6273" s="7" t="n">
        <f aca="false">B6273/MAX(B6022:B6273)-1</f>
        <v>-0.0116921007346326</v>
      </c>
      <c r="F6273" s="7" t="str">
        <f aca="false">IFERROR(INDEX(02_轉折點45個!B:B,MATCH(A6273,02_轉折點45個!A:A,0)),"")</f>
        <v/>
      </c>
      <c r="G6273" s="7" t="s">
        <v>5494</v>
      </c>
    </row>
    <row r="6274" customFormat="false" ht="15" hidden="false" customHeight="false" outlineLevel="0" collapsed="false">
      <c r="A6274" s="7" t="s">
        <v>6814</v>
      </c>
      <c r="B6274" s="7" t="n">
        <v>15877.71</v>
      </c>
      <c r="C6274" s="7" t="n">
        <f aca="false">AVERAGE(B6225:B6274)</f>
        <v>15177.0046</v>
      </c>
      <c r="D6274" s="7" t="n">
        <f aca="false">AVERAGE(B6075:B6274)</f>
        <v>14371.37155</v>
      </c>
      <c r="E6274" s="7" t="n">
        <f aca="false">B6274/MAX(B6023:B6274)-1</f>
        <v>-0.00931861489256303</v>
      </c>
      <c r="F6274" s="7" t="str">
        <f aca="false">IFERROR(INDEX(02_轉折點45個!B:B,MATCH(A6274,02_轉折點45個!A:A,0)),"")</f>
        <v/>
      </c>
      <c r="G6274" s="7" t="s">
        <v>5494</v>
      </c>
    </row>
    <row r="6275" customFormat="false" ht="15" hidden="false" customHeight="false" outlineLevel="0" collapsed="false">
      <c r="A6275" s="7" t="s">
        <v>6815</v>
      </c>
      <c r="B6275" s="7" t="n">
        <v>15788.05</v>
      </c>
      <c r="C6275" s="7" t="n">
        <f aca="false">AVERAGE(B6226:B6275)</f>
        <v>15201.849</v>
      </c>
      <c r="D6275" s="7" t="n">
        <f aca="false">AVERAGE(B6076:B6275)</f>
        <v>14390.0103</v>
      </c>
      <c r="E6275" s="7" t="n">
        <f aca="false">B6275/MAX(B6024:B6275)-1</f>
        <v>-0.0149129035518679</v>
      </c>
      <c r="F6275" s="7" t="str">
        <f aca="false">IFERROR(INDEX(02_轉折點45個!B:B,MATCH(A6275,02_轉折點45個!A:A,0)),"")</f>
        <v/>
      </c>
      <c r="G6275" s="7" t="s">
        <v>5494</v>
      </c>
    </row>
    <row r="6276" customFormat="false" ht="15" hidden="false" customHeight="false" outlineLevel="0" collapsed="false">
      <c r="A6276" s="7" t="s">
        <v>6816</v>
      </c>
      <c r="B6276" s="7" t="n">
        <v>16022.49</v>
      </c>
      <c r="C6276" s="7" t="n">
        <f aca="false">AVERAGE(B6227:B6276)</f>
        <v>15230.6956</v>
      </c>
      <c r="D6276" s="7" t="n">
        <f aca="false">AVERAGE(B6077:B6276)</f>
        <v>14409.7914</v>
      </c>
      <c r="E6276" s="7" t="n">
        <f aca="false">B6276/MAX(B6025:B6276)-1</f>
        <v>-0.000285142752320167</v>
      </c>
      <c r="F6276" s="7" t="str">
        <f aca="false">IFERROR(INDEX(02_轉折點45個!B:B,MATCH(A6276,02_轉折點45個!A:A,0)),"")</f>
        <v/>
      </c>
      <c r="G6276" s="7" t="s">
        <v>5494</v>
      </c>
    </row>
    <row r="6277" customFormat="false" ht="15" hidden="false" customHeight="false" outlineLevel="0" collapsed="false">
      <c r="A6277" s="7" t="s">
        <v>1807</v>
      </c>
      <c r="B6277" s="7" t="n">
        <v>16084.69</v>
      </c>
      <c r="C6277" s="7" t="n">
        <f aca="false">AVERAGE(B6228:B6277)</f>
        <v>15258.334</v>
      </c>
      <c r="D6277" s="7" t="n">
        <f aca="false">AVERAGE(B6078:B6277)</f>
        <v>14429.31415</v>
      </c>
      <c r="E6277" s="7" t="n">
        <f aca="false">B6277/MAX(B6026:B6277)-1</f>
        <v>0</v>
      </c>
      <c r="F6277" s="7" t="str">
        <f aca="false">IFERROR(INDEX(02_轉折點45個!B:B,MATCH(A6277,02_轉折點45個!A:A,0)),"")</f>
        <v/>
      </c>
      <c r="G6277" s="7" t="s">
        <v>5494</v>
      </c>
    </row>
    <row r="6278" customFormat="false" ht="15" hidden="false" customHeight="false" outlineLevel="0" collapsed="false">
      <c r="A6278" s="7" t="s">
        <v>1808</v>
      </c>
      <c r="B6278" s="7" t="n">
        <v>16221.73</v>
      </c>
      <c r="C6278" s="7" t="n">
        <f aca="false">AVERAGE(B6229:B6278)</f>
        <v>15288.4638</v>
      </c>
      <c r="D6278" s="7" t="n">
        <f aca="false">AVERAGE(B6079:B6278)</f>
        <v>14450.57455</v>
      </c>
      <c r="E6278" s="7" t="n">
        <f aca="false">B6278/MAX(B6027:B6278)-1</f>
        <v>0</v>
      </c>
      <c r="F6278" s="7" t="str">
        <f aca="false">IFERROR(INDEX(02_轉折點45個!B:B,MATCH(A6278,02_轉折點45個!A:A,0)),"")</f>
        <v/>
      </c>
      <c r="G6278" s="7" t="s">
        <v>5494</v>
      </c>
    </row>
    <row r="6279" customFormat="false" ht="15" hidden="false" customHeight="false" outlineLevel="0" collapsed="false">
      <c r="A6279" s="7" t="s">
        <v>6817</v>
      </c>
      <c r="B6279" s="7" t="n">
        <v>16354.25</v>
      </c>
      <c r="C6279" s="7" t="n">
        <f aca="false">AVERAGE(B6230:B6279)</f>
        <v>15318.7974</v>
      </c>
      <c r="D6279" s="7" t="n">
        <f aca="false">AVERAGE(B6080:B6279)</f>
        <v>14472.05685</v>
      </c>
      <c r="E6279" s="7" t="n">
        <f aca="false">B6279/MAX(B6028:B6279)-1</f>
        <v>0</v>
      </c>
      <c r="F6279" s="7" t="str">
        <f aca="false">IFERROR(INDEX(02_轉折點45個!B:B,MATCH(A6279,02_轉折點45個!A:A,0)),"")</f>
        <v/>
      </c>
      <c r="G6279" s="7" t="s">
        <v>5494</v>
      </c>
    </row>
    <row r="6280" customFormat="false" ht="15" hidden="false" customHeight="false" outlineLevel="0" collapsed="false">
      <c r="A6280" s="7" t="s">
        <v>6818</v>
      </c>
      <c r="B6280" s="7" t="n">
        <v>16562.37</v>
      </c>
      <c r="C6280" s="7" t="n">
        <f aca="false">AVERAGE(B6231:B6280)</f>
        <v>15358.7324</v>
      </c>
      <c r="D6280" s="7" t="n">
        <f aca="false">AVERAGE(B6081:B6280)</f>
        <v>14494.6581</v>
      </c>
      <c r="E6280" s="7" t="n">
        <f aca="false">B6280/MAX(B6029:B6280)-1</f>
        <v>0</v>
      </c>
      <c r="F6280" s="7" t="str">
        <f aca="false">IFERROR(INDEX(02_轉折點45個!B:B,MATCH(A6280,02_轉折點45個!A:A,0)),"")</f>
        <v/>
      </c>
      <c r="G6280" s="7" t="s">
        <v>5494</v>
      </c>
    </row>
    <row r="6281" customFormat="false" ht="15" hidden="false" customHeight="false" outlineLevel="0" collapsed="false">
      <c r="A6281" s="7" t="s">
        <v>6819</v>
      </c>
      <c r="B6281" s="7" t="n">
        <v>16537.83</v>
      </c>
      <c r="C6281" s="7" t="n">
        <f aca="false">AVERAGE(B6232:B6281)</f>
        <v>15393.964</v>
      </c>
      <c r="D6281" s="7" t="n">
        <f aca="false">AVERAGE(B6082:B6281)</f>
        <v>14517.6544</v>
      </c>
      <c r="E6281" s="7" t="n">
        <f aca="false">B6281/MAX(B6030:B6281)-1</f>
        <v>-0.00148167200708582</v>
      </c>
      <c r="F6281" s="7" t="str">
        <f aca="false">IFERROR(INDEX(02_轉折點45個!B:B,MATCH(A6281,02_轉折點45個!A:A,0)),"")</f>
        <v/>
      </c>
      <c r="G6281" s="7" t="s">
        <v>5494</v>
      </c>
    </row>
    <row r="6282" customFormat="false" ht="15" hidden="false" customHeight="false" outlineLevel="0" collapsed="false">
      <c r="A6282" s="7" t="s">
        <v>6820</v>
      </c>
      <c r="B6282" s="7" t="n">
        <v>16623.45</v>
      </c>
      <c r="C6282" s="7" t="n">
        <f aca="false">AVERAGE(B6233:B6282)</f>
        <v>15431.9686</v>
      </c>
      <c r="D6282" s="7" t="n">
        <f aca="false">AVERAGE(B6083:B6282)</f>
        <v>14540.5473</v>
      </c>
      <c r="E6282" s="7" t="n">
        <f aca="false">B6282/MAX(B6031:B6282)-1</f>
        <v>0</v>
      </c>
      <c r="F6282" s="7" t="str">
        <f aca="false">IFERROR(INDEX(02_轉折點45個!B:B,MATCH(A6282,02_轉折點45個!A:A,0)),"")</f>
        <v/>
      </c>
      <c r="G6282" s="7" t="s">
        <v>5494</v>
      </c>
    </row>
    <row r="6283" customFormat="false" ht="15" hidden="false" customHeight="false" outlineLevel="0" collapsed="false">
      <c r="A6283" s="7" t="s">
        <v>6821</v>
      </c>
      <c r="B6283" s="7" t="n">
        <v>16729.8</v>
      </c>
      <c r="C6283" s="7" t="n">
        <f aca="false">AVERAGE(B6234:B6283)</f>
        <v>15467.0998</v>
      </c>
      <c r="D6283" s="7" t="n">
        <f aca="false">AVERAGE(B6084:B6283)</f>
        <v>14562.74225</v>
      </c>
      <c r="E6283" s="7" t="n">
        <f aca="false">B6283/MAX(B6032:B6283)-1</f>
        <v>0</v>
      </c>
      <c r="F6283" s="7" t="str">
        <f aca="false">IFERROR(INDEX(02_轉折點45個!B:B,MATCH(A6283,02_轉折點45個!A:A,0)),"")</f>
        <v/>
      </c>
      <c r="G6283" s="7" t="s">
        <v>5494</v>
      </c>
    </row>
    <row r="6284" customFormat="false" ht="15" hidden="false" customHeight="false" outlineLevel="0" collapsed="false">
      <c r="A6284" s="7" t="s">
        <v>6822</v>
      </c>
      <c r="B6284" s="7" t="n">
        <v>16811.85</v>
      </c>
      <c r="C6284" s="7" t="n">
        <f aca="false">AVERAGE(B6235:B6284)</f>
        <v>15502.3938</v>
      </c>
      <c r="D6284" s="7" t="n">
        <f aca="false">AVERAGE(B6085:B6284)</f>
        <v>14585.2891</v>
      </c>
      <c r="E6284" s="7" t="n">
        <f aca="false">B6284/MAX(B6033:B6284)-1</f>
        <v>0</v>
      </c>
      <c r="F6284" s="7" t="str">
        <f aca="false">IFERROR(INDEX(02_轉折點45個!B:B,MATCH(A6284,02_轉折點45個!A:A,0)),"")</f>
        <v/>
      </c>
      <c r="G6284" s="7" t="s">
        <v>5494</v>
      </c>
    </row>
    <row r="6285" customFormat="false" ht="15" hidden="false" customHeight="false" outlineLevel="0" collapsed="false">
      <c r="A6285" s="7" t="s">
        <v>6823</v>
      </c>
      <c r="B6285" s="7" t="n">
        <v>16554.16</v>
      </c>
      <c r="C6285" s="7" t="n">
        <f aca="false">AVERAGE(B6236:B6285)</f>
        <v>15530.8466</v>
      </c>
      <c r="D6285" s="7" t="n">
        <f aca="false">AVERAGE(B6086:B6285)</f>
        <v>14607.29905</v>
      </c>
      <c r="E6285" s="7" t="n">
        <f aca="false">B6285/MAX(B6034:B6285)-1</f>
        <v>-0.0153278788473605</v>
      </c>
      <c r="F6285" s="7" t="str">
        <f aca="false">IFERROR(INDEX(02_轉折點45個!B:B,MATCH(A6285,02_轉折點45個!A:A,0)),"")</f>
        <v/>
      </c>
      <c r="G6285" s="7" t="s">
        <v>5494</v>
      </c>
    </row>
    <row r="6286" customFormat="false" ht="15" hidden="false" customHeight="false" outlineLevel="0" collapsed="false">
      <c r="A6286" s="7" t="s">
        <v>6824</v>
      </c>
      <c r="B6286" s="7" t="n">
        <v>16757.41</v>
      </c>
      <c r="C6286" s="7" t="n">
        <f aca="false">AVERAGE(B6237:B6286)</f>
        <v>15561.1724</v>
      </c>
      <c r="D6286" s="7" t="n">
        <f aca="false">AVERAGE(B6087:B6286)</f>
        <v>14630.00945</v>
      </c>
      <c r="E6286" s="7" t="n">
        <f aca="false">B6286/MAX(B6035:B6286)-1</f>
        <v>-0.00323819210854237</v>
      </c>
      <c r="F6286" s="7" t="str">
        <f aca="false">IFERROR(INDEX(02_轉折點45個!B:B,MATCH(A6286,02_轉折點45個!A:A,0)),"")</f>
        <v/>
      </c>
      <c r="G6286" s="7" t="s">
        <v>5494</v>
      </c>
    </row>
    <row r="6287" customFormat="false" ht="15" hidden="false" customHeight="false" outlineLevel="0" collapsed="false">
      <c r="A6287" s="7" t="s">
        <v>6825</v>
      </c>
      <c r="B6287" s="7" t="n">
        <v>16777.4</v>
      </c>
      <c r="C6287" s="7" t="n">
        <f aca="false">AVERAGE(B6238:B6287)</f>
        <v>15593.0384</v>
      </c>
      <c r="D6287" s="7" t="n">
        <f aca="false">AVERAGE(B6088:B6287)</f>
        <v>14653.91705</v>
      </c>
      <c r="E6287" s="7" t="n">
        <f aca="false">B6287/MAX(B6036:B6287)-1</f>
        <v>-0.00204914985560767</v>
      </c>
      <c r="F6287" s="7" t="str">
        <f aca="false">IFERROR(INDEX(02_轉折點45個!B:B,MATCH(A6287,02_轉折點45個!A:A,0)),"")</f>
        <v/>
      </c>
      <c r="G6287" s="7" t="s">
        <v>5494</v>
      </c>
    </row>
    <row r="6288" customFormat="false" ht="15" hidden="false" customHeight="false" outlineLevel="0" collapsed="false">
      <c r="A6288" s="7" t="s">
        <v>6826</v>
      </c>
      <c r="B6288" s="7" t="n">
        <v>16878.46</v>
      </c>
      <c r="C6288" s="7" t="n">
        <f aca="false">AVERAGE(B6239:B6288)</f>
        <v>15630.7052</v>
      </c>
      <c r="D6288" s="7" t="n">
        <f aca="false">AVERAGE(B6089:B6288)</f>
        <v>14679.15795</v>
      </c>
      <c r="E6288" s="7" t="n">
        <f aca="false">B6288/MAX(B6037:B6288)-1</f>
        <v>0</v>
      </c>
      <c r="F6288" s="7" t="str">
        <f aca="false">IFERROR(INDEX(02_轉折點45個!B:B,MATCH(A6288,02_轉折點45個!A:A,0)),"")</f>
        <v/>
      </c>
      <c r="G6288" s="7" t="s">
        <v>5494</v>
      </c>
    </row>
    <row r="6289" customFormat="false" ht="15" hidden="false" customHeight="false" outlineLevel="0" collapsed="false">
      <c r="A6289" s="7" t="s">
        <v>6827</v>
      </c>
      <c r="B6289" s="7" t="n">
        <v>16906.8</v>
      </c>
      <c r="C6289" s="7" t="n">
        <f aca="false">AVERAGE(B6240:B6289)</f>
        <v>15665.3866</v>
      </c>
      <c r="D6289" s="7" t="n">
        <f aca="false">AVERAGE(B6090:B6289)</f>
        <v>14704.0761</v>
      </c>
      <c r="E6289" s="7" t="n">
        <f aca="false">B6289/MAX(B6038:B6289)-1</f>
        <v>0</v>
      </c>
      <c r="F6289" s="7" t="str">
        <f aca="false">IFERROR(INDEX(02_轉折點45個!B:B,MATCH(A6289,02_轉折點45個!A:A,0)),"")</f>
        <v/>
      </c>
      <c r="G6289" s="7" t="s">
        <v>5494</v>
      </c>
    </row>
    <row r="6290" customFormat="false" ht="15" hidden="false" customHeight="false" outlineLevel="0" collapsed="false">
      <c r="A6290" s="7" t="s">
        <v>6828</v>
      </c>
      <c r="B6290" s="7" t="n">
        <v>16898.47</v>
      </c>
      <c r="C6290" s="7" t="n">
        <f aca="false">AVERAGE(B6241:B6290)</f>
        <v>15700.9158</v>
      </c>
      <c r="D6290" s="7" t="n">
        <f aca="false">AVERAGE(B6091:B6290)</f>
        <v>14727.5695</v>
      </c>
      <c r="E6290" s="7" t="n">
        <f aca="false">B6290/MAX(B6039:B6290)-1</f>
        <v>-0.000492701161662668</v>
      </c>
      <c r="F6290" s="7" t="str">
        <f aca="false">IFERROR(INDEX(02_轉折點45個!B:B,MATCH(A6290,02_轉折點45個!A:A,0)),"")</f>
        <v/>
      </c>
      <c r="G6290" s="7" t="s">
        <v>5494</v>
      </c>
    </row>
    <row r="6291" customFormat="false" ht="15" hidden="false" customHeight="false" outlineLevel="0" collapsed="false">
      <c r="A6291" s="7" t="s">
        <v>6829</v>
      </c>
      <c r="B6291" s="7" t="n">
        <v>16825.93</v>
      </c>
      <c r="C6291" s="7" t="n">
        <f aca="false">AVERAGE(B6242:B6291)</f>
        <v>15739.2492</v>
      </c>
      <c r="D6291" s="7" t="n">
        <f aca="false">AVERAGE(B6092:B6291)</f>
        <v>14750.44255</v>
      </c>
      <c r="E6291" s="7" t="n">
        <f aca="false">B6291/MAX(B6040:B6291)-1</f>
        <v>-0.0047832824662265</v>
      </c>
      <c r="F6291" s="7" t="str">
        <f aca="false">IFERROR(INDEX(02_轉折點45個!B:B,MATCH(A6291,02_轉折點45個!A:A,0)),"")</f>
        <v/>
      </c>
      <c r="G6291" s="7" t="s">
        <v>5494</v>
      </c>
    </row>
    <row r="6292" customFormat="false" ht="15" hidden="false" customHeight="false" outlineLevel="0" collapsed="false">
      <c r="A6292" s="7" t="s">
        <v>1809</v>
      </c>
      <c r="B6292" s="7" t="n">
        <v>16543.94</v>
      </c>
      <c r="C6292" s="7" t="n">
        <f aca="false">AVERAGE(B6243:B6292)</f>
        <v>15774.4654</v>
      </c>
      <c r="D6292" s="7" t="n">
        <f aca="false">AVERAGE(B6093:B6292)</f>
        <v>14770.2553</v>
      </c>
      <c r="E6292" s="7" t="n">
        <f aca="false">B6292/MAX(B6041:B6292)-1</f>
        <v>-0.0214623701705823</v>
      </c>
      <c r="F6292" s="7" t="str">
        <f aca="false">IFERROR(INDEX(02_轉折點45個!B:B,MATCH(A6292,02_轉折點45個!A:A,0)),"")</f>
        <v/>
      </c>
      <c r="G6292" s="7" t="s">
        <v>5494</v>
      </c>
    </row>
    <row r="6293" customFormat="false" ht="15" hidden="false" customHeight="false" outlineLevel="0" collapsed="false">
      <c r="A6293" s="7" t="s">
        <v>1810</v>
      </c>
      <c r="B6293" s="7" t="n">
        <v>16368.49</v>
      </c>
      <c r="C6293" s="7" t="n">
        <f aca="false">AVERAGE(B6244:B6293)</f>
        <v>15810.6176</v>
      </c>
      <c r="D6293" s="7" t="n">
        <f aca="false">AVERAGE(B6094:B6293)</f>
        <v>14789.49835</v>
      </c>
      <c r="E6293" s="7" t="n">
        <f aca="false">B6293/MAX(B6042:B6293)-1</f>
        <v>-0.0318398514207301</v>
      </c>
      <c r="F6293" s="7" t="str">
        <f aca="false">IFERROR(INDEX(02_轉折點45個!B:B,MATCH(A6293,02_轉折點45個!A:A,0)),"")</f>
        <v/>
      </c>
      <c r="G6293" s="7" t="s">
        <v>5494</v>
      </c>
    </row>
    <row r="6294" customFormat="false" ht="15" hidden="false" customHeight="false" outlineLevel="0" collapsed="false">
      <c r="A6294" s="7" t="s">
        <v>6830</v>
      </c>
      <c r="B6294" s="7" t="n">
        <v>16282.01</v>
      </c>
      <c r="C6294" s="7" t="n">
        <f aca="false">AVERAGE(B6245:B6294)</f>
        <v>15844.1608</v>
      </c>
      <c r="D6294" s="7" t="n">
        <f aca="false">AVERAGE(B6095:B6294)</f>
        <v>14808.09535</v>
      </c>
      <c r="E6294" s="7" t="n">
        <f aca="false">B6294/MAX(B6043:B6294)-1</f>
        <v>-0.036954953036648</v>
      </c>
      <c r="F6294" s="7" t="str">
        <f aca="false">IFERROR(INDEX(02_轉折點45個!B:B,MATCH(A6294,02_轉折點45個!A:A,0)),"")</f>
        <v/>
      </c>
      <c r="G6294" s="7" t="s">
        <v>5494</v>
      </c>
    </row>
    <row r="6295" customFormat="false" ht="15" hidden="false" customHeight="false" outlineLevel="0" collapsed="false">
      <c r="A6295" s="7" t="s">
        <v>6831</v>
      </c>
      <c r="B6295" s="7" t="n">
        <v>16305.98</v>
      </c>
      <c r="C6295" s="7" t="n">
        <f aca="false">AVERAGE(B6246:B6295)</f>
        <v>15875.3632</v>
      </c>
      <c r="D6295" s="7" t="n">
        <f aca="false">AVERAGE(B6096:B6295)</f>
        <v>14825.91805</v>
      </c>
      <c r="E6295" s="7" t="n">
        <f aca="false">B6295/MAX(B6044:B6295)-1</f>
        <v>-0.0355371803061489</v>
      </c>
      <c r="F6295" s="7" t="str">
        <f aca="false">IFERROR(INDEX(02_轉折點45個!B:B,MATCH(A6295,02_轉折點45個!A:A,0)),"")</f>
        <v/>
      </c>
      <c r="G6295" s="7" t="s">
        <v>5494</v>
      </c>
    </row>
    <row r="6296" customFormat="false" ht="15" hidden="false" customHeight="false" outlineLevel="0" collapsed="false">
      <c r="A6296" s="7" t="s">
        <v>6832</v>
      </c>
      <c r="B6296" s="7" t="n">
        <v>16649.87</v>
      </c>
      <c r="C6296" s="7" t="n">
        <f aca="false">AVERAGE(B6247:B6296)</f>
        <v>15920.7278</v>
      </c>
      <c r="D6296" s="7" t="n">
        <f aca="false">AVERAGE(B6097:B6296)</f>
        <v>14846.33165</v>
      </c>
      <c r="E6296" s="7" t="n">
        <f aca="false">B6296/MAX(B6045:B6296)-1</f>
        <v>-0.0151968438734711</v>
      </c>
      <c r="F6296" s="7" t="str">
        <f aca="false">IFERROR(INDEX(02_轉折點45個!B:B,MATCH(A6296,02_轉折點45個!A:A,0)),"")</f>
        <v/>
      </c>
      <c r="G6296" s="7" t="s">
        <v>5494</v>
      </c>
    </row>
    <row r="6297" customFormat="false" ht="15" hidden="false" customHeight="false" outlineLevel="0" collapsed="false">
      <c r="A6297" s="7" t="s">
        <v>6833</v>
      </c>
      <c r="B6297" s="7" t="n">
        <v>16678.7</v>
      </c>
      <c r="C6297" s="7" t="n">
        <f aca="false">AVERAGE(B6248:B6297)</f>
        <v>15972.1104</v>
      </c>
      <c r="D6297" s="7" t="n">
        <f aca="false">AVERAGE(B6098:B6297)</f>
        <v>14866.079</v>
      </c>
      <c r="E6297" s="7" t="n">
        <f aca="false">B6297/MAX(B6046:B6297)-1</f>
        <v>-0.0134916128421699</v>
      </c>
      <c r="F6297" s="7" t="str">
        <f aca="false">IFERROR(INDEX(02_轉折點45個!B:B,MATCH(A6297,02_轉折點45個!A:A,0)),"")</f>
        <v/>
      </c>
      <c r="G6297" s="7" t="s">
        <v>5494</v>
      </c>
    </row>
    <row r="6298" customFormat="false" ht="15" hidden="false" customHeight="false" outlineLevel="0" collapsed="false">
      <c r="A6298" s="7" t="s">
        <v>6834</v>
      </c>
      <c r="B6298" s="7" t="n">
        <v>16793.05</v>
      </c>
      <c r="C6298" s="7" t="n">
        <f aca="false">AVERAGE(B6249:B6298)</f>
        <v>16024.363</v>
      </c>
      <c r="D6298" s="7" t="n">
        <f aca="false">AVERAGE(B6099:B6298)</f>
        <v>14886.209</v>
      </c>
      <c r="E6298" s="7" t="n">
        <f aca="false">B6298/MAX(B6047:B6298)-1</f>
        <v>-0.00672806208152932</v>
      </c>
      <c r="F6298" s="7" t="str">
        <f aca="false">IFERROR(INDEX(02_轉折點45個!B:B,MATCH(A6298,02_轉折點45個!A:A,0)),"")</f>
        <v/>
      </c>
      <c r="G6298" s="7" t="s">
        <v>5494</v>
      </c>
    </row>
    <row r="6299" customFormat="false" ht="15" hidden="false" customHeight="false" outlineLevel="0" collapsed="false">
      <c r="A6299" s="7" t="s">
        <v>6835</v>
      </c>
      <c r="B6299" s="7" t="n">
        <v>16820.9</v>
      </c>
      <c r="C6299" s="7" t="n">
        <f aca="false">AVERAGE(B6250:B6299)</f>
        <v>16074.0708</v>
      </c>
      <c r="D6299" s="7" t="n">
        <f aca="false">AVERAGE(B6100:B6299)</f>
        <v>14906.94815</v>
      </c>
      <c r="E6299" s="7" t="n">
        <f aca="false">B6299/MAX(B6048:B6299)-1</f>
        <v>-0.00508079589277677</v>
      </c>
      <c r="F6299" s="7" t="str">
        <f aca="false">IFERROR(INDEX(02_轉折點45個!B:B,MATCH(A6299,02_轉折點45個!A:A,0)),"")</f>
        <v/>
      </c>
      <c r="G6299" s="7" t="s">
        <v>5494</v>
      </c>
    </row>
    <row r="6300" customFormat="false" ht="15" hidden="false" customHeight="false" outlineLevel="0" collapsed="false">
      <c r="A6300" s="7" t="s">
        <v>6836</v>
      </c>
      <c r="B6300" s="7" t="n">
        <v>16832.92</v>
      </c>
      <c r="C6300" s="7" t="n">
        <f aca="false">AVERAGE(B6251:B6300)</f>
        <v>16122.5336</v>
      </c>
      <c r="D6300" s="7" t="n">
        <f aca="false">AVERAGE(B6101:B6300)</f>
        <v>14928.0599</v>
      </c>
      <c r="E6300" s="7" t="n">
        <f aca="false">B6300/MAX(B6049:B6300)-1</f>
        <v>-0.00436983935457924</v>
      </c>
      <c r="F6300" s="7" t="str">
        <f aca="false">IFERROR(INDEX(02_轉折點45個!B:B,MATCH(A6300,02_轉折點45個!A:A,0)),"")</f>
        <v/>
      </c>
      <c r="G6300" s="7" t="s">
        <v>5494</v>
      </c>
    </row>
    <row r="6301" customFormat="false" ht="15" hidden="false" customHeight="false" outlineLevel="0" collapsed="false">
      <c r="A6301" s="7" t="s">
        <v>6837</v>
      </c>
      <c r="B6301" s="7" t="n">
        <v>16830.71</v>
      </c>
      <c r="C6301" s="7" t="n">
        <f aca="false">AVERAGE(B6252:B6301)</f>
        <v>16165.8496</v>
      </c>
      <c r="D6301" s="7" t="n">
        <f aca="false">AVERAGE(B6102:B6301)</f>
        <v>14947.9833</v>
      </c>
      <c r="E6301" s="7" t="n">
        <f aca="false">B6301/MAX(B6050:B6301)-1</f>
        <v>-0.0045005559893061</v>
      </c>
      <c r="F6301" s="7" t="str">
        <f aca="false">IFERROR(INDEX(02_轉折點45個!B:B,MATCH(A6301,02_轉折點45個!A:A,0)),"")</f>
        <v/>
      </c>
      <c r="G6301" s="7" t="s">
        <v>5494</v>
      </c>
    </row>
    <row r="6302" customFormat="false" ht="15" hidden="false" customHeight="false" outlineLevel="0" collapsed="false">
      <c r="A6302" s="7" t="s">
        <v>6838</v>
      </c>
      <c r="B6302" s="7" t="n">
        <v>16736.28</v>
      </c>
      <c r="C6302" s="7" t="n">
        <f aca="false">AVERAGE(B6253:B6302)</f>
        <v>16202.1842</v>
      </c>
      <c r="D6302" s="7" t="n">
        <f aca="false">AVERAGE(B6103:B6302)</f>
        <v>14966.849</v>
      </c>
      <c r="E6302" s="7" t="n">
        <f aca="false">B6302/MAX(B6051:B6302)-1</f>
        <v>-0.0100858826034496</v>
      </c>
      <c r="F6302" s="7" t="str">
        <f aca="false">IFERROR(INDEX(02_轉折點45個!B:B,MATCH(A6302,02_轉折點45個!A:A,0)),"")</f>
        <v/>
      </c>
      <c r="G6302" s="7" t="s">
        <v>5494</v>
      </c>
    </row>
    <row r="6303" customFormat="false" ht="15" hidden="false" customHeight="false" outlineLevel="0" collapsed="false">
      <c r="A6303" s="7" t="s">
        <v>1811</v>
      </c>
      <c r="B6303" s="7" t="n">
        <v>16982.29</v>
      </c>
      <c r="C6303" s="7" t="n">
        <f aca="false">AVERAGE(B6254:B6303)</f>
        <v>16239.8402</v>
      </c>
      <c r="D6303" s="7" t="n">
        <f aca="false">AVERAGE(B6104:B6303)</f>
        <v>14985.8537</v>
      </c>
      <c r="E6303" s="7" t="n">
        <f aca="false">B6303/MAX(B6052:B6303)-1</f>
        <v>0</v>
      </c>
      <c r="F6303" s="7" t="str">
        <f aca="false">IFERROR(INDEX(02_轉折點45個!B:B,MATCH(A6303,02_轉折點45個!A:A,0)),"")</f>
        <v/>
      </c>
      <c r="G6303" s="7" t="s">
        <v>5494</v>
      </c>
    </row>
    <row r="6304" customFormat="false" ht="15" hidden="false" customHeight="false" outlineLevel="0" collapsed="false">
      <c r="A6304" s="7" t="s">
        <v>6839</v>
      </c>
      <c r="B6304" s="7" t="n">
        <v>17314</v>
      </c>
      <c r="C6304" s="7" t="n">
        <f aca="false">AVERAGE(B6255:B6304)</f>
        <v>16283.0216</v>
      </c>
      <c r="D6304" s="7" t="n">
        <f aca="false">AVERAGE(B6105:B6304)</f>
        <v>15006.68195</v>
      </c>
      <c r="E6304" s="7" t="n">
        <f aca="false">B6304/MAX(B6053:B6304)-1</f>
        <v>0</v>
      </c>
      <c r="F6304" s="7" t="str">
        <f aca="false">IFERROR(INDEX(02_轉折點45個!B:B,MATCH(A6304,02_轉折點45個!A:A,0)),"")</f>
        <v/>
      </c>
      <c r="G6304" s="7" t="s">
        <v>5494</v>
      </c>
    </row>
    <row r="6305" customFormat="false" ht="15" hidden="false" customHeight="false" outlineLevel="0" collapsed="false">
      <c r="A6305" s="7" t="s">
        <v>6840</v>
      </c>
      <c r="B6305" s="7" t="n">
        <v>17330.38</v>
      </c>
      <c r="C6305" s="7" t="n">
        <f aca="false">AVERAGE(B6256:B6305)</f>
        <v>16323.7088</v>
      </c>
      <c r="D6305" s="7" t="n">
        <f aca="false">AVERAGE(B6106:B6305)</f>
        <v>15027.83345</v>
      </c>
      <c r="E6305" s="7" t="n">
        <f aca="false">B6305/MAX(B6054:B6305)-1</f>
        <v>0</v>
      </c>
      <c r="F6305" s="7" t="str">
        <f aca="false">IFERROR(INDEX(02_轉折點45個!B:B,MATCH(A6305,02_轉折點45個!A:A,0)),"")</f>
        <v/>
      </c>
      <c r="G6305" s="7" t="s">
        <v>5494</v>
      </c>
    </row>
    <row r="6306" customFormat="false" ht="15" hidden="false" customHeight="false" outlineLevel="0" collapsed="false">
      <c r="A6306" s="7" t="s">
        <v>6841</v>
      </c>
      <c r="B6306" s="7" t="n">
        <v>17404.21</v>
      </c>
      <c r="C6306" s="7" t="n">
        <f aca="false">AVERAGE(B6257:B6306)</f>
        <v>16365.5282</v>
      </c>
      <c r="D6306" s="7" t="n">
        <f aca="false">AVERAGE(B6107:B6306)</f>
        <v>15050.0185</v>
      </c>
      <c r="E6306" s="7" t="n">
        <f aca="false">B6306/MAX(B6055:B6306)-1</f>
        <v>0</v>
      </c>
      <c r="F6306" s="7" t="str">
        <f aca="false">IFERROR(INDEX(02_轉折點45個!B:B,MATCH(A6306,02_轉折點45個!A:A,0)),"")</f>
        <v/>
      </c>
      <c r="G6306" s="7" t="s">
        <v>5494</v>
      </c>
    </row>
    <row r="6307" customFormat="false" ht="15" hidden="false" customHeight="false" outlineLevel="0" collapsed="false">
      <c r="A6307" s="7" t="s">
        <v>6842</v>
      </c>
      <c r="B6307" s="7" t="n">
        <v>17499.3</v>
      </c>
      <c r="C6307" s="7" t="n">
        <f aca="false">AVERAGE(B6258:B6307)</f>
        <v>16411.7562</v>
      </c>
      <c r="D6307" s="7" t="n">
        <f aca="false">AVERAGE(B6108:B6307)</f>
        <v>15072.202</v>
      </c>
      <c r="E6307" s="7" t="n">
        <f aca="false">B6307/MAX(B6056:B6307)-1</f>
        <v>0</v>
      </c>
      <c r="F6307" s="7" t="str">
        <f aca="false">IFERROR(INDEX(02_轉折點45個!B:B,MATCH(A6307,02_轉折點45個!A:A,0)),"")</f>
        <v/>
      </c>
      <c r="G6307" s="7" t="s">
        <v>5494</v>
      </c>
    </row>
    <row r="6308" customFormat="false" ht="15" hidden="false" customHeight="false" outlineLevel="0" collapsed="false">
      <c r="A6308" s="7" t="s">
        <v>6843</v>
      </c>
      <c r="B6308" s="7" t="n">
        <v>17516.99</v>
      </c>
      <c r="C6308" s="7" t="n">
        <f aca="false">AVERAGE(B6259:B6308)</f>
        <v>16451.5136</v>
      </c>
      <c r="D6308" s="7" t="n">
        <f aca="false">AVERAGE(B6109:B6308)</f>
        <v>15094.5308</v>
      </c>
      <c r="E6308" s="7" t="n">
        <f aca="false">B6308/MAX(B6057:B6308)-1</f>
        <v>0</v>
      </c>
      <c r="F6308" s="7" t="str">
        <f aca="false">IFERROR(INDEX(02_轉折點45個!B:B,MATCH(A6308,02_轉折點45個!A:A,0)),"")</f>
        <v/>
      </c>
      <c r="G6308" s="7" t="s">
        <v>5494</v>
      </c>
    </row>
    <row r="6309" customFormat="false" ht="15" hidden="false" customHeight="false" outlineLevel="0" collapsed="false">
      <c r="A6309" s="7" t="s">
        <v>6844</v>
      </c>
      <c r="B6309" s="7" t="n">
        <v>17421.01</v>
      </c>
      <c r="C6309" s="7" t="n">
        <f aca="false">AVERAGE(B6260:B6309)</f>
        <v>16490.278</v>
      </c>
      <c r="D6309" s="7" t="n">
        <f aca="false">AVERAGE(B6110:B6309)</f>
        <v>15116.8151</v>
      </c>
      <c r="E6309" s="7" t="n">
        <f aca="false">B6309/MAX(B6058:B6309)-1</f>
        <v>-0.00547925185776799</v>
      </c>
      <c r="F6309" s="7" t="str">
        <f aca="false">IFERROR(INDEX(02_轉折點45個!B:B,MATCH(A6309,02_轉折點45個!A:A,0)),"")</f>
        <v/>
      </c>
      <c r="G6309" s="7" t="s">
        <v>5494</v>
      </c>
    </row>
    <row r="6310" customFormat="false" ht="15" hidden="false" customHeight="false" outlineLevel="0" collapsed="false">
      <c r="A6310" s="7" t="s">
        <v>6845</v>
      </c>
      <c r="B6310" s="7" t="n">
        <v>17596.27</v>
      </c>
      <c r="C6310" s="7" t="n">
        <f aca="false">AVERAGE(B6261:B6310)</f>
        <v>16525.954</v>
      </c>
      <c r="D6310" s="7" t="n">
        <f aca="false">AVERAGE(B6111:B6310)</f>
        <v>15140.5547</v>
      </c>
      <c r="E6310" s="7" t="n">
        <f aca="false">B6310/MAX(B6059:B6310)-1</f>
        <v>0</v>
      </c>
      <c r="F6310" s="7" t="str">
        <f aca="false">IFERROR(INDEX(02_轉折點45個!B:B,MATCH(A6310,02_轉折點45個!A:A,0)),"")</f>
        <v/>
      </c>
      <c r="G6310" s="7" t="s">
        <v>5494</v>
      </c>
    </row>
    <row r="6311" customFormat="false" ht="15" hidden="false" customHeight="false" outlineLevel="0" collapsed="false">
      <c r="A6311" s="7" t="s">
        <v>6846</v>
      </c>
      <c r="B6311" s="7" t="n">
        <v>17476.71</v>
      </c>
      <c r="C6311" s="7" t="n">
        <f aca="false">AVERAGE(B6262:B6311)</f>
        <v>16559.1446</v>
      </c>
      <c r="D6311" s="7" t="n">
        <f aca="false">AVERAGE(B6112:B6311)</f>
        <v>15162.3913</v>
      </c>
      <c r="E6311" s="7" t="n">
        <f aca="false">B6311/MAX(B6060:B6311)-1</f>
        <v>-0.006794621814737</v>
      </c>
      <c r="F6311" s="7" t="str">
        <f aca="false">IFERROR(INDEX(02_轉折點45個!B:B,MATCH(A6311,02_轉折點45個!A:A,0)),"")</f>
        <v/>
      </c>
      <c r="G6311" s="7" t="s">
        <v>5494</v>
      </c>
    </row>
    <row r="6312" customFormat="false" ht="15" hidden="false" customHeight="false" outlineLevel="0" collapsed="false">
      <c r="A6312" s="7" t="s">
        <v>1812</v>
      </c>
      <c r="B6312" s="7" t="n">
        <v>17137.24</v>
      </c>
      <c r="C6312" s="7" t="n">
        <f aca="false">AVERAGE(B6263:B6312)</f>
        <v>16585.226</v>
      </c>
      <c r="D6312" s="7" t="n">
        <f aca="false">AVERAGE(B6113:B6312)</f>
        <v>15182.6799</v>
      </c>
      <c r="E6312" s="7" t="n">
        <f aca="false">B6312/MAX(B6061:B6312)-1</f>
        <v>-0.026086778618423</v>
      </c>
      <c r="F6312" s="7" t="str">
        <f aca="false">IFERROR(INDEX(02_轉折點45個!B:B,MATCH(A6312,02_轉折點45個!A:A,0)),"")</f>
        <v/>
      </c>
      <c r="G6312" s="7" t="s">
        <v>5494</v>
      </c>
    </row>
    <row r="6313" customFormat="false" ht="15" hidden="false" customHeight="false" outlineLevel="0" collapsed="false">
      <c r="A6313" s="7" t="s">
        <v>1813</v>
      </c>
      <c r="B6313" s="7" t="n">
        <v>17344.71</v>
      </c>
      <c r="C6313" s="7" t="n">
        <f aca="false">AVERAGE(B6264:B6313)</f>
        <v>16615.3604</v>
      </c>
      <c r="D6313" s="7" t="n">
        <f aca="false">AVERAGE(B6114:B6313)</f>
        <v>15203.9649</v>
      </c>
      <c r="E6313" s="7" t="n">
        <f aca="false">B6313/MAX(B6062:B6313)-1</f>
        <v>-0.0142962116403079</v>
      </c>
      <c r="F6313" s="7" t="str">
        <f aca="false">IFERROR(INDEX(02_轉折點45個!B:B,MATCH(A6313,02_轉折點45個!A:A,0)),"")</f>
        <v/>
      </c>
      <c r="G6313" s="7" t="s">
        <v>5494</v>
      </c>
    </row>
    <row r="6314" customFormat="false" ht="15" hidden="false" customHeight="false" outlineLevel="0" collapsed="false">
      <c r="A6314" s="7" t="s">
        <v>1814</v>
      </c>
      <c r="B6314" s="7" t="n">
        <v>17642.73</v>
      </c>
      <c r="C6314" s="7" t="n">
        <f aca="false">AVERAGE(B6265:B6314)</f>
        <v>16647.6738</v>
      </c>
      <c r="D6314" s="7" t="n">
        <f aca="false">AVERAGE(B6115:B6314)</f>
        <v>15226.7196</v>
      </c>
      <c r="E6314" s="7" t="n">
        <f aca="false">B6314/MAX(B6063:B6314)-1</f>
        <v>0</v>
      </c>
      <c r="F6314" s="7" t="str">
        <f aca="false">IFERROR(INDEX(02_轉折點45個!B:B,MATCH(A6314,02_轉折點45個!A:A,0)),"")</f>
        <v/>
      </c>
      <c r="G6314" s="7" t="s">
        <v>5494</v>
      </c>
    </row>
    <row r="6315" customFormat="false" ht="15" hidden="false" customHeight="false" outlineLevel="0" collapsed="false">
      <c r="A6315" s="7" t="s">
        <v>1815</v>
      </c>
      <c r="B6315" s="7" t="n">
        <v>17613.04</v>
      </c>
      <c r="C6315" s="7" t="n">
        <f aca="false">AVERAGE(B6266:B6315)</f>
        <v>16681.2622</v>
      </c>
      <c r="D6315" s="7" t="n">
        <f aca="false">AVERAGE(B6116:B6315)</f>
        <v>15249.34125</v>
      </c>
      <c r="E6315" s="7" t="n">
        <f aca="false">B6315/MAX(B6064:B6315)-1</f>
        <v>-0.0016828461354903</v>
      </c>
      <c r="F6315" s="7" t="str">
        <f aca="false">IFERROR(INDEX(02_轉折點45個!B:B,MATCH(A6315,02_轉折點45個!A:A,0)),"")</f>
        <v/>
      </c>
      <c r="G6315" s="7" t="s">
        <v>5494</v>
      </c>
    </row>
    <row r="6316" customFormat="false" ht="15" hidden="false" customHeight="false" outlineLevel="0" collapsed="false">
      <c r="A6316" s="7" t="s">
        <v>6847</v>
      </c>
      <c r="B6316" s="7" t="n">
        <v>17572.73</v>
      </c>
      <c r="C6316" s="7" t="n">
        <f aca="false">AVERAGE(B6267:B6316)</f>
        <v>16712.689</v>
      </c>
      <c r="D6316" s="7" t="n">
        <f aca="false">AVERAGE(B6117:B6316)</f>
        <v>15272.275</v>
      </c>
      <c r="E6316" s="7" t="n">
        <f aca="false">B6316/MAX(B6065:B6316)-1</f>
        <v>-0.00396763992874116</v>
      </c>
      <c r="F6316" s="7" t="str">
        <f aca="false">IFERROR(INDEX(02_轉折點45個!B:B,MATCH(A6316,02_轉折點45個!A:A,0)),"")</f>
        <v/>
      </c>
      <c r="G6316" s="7" t="s">
        <v>5494</v>
      </c>
    </row>
    <row r="6317" customFormat="false" ht="15" hidden="false" customHeight="false" outlineLevel="0" collapsed="false">
      <c r="A6317" s="7" t="s">
        <v>1816</v>
      </c>
      <c r="B6317" s="7" t="n">
        <v>17755.07</v>
      </c>
      <c r="C6317" s="7" t="n">
        <f aca="false">AVERAGE(B6268:B6317)</f>
        <v>16748.1502</v>
      </c>
      <c r="D6317" s="7" t="n">
        <f aca="false">AVERAGE(B6118:B6317)</f>
        <v>15296.0465</v>
      </c>
      <c r="E6317" s="7" t="n">
        <f aca="false">B6317/MAX(B6066:B6317)-1</f>
        <v>0</v>
      </c>
      <c r="F6317" s="7" t="str">
        <f aca="false">IFERROR(INDEX(02_轉折點45個!B:B,MATCH(A6317,02_轉折點45個!A:A,0)),"")</f>
        <v/>
      </c>
      <c r="G6317" s="7" t="s">
        <v>5494</v>
      </c>
    </row>
    <row r="6318" customFormat="false" ht="15" hidden="false" customHeight="false" outlineLevel="0" collapsed="false">
      <c r="A6318" s="7" t="s">
        <v>1817</v>
      </c>
      <c r="B6318" s="7" t="n">
        <v>17783.17</v>
      </c>
      <c r="C6318" s="7" t="n">
        <f aca="false">AVERAGE(B6269:B6318)</f>
        <v>16784.574</v>
      </c>
      <c r="D6318" s="7" t="n">
        <f aca="false">AVERAGE(B6119:B6318)</f>
        <v>15320.11355</v>
      </c>
      <c r="E6318" s="7" t="n">
        <f aca="false">B6318/MAX(B6067:B6318)-1</f>
        <v>0</v>
      </c>
      <c r="F6318" s="7" t="str">
        <f aca="false">IFERROR(INDEX(02_轉折點45個!B:B,MATCH(A6318,02_轉折點45個!A:A,0)),"")</f>
        <v/>
      </c>
      <c r="G6318" s="7" t="s">
        <v>5494</v>
      </c>
    </row>
    <row r="6319" customFormat="false" ht="15" hidden="false" customHeight="false" outlineLevel="0" collapsed="false">
      <c r="A6319" s="7" t="s">
        <v>1818</v>
      </c>
      <c r="B6319" s="7" t="n">
        <v>17962.41</v>
      </c>
      <c r="C6319" s="7" t="n">
        <f aca="false">AVERAGE(B6270:B6319)</f>
        <v>16823.6136</v>
      </c>
      <c r="D6319" s="7" t="n">
        <f aca="false">AVERAGE(B6120:B6319)</f>
        <v>15346.30005</v>
      </c>
      <c r="E6319" s="7" t="n">
        <f aca="false">B6319/MAX(B6068:B6319)-1</f>
        <v>0</v>
      </c>
      <c r="F6319" s="7" t="str">
        <f aca="false">IFERROR(INDEX(02_轉折點45個!B:B,MATCH(A6319,02_轉折點45個!A:A,0)),"")</f>
        <v/>
      </c>
      <c r="G6319" s="7" t="s">
        <v>5494</v>
      </c>
    </row>
    <row r="6320" customFormat="false" ht="15" hidden="false" customHeight="false" outlineLevel="0" collapsed="false">
      <c r="A6320" s="7" t="s">
        <v>6848</v>
      </c>
      <c r="B6320" s="7" t="n">
        <v>17882.66</v>
      </c>
      <c r="C6320" s="7" t="n">
        <f aca="false">AVERAGE(B6271:B6320)</f>
        <v>16861.5148</v>
      </c>
      <c r="D6320" s="7" t="n">
        <f aca="false">AVERAGE(B6121:B6320)</f>
        <v>15371.68095</v>
      </c>
      <c r="E6320" s="7" t="n">
        <f aca="false">B6320/MAX(B6069:B6320)-1</f>
        <v>-0.00443982739509896</v>
      </c>
      <c r="F6320" s="7" t="str">
        <f aca="false">IFERROR(INDEX(02_轉折點45個!B:B,MATCH(A6320,02_轉折點45個!A:A,0)),"")</f>
        <v/>
      </c>
      <c r="G6320" s="7" t="s">
        <v>5494</v>
      </c>
    </row>
    <row r="6321" customFormat="false" ht="15" hidden="false" customHeight="false" outlineLevel="0" collapsed="false">
      <c r="A6321" s="7" t="s">
        <v>6849</v>
      </c>
      <c r="B6321" s="7" t="n">
        <v>17600.42</v>
      </c>
      <c r="C6321" s="7" t="n">
        <f aca="false">AVERAGE(B6272:B6321)</f>
        <v>16894.5658</v>
      </c>
      <c r="D6321" s="7" t="n">
        <f aca="false">AVERAGE(B6122:B6321)</f>
        <v>15393.8829</v>
      </c>
      <c r="E6321" s="7" t="n">
        <f aca="false">B6321/MAX(B6070:B6321)-1</f>
        <v>-0.0201526409874845</v>
      </c>
      <c r="F6321" s="7" t="str">
        <f aca="false">IFERROR(INDEX(02_轉折點45個!B:B,MATCH(A6321,02_轉折點45個!A:A,0)),"")</f>
        <v/>
      </c>
      <c r="G6321" s="7" t="s">
        <v>5494</v>
      </c>
    </row>
    <row r="6322" customFormat="false" ht="15" hidden="false" customHeight="false" outlineLevel="0" collapsed="false">
      <c r="A6322" s="7" t="s">
        <v>6850</v>
      </c>
      <c r="B6322" s="7" t="n">
        <v>17807.63</v>
      </c>
      <c r="C6322" s="7" t="n">
        <f aca="false">AVERAGE(B6273:B6322)</f>
        <v>16930.7668</v>
      </c>
      <c r="D6322" s="7" t="n">
        <f aca="false">AVERAGE(B6123:B6322)</f>
        <v>15416.6911</v>
      </c>
      <c r="E6322" s="7" t="n">
        <f aca="false">B6322/MAX(B6071:B6322)-1</f>
        <v>-0.00861688381458825</v>
      </c>
      <c r="F6322" s="7" t="str">
        <f aca="false">IFERROR(INDEX(02_轉折點45個!B:B,MATCH(A6322,02_轉折點45個!A:A,0)),"")</f>
        <v/>
      </c>
      <c r="G6322" s="7" t="s">
        <v>5494</v>
      </c>
    </row>
    <row r="6323" customFormat="false" ht="15" hidden="false" customHeight="false" outlineLevel="0" collapsed="false">
      <c r="A6323" s="7" t="s">
        <v>6851</v>
      </c>
      <c r="B6323" s="7" t="n">
        <v>17845.72</v>
      </c>
      <c r="C6323" s="7" t="n">
        <f aca="false">AVERAGE(B6274:B6323)</f>
        <v>16970.8878</v>
      </c>
      <c r="D6323" s="7" t="n">
        <f aca="false">AVERAGE(B6124:B6323)</f>
        <v>15439.76235</v>
      </c>
      <c r="E6323" s="7" t="n">
        <f aca="false">B6323/MAX(B6072:B6323)-1</f>
        <v>-0.00649634431014534</v>
      </c>
      <c r="F6323" s="7" t="str">
        <f aca="false">IFERROR(INDEX(02_轉折點45個!B:B,MATCH(A6323,02_轉折點45個!A:A,0)),"")</f>
        <v/>
      </c>
      <c r="G6323" s="7" t="s">
        <v>5494</v>
      </c>
    </row>
    <row r="6324" customFormat="false" ht="15" hidden="false" customHeight="false" outlineLevel="0" collapsed="false">
      <c r="A6324" s="7" t="s">
        <v>6852</v>
      </c>
      <c r="B6324" s="7" t="n">
        <v>17685.98</v>
      </c>
      <c r="C6324" s="7" t="n">
        <f aca="false">AVERAGE(B6275:B6324)</f>
        <v>17007.0532</v>
      </c>
      <c r="D6324" s="7" t="n">
        <f aca="false">AVERAGE(B6125:B6324)</f>
        <v>15462.62395</v>
      </c>
      <c r="E6324" s="7" t="n">
        <f aca="false">B6324/MAX(B6073:B6324)-1</f>
        <v>-0.0153893603363914</v>
      </c>
      <c r="F6324" s="7" t="str">
        <f aca="false">IFERROR(INDEX(02_轉折點45個!B:B,MATCH(A6324,02_轉折點45個!A:A,0)),"")</f>
        <v/>
      </c>
      <c r="G6324" s="7" t="s">
        <v>5494</v>
      </c>
    </row>
    <row r="6325" customFormat="false" ht="15" hidden="false" customHeight="false" outlineLevel="0" collapsed="false">
      <c r="A6325" s="7" t="s">
        <v>1819</v>
      </c>
      <c r="B6325" s="7" t="n">
        <v>17546.1</v>
      </c>
      <c r="C6325" s="7" t="n">
        <f aca="false">AVERAGE(B6276:B6325)</f>
        <v>17042.2142</v>
      </c>
      <c r="D6325" s="7" t="n">
        <f aca="false">AVERAGE(B6126:B6325)</f>
        <v>15485.2034</v>
      </c>
      <c r="E6325" s="7" t="n">
        <f aca="false">B6325/MAX(B6074:B6325)-1</f>
        <v>-0.0231767340796698</v>
      </c>
      <c r="F6325" s="7" t="str">
        <f aca="false">IFERROR(INDEX(02_轉折點45個!B:B,MATCH(A6325,02_轉折點45個!A:A,0)),"")</f>
        <v/>
      </c>
      <c r="G6325" s="7" t="s">
        <v>5494</v>
      </c>
    </row>
    <row r="6326" customFormat="false" ht="15" hidden="false" customHeight="false" outlineLevel="0" collapsed="false">
      <c r="A6326" s="7" t="s">
        <v>6853</v>
      </c>
      <c r="B6326" s="7" t="n">
        <v>17478.91</v>
      </c>
      <c r="C6326" s="7" t="n">
        <f aca="false">AVERAGE(B6277:B6326)</f>
        <v>17071.3426</v>
      </c>
      <c r="D6326" s="7" t="n">
        <f aca="false">AVERAGE(B6127:B6326)</f>
        <v>15507.68555</v>
      </c>
      <c r="E6326" s="7" t="n">
        <f aca="false">B6326/MAX(B6075:B6326)-1</f>
        <v>-0.0269173234549261</v>
      </c>
      <c r="F6326" s="7" t="str">
        <f aca="false">IFERROR(INDEX(02_轉折點45個!B:B,MATCH(A6326,02_轉折點45個!A:A,0)),"")</f>
        <v/>
      </c>
      <c r="G6326" s="7" t="s">
        <v>5494</v>
      </c>
    </row>
    <row r="6327" customFormat="false" ht="15" hidden="false" customHeight="false" outlineLevel="0" collapsed="false">
      <c r="A6327" s="7" t="s">
        <v>1820</v>
      </c>
      <c r="B6327" s="7" t="n">
        <v>18004.7</v>
      </c>
      <c r="C6327" s="7" t="n">
        <f aca="false">AVERAGE(B6278:B6327)</f>
        <v>17109.7428</v>
      </c>
      <c r="D6327" s="7" t="n">
        <f aca="false">AVERAGE(B6128:B6327)</f>
        <v>15531.4134</v>
      </c>
      <c r="E6327" s="7" t="n">
        <f aca="false">B6327/MAX(B6076:B6327)-1</f>
        <v>0</v>
      </c>
      <c r="F6327" s="7" t="str">
        <f aca="false">IFERROR(INDEX(02_轉折點45個!B:B,MATCH(A6327,02_轉折點45個!A:A,0)),"")</f>
        <v/>
      </c>
      <c r="G6327" s="7" t="s">
        <v>5494</v>
      </c>
    </row>
    <row r="6328" customFormat="false" ht="15" hidden="false" customHeight="false" outlineLevel="0" collapsed="false">
      <c r="A6328" s="7" t="s">
        <v>6854</v>
      </c>
      <c r="B6328" s="7" t="n">
        <v>17937.61</v>
      </c>
      <c r="C6328" s="7" t="n">
        <f aca="false">AVERAGE(B6279:B6328)</f>
        <v>17144.0604</v>
      </c>
      <c r="D6328" s="7" t="n">
        <f aca="false">AVERAGE(B6129:B6328)</f>
        <v>15554.64325</v>
      </c>
      <c r="E6328" s="7" t="n">
        <f aca="false">B6328/MAX(B6077:B6328)-1</f>
        <v>-0.00372624925713838</v>
      </c>
      <c r="F6328" s="7" t="str">
        <f aca="false">IFERROR(INDEX(02_轉折點45個!B:B,MATCH(A6328,02_轉折點45個!A:A,0)),"")</f>
        <v/>
      </c>
      <c r="G6328" s="7" t="s">
        <v>5494</v>
      </c>
    </row>
    <row r="6329" customFormat="false" ht="15" hidden="false" customHeight="false" outlineLevel="0" collapsed="false">
      <c r="A6329" s="7" t="s">
        <v>6855</v>
      </c>
      <c r="B6329" s="7" t="n">
        <v>17933.33</v>
      </c>
      <c r="C6329" s="7" t="n">
        <f aca="false">AVERAGE(B6280:B6329)</f>
        <v>17175.642</v>
      </c>
      <c r="D6329" s="7" t="n">
        <f aca="false">AVERAGE(B6130:B6329)</f>
        <v>15578.30435</v>
      </c>
      <c r="E6329" s="7" t="n">
        <f aca="false">B6329/MAX(B6078:B6329)-1</f>
        <v>-0.00396396496470364</v>
      </c>
      <c r="F6329" s="7" t="str">
        <f aca="false">IFERROR(INDEX(02_轉折點45個!B:B,MATCH(A6329,02_轉折點45個!A:A,0)),"")</f>
        <v/>
      </c>
      <c r="G6329" s="7" t="s">
        <v>5494</v>
      </c>
    </row>
    <row r="6330" customFormat="false" ht="15" hidden="false" customHeight="false" outlineLevel="0" collapsed="false">
      <c r="A6330" s="7" t="s">
        <v>6856</v>
      </c>
      <c r="B6330" s="7" t="n">
        <v>17971.05</v>
      </c>
      <c r="C6330" s="7" t="n">
        <f aca="false">AVERAGE(B6281:B6330)</f>
        <v>17203.8156</v>
      </c>
      <c r="D6330" s="7" t="n">
        <f aca="false">AVERAGE(B6131:B6330)</f>
        <v>15601.42045</v>
      </c>
      <c r="E6330" s="7" t="n">
        <f aca="false">B6330/MAX(B6079:B6330)-1</f>
        <v>-0.00186895643915208</v>
      </c>
      <c r="F6330" s="7" t="str">
        <f aca="false">IFERROR(INDEX(02_轉折點45個!B:B,MATCH(A6330,02_轉折點45個!A:A,0)),"")</f>
        <v/>
      </c>
      <c r="G6330" s="7" t="s">
        <v>5494</v>
      </c>
    </row>
    <row r="6331" customFormat="false" ht="15" hidden="false" customHeight="false" outlineLevel="0" collapsed="false">
      <c r="A6331" s="7" t="s">
        <v>6857</v>
      </c>
      <c r="B6331" s="7" t="n">
        <v>17874.5</v>
      </c>
      <c r="C6331" s="7" t="n">
        <f aca="false">AVERAGE(B6282:B6331)</f>
        <v>17230.549</v>
      </c>
      <c r="D6331" s="7" t="n">
        <f aca="false">AVERAGE(B6132:B6331)</f>
        <v>15623.84405</v>
      </c>
      <c r="E6331" s="7" t="n">
        <f aca="false">B6331/MAX(B6080:B6331)-1</f>
        <v>-0.00723144512266249</v>
      </c>
      <c r="F6331" s="7" t="str">
        <f aca="false">IFERROR(INDEX(02_轉折點45個!B:B,MATCH(A6331,02_轉折點45個!A:A,0)),"")</f>
        <v/>
      </c>
      <c r="G6331" s="7" t="s">
        <v>5494</v>
      </c>
    </row>
    <row r="6332" customFormat="false" ht="15" hidden="false" customHeight="false" outlineLevel="0" collapsed="false">
      <c r="A6332" s="7" t="s">
        <v>1821</v>
      </c>
      <c r="B6332" s="7" t="n">
        <v>18043.85</v>
      </c>
      <c r="C6332" s="7" t="n">
        <f aca="false">AVERAGE(B6283:B6332)</f>
        <v>17258.957</v>
      </c>
      <c r="D6332" s="7" t="n">
        <f aca="false">AVERAGE(B6133:B6332)</f>
        <v>15647.3624</v>
      </c>
      <c r="E6332" s="7" t="n">
        <f aca="false">B6332/MAX(B6081:B6332)-1</f>
        <v>0</v>
      </c>
      <c r="F6332" s="7" t="str">
        <f aca="false">IFERROR(INDEX(02_轉折點45個!B:B,MATCH(A6332,02_轉折點45個!A:A,0)),"")</f>
        <v/>
      </c>
      <c r="G6332" s="7" t="s">
        <v>5494</v>
      </c>
    </row>
    <row r="6333" customFormat="false" ht="15" hidden="false" customHeight="false" outlineLevel="0" collapsed="false">
      <c r="A6333" s="7" t="s">
        <v>1822</v>
      </c>
      <c r="B6333" s="7" t="n">
        <v>18302.91</v>
      </c>
      <c r="C6333" s="7" t="n">
        <f aca="false">AVERAGE(B6284:B6333)</f>
        <v>17290.4192</v>
      </c>
      <c r="D6333" s="7" t="n">
        <f aca="false">AVERAGE(B6134:B6333)</f>
        <v>15671.8094</v>
      </c>
      <c r="E6333" s="7" t="n">
        <f aca="false">B6333/MAX(B6082:B6333)-1</f>
        <v>0</v>
      </c>
      <c r="F6333" s="7" t="str">
        <f aca="false">IFERROR(INDEX(02_轉折點45個!B:B,MATCH(A6333,02_轉折點45個!A:A,0)),"")</f>
        <v/>
      </c>
      <c r="G6333" s="7" t="s">
        <v>5494</v>
      </c>
    </row>
    <row r="6334" customFormat="false" ht="15" hidden="false" customHeight="false" outlineLevel="0" collapsed="false">
      <c r="A6334" s="7" t="s">
        <v>6858</v>
      </c>
      <c r="B6334" s="7" t="n">
        <v>18226.48</v>
      </c>
      <c r="C6334" s="7" t="n">
        <f aca="false">AVERAGE(B6285:B6334)</f>
        <v>17318.7118</v>
      </c>
      <c r="D6334" s="7" t="n">
        <f aca="false">AVERAGE(B6135:B6334)</f>
        <v>15695.81175</v>
      </c>
      <c r="E6334" s="7" t="n">
        <f aca="false">B6334/MAX(B6083:B6334)-1</f>
        <v>-0.00417583870542992</v>
      </c>
      <c r="F6334" s="7" t="str">
        <f aca="false">IFERROR(INDEX(02_轉折點45個!B:B,MATCH(A6334,02_轉折點45個!A:A,0)),"")</f>
        <v/>
      </c>
      <c r="G6334" s="7" t="s">
        <v>5494</v>
      </c>
    </row>
    <row r="6335" customFormat="false" ht="15" hidden="false" customHeight="false" outlineLevel="0" collapsed="false">
      <c r="A6335" s="7" t="s">
        <v>6859</v>
      </c>
      <c r="B6335" s="7" t="n">
        <v>17897.87</v>
      </c>
      <c r="C6335" s="7" t="n">
        <f aca="false">AVERAGE(B6286:B6335)</f>
        <v>17345.586</v>
      </c>
      <c r="D6335" s="7" t="n">
        <f aca="false">AVERAGE(B6136:B6335)</f>
        <v>15717.3548</v>
      </c>
      <c r="E6335" s="7" t="n">
        <f aca="false">B6335/MAX(B6084:B6335)-1</f>
        <v>-0.0221298143300711</v>
      </c>
      <c r="F6335" s="7" t="str">
        <f aca="false">IFERROR(INDEX(02_轉折點45個!B:B,MATCH(A6335,02_轉折點45個!A:A,0)),"")</f>
        <v/>
      </c>
      <c r="G6335" s="7" t="s">
        <v>5494</v>
      </c>
    </row>
    <row r="6336" customFormat="false" ht="15" hidden="false" customHeight="false" outlineLevel="0" collapsed="false">
      <c r="A6336" s="7" t="s">
        <v>6860</v>
      </c>
      <c r="B6336" s="7" t="n">
        <v>18017.57</v>
      </c>
      <c r="C6336" s="7" t="n">
        <f aca="false">AVERAGE(B6287:B6336)</f>
        <v>17370.7892</v>
      </c>
      <c r="D6336" s="7" t="n">
        <f aca="false">AVERAGE(B6137:B6336)</f>
        <v>15738.26955</v>
      </c>
      <c r="E6336" s="7" t="n">
        <f aca="false">B6336/MAX(B6085:B6336)-1</f>
        <v>-0.0155898706817659</v>
      </c>
      <c r="F6336" s="7" t="str">
        <f aca="false">IFERROR(INDEX(02_轉折點45個!B:B,MATCH(A6336,02_轉折點45個!A:A,0)),"")</f>
        <v/>
      </c>
      <c r="G6336" s="7" t="s">
        <v>5494</v>
      </c>
    </row>
    <row r="6337" customFormat="false" ht="15" hidden="false" customHeight="false" outlineLevel="0" collapsed="false">
      <c r="A6337" s="7" t="s">
        <v>6861</v>
      </c>
      <c r="B6337" s="7" t="n">
        <v>18297.99</v>
      </c>
      <c r="C6337" s="7" t="n">
        <f aca="false">AVERAGE(B6288:B6337)</f>
        <v>17401.201</v>
      </c>
      <c r="D6337" s="7" t="n">
        <f aca="false">AVERAGE(B6138:B6337)</f>
        <v>15760.74205</v>
      </c>
      <c r="E6337" s="7" t="n">
        <f aca="false">B6337/MAX(B6086:B6337)-1</f>
        <v>-0.000268809713865115</v>
      </c>
      <c r="F6337" s="7" t="str">
        <f aca="false">IFERROR(INDEX(02_轉折點45個!B:B,MATCH(A6337,02_轉折點45個!A:A,0)),"")</f>
        <v/>
      </c>
      <c r="G6337" s="7" t="s">
        <v>5494</v>
      </c>
    </row>
    <row r="6338" customFormat="false" ht="15" hidden="false" customHeight="false" outlineLevel="0" collapsed="false">
      <c r="A6338" s="7" t="s">
        <v>6862</v>
      </c>
      <c r="B6338" s="7" t="n">
        <v>18018.45</v>
      </c>
      <c r="C6338" s="7" t="n">
        <f aca="false">AVERAGE(B6289:B6338)</f>
        <v>17424.0008</v>
      </c>
      <c r="D6338" s="7" t="n">
        <f aca="false">AVERAGE(B6139:B6338)</f>
        <v>15781.5856</v>
      </c>
      <c r="E6338" s="7" t="n">
        <f aca="false">B6338/MAX(B6087:B6338)-1</f>
        <v>-0.0155417908955461</v>
      </c>
      <c r="F6338" s="7" t="str">
        <f aca="false">IFERROR(INDEX(02_轉折點45個!B:B,MATCH(A6338,02_轉折點45個!A:A,0)),"")</f>
        <v/>
      </c>
      <c r="G6338" s="7" t="s">
        <v>5494</v>
      </c>
    </row>
    <row r="6339" customFormat="false" ht="15" hidden="false" customHeight="false" outlineLevel="0" collapsed="false">
      <c r="A6339" s="7" t="s">
        <v>1823</v>
      </c>
      <c r="B6339" s="7" t="n">
        <v>17951.69</v>
      </c>
      <c r="C6339" s="7" t="n">
        <f aca="false">AVERAGE(B6290:B6339)</f>
        <v>17444.8986</v>
      </c>
      <c r="D6339" s="7" t="n">
        <f aca="false">AVERAGE(B6140:B6339)</f>
        <v>15802.98135</v>
      </c>
      <c r="E6339" s="7" t="n">
        <f aca="false">B6339/MAX(B6088:B6339)-1</f>
        <v>-0.0191892983137655</v>
      </c>
      <c r="F6339" s="7" t="str">
        <f aca="false">IFERROR(INDEX(02_轉折點45個!B:B,MATCH(A6339,02_轉折點45個!A:A,0)),"")</f>
        <v/>
      </c>
      <c r="G6339" s="7" t="s">
        <v>5494</v>
      </c>
    </row>
    <row r="6340" customFormat="false" ht="15" hidden="false" customHeight="false" outlineLevel="0" collapsed="false">
      <c r="A6340" s="7" t="s">
        <v>6863</v>
      </c>
      <c r="B6340" s="7" t="n">
        <v>18219.11</v>
      </c>
      <c r="C6340" s="7" t="n">
        <f aca="false">AVERAGE(B6291:B6340)</f>
        <v>17471.3114</v>
      </c>
      <c r="D6340" s="7" t="n">
        <f aca="false">AVERAGE(B6141:B6340)</f>
        <v>15826.0545</v>
      </c>
      <c r="E6340" s="7" t="n">
        <f aca="false">B6340/MAX(B6089:B6340)-1</f>
        <v>-0.0045785069150206</v>
      </c>
      <c r="F6340" s="7" t="str">
        <f aca="false">IFERROR(INDEX(02_轉折點45個!B:B,MATCH(A6340,02_轉折點45個!A:A,0)),"")</f>
        <v/>
      </c>
      <c r="G6340" s="7" t="s">
        <v>5494</v>
      </c>
    </row>
    <row r="6341" customFormat="false" ht="15" hidden="false" customHeight="false" outlineLevel="0" collapsed="false">
      <c r="A6341" s="7" t="s">
        <v>6864</v>
      </c>
      <c r="B6341" s="7" t="n">
        <v>18068.47</v>
      </c>
      <c r="C6341" s="7" t="n">
        <f aca="false">AVERAGE(B6292:B6341)</f>
        <v>17496.1622</v>
      </c>
      <c r="D6341" s="7" t="n">
        <f aca="false">AVERAGE(B6142:B6341)</f>
        <v>15846.7042</v>
      </c>
      <c r="E6341" s="7" t="n">
        <f aca="false">B6341/MAX(B6090:B6341)-1</f>
        <v>-0.0128088921379168</v>
      </c>
      <c r="F6341" s="7" t="str">
        <f aca="false">IFERROR(INDEX(02_轉折點45個!B:B,MATCH(A6341,02_轉折點45個!A:A,0)),"")</f>
        <v/>
      </c>
      <c r="G6341" s="7" t="s">
        <v>5494</v>
      </c>
    </row>
    <row r="6342" customFormat="false" ht="15" hidden="false" customHeight="false" outlineLevel="0" collapsed="false">
      <c r="A6342" s="7" t="s">
        <v>1824</v>
      </c>
      <c r="B6342" s="7" t="n">
        <v>18014.81</v>
      </c>
      <c r="C6342" s="7" t="n">
        <f aca="false">AVERAGE(B6293:B6342)</f>
        <v>17525.5796</v>
      </c>
      <c r="D6342" s="7" t="n">
        <f aca="false">AVERAGE(B6143:B6342)</f>
        <v>15865.2862</v>
      </c>
      <c r="E6342" s="7" t="n">
        <f aca="false">B6342/MAX(B6091:B6342)-1</f>
        <v>-0.0157406663749097</v>
      </c>
      <c r="F6342" s="7" t="str">
        <f aca="false">IFERROR(INDEX(02_轉折點45個!B:B,MATCH(A6342,02_轉折點45個!A:A,0)),"")</f>
        <v/>
      </c>
      <c r="G6342" s="7" t="s">
        <v>5494</v>
      </c>
    </row>
    <row r="6343" customFormat="false" ht="15" hidden="false" customHeight="false" outlineLevel="0" collapsed="false">
      <c r="A6343" s="7" t="s">
        <v>6865</v>
      </c>
      <c r="B6343" s="7" t="n">
        <v>17808.25</v>
      </c>
      <c r="C6343" s="7" t="n">
        <f aca="false">AVERAGE(B6294:B6343)</f>
        <v>17554.3748</v>
      </c>
      <c r="D6343" s="7" t="n">
        <f aca="false">AVERAGE(B6144:B6343)</f>
        <v>15882.5525</v>
      </c>
      <c r="E6343" s="7" t="n">
        <f aca="false">B6343/MAX(B6092:B6343)-1</f>
        <v>-0.0270263034675907</v>
      </c>
      <c r="F6343" s="7" t="str">
        <f aca="false">IFERROR(INDEX(02_轉折點45個!B:B,MATCH(A6343,02_轉折點45個!A:A,0)),"")</f>
        <v/>
      </c>
      <c r="G6343" s="7" t="s">
        <v>5494</v>
      </c>
    </row>
    <row r="6344" customFormat="false" ht="15" hidden="false" customHeight="false" outlineLevel="0" collapsed="false">
      <c r="A6344" s="7" t="s">
        <v>6866</v>
      </c>
      <c r="B6344" s="7" t="n">
        <v>17985.01</v>
      </c>
      <c r="C6344" s="7" t="n">
        <f aca="false">AVERAGE(B6295:B6344)</f>
        <v>17588.4348</v>
      </c>
      <c r="D6344" s="7" t="n">
        <f aca="false">AVERAGE(B6145:B6344)</f>
        <v>15901.2071</v>
      </c>
      <c r="E6344" s="7" t="n">
        <f aca="false">B6344/MAX(B6093:B6344)-1</f>
        <v>-0.0173688227718981</v>
      </c>
      <c r="F6344" s="7" t="str">
        <f aca="false">IFERROR(INDEX(02_轉折點45個!B:B,MATCH(A6344,02_轉折點45個!A:A,0)),"")</f>
        <v/>
      </c>
      <c r="G6344" s="7" t="s">
        <v>5494</v>
      </c>
    </row>
    <row r="6345" customFormat="false" ht="15" hidden="false" customHeight="false" outlineLevel="0" collapsed="false">
      <c r="A6345" s="7" t="s">
        <v>6867</v>
      </c>
      <c r="B6345" s="7" t="n">
        <v>18032.2</v>
      </c>
      <c r="C6345" s="7" t="n">
        <f aca="false">AVERAGE(B6296:B6345)</f>
        <v>17622.9592</v>
      </c>
      <c r="D6345" s="7" t="n">
        <f aca="false">AVERAGE(B6146:B6345)</f>
        <v>15919.16055</v>
      </c>
      <c r="E6345" s="7" t="n">
        <f aca="false">B6345/MAX(B6094:B6345)-1</f>
        <v>-0.0147905442358619</v>
      </c>
      <c r="F6345" s="7" t="str">
        <f aca="false">IFERROR(INDEX(02_轉折點45個!B:B,MATCH(A6345,02_轉折點45個!A:A,0)),"")</f>
        <v/>
      </c>
      <c r="G6345" s="7" t="s">
        <v>5494</v>
      </c>
    </row>
    <row r="6346" customFormat="false" ht="15" hidden="false" customHeight="false" outlineLevel="0" collapsed="false">
      <c r="A6346" s="7" t="s">
        <v>6868</v>
      </c>
      <c r="B6346" s="7" t="n">
        <v>18240.11</v>
      </c>
      <c r="C6346" s="7" t="n">
        <f aca="false">AVERAGE(B6297:B6346)</f>
        <v>17654.764</v>
      </c>
      <c r="D6346" s="7" t="n">
        <f aca="false">AVERAGE(B6147:B6346)</f>
        <v>15937.6279</v>
      </c>
      <c r="E6346" s="7" t="n">
        <f aca="false">B6346/MAX(B6095:B6346)-1</f>
        <v>-0.00343114838023018</v>
      </c>
      <c r="F6346" s="7" t="str">
        <f aca="false">IFERROR(INDEX(02_轉折點45個!B:B,MATCH(A6346,02_轉折點45個!A:A,0)),"")</f>
        <v/>
      </c>
      <c r="G6346" s="7" t="s">
        <v>5494</v>
      </c>
    </row>
    <row r="6347" customFormat="false" ht="15" hidden="false" customHeight="false" outlineLevel="0" collapsed="false">
      <c r="A6347" s="7" t="s">
        <v>1825</v>
      </c>
      <c r="B6347" s="7" t="n">
        <v>18320.38</v>
      </c>
      <c r="C6347" s="7" t="n">
        <f aca="false">AVERAGE(B6298:B6347)</f>
        <v>17687.5976</v>
      </c>
      <c r="D6347" s="7" t="n">
        <f aca="false">AVERAGE(B6148:B6347)</f>
        <v>15956.4473</v>
      </c>
      <c r="E6347" s="7" t="n">
        <f aca="false">B6347/MAX(B6096:B6347)-1</f>
        <v>0</v>
      </c>
      <c r="F6347" s="7" t="str">
        <f aca="false">IFERROR(INDEX(02_轉折點45個!B:B,MATCH(A6347,02_轉折點45個!A:A,0)),"")</f>
        <v/>
      </c>
      <c r="G6347" s="7" t="s">
        <v>5494</v>
      </c>
    </row>
    <row r="6348" customFormat="false" ht="15" hidden="false" customHeight="false" outlineLevel="0" collapsed="false">
      <c r="A6348" s="7" t="s">
        <v>1826</v>
      </c>
      <c r="B6348" s="7" t="n">
        <v>18339.44</v>
      </c>
      <c r="C6348" s="7" t="n">
        <f aca="false">AVERAGE(B6299:B6348)</f>
        <v>17718.5254</v>
      </c>
      <c r="D6348" s="7" t="n">
        <f aca="false">AVERAGE(B6149:B6348)</f>
        <v>15975.35405</v>
      </c>
      <c r="E6348" s="7" t="n">
        <f aca="false">B6348/MAX(B6097:B6348)-1</f>
        <v>0</v>
      </c>
      <c r="F6348" s="7" t="str">
        <f aca="false">IFERROR(INDEX(02_轉折點45個!B:B,MATCH(A6348,02_轉折點45個!A:A,0)),"")</f>
        <v/>
      </c>
      <c r="G6348" s="7" t="s">
        <v>5494</v>
      </c>
    </row>
    <row r="6349" customFormat="false" ht="15" hidden="false" customHeight="false" outlineLevel="0" collapsed="false">
      <c r="A6349" s="7" t="s">
        <v>6869</v>
      </c>
      <c r="B6349" s="7" t="n">
        <v>18277.06</v>
      </c>
      <c r="C6349" s="7" t="n">
        <f aca="false">AVERAGE(B6300:B6349)</f>
        <v>17747.6486</v>
      </c>
      <c r="D6349" s="7" t="n">
        <f aca="false">AVERAGE(B6150:B6349)</f>
        <v>15995.2229</v>
      </c>
      <c r="E6349" s="7" t="n">
        <f aca="false">B6349/MAX(B6098:B6349)-1</f>
        <v>-0.00340141247497183</v>
      </c>
      <c r="F6349" s="7" t="str">
        <f aca="false">IFERROR(INDEX(02_轉折點45個!B:B,MATCH(A6349,02_轉折點45個!A:A,0)),"")</f>
        <v/>
      </c>
      <c r="G6349" s="7" t="s">
        <v>5494</v>
      </c>
    </row>
    <row r="6350" customFormat="false" ht="15" hidden="false" customHeight="false" outlineLevel="0" collapsed="false">
      <c r="A6350" s="7" t="s">
        <v>6870</v>
      </c>
      <c r="B6350" s="7" t="n">
        <v>18210.54</v>
      </c>
      <c r="C6350" s="7" t="n">
        <f aca="false">AVERAGE(B6301:B6350)</f>
        <v>17775.201</v>
      </c>
      <c r="D6350" s="7" t="n">
        <f aca="false">AVERAGE(B6151:B6350)</f>
        <v>16013.8529</v>
      </c>
      <c r="E6350" s="7" t="n">
        <f aca="false">B6350/MAX(B6099:B6350)-1</f>
        <v>-0.00702856793882467</v>
      </c>
      <c r="F6350" s="7" t="str">
        <f aca="false">IFERROR(INDEX(02_轉折點45個!B:B,MATCH(A6350,02_轉折點45個!A:A,0)),"")</f>
        <v/>
      </c>
      <c r="G6350" s="7" t="s">
        <v>5494</v>
      </c>
    </row>
    <row r="6351" customFormat="false" ht="15" hidden="false" customHeight="false" outlineLevel="0" collapsed="false">
      <c r="A6351" s="7" t="s">
        <v>6871</v>
      </c>
      <c r="B6351" s="7" t="n">
        <v>18280.84</v>
      </c>
      <c r="C6351" s="7" t="n">
        <f aca="false">AVERAGE(B6302:B6351)</f>
        <v>17804.2036</v>
      </c>
      <c r="D6351" s="7" t="n">
        <f aca="false">AVERAGE(B6152:B6351)</f>
        <v>16032.6153</v>
      </c>
      <c r="E6351" s="7" t="n">
        <f aca="false">B6351/MAX(B6100:B6351)-1</f>
        <v>-0.00319529931121121</v>
      </c>
      <c r="F6351" s="7" t="str">
        <f aca="false">IFERROR(INDEX(02_轉折點45個!B:B,MATCH(A6351,02_轉折點45個!A:A,0)),"")</f>
        <v/>
      </c>
      <c r="G6351" s="7" t="s">
        <v>5494</v>
      </c>
    </row>
    <row r="6352" customFormat="false" ht="15" hidden="false" customHeight="false" outlineLevel="0" collapsed="false">
      <c r="A6352" s="7" t="s">
        <v>6872</v>
      </c>
      <c r="B6352" s="7" t="n">
        <v>18254.69</v>
      </c>
      <c r="C6352" s="7" t="n">
        <f aca="false">AVERAGE(B6303:B6352)</f>
        <v>17834.5718</v>
      </c>
      <c r="D6352" s="7" t="n">
        <f aca="false">AVERAGE(B6153:B6352)</f>
        <v>16049.96725</v>
      </c>
      <c r="E6352" s="7" t="n">
        <f aca="false">B6352/MAX(B6101:B6352)-1</f>
        <v>-0.00462118799701627</v>
      </c>
      <c r="F6352" s="7" t="str">
        <f aca="false">IFERROR(INDEX(02_轉折點45個!B:B,MATCH(A6352,02_轉折點45個!A:A,0)),"")</f>
        <v/>
      </c>
      <c r="G6352" s="7" t="s">
        <v>5494</v>
      </c>
    </row>
    <row r="6353" customFormat="false" ht="15" hidden="false" customHeight="false" outlineLevel="0" collapsed="false">
      <c r="A6353" s="7" t="s">
        <v>6873</v>
      </c>
      <c r="B6353" s="7" t="n">
        <v>18293.2</v>
      </c>
      <c r="C6353" s="7" t="n">
        <f aca="false">AVERAGE(B6304:B6353)</f>
        <v>17860.79</v>
      </c>
      <c r="D6353" s="7" t="n">
        <f aca="false">AVERAGE(B6154:B6353)</f>
        <v>16066.929</v>
      </c>
      <c r="E6353" s="7" t="n">
        <f aca="false">B6353/MAX(B6102:B6353)-1</f>
        <v>-0.00252134198208875</v>
      </c>
      <c r="F6353" s="7" t="str">
        <f aca="false">IFERROR(INDEX(02_轉折點45個!B:B,MATCH(A6353,02_轉折點45個!A:A,0)),"")</f>
        <v/>
      </c>
      <c r="G6353" s="7" t="s">
        <v>5494</v>
      </c>
    </row>
    <row r="6354" customFormat="false" ht="15" hidden="false" customHeight="false" outlineLevel="0" collapsed="false">
      <c r="A6354" s="7" t="s">
        <v>1827</v>
      </c>
      <c r="B6354" s="7" t="n">
        <v>18121.78</v>
      </c>
      <c r="C6354" s="7" t="n">
        <f aca="false">AVERAGE(B6305:B6354)</f>
        <v>17876.9456</v>
      </c>
      <c r="D6354" s="7" t="n">
        <f aca="false">AVERAGE(B6155:B6354)</f>
        <v>16082.50945</v>
      </c>
      <c r="E6354" s="7" t="n">
        <f aca="false">B6354/MAX(B6103:B6354)-1</f>
        <v>-0.0118684103767618</v>
      </c>
      <c r="F6354" s="7" t="str">
        <f aca="false">IFERROR(INDEX(02_轉折點45個!B:B,MATCH(A6354,02_轉折點45個!A:A,0)),"")</f>
        <v/>
      </c>
      <c r="G6354" s="7" t="s">
        <v>5494</v>
      </c>
    </row>
    <row r="6355" customFormat="false" ht="15" hidden="false" customHeight="false" outlineLevel="0" collapsed="false">
      <c r="A6355" s="7" t="s">
        <v>6874</v>
      </c>
      <c r="B6355" s="7" t="n">
        <v>18160.19</v>
      </c>
      <c r="C6355" s="7" t="n">
        <f aca="false">AVERAGE(B6306:B6355)</f>
        <v>17893.5418</v>
      </c>
      <c r="D6355" s="7" t="n">
        <f aca="false">AVERAGE(B6156:B6355)</f>
        <v>16097.383</v>
      </c>
      <c r="E6355" s="7" t="n">
        <f aca="false">B6355/MAX(B6104:B6355)-1</f>
        <v>-0.00977401709103443</v>
      </c>
      <c r="F6355" s="7" t="str">
        <f aca="false">IFERROR(INDEX(02_轉折點45個!B:B,MATCH(A6355,02_轉折點45個!A:A,0)),"")</f>
        <v/>
      </c>
      <c r="G6355" s="7" t="s">
        <v>5494</v>
      </c>
    </row>
    <row r="6356" customFormat="false" ht="15" hidden="false" customHeight="false" outlineLevel="0" collapsed="false">
      <c r="A6356" s="7" t="s">
        <v>6875</v>
      </c>
      <c r="B6356" s="7" t="n">
        <v>17878.78</v>
      </c>
      <c r="C6356" s="7" t="n">
        <f aca="false">AVERAGE(B6307:B6356)</f>
        <v>17903.0332</v>
      </c>
      <c r="D6356" s="7" t="n">
        <f aca="false">AVERAGE(B6157:B6356)</f>
        <v>16111.3573</v>
      </c>
      <c r="E6356" s="7" t="n">
        <f aca="false">B6356/MAX(B6105:B6356)-1</f>
        <v>-0.0251185423328084</v>
      </c>
      <c r="F6356" s="7" t="str">
        <f aca="false">IFERROR(INDEX(02_轉折點45個!B:B,MATCH(A6356,02_轉折點45個!A:A,0)),"")</f>
        <v/>
      </c>
      <c r="G6356" s="7" t="s">
        <v>5494</v>
      </c>
    </row>
    <row r="6357" customFormat="false" ht="15" hidden="false" customHeight="false" outlineLevel="0" collapsed="false">
      <c r="A6357" s="7" t="s">
        <v>1828</v>
      </c>
      <c r="B6357" s="7" t="n">
        <v>18108.46</v>
      </c>
      <c r="C6357" s="7" t="n">
        <f aca="false">AVERAGE(B6308:B6357)</f>
        <v>17915.2164</v>
      </c>
      <c r="D6357" s="7" t="n">
        <f aca="false">AVERAGE(B6158:B6357)</f>
        <v>16126.54885</v>
      </c>
      <c r="E6357" s="7" t="n">
        <f aca="false">B6357/MAX(B6106:B6357)-1</f>
        <v>-0.0125947139062043</v>
      </c>
      <c r="F6357" s="7" t="str">
        <f aca="false">IFERROR(INDEX(02_轉折點45個!B:B,MATCH(A6357,02_轉折點45個!A:A,0)),"")</f>
        <v/>
      </c>
      <c r="G6357" s="7" t="s">
        <v>5494</v>
      </c>
    </row>
    <row r="6358" customFormat="false" ht="15" hidden="false" customHeight="false" outlineLevel="0" collapsed="false">
      <c r="A6358" s="7" t="s">
        <v>6876</v>
      </c>
      <c r="B6358" s="7" t="n">
        <v>18100.19</v>
      </c>
      <c r="C6358" s="7" t="n">
        <f aca="false">AVERAGE(B6309:B6358)</f>
        <v>17926.8804</v>
      </c>
      <c r="D6358" s="7" t="n">
        <f aca="false">AVERAGE(B6159:B6358)</f>
        <v>16142.71255</v>
      </c>
      <c r="E6358" s="7" t="n">
        <f aca="false">B6358/MAX(B6107:B6358)-1</f>
        <v>-0.0130456546110459</v>
      </c>
      <c r="F6358" s="7" t="str">
        <f aca="false">IFERROR(INDEX(02_轉折點45個!B:B,MATCH(A6358,02_轉折點45個!A:A,0)),"")</f>
        <v/>
      </c>
      <c r="G6358" s="7" t="s">
        <v>5494</v>
      </c>
    </row>
    <row r="6359" customFormat="false" ht="15" hidden="false" customHeight="false" outlineLevel="0" collapsed="false">
      <c r="A6359" s="7" t="s">
        <v>6877</v>
      </c>
      <c r="B6359" s="7" t="n">
        <v>18169.9</v>
      </c>
      <c r="C6359" s="7" t="n">
        <f aca="false">AVERAGE(B6310:B6359)</f>
        <v>17941.8582</v>
      </c>
      <c r="D6359" s="7" t="n">
        <f aca="false">AVERAGE(B6160:B6359)</f>
        <v>16158.35045</v>
      </c>
      <c r="E6359" s="7" t="n">
        <f aca="false">B6359/MAX(B6108:B6359)-1</f>
        <v>-0.00924455708571237</v>
      </c>
      <c r="F6359" s="7" t="str">
        <f aca="false">IFERROR(INDEX(02_轉折點45個!B:B,MATCH(A6359,02_轉折點45個!A:A,0)),"")</f>
        <v/>
      </c>
      <c r="G6359" s="7" t="s">
        <v>5494</v>
      </c>
    </row>
    <row r="6360" customFormat="false" ht="15" hidden="false" customHeight="false" outlineLevel="0" collapsed="false">
      <c r="A6360" s="7" t="s">
        <v>6878</v>
      </c>
      <c r="B6360" s="7" t="n">
        <v>18011.66</v>
      </c>
      <c r="C6360" s="7" t="n">
        <f aca="false">AVERAGE(B6311:B6360)</f>
        <v>17950.166</v>
      </c>
      <c r="D6360" s="7" t="n">
        <f aca="false">AVERAGE(B6161:B6360)</f>
        <v>16173.95135</v>
      </c>
      <c r="E6360" s="7" t="n">
        <f aca="false">B6360/MAX(B6109:B6360)-1</f>
        <v>-0.0178729557718228</v>
      </c>
      <c r="F6360" s="7" t="str">
        <f aca="false">IFERROR(INDEX(02_轉折點45個!B:B,MATCH(A6360,02_轉折點45個!A:A,0)),"")</f>
        <v/>
      </c>
      <c r="G6360" s="7" t="s">
        <v>5494</v>
      </c>
    </row>
    <row r="6361" customFormat="false" ht="15" hidden="false" customHeight="false" outlineLevel="0" collapsed="false">
      <c r="A6361" s="7" t="s">
        <v>6879</v>
      </c>
      <c r="B6361" s="7" t="n">
        <v>18307.98</v>
      </c>
      <c r="C6361" s="7" t="n">
        <f aca="false">AVERAGE(B6312:B6361)</f>
        <v>17966.7914</v>
      </c>
      <c r="D6361" s="7" t="n">
        <f aca="false">AVERAGE(B6162:B6361)</f>
        <v>16192.04615</v>
      </c>
      <c r="E6361" s="7" t="n">
        <f aca="false">B6361/MAX(B6110:B6361)-1</f>
        <v>-0.00171542860632601</v>
      </c>
      <c r="F6361" s="7" t="str">
        <f aca="false">IFERROR(INDEX(02_轉折點45個!B:B,MATCH(A6361,02_轉折點45個!A:A,0)),"")</f>
        <v/>
      </c>
      <c r="G6361" s="7" t="s">
        <v>5494</v>
      </c>
    </row>
    <row r="6362" customFormat="false" ht="15" hidden="false" customHeight="false" outlineLevel="0" collapsed="false">
      <c r="A6362" s="7" t="s">
        <v>1829</v>
      </c>
      <c r="B6362" s="7" t="n">
        <v>18003.49</v>
      </c>
      <c r="C6362" s="7" t="n">
        <f aca="false">AVERAGE(B6313:B6362)</f>
        <v>17984.1164</v>
      </c>
      <c r="D6362" s="7" t="n">
        <f aca="false">AVERAGE(B6163:B6362)</f>
        <v>16207.33405</v>
      </c>
      <c r="E6362" s="7" t="n">
        <f aca="false">B6362/MAX(B6111:B6362)-1</f>
        <v>-0.0183184437474643</v>
      </c>
      <c r="F6362" s="7" t="str">
        <f aca="false">IFERROR(INDEX(02_轉折點45個!B:B,MATCH(A6362,02_轉折點45個!A:A,0)),"")</f>
        <v/>
      </c>
      <c r="G6362" s="7" t="s">
        <v>5494</v>
      </c>
    </row>
    <row r="6363" customFormat="false" ht="15" hidden="false" customHeight="false" outlineLevel="0" collapsed="false">
      <c r="A6363" s="7" t="s">
        <v>1830</v>
      </c>
      <c r="B6363" s="7" t="n">
        <v>17706.83</v>
      </c>
      <c r="C6363" s="7" t="n">
        <f aca="false">AVERAGE(B6314:B6363)</f>
        <v>17991.3588</v>
      </c>
      <c r="D6363" s="7" t="n">
        <f aca="false">AVERAGE(B6164:B6363)</f>
        <v>16221.04535</v>
      </c>
      <c r="E6363" s="7" t="n">
        <f aca="false">B6363/MAX(B6112:B6363)-1</f>
        <v>-0.0344945101922413</v>
      </c>
      <c r="F6363" s="7" t="str">
        <f aca="false">IFERROR(INDEX(02_轉折點45個!B:B,MATCH(A6363,02_轉折點45個!A:A,0)),"")</f>
        <v/>
      </c>
      <c r="G6363" s="7" t="s">
        <v>5494</v>
      </c>
    </row>
    <row r="6364" customFormat="false" ht="15" hidden="false" customHeight="false" outlineLevel="0" collapsed="false">
      <c r="A6364" s="7" t="s">
        <v>6880</v>
      </c>
      <c r="B6364" s="7" t="n">
        <v>17713.66</v>
      </c>
      <c r="C6364" s="7" t="n">
        <f aca="false">AVERAGE(B6315:B6364)</f>
        <v>17992.7774</v>
      </c>
      <c r="D6364" s="7" t="n">
        <f aca="false">AVERAGE(B6165:B6364)</f>
        <v>16234.9139</v>
      </c>
      <c r="E6364" s="7" t="n">
        <f aca="false">B6364/MAX(B6113:B6364)-1</f>
        <v>-0.03412208878788</v>
      </c>
      <c r="F6364" s="7" t="str">
        <f aca="false">IFERROR(INDEX(02_轉折點45個!B:B,MATCH(A6364,02_轉折點45個!A:A,0)),"")</f>
        <v/>
      </c>
      <c r="G6364" s="7" t="s">
        <v>5494</v>
      </c>
    </row>
    <row r="6365" customFormat="false" ht="15" hidden="false" customHeight="false" outlineLevel="0" collapsed="false">
      <c r="A6365" s="7" t="s">
        <v>1831</v>
      </c>
      <c r="B6365" s="7" t="n">
        <v>17493.62</v>
      </c>
      <c r="C6365" s="7" t="n">
        <f aca="false">AVERAGE(B6316:B6365)</f>
        <v>17990.389</v>
      </c>
      <c r="D6365" s="7" t="n">
        <f aca="false">AVERAGE(B6166:B6365)</f>
        <v>16246.48595</v>
      </c>
      <c r="E6365" s="7" t="n">
        <f aca="false">B6365/MAX(B6114:B6365)-1</f>
        <v>-0.0461202741196023</v>
      </c>
      <c r="F6365" s="7" t="str">
        <f aca="false">IFERROR(INDEX(02_轉折點45個!B:B,MATCH(A6365,02_轉折點45個!A:A,0)),"")</f>
        <v/>
      </c>
      <c r="G6365" s="7" t="s">
        <v>5494</v>
      </c>
    </row>
    <row r="6366" customFormat="false" ht="15" hidden="false" customHeight="false" outlineLevel="0" collapsed="false">
      <c r="A6366" s="7" t="s">
        <v>6881</v>
      </c>
      <c r="B6366" s="7" t="n">
        <v>17394.31</v>
      </c>
      <c r="C6366" s="7" t="n">
        <f aca="false">AVERAGE(B6317:B6366)</f>
        <v>17986.8206</v>
      </c>
      <c r="D6366" s="7" t="n">
        <f aca="false">AVERAGE(B6167:B6366)</f>
        <v>16257.41405</v>
      </c>
      <c r="E6366" s="7" t="n">
        <f aca="false">B6366/MAX(B6115:B6366)-1</f>
        <v>-0.0515353794881412</v>
      </c>
      <c r="F6366" s="7" t="str">
        <f aca="false">IFERROR(INDEX(02_轉折點45個!B:B,MATCH(A6366,02_轉折點45個!A:A,0)),"")</f>
        <v/>
      </c>
      <c r="G6366" s="7" t="s">
        <v>5494</v>
      </c>
    </row>
    <row r="6367" customFormat="false" ht="15" hidden="false" customHeight="false" outlineLevel="0" collapsed="false">
      <c r="A6367" s="7" t="s">
        <v>1832</v>
      </c>
      <c r="B6367" s="7" t="n">
        <v>17037.65</v>
      </c>
      <c r="C6367" s="7" t="n">
        <f aca="false">AVERAGE(B6318:B6367)</f>
        <v>17972.4722</v>
      </c>
      <c r="D6367" s="7" t="n">
        <f aca="false">AVERAGE(B6168:B6367)</f>
        <v>16266.5834</v>
      </c>
      <c r="E6367" s="7" t="n">
        <f aca="false">B6367/MAX(B6116:B6367)-1</f>
        <v>-0.0709830834529297</v>
      </c>
      <c r="F6367" s="7" t="str">
        <f aca="false">IFERROR(INDEX(02_轉折點45個!B:B,MATCH(A6367,02_轉折點45個!A:A,0)),"")</f>
        <v/>
      </c>
      <c r="G6367" s="7" t="s">
        <v>5494</v>
      </c>
    </row>
    <row r="6368" customFormat="false" ht="15" hidden="false" customHeight="false" outlineLevel="0" collapsed="false">
      <c r="A6368" s="7" t="s">
        <v>6882</v>
      </c>
      <c r="B6368" s="7" t="n">
        <v>17210.89</v>
      </c>
      <c r="C6368" s="7" t="n">
        <f aca="false">AVERAGE(B6319:B6368)</f>
        <v>17961.0266</v>
      </c>
      <c r="D6368" s="7" t="n">
        <f aca="false">AVERAGE(B6169:B6368)</f>
        <v>16277.1906</v>
      </c>
      <c r="E6368" s="7" t="n">
        <f aca="false">B6368/MAX(B6117:B6368)-1</f>
        <v>-0.0615367753868166</v>
      </c>
      <c r="F6368" s="7" t="str">
        <f aca="false">IFERROR(INDEX(02_轉折點45個!B:B,MATCH(A6368,02_轉折點45個!A:A,0)),"")</f>
        <v/>
      </c>
      <c r="G6368" s="7" t="s">
        <v>5494</v>
      </c>
    </row>
    <row r="6369" customFormat="false" ht="15" hidden="false" customHeight="false" outlineLevel="0" collapsed="false">
      <c r="A6369" s="7" t="s">
        <v>1833</v>
      </c>
      <c r="B6369" s="7" t="n">
        <v>17471.47</v>
      </c>
      <c r="C6369" s="7" t="n">
        <f aca="false">AVERAGE(B6320:B6369)</f>
        <v>17951.2078</v>
      </c>
      <c r="D6369" s="7" t="n">
        <f aca="false">AVERAGE(B6170:B6369)</f>
        <v>16289.3637</v>
      </c>
      <c r="E6369" s="7" t="n">
        <f aca="false">B6369/MAX(B6118:B6369)-1</f>
        <v>-0.0473280536374064</v>
      </c>
      <c r="F6369" s="7" t="str">
        <f aca="false">IFERROR(INDEX(02_轉折點45個!B:B,MATCH(A6369,02_轉折點45個!A:A,0)),"")</f>
        <v/>
      </c>
      <c r="G6369" s="7" t="s">
        <v>5494</v>
      </c>
    </row>
    <row r="6370" customFormat="false" ht="15" hidden="false" customHeight="false" outlineLevel="0" collapsed="false">
      <c r="A6370" s="7" t="s">
        <v>6883</v>
      </c>
      <c r="B6370" s="7" t="n">
        <v>17526.8</v>
      </c>
      <c r="C6370" s="7" t="n">
        <f aca="false">AVERAGE(B6321:B6370)</f>
        <v>17944.0906</v>
      </c>
      <c r="D6370" s="7" t="n">
        <f aca="false">AVERAGE(B6171:B6370)</f>
        <v>16301.7695</v>
      </c>
      <c r="E6370" s="7" t="n">
        <f aca="false">B6370/MAX(B6119:B6370)-1</f>
        <v>-0.0443110585710359</v>
      </c>
      <c r="F6370" s="7" t="str">
        <f aca="false">IFERROR(INDEX(02_轉折點45個!B:B,MATCH(A6370,02_轉折點45個!A:A,0)),"")</f>
        <v/>
      </c>
      <c r="G6370" s="7" t="s">
        <v>5494</v>
      </c>
    </row>
    <row r="6371" customFormat="false" ht="15" hidden="false" customHeight="false" outlineLevel="0" collapsed="false">
      <c r="A6371" s="7" t="s">
        <v>6884</v>
      </c>
      <c r="B6371" s="7" t="n">
        <v>17430.5</v>
      </c>
      <c r="C6371" s="7" t="n">
        <f aca="false">AVERAGE(B6322:B6371)</f>
        <v>17940.6922</v>
      </c>
      <c r="D6371" s="7" t="n">
        <f aca="false">AVERAGE(B6172:B6371)</f>
        <v>16313.3267</v>
      </c>
      <c r="E6371" s="7" t="n">
        <f aca="false">B6371/MAX(B6120:B6371)-1</f>
        <v>-0.0495620367906544</v>
      </c>
      <c r="F6371" s="7" t="str">
        <f aca="false">IFERROR(INDEX(02_轉折點45個!B:B,MATCH(A6371,02_轉折點45個!A:A,0)),"")</f>
        <v/>
      </c>
      <c r="G6371" s="7" t="s">
        <v>5494</v>
      </c>
    </row>
    <row r="6372" customFormat="false" ht="15" hidden="false" customHeight="false" outlineLevel="0" collapsed="false">
      <c r="A6372" s="7" t="s">
        <v>6885</v>
      </c>
      <c r="B6372" s="7" t="n">
        <v>17718.3</v>
      </c>
      <c r="C6372" s="7" t="n">
        <f aca="false">AVERAGE(B6323:B6372)</f>
        <v>17938.9056</v>
      </c>
      <c r="D6372" s="7" t="n">
        <f aca="false">AVERAGE(B6173:B6372)</f>
        <v>16325.38205</v>
      </c>
      <c r="E6372" s="7" t="n">
        <f aca="false">B6372/MAX(B6121:B6372)-1</f>
        <v>-0.0338690821529992</v>
      </c>
      <c r="F6372" s="7" t="str">
        <f aca="false">IFERROR(INDEX(02_轉折點45個!B:B,MATCH(A6372,02_轉折點45個!A:A,0)),"")</f>
        <v/>
      </c>
      <c r="G6372" s="7" t="s">
        <v>5494</v>
      </c>
    </row>
    <row r="6373" customFormat="false" ht="15" hidden="false" customHeight="false" outlineLevel="0" collapsed="false">
      <c r="A6373" s="7" t="s">
        <v>6886</v>
      </c>
      <c r="B6373" s="7" t="n">
        <v>17782.72</v>
      </c>
      <c r="C6373" s="7" t="n">
        <f aca="false">AVERAGE(B6324:B6373)</f>
        <v>17937.6456</v>
      </c>
      <c r="D6373" s="7" t="n">
        <f aca="false">AVERAGE(B6174:B6373)</f>
        <v>16336.43575</v>
      </c>
      <c r="E6373" s="7" t="n">
        <f aca="false">B6373/MAX(B6122:B6373)-1</f>
        <v>-0.0303564340023468</v>
      </c>
      <c r="F6373" s="7" t="str">
        <f aca="false">IFERROR(INDEX(02_轉折點45個!B:B,MATCH(A6373,02_轉折點45個!A:A,0)),"")</f>
        <v/>
      </c>
      <c r="G6373" s="7" t="s">
        <v>5494</v>
      </c>
    </row>
    <row r="6374" customFormat="false" ht="15" hidden="false" customHeight="false" outlineLevel="0" collapsed="false">
      <c r="A6374" s="7" t="s">
        <v>6887</v>
      </c>
      <c r="B6374" s="7" t="n">
        <v>17440.69</v>
      </c>
      <c r="C6374" s="7" t="n">
        <f aca="false">AVERAGE(B6325:B6374)</f>
        <v>17932.7398</v>
      </c>
      <c r="D6374" s="7" t="n">
        <f aca="false">AVERAGE(B6175:B6374)</f>
        <v>16345.8112</v>
      </c>
      <c r="E6374" s="7" t="n">
        <f aca="false">B6374/MAX(B6123:B6374)-1</f>
        <v>-0.0490064036851725</v>
      </c>
      <c r="F6374" s="7" t="str">
        <f aca="false">IFERROR(INDEX(02_轉折點45個!B:B,MATCH(A6374,02_轉折點45個!A:A,0)),"")</f>
        <v/>
      </c>
      <c r="G6374" s="7" t="s">
        <v>5494</v>
      </c>
    </row>
    <row r="6375" customFormat="false" ht="15" hidden="false" customHeight="false" outlineLevel="0" collapsed="false">
      <c r="A6375" s="7" t="s">
        <v>6888</v>
      </c>
      <c r="B6375" s="7" t="n">
        <v>17318.55</v>
      </c>
      <c r="C6375" s="7" t="n">
        <f aca="false">AVERAGE(B6326:B6375)</f>
        <v>17928.1888</v>
      </c>
      <c r="D6375" s="7" t="n">
        <f aca="false">AVERAGE(B6176:B6375)</f>
        <v>16353.83755</v>
      </c>
      <c r="E6375" s="7" t="n">
        <f aca="false">B6375/MAX(B6124:B6375)-1</f>
        <v>-0.0556663671300759</v>
      </c>
      <c r="F6375" s="7" t="str">
        <f aca="false">IFERROR(INDEX(02_轉折點45個!B:B,MATCH(A6375,02_轉折點45個!A:A,0)),"")</f>
        <v/>
      </c>
      <c r="G6375" s="7" t="s">
        <v>5494</v>
      </c>
    </row>
    <row r="6376" customFormat="false" ht="15" hidden="false" customHeight="false" outlineLevel="0" collapsed="false">
      <c r="A6376" s="7" t="s">
        <v>1834</v>
      </c>
      <c r="B6376" s="7" t="n">
        <v>17541.54</v>
      </c>
      <c r="C6376" s="7" t="n">
        <f aca="false">AVERAGE(B6327:B6376)</f>
        <v>17929.4414</v>
      </c>
      <c r="D6376" s="7" t="n">
        <f aca="false">AVERAGE(B6177:B6376)</f>
        <v>16362.3385</v>
      </c>
      <c r="E6376" s="7" t="n">
        <f aca="false">B6376/MAX(B6125:B6376)-1</f>
        <v>-0.0435073262869531</v>
      </c>
      <c r="F6376" s="7" t="str">
        <f aca="false">IFERROR(INDEX(02_轉折點45個!B:B,MATCH(A6376,02_轉折點45個!A:A,0)),"")</f>
        <v/>
      </c>
      <c r="G6376" s="7" t="s">
        <v>5494</v>
      </c>
    </row>
    <row r="6377" customFormat="false" ht="15" hidden="false" customHeight="false" outlineLevel="0" collapsed="false">
      <c r="A6377" s="7" t="s">
        <v>6889</v>
      </c>
      <c r="B6377" s="7" t="n">
        <v>17890.8</v>
      </c>
      <c r="C6377" s="7" t="n">
        <f aca="false">AVERAGE(B6328:B6377)</f>
        <v>17927.1634</v>
      </c>
      <c r="D6377" s="7" t="n">
        <f aca="false">AVERAGE(B6178:B6377)</f>
        <v>16372.66075</v>
      </c>
      <c r="E6377" s="7" t="n">
        <f aca="false">B6377/MAX(B6126:B6377)-1</f>
        <v>-0.024463124282966</v>
      </c>
      <c r="F6377" s="7" t="str">
        <f aca="false">IFERROR(INDEX(02_轉折點45個!B:B,MATCH(A6377,02_轉折點45個!A:A,0)),"")</f>
        <v/>
      </c>
      <c r="G6377" s="7" t="s">
        <v>5494</v>
      </c>
    </row>
    <row r="6378" customFormat="false" ht="15" hidden="false" customHeight="false" outlineLevel="0" collapsed="false">
      <c r="A6378" s="7" t="s">
        <v>6890</v>
      </c>
      <c r="B6378" s="7" t="n">
        <v>18093.57</v>
      </c>
      <c r="C6378" s="7" t="n">
        <f aca="false">AVERAGE(B6329:B6378)</f>
        <v>17930.2826</v>
      </c>
      <c r="D6378" s="7" t="n">
        <f aca="false">AVERAGE(B6179:B6378)</f>
        <v>16385.79815</v>
      </c>
      <c r="E6378" s="7" t="n">
        <f aca="false">B6378/MAX(B6127:B6378)-1</f>
        <v>-0.0134066252840871</v>
      </c>
      <c r="F6378" s="7" t="str">
        <f aca="false">IFERROR(INDEX(02_轉折點45個!B:B,MATCH(A6378,02_轉折點45個!A:A,0)),"")</f>
        <v/>
      </c>
      <c r="G6378" s="7" t="s">
        <v>5494</v>
      </c>
    </row>
    <row r="6379" customFormat="false" ht="15" hidden="false" customHeight="false" outlineLevel="0" collapsed="false">
      <c r="A6379" s="7" t="s">
        <v>6891</v>
      </c>
      <c r="B6379" s="7" t="n">
        <v>18091.45</v>
      </c>
      <c r="C6379" s="7" t="n">
        <f aca="false">AVERAGE(B6330:B6379)</f>
        <v>17933.445</v>
      </c>
      <c r="D6379" s="7" t="n">
        <f aca="false">AVERAGE(B6180:B6379)</f>
        <v>16399.12705</v>
      </c>
      <c r="E6379" s="7" t="n">
        <f aca="false">B6379/MAX(B6128:B6379)-1</f>
        <v>-0.0135222231431275</v>
      </c>
      <c r="F6379" s="7" t="str">
        <f aca="false">IFERROR(INDEX(02_轉折點45個!B:B,MATCH(A6379,02_轉折點45個!A:A,0)),"")</f>
        <v/>
      </c>
      <c r="G6379" s="7" t="s">
        <v>5494</v>
      </c>
    </row>
    <row r="6380" customFormat="false" ht="15" hidden="false" customHeight="false" outlineLevel="0" collapsed="false">
      <c r="A6380" s="7" t="s">
        <v>6892</v>
      </c>
      <c r="B6380" s="7" t="n">
        <v>18085.01</v>
      </c>
      <c r="C6380" s="7" t="n">
        <f aca="false">AVERAGE(B6331:B6380)</f>
        <v>17935.7242</v>
      </c>
      <c r="D6380" s="7" t="n">
        <f aca="false">AVERAGE(B6181:B6380)</f>
        <v>16412.312</v>
      </c>
      <c r="E6380" s="7" t="n">
        <f aca="false">B6380/MAX(B6129:B6380)-1</f>
        <v>-0.0138733789036088</v>
      </c>
      <c r="F6380" s="7" t="str">
        <f aca="false">IFERROR(INDEX(02_轉折點45個!B:B,MATCH(A6380,02_轉折點45個!A:A,0)),"")</f>
        <v/>
      </c>
      <c r="G6380" s="7" t="s">
        <v>5494</v>
      </c>
    </row>
    <row r="6381" customFormat="false" ht="15" hidden="false" customHeight="false" outlineLevel="0" collapsed="false">
      <c r="A6381" s="7" t="s">
        <v>6893</v>
      </c>
      <c r="B6381" s="7" t="n">
        <v>18113.46</v>
      </c>
      <c r="C6381" s="7" t="n">
        <f aca="false">AVERAGE(B6332:B6381)</f>
        <v>17940.5034</v>
      </c>
      <c r="D6381" s="7" t="n">
        <f aca="false">AVERAGE(B6182:B6381)</f>
        <v>16425.0722</v>
      </c>
      <c r="E6381" s="7" t="n">
        <f aca="false">B6381/MAX(B6130:B6381)-1</f>
        <v>-0.0123220774462034</v>
      </c>
      <c r="F6381" s="7" t="str">
        <f aca="false">IFERROR(INDEX(02_轉折點45個!B:B,MATCH(A6381,02_轉折點45個!A:A,0)),"")</f>
        <v/>
      </c>
      <c r="G6381" s="7" t="s">
        <v>5494</v>
      </c>
    </row>
    <row r="6382" customFormat="false" ht="15" hidden="false" customHeight="false" outlineLevel="0" collapsed="false">
      <c r="A6382" s="7" t="s">
        <v>6894</v>
      </c>
      <c r="B6382" s="7" t="n">
        <v>18161.18</v>
      </c>
      <c r="C6382" s="7" t="n">
        <f aca="false">AVERAGE(B6333:B6382)</f>
        <v>17942.85</v>
      </c>
      <c r="D6382" s="7" t="n">
        <f aca="false">AVERAGE(B6183:B6382)</f>
        <v>16438.3818</v>
      </c>
      <c r="E6382" s="7" t="n">
        <f aca="false">B6382/MAX(B6131:B6382)-1</f>
        <v>-0.00972003507195418</v>
      </c>
      <c r="F6382" s="7" t="str">
        <f aca="false">IFERROR(INDEX(02_轉折點45個!B:B,MATCH(A6382,02_轉折點45個!A:A,0)),"")</f>
        <v/>
      </c>
      <c r="G6382" s="7" t="s">
        <v>5494</v>
      </c>
    </row>
    <row r="6383" customFormat="false" ht="15" hidden="false" customHeight="false" outlineLevel="0" collapsed="false">
      <c r="A6383" s="7" t="s">
        <v>6895</v>
      </c>
      <c r="B6383" s="7" t="n">
        <v>18198.61</v>
      </c>
      <c r="C6383" s="7" t="n">
        <f aca="false">AVERAGE(B6334:B6383)</f>
        <v>17940.764</v>
      </c>
      <c r="D6383" s="7" t="n">
        <f aca="false">AVERAGE(B6184:B6383)</f>
        <v>16452.0502</v>
      </c>
      <c r="E6383" s="7" t="n">
        <f aca="false">B6383/MAX(B6132:B6383)-1</f>
        <v>-0.00767907853238692</v>
      </c>
      <c r="F6383" s="7" t="str">
        <f aca="false">IFERROR(INDEX(02_轉折點45個!B:B,MATCH(A6383,02_轉折點45個!A:A,0)),"")</f>
        <v/>
      </c>
      <c r="G6383" s="7" t="s">
        <v>5494</v>
      </c>
    </row>
    <row r="6384" customFormat="false" ht="15" hidden="false" customHeight="false" outlineLevel="0" collapsed="false">
      <c r="A6384" s="7" t="s">
        <v>6896</v>
      </c>
      <c r="B6384" s="7" t="n">
        <v>18322.77</v>
      </c>
      <c r="C6384" s="7" t="n">
        <f aca="false">AVERAGE(B6335:B6384)</f>
        <v>17942.6898</v>
      </c>
      <c r="D6384" s="7" t="n">
        <f aca="false">AVERAGE(B6185:B6384)</f>
        <v>16464.9094</v>
      </c>
      <c r="E6384" s="7" t="n">
        <f aca="false">B6384/MAX(B6133:B6384)-1</f>
        <v>-0.000908969957643113</v>
      </c>
      <c r="F6384" s="7" t="str">
        <f aca="false">IFERROR(INDEX(02_轉折點45個!B:B,MATCH(A6384,02_轉折點45個!A:A,0)),"")</f>
        <v/>
      </c>
      <c r="G6384" s="7" t="s">
        <v>5494</v>
      </c>
    </row>
    <row r="6385" customFormat="false" ht="15" hidden="false" customHeight="false" outlineLevel="0" collapsed="false">
      <c r="A6385" s="7" t="s">
        <v>6897</v>
      </c>
      <c r="B6385" s="7" t="n">
        <v>18596.65</v>
      </c>
      <c r="C6385" s="7" t="n">
        <f aca="false">AVERAGE(B6336:B6385)</f>
        <v>17956.6654</v>
      </c>
      <c r="D6385" s="7" t="n">
        <f aca="false">AVERAGE(B6186:B6385)</f>
        <v>16479.10765</v>
      </c>
      <c r="E6385" s="7" t="n">
        <f aca="false">B6385/MAX(B6134:B6385)-1</f>
        <v>0</v>
      </c>
      <c r="F6385" s="7" t="str">
        <f aca="false">IFERROR(INDEX(02_轉折點45個!B:B,MATCH(A6385,02_轉折點45個!A:A,0)),"")</f>
        <v/>
      </c>
      <c r="G6385" s="7" t="s">
        <v>5494</v>
      </c>
    </row>
    <row r="6386" customFormat="false" ht="15" hidden="false" customHeight="false" outlineLevel="0" collapsed="false">
      <c r="A6386" s="7" t="s">
        <v>6898</v>
      </c>
      <c r="B6386" s="7" t="n">
        <v>18557.96</v>
      </c>
      <c r="C6386" s="7" t="n">
        <f aca="false">AVERAGE(B6337:B6386)</f>
        <v>17967.4732</v>
      </c>
      <c r="D6386" s="7" t="n">
        <f aca="false">AVERAGE(B6187:B6386)</f>
        <v>16493.3074</v>
      </c>
      <c r="E6386" s="7" t="n">
        <f aca="false">B6386/MAX(B6135:B6386)-1</f>
        <v>-0.00208048223739232</v>
      </c>
      <c r="F6386" s="7" t="str">
        <f aca="false">IFERROR(INDEX(02_轉折點45個!B:B,MATCH(A6386,02_轉折點45個!A:A,0)),"")</f>
        <v/>
      </c>
      <c r="G6386" s="7" t="s">
        <v>5494</v>
      </c>
    </row>
    <row r="6387" customFormat="false" ht="15" hidden="false" customHeight="false" outlineLevel="0" collapsed="false">
      <c r="A6387" s="7" t="s">
        <v>6899</v>
      </c>
      <c r="B6387" s="7" t="n">
        <v>18546.23</v>
      </c>
      <c r="C6387" s="7" t="n">
        <f aca="false">AVERAGE(B6338:B6387)</f>
        <v>17972.438</v>
      </c>
      <c r="D6387" s="7" t="n">
        <f aca="false">AVERAGE(B6188:B6387)</f>
        <v>16509.18485</v>
      </c>
      <c r="E6387" s="7" t="n">
        <f aca="false">B6387/MAX(B6136:B6387)-1</f>
        <v>-0.00271124100308395</v>
      </c>
      <c r="F6387" s="7" t="str">
        <f aca="false">IFERROR(INDEX(02_轉折點45個!B:B,MATCH(A6387,02_轉折點45個!A:A,0)),"")</f>
        <v/>
      </c>
      <c r="G6387" s="7" t="s">
        <v>5494</v>
      </c>
    </row>
    <row r="6388" customFormat="false" ht="15" hidden="false" customHeight="false" outlineLevel="0" collapsed="false">
      <c r="A6388" s="7" t="s">
        <v>6900</v>
      </c>
      <c r="B6388" s="7" t="n">
        <v>18674.19</v>
      </c>
      <c r="C6388" s="7" t="n">
        <f aca="false">AVERAGE(B6339:B6388)</f>
        <v>17985.5528</v>
      </c>
      <c r="D6388" s="7" t="n">
        <f aca="false">AVERAGE(B6189:B6388)</f>
        <v>16525.7881</v>
      </c>
      <c r="E6388" s="7" t="n">
        <f aca="false">B6388/MAX(B6137:B6388)-1</f>
        <v>0</v>
      </c>
      <c r="F6388" s="7" t="str">
        <f aca="false">IFERROR(INDEX(02_轉折點45個!B:B,MATCH(A6388,02_轉折點45個!A:A,0)),"")</f>
        <v/>
      </c>
      <c r="G6388" s="7" t="s">
        <v>5494</v>
      </c>
    </row>
    <row r="6389" customFormat="false" ht="15" hidden="false" customHeight="false" outlineLevel="0" collapsed="false">
      <c r="A6389" s="7" t="s">
        <v>6901</v>
      </c>
      <c r="B6389" s="7" t="n">
        <v>18713.8</v>
      </c>
      <c r="C6389" s="7" t="n">
        <f aca="false">AVERAGE(B6340:B6389)</f>
        <v>18000.795</v>
      </c>
      <c r="D6389" s="7" t="n">
        <f aca="false">AVERAGE(B6190:B6389)</f>
        <v>16542.9825</v>
      </c>
      <c r="E6389" s="7" t="n">
        <f aca="false">B6389/MAX(B6138:B6389)-1</f>
        <v>0</v>
      </c>
      <c r="F6389" s="7" t="str">
        <f aca="false">IFERROR(INDEX(02_轉折點45個!B:B,MATCH(A6389,02_轉折點45個!A:A,0)),"")</f>
        <v/>
      </c>
      <c r="G6389" s="7" t="s">
        <v>5494</v>
      </c>
    </row>
    <row r="6390" customFormat="false" ht="15" hidden="false" customHeight="false" outlineLevel="0" collapsed="false">
      <c r="A6390" s="7" t="s">
        <v>6902</v>
      </c>
      <c r="B6390" s="7" t="n">
        <v>18705.2</v>
      </c>
      <c r="C6390" s="7" t="n">
        <f aca="false">AVERAGE(B6341:B6390)</f>
        <v>18010.5168</v>
      </c>
      <c r="D6390" s="7" t="n">
        <f aca="false">AVERAGE(B6191:B6390)</f>
        <v>16559.46925</v>
      </c>
      <c r="E6390" s="7" t="n">
        <f aca="false">B6390/MAX(B6139:B6390)-1</f>
        <v>-0.000459553912086186</v>
      </c>
      <c r="F6390" s="7" t="str">
        <f aca="false">IFERROR(INDEX(02_轉折點45個!B:B,MATCH(A6390,02_轉折點45個!A:A,0)),"")</f>
        <v/>
      </c>
      <c r="G6390" s="7" t="s">
        <v>5494</v>
      </c>
    </row>
    <row r="6391" customFormat="false" ht="15" hidden="false" customHeight="false" outlineLevel="0" collapsed="false">
      <c r="A6391" s="7" t="s">
        <v>6903</v>
      </c>
      <c r="B6391" s="7" t="n">
        <v>18623.39</v>
      </c>
      <c r="C6391" s="7" t="n">
        <f aca="false">AVERAGE(B6342:B6391)</f>
        <v>18021.6152</v>
      </c>
      <c r="D6391" s="7" t="n">
        <f aca="false">AVERAGE(B6192:B6391)</f>
        <v>16576.22095</v>
      </c>
      <c r="E6391" s="7" t="n">
        <f aca="false">B6391/MAX(B6140:B6391)-1</f>
        <v>-0.00483119409206034</v>
      </c>
      <c r="F6391" s="7" t="str">
        <f aca="false">IFERROR(INDEX(02_轉折點45個!B:B,MATCH(A6391,02_轉折點45個!A:A,0)),"")</f>
        <v/>
      </c>
      <c r="G6391" s="7" t="s">
        <v>5494</v>
      </c>
    </row>
    <row r="6392" customFormat="false" ht="15" hidden="false" customHeight="false" outlineLevel="0" collapsed="false">
      <c r="A6392" s="7" t="s">
        <v>6904</v>
      </c>
      <c r="B6392" s="7" t="n">
        <v>18808.35</v>
      </c>
      <c r="C6392" s="7" t="n">
        <f aca="false">AVERAGE(B6343:B6392)</f>
        <v>18037.486</v>
      </c>
      <c r="D6392" s="7" t="n">
        <f aca="false">AVERAGE(B6193:B6392)</f>
        <v>16594.75415</v>
      </c>
      <c r="E6392" s="7" t="n">
        <f aca="false">B6392/MAX(B6141:B6392)-1</f>
        <v>0</v>
      </c>
      <c r="F6392" s="7" t="str">
        <f aca="false">IFERROR(INDEX(02_轉折點45個!B:B,MATCH(A6392,02_轉折點45個!A:A,0)),"")</f>
        <v/>
      </c>
      <c r="G6392" s="7" t="s">
        <v>5494</v>
      </c>
    </row>
    <row r="6393" customFormat="false" ht="15" hidden="false" customHeight="false" outlineLevel="0" collapsed="false">
      <c r="A6393" s="7" t="s">
        <v>6905</v>
      </c>
      <c r="B6393" s="7" t="n">
        <v>18869.44</v>
      </c>
      <c r="C6393" s="7" t="n">
        <f aca="false">AVERAGE(B6344:B6393)</f>
        <v>18058.7098</v>
      </c>
      <c r="D6393" s="7" t="n">
        <f aca="false">AVERAGE(B6194:B6393)</f>
        <v>16613.45715</v>
      </c>
      <c r="E6393" s="7" t="n">
        <f aca="false">B6393/MAX(B6142:B6393)-1</f>
        <v>0</v>
      </c>
      <c r="F6393" s="7" t="str">
        <f aca="false">IFERROR(INDEX(02_轉折點45個!B:B,MATCH(A6393,02_轉折點45個!A:A,0)),"")</f>
        <v/>
      </c>
      <c r="G6393" s="7" t="s">
        <v>5494</v>
      </c>
    </row>
    <row r="6394" customFormat="false" ht="15" hidden="false" customHeight="false" outlineLevel="0" collapsed="false">
      <c r="A6394" s="7" t="s">
        <v>6906</v>
      </c>
      <c r="B6394" s="7" t="n">
        <v>18736.75</v>
      </c>
      <c r="C6394" s="7" t="n">
        <f aca="false">AVERAGE(B6345:B6394)</f>
        <v>18073.7446</v>
      </c>
      <c r="D6394" s="7" t="n">
        <f aca="false">AVERAGE(B6195:B6394)</f>
        <v>16632.00055</v>
      </c>
      <c r="E6394" s="7" t="n">
        <f aca="false">B6394/MAX(B6143:B6394)-1</f>
        <v>-0.00703200518934311</v>
      </c>
      <c r="F6394" s="7" t="str">
        <f aca="false">IFERROR(INDEX(02_轉折點45個!B:B,MATCH(A6394,02_轉折點45個!A:A,0)),"")</f>
        <v/>
      </c>
      <c r="G6394" s="7" t="s">
        <v>5494</v>
      </c>
    </row>
    <row r="6395" customFormat="false" ht="15" hidden="false" customHeight="false" outlineLevel="0" collapsed="false">
      <c r="A6395" s="7" t="s">
        <v>6907</v>
      </c>
      <c r="B6395" s="7" t="n">
        <v>18538.66</v>
      </c>
      <c r="C6395" s="7" t="n">
        <f aca="false">AVERAGE(B6346:B6395)</f>
        <v>18083.8738</v>
      </c>
      <c r="D6395" s="7" t="n">
        <f aca="false">AVERAGE(B6196:B6395)</f>
        <v>16648.6659</v>
      </c>
      <c r="E6395" s="7" t="n">
        <f aca="false">B6395/MAX(B6144:B6395)-1</f>
        <v>-0.0175299319958621</v>
      </c>
      <c r="F6395" s="7" t="str">
        <f aca="false">IFERROR(INDEX(02_轉折點45個!B:B,MATCH(A6395,02_轉折點45個!A:A,0)),"")</f>
        <v/>
      </c>
      <c r="G6395" s="7" t="s">
        <v>5494</v>
      </c>
    </row>
    <row r="6396" customFormat="false" ht="15" hidden="false" customHeight="false" outlineLevel="0" collapsed="false">
      <c r="A6396" s="7" t="s">
        <v>6908</v>
      </c>
      <c r="B6396" s="7" t="n">
        <v>18536.65</v>
      </c>
      <c r="C6396" s="7" t="n">
        <f aca="false">AVERAGE(B6347:B6396)</f>
        <v>18089.8046</v>
      </c>
      <c r="D6396" s="7" t="n">
        <f aca="false">AVERAGE(B6197:B6396)</f>
        <v>16666.1609</v>
      </c>
      <c r="E6396" s="7" t="n">
        <f aca="false">B6396/MAX(B6145:B6396)-1</f>
        <v>-0.0176364534400596</v>
      </c>
      <c r="F6396" s="7" t="str">
        <f aca="false">IFERROR(INDEX(02_轉折點45個!B:B,MATCH(A6396,02_轉折點45個!A:A,0)),"")</f>
        <v/>
      </c>
      <c r="G6396" s="7" t="s">
        <v>5494</v>
      </c>
    </row>
    <row r="6397" customFormat="false" ht="15" hidden="false" customHeight="false" outlineLevel="0" collapsed="false">
      <c r="A6397" s="7" t="s">
        <v>1835</v>
      </c>
      <c r="B6397" s="7" t="n">
        <v>18600.97</v>
      </c>
      <c r="C6397" s="7" t="n">
        <f aca="false">AVERAGE(B6348:B6397)</f>
        <v>18095.4164</v>
      </c>
      <c r="D6397" s="7" t="n">
        <f aca="false">AVERAGE(B6198:B6397)</f>
        <v>16684.7834</v>
      </c>
      <c r="E6397" s="7" t="n">
        <f aca="false">B6397/MAX(B6146:B6397)-1</f>
        <v>-0.0142277672257363</v>
      </c>
      <c r="F6397" s="7" t="str">
        <f aca="false">IFERROR(INDEX(02_轉折點45個!B:B,MATCH(A6397,02_轉折點45個!A:A,0)),"")</f>
        <v/>
      </c>
      <c r="G6397" s="7" t="s">
        <v>5494</v>
      </c>
    </row>
    <row r="6398" customFormat="false" ht="15" hidden="false" customHeight="false" outlineLevel="0" collapsed="false">
      <c r="A6398" s="7" t="s">
        <v>6909</v>
      </c>
      <c r="B6398" s="7" t="n">
        <v>18654.84</v>
      </c>
      <c r="C6398" s="7" t="n">
        <f aca="false">AVERAGE(B6349:B6398)</f>
        <v>18101.7244</v>
      </c>
      <c r="D6398" s="7" t="n">
        <f aca="false">AVERAGE(B6199:B6398)</f>
        <v>16704.47855</v>
      </c>
      <c r="E6398" s="7" t="n">
        <f aca="false">B6398/MAX(B6147:B6398)-1</f>
        <v>-0.0113728865297539</v>
      </c>
      <c r="F6398" s="7" t="str">
        <f aca="false">IFERROR(INDEX(02_轉折點45個!B:B,MATCH(A6398,02_轉折點45個!A:A,0)),"")</f>
        <v/>
      </c>
      <c r="G6398" s="7" t="s">
        <v>5494</v>
      </c>
    </row>
    <row r="6399" customFormat="false" ht="15" hidden="false" customHeight="false" outlineLevel="0" collapsed="false">
      <c r="A6399" s="7" t="s">
        <v>6910</v>
      </c>
      <c r="B6399" s="7" t="n">
        <v>19035.05</v>
      </c>
      <c r="C6399" s="7" t="n">
        <f aca="false">AVERAGE(B6350:B6399)</f>
        <v>18116.8842</v>
      </c>
      <c r="D6399" s="7" t="n">
        <f aca="false">AVERAGE(B6200:B6399)</f>
        <v>16726.1796</v>
      </c>
      <c r="E6399" s="7" t="n">
        <f aca="false">B6399/MAX(B6148:B6399)-1</f>
        <v>0</v>
      </c>
      <c r="F6399" s="7" t="str">
        <f aca="false">IFERROR(INDEX(02_轉折點45個!B:B,MATCH(A6399,02_轉折點45個!A:A,0)),"")</f>
        <v/>
      </c>
      <c r="G6399" s="7" t="s">
        <v>5494</v>
      </c>
    </row>
    <row r="6400" customFormat="false" ht="15" hidden="false" customHeight="false" outlineLevel="0" collapsed="false">
      <c r="A6400" s="7" t="s">
        <v>6911</v>
      </c>
      <c r="B6400" s="7" t="n">
        <v>19021.19</v>
      </c>
      <c r="C6400" s="7" t="n">
        <f aca="false">AVERAGE(B6351:B6400)</f>
        <v>18133.0972</v>
      </c>
      <c r="D6400" s="7" t="n">
        <f aca="false">AVERAGE(B6201:B6400)</f>
        <v>16746.6021</v>
      </c>
      <c r="E6400" s="7" t="n">
        <f aca="false">B6400/MAX(B6149:B6400)-1</f>
        <v>-0.000728130475097233</v>
      </c>
      <c r="F6400" s="7" t="str">
        <f aca="false">IFERROR(INDEX(02_轉折點45個!B:B,MATCH(A6400,02_轉折點45個!A:A,0)),"")</f>
        <v/>
      </c>
      <c r="G6400" s="7" t="s">
        <v>5494</v>
      </c>
    </row>
    <row r="6401" customFormat="false" ht="15" hidden="false" customHeight="false" outlineLevel="0" collapsed="false">
      <c r="A6401" s="7" t="s">
        <v>1836</v>
      </c>
      <c r="B6401" s="7" t="n">
        <v>19000.95</v>
      </c>
      <c r="C6401" s="7" t="n">
        <f aca="false">AVERAGE(B6352:B6401)</f>
        <v>18147.4994</v>
      </c>
      <c r="D6401" s="7" t="n">
        <f aca="false">AVERAGE(B6202:B6401)</f>
        <v>16767.06205</v>
      </c>
      <c r="E6401" s="7" t="n">
        <f aca="false">B6401/MAX(B6150:B6401)-1</f>
        <v>-0.00179143212127098</v>
      </c>
      <c r="F6401" s="7" t="str">
        <f aca="false">IFERROR(INDEX(02_轉折點45個!B:B,MATCH(A6401,02_轉折點45個!A:A,0)),"")</f>
        <v/>
      </c>
      <c r="G6401" s="7" t="s">
        <v>5494</v>
      </c>
    </row>
    <row r="6402" customFormat="false" ht="15" hidden="false" customHeight="false" outlineLevel="0" collapsed="false">
      <c r="A6402" s="7" t="s">
        <v>6912</v>
      </c>
      <c r="B6402" s="7" t="n">
        <v>19074.67</v>
      </c>
      <c r="C6402" s="7" t="n">
        <f aca="false">AVERAGE(B6353:B6402)</f>
        <v>18163.899</v>
      </c>
      <c r="D6402" s="7" t="n">
        <f aca="false">AVERAGE(B6203:B6402)</f>
        <v>16786.6951</v>
      </c>
      <c r="E6402" s="7" t="n">
        <f aca="false">B6402/MAX(B6151:B6402)-1</f>
        <v>0</v>
      </c>
      <c r="F6402" s="7" t="str">
        <f aca="false">IFERROR(INDEX(02_轉折點45個!B:B,MATCH(A6402,02_轉折點45個!A:A,0)),"")</f>
        <v/>
      </c>
      <c r="G6402" s="7" t="s">
        <v>5494</v>
      </c>
    </row>
    <row r="6403" customFormat="false" ht="15" hidden="false" customHeight="false" outlineLevel="0" collapsed="false">
      <c r="A6403" s="7" t="s">
        <v>6913</v>
      </c>
      <c r="B6403" s="7" t="n">
        <v>19210.18</v>
      </c>
      <c r="C6403" s="7" t="n">
        <f aca="false">AVERAGE(B6354:B6403)</f>
        <v>18182.2386</v>
      </c>
      <c r="D6403" s="7" t="n">
        <f aca="false">AVERAGE(B6204:B6403)</f>
        <v>16808.6638</v>
      </c>
      <c r="E6403" s="7" t="n">
        <f aca="false">B6403/MAX(B6152:B6403)-1</f>
        <v>0</v>
      </c>
      <c r="F6403" s="7" t="str">
        <f aca="false">IFERROR(INDEX(02_轉折點45個!B:B,MATCH(A6403,02_轉折點45個!A:A,0)),"")</f>
        <v/>
      </c>
      <c r="G6403" s="7" t="s">
        <v>5494</v>
      </c>
    </row>
    <row r="6404" customFormat="false" ht="15" hidden="false" customHeight="false" outlineLevel="0" collapsed="false">
      <c r="A6404" s="7" t="s">
        <v>6914</v>
      </c>
      <c r="B6404" s="7" t="n">
        <v>19465.18</v>
      </c>
      <c r="C6404" s="7" t="n">
        <f aca="false">AVERAGE(B6355:B6404)</f>
        <v>18209.1066</v>
      </c>
      <c r="D6404" s="7" t="n">
        <f aca="false">AVERAGE(B6205:B6404)</f>
        <v>16831.28055</v>
      </c>
      <c r="E6404" s="7" t="n">
        <f aca="false">B6404/MAX(B6153:B6404)-1</f>
        <v>0</v>
      </c>
      <c r="F6404" s="7" t="str">
        <f aca="false">IFERROR(INDEX(02_轉折點45個!B:B,MATCH(A6404,02_轉折點45個!A:A,0)),"")</f>
        <v/>
      </c>
      <c r="G6404" s="7" t="s">
        <v>5494</v>
      </c>
    </row>
    <row r="6405" customFormat="false" ht="15" hidden="false" customHeight="false" outlineLevel="0" collapsed="false">
      <c r="A6405" s="7" t="s">
        <v>6915</v>
      </c>
      <c r="B6405" s="7" t="n">
        <v>19576.92</v>
      </c>
      <c r="C6405" s="7" t="n">
        <f aca="false">AVERAGE(B6356:B6405)</f>
        <v>18237.4412</v>
      </c>
      <c r="D6405" s="7" t="n">
        <f aca="false">AVERAGE(B6206:B6405)</f>
        <v>16853.90285</v>
      </c>
      <c r="E6405" s="7" t="n">
        <f aca="false">B6405/MAX(B6154:B6405)-1</f>
        <v>0</v>
      </c>
      <c r="F6405" s="7" t="str">
        <f aca="false">IFERROR(INDEX(02_轉折點45個!B:B,MATCH(A6405,02_轉折點45個!A:A,0)),"")</f>
        <v/>
      </c>
      <c r="G6405" s="7" t="s">
        <v>5494</v>
      </c>
    </row>
    <row r="6406" customFormat="false" ht="15" hidden="false" customHeight="false" outlineLevel="0" collapsed="false">
      <c r="A6406" s="7" t="s">
        <v>6916</v>
      </c>
      <c r="B6406" s="7" t="n">
        <v>19659.8</v>
      </c>
      <c r="C6406" s="7" t="n">
        <f aca="false">AVERAGE(B6357:B6406)</f>
        <v>18273.0616</v>
      </c>
      <c r="D6406" s="7" t="n">
        <f aca="false">AVERAGE(B6207:B6406)</f>
        <v>16875.3191</v>
      </c>
      <c r="E6406" s="7" t="n">
        <f aca="false">B6406/MAX(B6155:B6406)-1</f>
        <v>0</v>
      </c>
      <c r="F6406" s="7" t="str">
        <f aca="false">IFERROR(INDEX(02_轉折點45個!B:B,MATCH(A6406,02_轉折點45個!A:A,0)),"")</f>
        <v/>
      </c>
      <c r="G6406" s="7" t="s">
        <v>5494</v>
      </c>
    </row>
    <row r="6407" customFormat="false" ht="15" hidden="false" customHeight="false" outlineLevel="0" collapsed="false">
      <c r="A6407" s="7" t="s">
        <v>1837</v>
      </c>
      <c r="B6407" s="7" t="n">
        <v>19902.75</v>
      </c>
      <c r="C6407" s="7" t="n">
        <f aca="false">AVERAGE(B6358:B6407)</f>
        <v>18308.9474</v>
      </c>
      <c r="D6407" s="7" t="n">
        <f aca="false">AVERAGE(B6208:B6407)</f>
        <v>16897.5207</v>
      </c>
      <c r="E6407" s="7" t="n">
        <f aca="false">B6407/MAX(B6156:B6407)-1</f>
        <v>0</v>
      </c>
      <c r="F6407" s="7" t="str">
        <f aca="false">IFERROR(INDEX(02_轉折點45個!B:B,MATCH(A6407,02_轉折點45個!A:A,0)),"")</f>
        <v/>
      </c>
      <c r="G6407" s="7" t="s">
        <v>5494</v>
      </c>
    </row>
    <row r="6408" customFormat="false" ht="15" hidden="false" customHeight="false" outlineLevel="0" collapsed="false">
      <c r="A6408" s="7" t="s">
        <v>6917</v>
      </c>
      <c r="B6408" s="7" t="n">
        <v>19908.86</v>
      </c>
      <c r="C6408" s="7" t="n">
        <f aca="false">AVERAGE(B6359:B6408)</f>
        <v>18345.1208</v>
      </c>
      <c r="D6408" s="7" t="n">
        <f aca="false">AVERAGE(B6209:B6408)</f>
        <v>16919.55965</v>
      </c>
      <c r="E6408" s="7" t="n">
        <f aca="false">B6408/MAX(B6157:B6408)-1</f>
        <v>0</v>
      </c>
      <c r="F6408" s="7" t="str">
        <f aca="false">IFERROR(INDEX(02_轉折點45個!B:B,MATCH(A6408,02_轉折點45個!A:A,0)),"")</f>
        <v/>
      </c>
      <c r="G6408" s="7" t="s">
        <v>5494</v>
      </c>
    </row>
    <row r="6409" customFormat="false" ht="15" hidden="false" customHeight="false" outlineLevel="0" collapsed="false">
      <c r="A6409" s="7" t="s">
        <v>6918</v>
      </c>
      <c r="B6409" s="7" t="n">
        <v>19752.3</v>
      </c>
      <c r="C6409" s="7" t="n">
        <f aca="false">AVERAGE(B6360:B6409)</f>
        <v>18376.7688</v>
      </c>
      <c r="D6409" s="7" t="n">
        <f aca="false">AVERAGE(B6210:B6409)</f>
        <v>16940.86685</v>
      </c>
      <c r="E6409" s="7" t="n">
        <f aca="false">B6409/MAX(B6158:B6409)-1</f>
        <v>-0.00786383549836611</v>
      </c>
      <c r="F6409" s="7" t="str">
        <f aca="false">IFERROR(INDEX(02_轉折點45個!B:B,MATCH(A6409,02_轉折點45個!A:A,0)),"")</f>
        <v/>
      </c>
      <c r="G6409" s="7" t="s">
        <v>5494</v>
      </c>
    </row>
    <row r="6410" customFormat="false" ht="15" hidden="false" customHeight="false" outlineLevel="0" collapsed="false">
      <c r="A6410" s="7" t="s">
        <v>6919</v>
      </c>
      <c r="B6410" s="7" t="n">
        <v>19700.43</v>
      </c>
      <c r="C6410" s="7" t="n">
        <f aca="false">AVERAGE(B6361:B6410)</f>
        <v>18410.5442</v>
      </c>
      <c r="D6410" s="7" t="n">
        <f aca="false">AVERAGE(B6211:B6410)</f>
        <v>16961.8278</v>
      </c>
      <c r="E6410" s="7" t="n">
        <f aca="false">B6410/MAX(B6159:B6410)-1</f>
        <v>-0.010469208181684</v>
      </c>
      <c r="F6410" s="7" t="str">
        <f aca="false">IFERROR(INDEX(02_轉折點45個!B:B,MATCH(A6410,02_轉折點45個!A:A,0)),"")</f>
        <v/>
      </c>
      <c r="G6410" s="7" t="s">
        <v>5494</v>
      </c>
    </row>
    <row r="6411" customFormat="false" ht="15" hidden="false" customHeight="false" outlineLevel="0" collapsed="false">
      <c r="A6411" s="7" t="s">
        <v>6920</v>
      </c>
      <c r="B6411" s="7" t="n">
        <v>19474.62</v>
      </c>
      <c r="C6411" s="7" t="n">
        <f aca="false">AVERAGE(B6362:B6411)</f>
        <v>18433.877</v>
      </c>
      <c r="D6411" s="7" t="n">
        <f aca="false">AVERAGE(B6212:B6411)</f>
        <v>16982.3437</v>
      </c>
      <c r="E6411" s="7" t="n">
        <f aca="false">B6411/MAX(B6160:B6411)-1</f>
        <v>-0.0218113945248498</v>
      </c>
      <c r="F6411" s="7" t="str">
        <f aca="false">IFERROR(INDEX(02_轉折點45個!B:B,MATCH(A6411,02_轉折點45個!A:A,0)),"")</f>
        <v/>
      </c>
      <c r="G6411" s="7" t="s">
        <v>5494</v>
      </c>
    </row>
    <row r="6412" customFormat="false" ht="15" hidden="false" customHeight="false" outlineLevel="0" collapsed="false">
      <c r="A6412" s="7" t="s">
        <v>6921</v>
      </c>
      <c r="B6412" s="7" t="n">
        <v>19701.13</v>
      </c>
      <c r="C6412" s="7" t="n">
        <f aca="false">AVERAGE(B6363:B6412)</f>
        <v>18467.8298</v>
      </c>
      <c r="D6412" s="7" t="n">
        <f aca="false">AVERAGE(B6213:B6412)</f>
        <v>17004.55675</v>
      </c>
      <c r="E6412" s="7" t="n">
        <f aca="false">B6412/MAX(B6161:B6412)-1</f>
        <v>-0.0104340479565379</v>
      </c>
      <c r="F6412" s="7" t="str">
        <f aca="false">IFERROR(INDEX(02_轉折點45個!B:B,MATCH(A6412,02_轉折點45個!A:A,0)),"")</f>
        <v/>
      </c>
      <c r="G6412" s="7" t="s">
        <v>5494</v>
      </c>
    </row>
    <row r="6413" customFormat="false" ht="15" hidden="false" customHeight="false" outlineLevel="0" collapsed="false">
      <c r="A6413" s="7" t="s">
        <v>1838</v>
      </c>
      <c r="B6413" s="7" t="n">
        <v>19751.05</v>
      </c>
      <c r="C6413" s="7" t="n">
        <f aca="false">AVERAGE(B6364:B6413)</f>
        <v>18508.7142</v>
      </c>
      <c r="D6413" s="7" t="n">
        <f aca="false">AVERAGE(B6214:B6413)</f>
        <v>17026.91085</v>
      </c>
      <c r="E6413" s="7" t="n">
        <f aca="false">B6413/MAX(B6162:B6413)-1</f>
        <v>-0.00792662161469826</v>
      </c>
      <c r="F6413" s="7" t="str">
        <f aca="false">IFERROR(INDEX(02_轉折點45個!B:B,MATCH(A6413,02_轉折點45個!A:A,0)),"")</f>
        <v/>
      </c>
      <c r="G6413" s="7" t="s">
        <v>5494</v>
      </c>
    </row>
    <row r="6414" customFormat="false" ht="15" hidden="false" customHeight="false" outlineLevel="0" collapsed="false">
      <c r="A6414" s="7" t="s">
        <v>6922</v>
      </c>
      <c r="B6414" s="7" t="n">
        <v>19789.03</v>
      </c>
      <c r="C6414" s="7" t="n">
        <f aca="false">AVERAGE(B6365:B6414)</f>
        <v>18550.2216</v>
      </c>
      <c r="D6414" s="7" t="n">
        <f aca="false">AVERAGE(B6215:B6414)</f>
        <v>17048.54665</v>
      </c>
      <c r="E6414" s="7" t="n">
        <f aca="false">B6414/MAX(B6163:B6414)-1</f>
        <v>-0.00601892825606298</v>
      </c>
      <c r="F6414" s="7" t="str">
        <f aca="false">IFERROR(INDEX(02_轉折點45個!B:B,MATCH(A6414,02_轉折點45個!A:A,0)),"")</f>
        <v/>
      </c>
      <c r="G6414" s="7" t="s">
        <v>5494</v>
      </c>
    </row>
    <row r="6415" customFormat="false" ht="15" hidden="false" customHeight="false" outlineLevel="0" collapsed="false">
      <c r="A6415" s="7" t="s">
        <v>6923</v>
      </c>
      <c r="B6415" s="7" t="n">
        <v>19682.87</v>
      </c>
      <c r="C6415" s="7" t="n">
        <f aca="false">AVERAGE(B6366:B6415)</f>
        <v>18594.0066</v>
      </c>
      <c r="D6415" s="7" t="n">
        <f aca="false">AVERAGE(B6216:B6415)</f>
        <v>17070.5123</v>
      </c>
      <c r="E6415" s="7" t="n">
        <f aca="false">B6415/MAX(B6164:B6415)-1</f>
        <v>-0.0113512275439177</v>
      </c>
      <c r="F6415" s="7" t="str">
        <f aca="false">IFERROR(INDEX(02_轉折點45個!B:B,MATCH(A6415,02_轉折點45個!A:A,0)),"")</f>
        <v/>
      </c>
      <c r="G6415" s="7" t="s">
        <v>5494</v>
      </c>
    </row>
    <row r="6416" customFormat="false" ht="15" hidden="false" customHeight="false" outlineLevel="0" collapsed="false">
      <c r="A6416" s="7" t="s">
        <v>6924</v>
      </c>
      <c r="B6416" s="7" t="n">
        <v>19812.22</v>
      </c>
      <c r="C6416" s="7" t="n">
        <f aca="false">AVERAGE(B6367:B6416)</f>
        <v>18642.3648</v>
      </c>
      <c r="D6416" s="7" t="n">
        <f aca="false">AVERAGE(B6217:B6416)</f>
        <v>17092.83075</v>
      </c>
      <c r="E6416" s="7" t="n">
        <f aca="false">B6416/MAX(B6165:B6416)-1</f>
        <v>-0.00485412022586929</v>
      </c>
      <c r="F6416" s="7" t="str">
        <f aca="false">IFERROR(INDEX(02_轉折點45個!B:B,MATCH(A6416,02_轉折點45個!A:A,0)),"")</f>
        <v/>
      </c>
      <c r="G6416" s="7" t="s">
        <v>5494</v>
      </c>
    </row>
    <row r="6417" customFormat="false" ht="15" hidden="false" customHeight="false" outlineLevel="0" collapsed="false">
      <c r="A6417" s="7" t="s">
        <v>1839</v>
      </c>
      <c r="B6417" s="7" t="n">
        <v>20011.89</v>
      </c>
      <c r="C6417" s="7" t="n">
        <f aca="false">AVERAGE(B6368:B6417)</f>
        <v>18701.8496</v>
      </c>
      <c r="D6417" s="7" t="n">
        <f aca="false">AVERAGE(B6218:B6417)</f>
        <v>17115.52075</v>
      </c>
      <c r="E6417" s="7" t="n">
        <f aca="false">B6417/MAX(B6166:B6417)-1</f>
        <v>0</v>
      </c>
      <c r="F6417" s="7" t="str">
        <f aca="false">IFERROR(INDEX(02_轉折點45個!B:B,MATCH(A6417,02_轉折點45個!A:A,0)),"")</f>
        <v/>
      </c>
      <c r="G6417" s="7" t="s">
        <v>5494</v>
      </c>
    </row>
    <row r="6418" customFormat="false" ht="15" hidden="false" customHeight="false" outlineLevel="0" collapsed="false">
      <c r="A6418" s="7" t="s">
        <v>1840</v>
      </c>
      <c r="B6418" s="7" t="n">
        <v>20186.63</v>
      </c>
      <c r="C6418" s="7" t="n">
        <f aca="false">AVERAGE(B6369:B6418)</f>
        <v>18761.3644</v>
      </c>
      <c r="D6418" s="7" t="n">
        <f aca="false">AVERAGE(B6219:B6418)</f>
        <v>17140.4419</v>
      </c>
      <c r="E6418" s="7" t="n">
        <f aca="false">B6418/MAX(B6167:B6418)-1</f>
        <v>0</v>
      </c>
      <c r="F6418" s="7" t="str">
        <f aca="false">IFERROR(INDEX(02_轉折點45個!B:B,MATCH(A6418,02_轉折點45個!A:A,0)),"")</f>
        <v/>
      </c>
      <c r="G6418" s="7" t="s">
        <v>5494</v>
      </c>
    </row>
    <row r="6419" customFormat="false" ht="15" hidden="false" customHeight="false" outlineLevel="0" collapsed="false">
      <c r="A6419" s="7" t="s">
        <v>1841</v>
      </c>
      <c r="B6419" s="7" t="n">
        <v>20391.97</v>
      </c>
      <c r="C6419" s="7" t="n">
        <f aca="false">AVERAGE(B6370:B6419)</f>
        <v>18819.7744</v>
      </c>
      <c r="D6419" s="7" t="n">
        <f aca="false">AVERAGE(B6220:B6419)</f>
        <v>17166.2749</v>
      </c>
      <c r="E6419" s="7" t="n">
        <f aca="false">B6419/MAX(B6168:B6419)-1</f>
        <v>0</v>
      </c>
      <c r="F6419" s="7" t="str">
        <f aca="false">IFERROR(INDEX(02_轉折點45個!B:B,MATCH(A6419,02_轉折點45個!A:A,0)),"")</f>
        <v/>
      </c>
      <c r="G6419" s="7" t="s">
        <v>5494</v>
      </c>
    </row>
    <row r="6420" customFormat="false" ht="15" hidden="false" customHeight="false" outlineLevel="0" collapsed="false">
      <c r="A6420" s="7" t="s">
        <v>1842</v>
      </c>
      <c r="B6420" s="7" t="n">
        <v>20439.54</v>
      </c>
      <c r="C6420" s="7" t="n">
        <f aca="false">AVERAGE(B6371:B6420)</f>
        <v>18878.0292</v>
      </c>
      <c r="D6420" s="7" t="n">
        <f aca="false">AVERAGE(B6221:B6420)</f>
        <v>17192.51645</v>
      </c>
      <c r="E6420" s="7" t="n">
        <f aca="false">B6420/MAX(B6169:B6420)-1</f>
        <v>0</v>
      </c>
      <c r="F6420" s="7" t="str">
        <f aca="false">IFERROR(INDEX(02_轉折點45個!B:B,MATCH(A6420,02_轉折點45個!A:A,0)),"")</f>
        <v/>
      </c>
      <c r="G6420" s="7" t="s">
        <v>5494</v>
      </c>
    </row>
    <row r="6421" customFormat="false" ht="15" hidden="false" customHeight="false" outlineLevel="0" collapsed="false">
      <c r="A6421" s="7" t="s">
        <v>1843</v>
      </c>
      <c r="B6421" s="7" t="n">
        <v>20453.02</v>
      </c>
      <c r="C6421" s="7" t="n">
        <f aca="false">AVERAGE(B6372:B6421)</f>
        <v>18938.4796</v>
      </c>
      <c r="D6421" s="7" t="n">
        <f aca="false">AVERAGE(B6222:B6421)</f>
        <v>17219.93195</v>
      </c>
      <c r="E6421" s="7" t="n">
        <f aca="false">B6421/MAX(B6170:B6421)-1</f>
        <v>0</v>
      </c>
      <c r="F6421" s="7" t="str">
        <f aca="false">IFERROR(INDEX(02_轉折點45個!B:B,MATCH(A6421,02_轉折點45個!A:A,0)),"")</f>
        <v/>
      </c>
      <c r="G6421" s="7" t="s">
        <v>5494</v>
      </c>
    </row>
    <row r="6422" customFormat="false" ht="15" hidden="false" customHeight="false" outlineLevel="0" collapsed="false">
      <c r="A6422" s="7" t="s">
        <v>6925</v>
      </c>
      <c r="B6422" s="7" t="n">
        <v>20675.38</v>
      </c>
      <c r="C6422" s="7" t="n">
        <f aca="false">AVERAGE(B6373:B6422)</f>
        <v>18997.6212</v>
      </c>
      <c r="D6422" s="7" t="n">
        <f aca="false">AVERAGE(B6223:B6422)</f>
        <v>17249.83765</v>
      </c>
      <c r="E6422" s="7" t="n">
        <f aca="false">B6422/MAX(B6171:B6422)-1</f>
        <v>0</v>
      </c>
      <c r="F6422" s="7" t="str">
        <f aca="false">IFERROR(INDEX(02_轉折點45個!B:B,MATCH(A6422,02_轉折點45個!A:A,0)),"")</f>
        <v/>
      </c>
      <c r="G6422" s="7" t="s">
        <v>5494</v>
      </c>
    </row>
    <row r="6423" customFormat="false" ht="15" hidden="false" customHeight="false" outlineLevel="0" collapsed="false">
      <c r="A6423" s="7" t="s">
        <v>1844</v>
      </c>
      <c r="B6423" s="7" t="n">
        <v>20211.36</v>
      </c>
      <c r="C6423" s="7" t="n">
        <f aca="false">AVERAGE(B6374:B6423)</f>
        <v>19046.194</v>
      </c>
      <c r="D6423" s="7" t="n">
        <f aca="false">AVERAGE(B6224:B6423)</f>
        <v>17277.38895</v>
      </c>
      <c r="E6423" s="7" t="n">
        <f aca="false">B6423/MAX(B6172:B6423)-1</f>
        <v>-0.0224431183368818</v>
      </c>
      <c r="F6423" s="7" t="str">
        <f aca="false">IFERROR(INDEX(02_轉折點45個!B:B,MATCH(A6423,02_轉折點45個!A:A,0)),"")</f>
        <v/>
      </c>
      <c r="G6423" s="7" t="s">
        <v>5494</v>
      </c>
    </row>
    <row r="6424" customFormat="false" ht="15" hidden="false" customHeight="false" outlineLevel="0" collapsed="false">
      <c r="A6424" s="7" t="s">
        <v>6926</v>
      </c>
      <c r="B6424" s="7" t="n">
        <v>20331.49</v>
      </c>
      <c r="C6424" s="7" t="n">
        <f aca="false">AVERAGE(B6375:B6424)</f>
        <v>19104.01</v>
      </c>
      <c r="D6424" s="7" t="n">
        <f aca="false">AVERAGE(B6225:B6424)</f>
        <v>17305.2019</v>
      </c>
      <c r="E6424" s="7" t="n">
        <f aca="false">B6424/MAX(B6173:B6424)-1</f>
        <v>-0.0166328260955784</v>
      </c>
      <c r="F6424" s="7" t="str">
        <f aca="false">IFERROR(INDEX(02_轉折點45個!B:B,MATCH(A6424,02_轉折點45個!A:A,0)),"")</f>
        <v/>
      </c>
      <c r="G6424" s="7" t="s">
        <v>5494</v>
      </c>
    </row>
    <row r="6425" customFormat="false" ht="15" hidden="false" customHeight="false" outlineLevel="0" collapsed="false">
      <c r="A6425" s="7" t="s">
        <v>6927</v>
      </c>
      <c r="B6425" s="7" t="n">
        <v>20386.88</v>
      </c>
      <c r="C6425" s="7" t="n">
        <f aca="false">AVERAGE(B6376:B6425)</f>
        <v>19165.3766</v>
      </c>
      <c r="D6425" s="7" t="n">
        <f aca="false">AVERAGE(B6226:B6425)</f>
        <v>17334.40715</v>
      </c>
      <c r="E6425" s="7" t="n">
        <f aca="false">B6425/MAX(B6174:B6425)-1</f>
        <v>-0.0139537943196207</v>
      </c>
      <c r="F6425" s="7" t="str">
        <f aca="false">IFERROR(INDEX(02_轉折點45個!B:B,MATCH(A6425,02_轉折點45個!A:A,0)),"")</f>
        <v/>
      </c>
      <c r="G6425" s="7" t="s">
        <v>5494</v>
      </c>
    </row>
    <row r="6426" customFormat="false" ht="15" hidden="false" customHeight="false" outlineLevel="0" collapsed="false">
      <c r="A6426" s="7" t="s">
        <v>6928</v>
      </c>
      <c r="B6426" s="7" t="n">
        <v>20398.62</v>
      </c>
      <c r="C6426" s="7" t="n">
        <f aca="false">AVERAGE(B6377:B6426)</f>
        <v>19222.5182</v>
      </c>
      <c r="D6426" s="7" t="n">
        <f aca="false">AVERAGE(B6227:B6426)</f>
        <v>17363.49945</v>
      </c>
      <c r="E6426" s="7" t="n">
        <f aca="false">B6426/MAX(B6175:B6426)-1</f>
        <v>-0.0133859692058865</v>
      </c>
      <c r="F6426" s="7" t="str">
        <f aca="false">IFERROR(INDEX(02_轉折點45個!B:B,MATCH(A6426,02_轉折點45個!A:A,0)),"")</f>
        <v/>
      </c>
      <c r="G6426" s="7" t="s">
        <v>5494</v>
      </c>
    </row>
    <row r="6427" customFormat="false" ht="15" hidden="false" customHeight="false" outlineLevel="0" collapsed="false">
      <c r="A6427" s="7" t="s">
        <v>1845</v>
      </c>
      <c r="B6427" s="7" t="n">
        <v>19799.14</v>
      </c>
      <c r="C6427" s="7" t="n">
        <f aca="false">AVERAGE(B6378:B6427)</f>
        <v>19260.685</v>
      </c>
      <c r="D6427" s="7" t="n">
        <f aca="false">AVERAGE(B6228:B6427)</f>
        <v>17388.9813</v>
      </c>
      <c r="E6427" s="7" t="n">
        <f aca="false">B6427/MAX(B6176:B6427)-1</f>
        <v>-0.0423808413678491</v>
      </c>
      <c r="F6427" s="7" t="str">
        <f aca="false">IFERROR(INDEX(02_轉折點45個!B:B,MATCH(A6427,02_轉折點45個!A:A,0)),"")</f>
        <v/>
      </c>
      <c r="G6427" s="7" t="s">
        <v>5494</v>
      </c>
    </row>
    <row r="6428" customFormat="false" ht="15" hidden="false" customHeight="false" outlineLevel="0" collapsed="false">
      <c r="A6428" s="7" t="s">
        <v>6929</v>
      </c>
      <c r="B6428" s="7" t="n">
        <v>19705.09</v>
      </c>
      <c r="C6428" s="7" t="n">
        <f aca="false">AVERAGE(B6379:B6428)</f>
        <v>19292.9154</v>
      </c>
      <c r="D6428" s="7" t="n">
        <f aca="false">AVERAGE(B6229:B6428)</f>
        <v>17413.93055</v>
      </c>
      <c r="E6428" s="7" t="n">
        <f aca="false">B6428/MAX(B6177:B6428)-1</f>
        <v>-0.0469297299493408</v>
      </c>
      <c r="F6428" s="7" t="str">
        <f aca="false">IFERROR(INDEX(02_轉折點45個!B:B,MATCH(A6428,02_轉折點45個!A:A,0)),"")</f>
        <v/>
      </c>
      <c r="G6428" s="7" t="s">
        <v>5494</v>
      </c>
    </row>
    <row r="6429" customFormat="false" ht="15" hidden="false" customHeight="false" outlineLevel="0" collapsed="false">
      <c r="A6429" s="7" t="s">
        <v>6930</v>
      </c>
      <c r="B6429" s="7" t="n">
        <v>19522.62</v>
      </c>
      <c r="C6429" s="7" t="n">
        <f aca="false">AVERAGE(B6380:B6429)</f>
        <v>19321.5388</v>
      </c>
      <c r="D6429" s="7" t="n">
        <f aca="false">AVERAGE(B6230:B6429)</f>
        <v>17437.3558</v>
      </c>
      <c r="E6429" s="7" t="n">
        <f aca="false">B6429/MAX(B6178:B6429)-1</f>
        <v>-0.0557552025645962</v>
      </c>
      <c r="F6429" s="7" t="str">
        <f aca="false">IFERROR(INDEX(02_轉折點45個!B:B,MATCH(A6429,02_轉折點45個!A:A,0)),"")</f>
        <v/>
      </c>
      <c r="G6429" s="7" t="s">
        <v>5494</v>
      </c>
    </row>
    <row r="6430" customFormat="false" ht="15" hidden="false" customHeight="false" outlineLevel="0" collapsed="false">
      <c r="A6430" s="7" t="s">
        <v>1846</v>
      </c>
      <c r="B6430" s="7" t="n">
        <v>19822.87</v>
      </c>
      <c r="C6430" s="7" t="n">
        <f aca="false">AVERAGE(B6381:B6430)</f>
        <v>19356.296</v>
      </c>
      <c r="D6430" s="7" t="n">
        <f aca="false">AVERAGE(B6231:B6430)</f>
        <v>17463.64205</v>
      </c>
      <c r="E6430" s="7" t="n">
        <f aca="false">B6430/MAX(B6179:B6430)-1</f>
        <v>-0.0412330994641937</v>
      </c>
      <c r="F6430" s="7" t="str">
        <f aca="false">IFERROR(INDEX(02_轉折點45個!B:B,MATCH(A6430,02_轉折點45個!A:A,0)),"")</f>
        <v/>
      </c>
      <c r="G6430" s="7" t="s">
        <v>5494</v>
      </c>
    </row>
    <row r="6431" customFormat="false" ht="15" hidden="false" customHeight="false" outlineLevel="0" collapsed="false">
      <c r="A6431" s="7" t="s">
        <v>6931</v>
      </c>
      <c r="B6431" s="7" t="n">
        <v>19754.34</v>
      </c>
      <c r="C6431" s="7" t="n">
        <f aca="false">AVERAGE(B6382:B6431)</f>
        <v>19389.1136</v>
      </c>
      <c r="D6431" s="7" t="n">
        <f aca="false">AVERAGE(B6232:B6431)</f>
        <v>17488.5325</v>
      </c>
      <c r="E6431" s="7" t="n">
        <f aca="false">B6431/MAX(B6180:B6431)-1</f>
        <v>-0.044547669740532</v>
      </c>
      <c r="F6431" s="7" t="str">
        <f aca="false">IFERROR(INDEX(02_轉折點45個!B:B,MATCH(A6431,02_轉折點45個!A:A,0)),"")</f>
        <v/>
      </c>
      <c r="G6431" s="7" t="s">
        <v>5494</v>
      </c>
    </row>
    <row r="6432" customFormat="false" ht="15" hidden="false" customHeight="false" outlineLevel="0" collapsed="false">
      <c r="A6432" s="7" t="s">
        <v>1847</v>
      </c>
      <c r="B6432" s="7" t="n">
        <v>19032.39</v>
      </c>
      <c r="C6432" s="7" t="n">
        <f aca="false">AVERAGE(B6383:B6432)</f>
        <v>19406.5378</v>
      </c>
      <c r="D6432" s="7" t="n">
        <f aca="false">AVERAGE(B6233:B6432)</f>
        <v>17510.07835</v>
      </c>
      <c r="E6432" s="7" t="n">
        <f aca="false">B6432/MAX(B6181:B6432)-1</f>
        <v>-0.0794660122329071</v>
      </c>
      <c r="F6432" s="7" t="str">
        <f aca="false">IFERROR(INDEX(02_轉折點45個!B:B,MATCH(A6432,02_轉折點45個!A:A,0)),"")</f>
        <v/>
      </c>
      <c r="G6432" s="7" t="s">
        <v>5494</v>
      </c>
    </row>
    <row r="6433" customFormat="false" ht="15" hidden="false" customHeight="false" outlineLevel="0" collapsed="false">
      <c r="A6433" s="7" t="s">
        <v>6932</v>
      </c>
      <c r="B6433" s="7" t="n">
        <v>18830.58</v>
      </c>
      <c r="C6433" s="7" t="n">
        <f aca="false">AVERAGE(B6384:B6433)</f>
        <v>19419.1772</v>
      </c>
      <c r="D6433" s="7" t="n">
        <f aca="false">AVERAGE(B6234:B6433)</f>
        <v>17529.36505</v>
      </c>
      <c r="E6433" s="7" t="n">
        <f aca="false">B6433/MAX(B6182:B6433)-1</f>
        <v>-0.0892268969179768</v>
      </c>
      <c r="F6433" s="7" t="str">
        <f aca="false">IFERROR(INDEX(02_轉折點45個!B:B,MATCH(A6433,02_轉折點45個!A:A,0)),"")</f>
        <v/>
      </c>
      <c r="G6433" s="7" t="s">
        <v>5494</v>
      </c>
    </row>
    <row r="6434" customFormat="false" ht="15" hidden="false" customHeight="false" outlineLevel="0" collapsed="false">
      <c r="A6434" s="7" t="s">
        <v>1848</v>
      </c>
      <c r="B6434" s="7" t="n">
        <v>19023.66</v>
      </c>
      <c r="C6434" s="7" t="n">
        <f aca="false">AVERAGE(B6385:B6434)</f>
        <v>19433.195</v>
      </c>
      <c r="D6434" s="7" t="n">
        <f aca="false">AVERAGE(B6235:B6434)</f>
        <v>17549.2476</v>
      </c>
      <c r="E6434" s="7" t="n">
        <f aca="false">B6434/MAX(B6183:B6434)-1</f>
        <v>-0.0798882535653517</v>
      </c>
      <c r="F6434" s="7" t="str">
        <f aca="false">IFERROR(INDEX(02_轉折點45個!B:B,MATCH(A6434,02_轉折點45個!A:A,0)),"")</f>
        <v/>
      </c>
      <c r="G6434" s="7" t="s">
        <v>5494</v>
      </c>
    </row>
    <row r="6435" customFormat="false" ht="15" hidden="false" customHeight="false" outlineLevel="0" collapsed="false">
      <c r="A6435" s="7" t="s">
        <v>6933</v>
      </c>
      <c r="B6435" s="7" t="n">
        <v>19059.49</v>
      </c>
      <c r="C6435" s="7" t="n">
        <f aca="false">AVERAGE(B6386:B6435)</f>
        <v>19442.4518</v>
      </c>
      <c r="D6435" s="7" t="n">
        <f aca="false">AVERAGE(B6236:B6435)</f>
        <v>17568.88745</v>
      </c>
      <c r="E6435" s="7" t="n">
        <f aca="false">B6435/MAX(B6184:B6435)-1</f>
        <v>-0.0781552745342528</v>
      </c>
      <c r="F6435" s="7" t="str">
        <f aca="false">IFERROR(INDEX(02_轉折點45個!B:B,MATCH(A6435,02_轉折點45個!A:A,0)),"")</f>
        <v/>
      </c>
      <c r="G6435" s="7" t="s">
        <v>5494</v>
      </c>
    </row>
    <row r="6436" customFormat="false" ht="15" hidden="false" customHeight="false" outlineLevel="0" collapsed="false">
      <c r="A6436" s="7" t="s">
        <v>6934</v>
      </c>
      <c r="B6436" s="7" t="n">
        <v>18796.27</v>
      </c>
      <c r="C6436" s="7" t="n">
        <f aca="false">AVERAGE(B6387:B6436)</f>
        <v>19447.218</v>
      </c>
      <c r="D6436" s="7" t="n">
        <f aca="false">AVERAGE(B6237:B6436)</f>
        <v>17586.6632</v>
      </c>
      <c r="E6436" s="7" t="n">
        <f aca="false">B6436/MAX(B6185:B6436)-1</f>
        <v>-0.0908863585578597</v>
      </c>
      <c r="F6436" s="7" t="str">
        <f aca="false">IFERROR(INDEX(02_轉折點45個!B:B,MATCH(A6436,02_轉折點45個!A:A,0)),"")</f>
        <v/>
      </c>
      <c r="G6436" s="7" t="s">
        <v>5494</v>
      </c>
    </row>
    <row r="6437" customFormat="false" ht="15" hidden="false" customHeight="false" outlineLevel="0" collapsed="false">
      <c r="A6437" s="7" t="s">
        <v>1849</v>
      </c>
      <c r="B6437" s="7" t="n">
        <v>19362.43</v>
      </c>
      <c r="C6437" s="7" t="n">
        <f aca="false">AVERAGE(B6388:B6437)</f>
        <v>19463.542</v>
      </c>
      <c r="D6437" s="7" t="n">
        <f aca="false">AVERAGE(B6238:B6437)</f>
        <v>17607.55485</v>
      </c>
      <c r="E6437" s="7" t="n">
        <f aca="false">B6437/MAX(B6186:B6437)-1</f>
        <v>-0.0635030649980799</v>
      </c>
      <c r="F6437" s="7" t="str">
        <f aca="false">IFERROR(INDEX(02_轉折點45個!B:B,MATCH(A6437,02_轉折點45個!A:A,0)),"")</f>
        <v/>
      </c>
      <c r="G6437" s="7" t="s">
        <v>5494</v>
      </c>
    </row>
    <row r="6438" customFormat="false" ht="15" hidden="false" customHeight="false" outlineLevel="0" collapsed="false">
      <c r="A6438" s="7" t="s">
        <v>6935</v>
      </c>
      <c r="B6438" s="7" t="n">
        <v>18890.39</v>
      </c>
      <c r="C6438" s="7" t="n">
        <f aca="false">AVERAGE(B6389:B6438)</f>
        <v>19467.866</v>
      </c>
      <c r="D6438" s="7" t="n">
        <f aca="false">AVERAGE(B6239:B6438)</f>
        <v>17627.0312</v>
      </c>
      <c r="E6438" s="7" t="n">
        <f aca="false">B6438/MAX(B6187:B6438)-1</f>
        <v>-0.0863340843070358</v>
      </c>
      <c r="F6438" s="7" t="str">
        <f aca="false">IFERROR(INDEX(02_轉折點45個!B:B,MATCH(A6438,02_轉折點45個!A:A,0)),"")</f>
        <v/>
      </c>
      <c r="G6438" s="7" t="s">
        <v>5494</v>
      </c>
    </row>
    <row r="6439" customFormat="false" ht="15" hidden="false" customHeight="false" outlineLevel="0" collapsed="false">
      <c r="A6439" s="7" t="s">
        <v>1850</v>
      </c>
      <c r="B6439" s="7" t="n">
        <v>18440.85</v>
      </c>
      <c r="C6439" s="7" t="n">
        <f aca="false">AVERAGE(B6390:B6439)</f>
        <v>19462.407</v>
      </c>
      <c r="D6439" s="7" t="n">
        <f aca="false">AVERAGE(B6240:B6439)</f>
        <v>17643.3718</v>
      </c>
      <c r="E6439" s="7" t="n">
        <f aca="false">B6439/MAX(B6188:B6439)-1</f>
        <v>-0.108076852759176</v>
      </c>
      <c r="F6439" s="7" t="str">
        <f aca="false">IFERROR(INDEX(02_轉折點45個!B:B,MATCH(A6439,02_轉折點45個!A:A,0)),"")</f>
        <v/>
      </c>
      <c r="G6439" s="7" t="s">
        <v>5494</v>
      </c>
    </row>
    <row r="6440" customFormat="false" ht="15" hidden="false" customHeight="false" outlineLevel="0" collapsed="false">
      <c r="A6440" s="7" t="s">
        <v>6936</v>
      </c>
      <c r="B6440" s="7" t="n">
        <v>17895.16</v>
      </c>
      <c r="C6440" s="7" t="n">
        <f aca="false">AVERAGE(B6391:B6440)</f>
        <v>19446.2062</v>
      </c>
      <c r="D6440" s="7" t="n">
        <f aca="false">AVERAGE(B6241:B6440)</f>
        <v>17657.23755</v>
      </c>
      <c r="E6440" s="7" t="n">
        <f aca="false">B6440/MAX(B6189:B6440)-1</f>
        <v>-0.134470079872776</v>
      </c>
      <c r="F6440" s="7" t="str">
        <f aca="false">IFERROR(INDEX(02_轉折點45個!B:B,MATCH(A6440,02_轉折點45個!A:A,0)),"")</f>
        <v/>
      </c>
      <c r="G6440" s="7" t="s">
        <v>5494</v>
      </c>
    </row>
    <row r="6441" customFormat="false" ht="15" hidden="false" customHeight="false" outlineLevel="0" collapsed="false">
      <c r="A6441" s="7" t="s">
        <v>1851</v>
      </c>
      <c r="B6441" s="7" t="n">
        <v>18077.92</v>
      </c>
      <c r="C6441" s="7" t="n">
        <f aca="false">AVERAGE(B6392:B6441)</f>
        <v>19435.2968</v>
      </c>
      <c r="D6441" s="7" t="n">
        <f aca="false">AVERAGE(B6242:B6441)</f>
        <v>17673.08085</v>
      </c>
      <c r="E6441" s="7" t="n">
        <f aca="false">B6441/MAX(B6190:B6441)-1</f>
        <v>-0.125630580913144</v>
      </c>
      <c r="F6441" s="7" t="str">
        <f aca="false">IFERROR(INDEX(02_轉折點45個!B:B,MATCH(A6441,02_轉折點45個!A:A,0)),"")</f>
        <v/>
      </c>
      <c r="G6441" s="7" t="s">
        <v>5494</v>
      </c>
    </row>
    <row r="6442" customFormat="false" ht="15" hidden="false" customHeight="false" outlineLevel="0" collapsed="false">
      <c r="A6442" s="7" t="s">
        <v>6937</v>
      </c>
      <c r="B6442" s="7" t="n">
        <v>17867.37</v>
      </c>
      <c r="C6442" s="7" t="n">
        <f aca="false">AVERAGE(B6393:B6442)</f>
        <v>19416.4772</v>
      </c>
      <c r="D6442" s="7" t="n">
        <f aca="false">AVERAGE(B6243:B6442)</f>
        <v>17688.50205</v>
      </c>
      <c r="E6442" s="7" t="n">
        <f aca="false">B6442/MAX(B6191:B6442)-1</f>
        <v>-0.135814190597706</v>
      </c>
      <c r="F6442" s="7" t="str">
        <f aca="false">IFERROR(INDEX(02_轉折點45個!B:B,MATCH(A6442,02_轉折點45個!A:A,0)),"")</f>
        <v/>
      </c>
      <c r="G6442" s="7" t="s">
        <v>5494</v>
      </c>
    </row>
    <row r="6443" customFormat="false" ht="15" hidden="false" customHeight="false" outlineLevel="0" collapsed="false">
      <c r="A6443" s="7" t="s">
        <v>6938</v>
      </c>
      <c r="B6443" s="7" t="n">
        <v>18413.82</v>
      </c>
      <c r="C6443" s="7" t="n">
        <f aca="false">AVERAGE(B6394:B6443)</f>
        <v>19407.3648</v>
      </c>
      <c r="D6443" s="7" t="n">
        <f aca="false">AVERAGE(B6244:B6443)</f>
        <v>17707.76675</v>
      </c>
      <c r="E6443" s="7" t="n">
        <f aca="false">B6443/MAX(B6192:B6443)-1</f>
        <v>-0.109384204788497</v>
      </c>
      <c r="F6443" s="7" t="str">
        <f aca="false">IFERROR(INDEX(02_轉折點45個!B:B,MATCH(A6443,02_轉折點45個!A:A,0)),"")</f>
        <v/>
      </c>
      <c r="G6443" s="7" t="s">
        <v>5494</v>
      </c>
    </row>
    <row r="6444" customFormat="false" ht="15" hidden="false" customHeight="false" outlineLevel="0" collapsed="false">
      <c r="A6444" s="7" t="s">
        <v>6939</v>
      </c>
      <c r="B6444" s="7" t="n">
        <v>18513.1</v>
      </c>
      <c r="C6444" s="7" t="n">
        <f aca="false">AVERAGE(B6395:B6444)</f>
        <v>19402.8918</v>
      </c>
      <c r="D6444" s="7" t="n">
        <f aca="false">AVERAGE(B6245:B6444)</f>
        <v>17727.308</v>
      </c>
      <c r="E6444" s="7" t="n">
        <f aca="false">B6444/MAX(B6193:B6444)-1</f>
        <v>-0.104582358341177</v>
      </c>
      <c r="F6444" s="7" t="str">
        <f aca="false">IFERROR(INDEX(02_轉折點45個!B:B,MATCH(A6444,02_轉折點45個!A:A,0)),"")</f>
        <v/>
      </c>
      <c r="G6444" s="7" t="s">
        <v>5494</v>
      </c>
    </row>
    <row r="6445" customFormat="false" ht="15" hidden="false" customHeight="false" outlineLevel="0" collapsed="false">
      <c r="A6445" s="7" t="s">
        <v>1852</v>
      </c>
      <c r="B6445" s="7" t="n">
        <v>18542.03</v>
      </c>
      <c r="C6445" s="7" t="n">
        <f aca="false">AVERAGE(B6396:B6445)</f>
        <v>19402.9592</v>
      </c>
      <c r="D6445" s="7" t="n">
        <f aca="false">AVERAGE(B6246:B6445)</f>
        <v>17746.28885</v>
      </c>
      <c r="E6445" s="7" t="n">
        <f aca="false">B6445/MAX(B6194:B6445)-1</f>
        <v>-0.103183109572835</v>
      </c>
      <c r="F6445" s="7" t="str">
        <f aca="false">IFERROR(INDEX(02_轉折點45個!B:B,MATCH(A6445,02_轉折點45個!A:A,0)),"")</f>
        <v/>
      </c>
      <c r="G6445" s="7" t="s">
        <v>5494</v>
      </c>
    </row>
    <row r="6446" customFormat="false" ht="15" hidden="false" customHeight="false" outlineLevel="0" collapsed="false">
      <c r="A6446" s="7" t="s">
        <v>6940</v>
      </c>
      <c r="B6446" s="7" t="n">
        <v>19006.43</v>
      </c>
      <c r="C6446" s="7" t="n">
        <f aca="false">AVERAGE(B6397:B6446)</f>
        <v>19412.3548</v>
      </c>
      <c r="D6446" s="7" t="n">
        <f aca="false">AVERAGE(B6247:B6446)</f>
        <v>17769.4128</v>
      </c>
      <c r="E6446" s="7" t="n">
        <f aca="false">B6446/MAX(B6195:B6446)-1</f>
        <v>-0.0807216118881491</v>
      </c>
      <c r="F6446" s="7" t="str">
        <f aca="false">IFERROR(INDEX(02_轉折點45個!B:B,MATCH(A6446,02_轉折點45個!A:A,0)),"")</f>
        <v/>
      </c>
      <c r="G6446" s="7" t="s">
        <v>5494</v>
      </c>
    </row>
    <row r="6447" customFormat="false" ht="15" hidden="false" customHeight="false" outlineLevel="0" collapsed="false">
      <c r="A6447" s="7" t="s">
        <v>6941</v>
      </c>
      <c r="B6447" s="7" t="n">
        <v>19022.68</v>
      </c>
      <c r="C6447" s="7" t="n">
        <f aca="false">AVERAGE(B6398:B6447)</f>
        <v>19420.789</v>
      </c>
      <c r="D6447" s="7" t="n">
        <f aca="false">AVERAGE(B6248:B6447)</f>
        <v>17793.97835</v>
      </c>
      <c r="E6447" s="7" t="n">
        <f aca="false">B6447/MAX(B6196:B6447)-1</f>
        <v>-0.0799356529360041</v>
      </c>
      <c r="F6447" s="7" t="str">
        <f aca="false">IFERROR(INDEX(02_轉折點45個!B:B,MATCH(A6447,02_轉折點45個!A:A,0)),"")</f>
        <v/>
      </c>
      <c r="G6447" s="7" t="s">
        <v>5494</v>
      </c>
    </row>
    <row r="6448" customFormat="false" ht="15" hidden="false" customHeight="false" outlineLevel="0" collapsed="false">
      <c r="A6448" s="7" t="s">
        <v>6942</v>
      </c>
      <c r="B6448" s="7" t="n">
        <v>19490.15</v>
      </c>
      <c r="C6448" s="7" t="n">
        <f aca="false">AVERAGE(B6399:B6448)</f>
        <v>19437.4952</v>
      </c>
      <c r="D6448" s="7" t="n">
        <f aca="false">AVERAGE(B6249:B6448)</f>
        <v>17820.527</v>
      </c>
      <c r="E6448" s="7" t="n">
        <f aca="false">B6448/MAX(B6197:B6448)-1</f>
        <v>-0.0573256694677438</v>
      </c>
      <c r="F6448" s="7" t="str">
        <f aca="false">IFERROR(INDEX(02_轉折點45個!B:B,MATCH(A6448,02_轉折點45個!A:A,0)),"")</f>
        <v/>
      </c>
      <c r="G6448" s="7" t="s">
        <v>5494</v>
      </c>
    </row>
    <row r="6449" customFormat="false" ht="15" hidden="false" customHeight="false" outlineLevel="0" collapsed="false">
      <c r="A6449" s="7" t="s">
        <v>6943</v>
      </c>
      <c r="B6449" s="7" t="n">
        <v>19508.52</v>
      </c>
      <c r="C6449" s="7" t="n">
        <f aca="false">AVERAGE(B6400:B6449)</f>
        <v>19446.9646</v>
      </c>
      <c r="D6449" s="7" t="n">
        <f aca="false">AVERAGE(B6250:B6449)</f>
        <v>17846.39205</v>
      </c>
      <c r="E6449" s="7" t="n">
        <f aca="false">B6449/MAX(B6198:B6449)-1</f>
        <v>-0.0564371731015343</v>
      </c>
      <c r="F6449" s="7" t="str">
        <f aca="false">IFERROR(INDEX(02_轉折點45個!B:B,MATCH(A6449,02_轉折點45個!A:A,0)),"")</f>
        <v/>
      </c>
      <c r="G6449" s="7" t="s">
        <v>5494</v>
      </c>
    </row>
    <row r="6450" customFormat="false" ht="15" hidden="false" customHeight="false" outlineLevel="0" collapsed="false">
      <c r="A6450" s="7" t="s">
        <v>1853</v>
      </c>
      <c r="B6450" s="7" t="n">
        <v>19766.49</v>
      </c>
      <c r="C6450" s="7" t="n">
        <f aca="false">AVERAGE(B6401:B6450)</f>
        <v>19461.8706</v>
      </c>
      <c r="D6450" s="7" t="n">
        <f aca="false">AVERAGE(B6251:B6450)</f>
        <v>17873.1756</v>
      </c>
      <c r="E6450" s="7" t="n">
        <f aca="false">B6450/MAX(B6199:B6450)-1</f>
        <v>-0.0439600142778512</v>
      </c>
      <c r="F6450" s="7" t="str">
        <f aca="false">IFERROR(INDEX(02_轉折點45個!B:B,MATCH(A6450,02_轉折點45個!A:A,0)),"")</f>
        <v/>
      </c>
      <c r="G6450" s="7" t="s">
        <v>5494</v>
      </c>
    </row>
    <row r="6451" customFormat="false" ht="15" hidden="false" customHeight="false" outlineLevel="0" collapsed="false">
      <c r="A6451" s="7" t="s">
        <v>6944</v>
      </c>
      <c r="B6451" s="7" t="n">
        <v>19719.82</v>
      </c>
      <c r="C6451" s="7" t="n">
        <f aca="false">AVERAGE(B6402:B6451)</f>
        <v>19476.248</v>
      </c>
      <c r="D6451" s="7" t="n">
        <f aca="false">AVERAGE(B6252:B6451)</f>
        <v>17898.45015</v>
      </c>
      <c r="E6451" s="7" t="n">
        <f aca="false">B6451/MAX(B6200:B6451)-1</f>
        <v>-0.0462172883884118</v>
      </c>
      <c r="F6451" s="7" t="str">
        <f aca="false">IFERROR(INDEX(02_轉折點45個!B:B,MATCH(A6451,02_轉折點45個!A:A,0)),"")</f>
        <v/>
      </c>
      <c r="G6451" s="7" t="s">
        <v>5494</v>
      </c>
    </row>
    <row r="6452" customFormat="false" ht="15" hidden="false" customHeight="false" outlineLevel="0" collapsed="false">
      <c r="A6452" s="7" t="s">
        <v>6945</v>
      </c>
      <c r="B6452" s="7" t="n">
        <v>19824.84</v>
      </c>
      <c r="C6452" s="7" t="n">
        <f aca="false">AVERAGE(B6403:B6452)</f>
        <v>19491.2514</v>
      </c>
      <c r="D6452" s="7" t="n">
        <f aca="false">AVERAGE(B6253:B6452)</f>
        <v>17922.9766</v>
      </c>
      <c r="E6452" s="7" t="n">
        <f aca="false">B6452/MAX(B6201:B6452)-1</f>
        <v>-0.0411378170558413</v>
      </c>
      <c r="F6452" s="7" t="str">
        <f aca="false">IFERROR(INDEX(02_轉折點45個!B:B,MATCH(A6452,02_轉折點45個!A:A,0)),"")</f>
        <v/>
      </c>
      <c r="G6452" s="7" t="s">
        <v>5494</v>
      </c>
    </row>
    <row r="6453" customFormat="false" ht="15" hidden="false" customHeight="false" outlineLevel="0" collapsed="false">
      <c r="A6453" s="7" t="s">
        <v>6946</v>
      </c>
      <c r="B6453" s="7" t="n">
        <v>19491.84</v>
      </c>
      <c r="C6453" s="7" t="n">
        <f aca="false">AVERAGE(B6404:B6453)</f>
        <v>19496.8846</v>
      </c>
      <c r="D6453" s="7" t="n">
        <f aca="false">AVERAGE(B6254:B6453)</f>
        <v>17944.93835</v>
      </c>
      <c r="E6453" s="7" t="n">
        <f aca="false">B6453/MAX(B6202:B6453)-1</f>
        <v>-0.0572439297367208</v>
      </c>
      <c r="F6453" s="7" t="str">
        <f aca="false">IFERROR(INDEX(02_轉折點45個!B:B,MATCH(A6453,02_轉折點45個!A:A,0)),"")</f>
        <v/>
      </c>
      <c r="G6453" s="7" t="s">
        <v>5494</v>
      </c>
    </row>
    <row r="6454" customFormat="false" ht="15" hidden="false" customHeight="false" outlineLevel="0" collapsed="false">
      <c r="A6454" s="7" t="s">
        <v>1854</v>
      </c>
      <c r="B6454" s="7" t="n">
        <v>19720.87</v>
      </c>
      <c r="C6454" s="7" t="n">
        <f aca="false">AVERAGE(B6405:B6454)</f>
        <v>19501.9984</v>
      </c>
      <c r="D6454" s="7" t="n">
        <f aca="false">AVERAGE(B6255:B6454)</f>
        <v>17967.76805</v>
      </c>
      <c r="E6454" s="7" t="n">
        <f aca="false">B6454/MAX(B6203:B6454)-1</f>
        <v>-0.0461665033484271</v>
      </c>
      <c r="F6454" s="7" t="str">
        <f aca="false">IFERROR(INDEX(02_轉折點45個!B:B,MATCH(A6454,02_轉折點45個!A:A,0)),"")</f>
        <v/>
      </c>
      <c r="G6454" s="7" t="s">
        <v>5494</v>
      </c>
    </row>
    <row r="6455" customFormat="false" ht="15" hidden="false" customHeight="false" outlineLevel="0" collapsed="false">
      <c r="A6455" s="7" t="s">
        <v>6947</v>
      </c>
      <c r="B6455" s="7" t="n">
        <v>19516.44</v>
      </c>
      <c r="C6455" s="7" t="n">
        <f aca="false">AVERAGE(B6406:B6455)</f>
        <v>19500.7888</v>
      </c>
      <c r="D6455" s="7" t="n">
        <f aca="false">AVERAGE(B6256:B6455)</f>
        <v>17988.87015</v>
      </c>
      <c r="E6455" s="7" t="n">
        <f aca="false">B6455/MAX(B6204:B6455)-1</f>
        <v>-0.0560541087999351</v>
      </c>
      <c r="F6455" s="7" t="str">
        <f aca="false">IFERROR(INDEX(02_轉折點45個!B:B,MATCH(A6455,02_轉折點45個!A:A,0)),"")</f>
        <v/>
      </c>
      <c r="G6455" s="7" t="s">
        <v>5494</v>
      </c>
    </row>
    <row r="6456" customFormat="false" ht="15" hidden="false" customHeight="false" outlineLevel="0" collapsed="false">
      <c r="A6456" s="7" t="s">
        <v>6948</v>
      </c>
      <c r="B6456" s="7" t="n">
        <v>19581.52</v>
      </c>
      <c r="C6456" s="7" t="n">
        <f aca="false">AVERAGE(B6407:B6456)</f>
        <v>19499.2232</v>
      </c>
      <c r="D6456" s="7" t="n">
        <f aca="false">AVERAGE(B6257:B6456)</f>
        <v>18010.21155</v>
      </c>
      <c r="E6456" s="7" t="n">
        <f aca="false">B6456/MAX(B6205:B6456)-1</f>
        <v>-0.0529064036549751</v>
      </c>
      <c r="F6456" s="7" t="str">
        <f aca="false">IFERROR(INDEX(02_轉折點45個!B:B,MATCH(A6456,02_轉折點45個!A:A,0)),"")</f>
        <v/>
      </c>
      <c r="G6456" s="7" t="s">
        <v>5494</v>
      </c>
    </row>
    <row r="6457" customFormat="false" ht="15" hidden="false" customHeight="false" outlineLevel="0" collapsed="false">
      <c r="A6457" s="7" t="s">
        <v>1855</v>
      </c>
      <c r="B6457" s="7" t="n">
        <v>19350.78</v>
      </c>
      <c r="C6457" s="7" t="n">
        <f aca="false">AVERAGE(B6408:B6457)</f>
        <v>19488.1838</v>
      </c>
      <c r="D6457" s="7" t="n">
        <f aca="false">AVERAGE(B6258:B6457)</f>
        <v>18031.02595</v>
      </c>
      <c r="E6457" s="7" t="n">
        <f aca="false">B6457/MAX(B6206:B6457)-1</f>
        <v>-0.064066537108387</v>
      </c>
      <c r="F6457" s="7" t="str">
        <f aca="false">IFERROR(INDEX(02_轉折點45個!B:B,MATCH(A6457,02_轉折點45個!A:A,0)),"")</f>
        <v/>
      </c>
      <c r="G6457" s="7" t="s">
        <v>5494</v>
      </c>
    </row>
    <row r="6458" customFormat="false" ht="15" hidden="false" customHeight="false" outlineLevel="0" collapsed="false">
      <c r="A6458" s="7" t="s">
        <v>6949</v>
      </c>
      <c r="B6458" s="7" t="n">
        <v>19325.45</v>
      </c>
      <c r="C6458" s="7" t="n">
        <f aca="false">AVERAGE(B6409:B6458)</f>
        <v>19476.5156</v>
      </c>
      <c r="D6458" s="7" t="n">
        <f aca="false">AVERAGE(B6259:B6458)</f>
        <v>18050.0076</v>
      </c>
      <c r="E6458" s="7" t="n">
        <f aca="false">B6458/MAX(B6207:B6458)-1</f>
        <v>-0.0652916657396382</v>
      </c>
      <c r="F6458" s="7" t="str">
        <f aca="false">IFERROR(INDEX(02_轉折點45個!B:B,MATCH(A6458,02_轉折點45個!A:A,0)),"")</f>
        <v/>
      </c>
      <c r="G6458" s="7" t="s">
        <v>5494</v>
      </c>
    </row>
    <row r="6459" customFormat="false" ht="15" hidden="false" customHeight="false" outlineLevel="0" collapsed="false">
      <c r="A6459" s="7" t="s">
        <v>6950</v>
      </c>
      <c r="B6459" s="7" t="n">
        <v>19574.64</v>
      </c>
      <c r="C6459" s="7" t="n">
        <f aca="false">AVERAGE(B6410:B6459)</f>
        <v>19472.9624</v>
      </c>
      <c r="D6459" s="7" t="n">
        <f aca="false">AVERAGE(B6260:B6459)</f>
        <v>18070.46685</v>
      </c>
      <c r="E6459" s="7" t="n">
        <f aca="false">B6459/MAX(B6208:B6459)-1</f>
        <v>-0.0532391665836373</v>
      </c>
      <c r="F6459" s="7" t="str">
        <f aca="false">IFERROR(INDEX(02_轉折點45個!B:B,MATCH(A6459,02_轉折點45個!A:A,0)),"")</f>
        <v/>
      </c>
      <c r="G6459" s="7" t="s">
        <v>5494</v>
      </c>
    </row>
    <row r="6460" customFormat="false" ht="15" hidden="false" customHeight="false" outlineLevel="0" collapsed="false">
      <c r="A6460" s="7" t="s">
        <v>1856</v>
      </c>
      <c r="B6460" s="7" t="n">
        <v>18958.74</v>
      </c>
      <c r="C6460" s="7" t="n">
        <f aca="false">AVERAGE(B6411:B6460)</f>
        <v>19458.1286</v>
      </c>
      <c r="D6460" s="7" t="n">
        <f aca="false">AVERAGE(B6261:B6460)</f>
        <v>18086.1982</v>
      </c>
      <c r="E6460" s="7" t="n">
        <f aca="false">B6460/MAX(B6209:B6460)-1</f>
        <v>-0.0830282200375518</v>
      </c>
      <c r="F6460" s="7" t="str">
        <f aca="false">IFERROR(INDEX(02_轉折點45個!B:B,MATCH(A6460,02_轉折點45個!A:A,0)),"")</f>
        <v/>
      </c>
      <c r="G6460" s="7" t="s">
        <v>5494</v>
      </c>
    </row>
    <row r="6461" customFormat="false" ht="15" hidden="false" customHeight="false" outlineLevel="0" collapsed="false">
      <c r="A6461" s="7" t="s">
        <v>6951</v>
      </c>
      <c r="B6461" s="7" t="n">
        <v>18921.4</v>
      </c>
      <c r="C6461" s="7" t="n">
        <f aca="false">AVERAGE(B6412:B6461)</f>
        <v>19447.0642</v>
      </c>
      <c r="D6461" s="7" t="n">
        <f aca="false">AVERAGE(B6262:B6461)</f>
        <v>18101.7193</v>
      </c>
      <c r="E6461" s="7" t="n">
        <f aca="false">B6461/MAX(B6210:B6461)-1</f>
        <v>-0.0848342327928192</v>
      </c>
      <c r="F6461" s="7" t="str">
        <f aca="false">IFERROR(INDEX(02_轉折點45個!B:B,MATCH(A6461,02_轉折點45個!A:A,0)),"")</f>
        <v/>
      </c>
      <c r="G6461" s="7" t="s">
        <v>5494</v>
      </c>
    </row>
    <row r="6462" customFormat="false" ht="15" hidden="false" customHeight="false" outlineLevel="0" collapsed="false">
      <c r="A6462" s="7" t="s">
        <v>6952</v>
      </c>
      <c r="B6462" s="7" t="n">
        <v>18930.33</v>
      </c>
      <c r="C6462" s="7" t="n">
        <f aca="false">AVERAGE(B6413:B6462)</f>
        <v>19431.6482</v>
      </c>
      <c r="D6462" s="7" t="n">
        <f aca="false">AVERAGE(B6263:B6462)</f>
        <v>18117.2051</v>
      </c>
      <c r="E6462" s="7" t="n">
        <f aca="false">B6462/MAX(B6211:B6462)-1</f>
        <v>-0.0844023181194251</v>
      </c>
      <c r="F6462" s="7" t="str">
        <f aca="false">IFERROR(INDEX(02_轉折點45個!B:B,MATCH(A6462,02_轉折點45個!A:A,0)),"")</f>
        <v/>
      </c>
      <c r="G6462" s="7" t="s">
        <v>5494</v>
      </c>
    </row>
    <row r="6463" customFormat="false" ht="15" hidden="false" customHeight="false" outlineLevel="0" collapsed="false">
      <c r="A6463" s="7" t="s">
        <v>1857</v>
      </c>
      <c r="B6463" s="7" t="n">
        <v>18421.31</v>
      </c>
      <c r="C6463" s="7" t="n">
        <f aca="false">AVERAGE(B6414:B6463)</f>
        <v>19405.0534</v>
      </c>
      <c r="D6463" s="7" t="n">
        <f aca="false">AVERAGE(B6264:B6463)</f>
        <v>18130.1217</v>
      </c>
      <c r="E6463" s="7" t="n">
        <f aca="false">B6463/MAX(B6212:B6463)-1</f>
        <v>-0.109021938169939</v>
      </c>
      <c r="F6463" s="7" t="str">
        <f aca="false">IFERROR(INDEX(02_轉折點45個!B:B,MATCH(A6463,02_轉折點45個!A:A,0)),"")</f>
        <v/>
      </c>
      <c r="G6463" s="7" t="s">
        <v>5494</v>
      </c>
    </row>
    <row r="6464" customFormat="false" ht="15" hidden="false" customHeight="false" outlineLevel="0" collapsed="false">
      <c r="A6464" s="7" t="s">
        <v>6953</v>
      </c>
      <c r="B6464" s="7" t="n">
        <v>18660.78</v>
      </c>
      <c r="C6464" s="7" t="n">
        <f aca="false">AVERAGE(B6415:B6464)</f>
        <v>19382.4884</v>
      </c>
      <c r="D6464" s="7" t="n">
        <f aca="false">AVERAGE(B6265:B6464)</f>
        <v>18143.2903</v>
      </c>
      <c r="E6464" s="7" t="n">
        <f aca="false">B6464/MAX(B6213:B6464)-1</f>
        <v>-0.097439563384083</v>
      </c>
      <c r="F6464" s="7" t="str">
        <f aca="false">IFERROR(INDEX(02_轉折點45個!B:B,MATCH(A6464,02_轉折點45個!A:A,0)),"")</f>
        <v/>
      </c>
      <c r="G6464" s="7" t="s">
        <v>5494</v>
      </c>
    </row>
    <row r="6465" customFormat="false" ht="15" hidden="false" customHeight="false" outlineLevel="0" collapsed="false">
      <c r="A6465" s="7" t="s">
        <v>6954</v>
      </c>
      <c r="B6465" s="7" t="n">
        <v>18829.14</v>
      </c>
      <c r="C6465" s="7" t="n">
        <f aca="false">AVERAGE(B6416:B6465)</f>
        <v>19365.4138</v>
      </c>
      <c r="D6465" s="7" t="n">
        <f aca="false">AVERAGE(B6266:B6465)</f>
        <v>18157.7679</v>
      </c>
      <c r="E6465" s="7" t="n">
        <f aca="false">B6465/MAX(B6214:B6465)-1</f>
        <v>-0.0892965449728131</v>
      </c>
      <c r="F6465" s="7" t="str">
        <f aca="false">IFERROR(INDEX(02_轉折點45個!B:B,MATCH(A6465,02_轉折點45個!A:A,0)),"")</f>
        <v/>
      </c>
      <c r="G6465" s="7" t="s">
        <v>5494</v>
      </c>
    </row>
    <row r="6466" customFormat="false" ht="15" hidden="false" customHeight="false" outlineLevel="0" collapsed="false">
      <c r="A6466" s="7" t="s">
        <v>6955</v>
      </c>
      <c r="B6466" s="7" t="n">
        <v>19237.3</v>
      </c>
      <c r="C6466" s="7" t="n">
        <f aca="false">AVERAGE(B6417:B6466)</f>
        <v>19353.9154</v>
      </c>
      <c r="D6466" s="7" t="n">
        <f aca="false">AVERAGE(B6267:B6466)</f>
        <v>18173.94745</v>
      </c>
      <c r="E6466" s="7" t="n">
        <f aca="false">B6466/MAX(B6215:B6466)-1</f>
        <v>-0.0695551907631202</v>
      </c>
      <c r="F6466" s="7" t="str">
        <f aca="false">IFERROR(INDEX(02_轉折點45個!B:B,MATCH(A6466,02_轉折點45個!A:A,0)),"")</f>
        <v/>
      </c>
      <c r="G6466" s="7" t="s">
        <v>5494</v>
      </c>
    </row>
    <row r="6467" customFormat="false" ht="15" hidden="false" customHeight="false" outlineLevel="0" collapsed="false">
      <c r="A6467" s="7" t="s">
        <v>6956</v>
      </c>
      <c r="B6467" s="7" t="n">
        <v>19423.07</v>
      </c>
      <c r="C6467" s="7" t="n">
        <f aca="false">AVERAGE(B6418:B6467)</f>
        <v>19342.139</v>
      </c>
      <c r="D6467" s="7" t="n">
        <f aca="false">AVERAGE(B6268:B6467)</f>
        <v>18191.15275</v>
      </c>
      <c r="E6467" s="7" t="n">
        <f aca="false">B6467/MAX(B6216:B6467)-1</f>
        <v>-0.0605701080221984</v>
      </c>
      <c r="F6467" s="7" t="str">
        <f aca="false">IFERROR(INDEX(02_轉折點45個!B:B,MATCH(A6467,02_轉折點45個!A:A,0)),"")</f>
        <v/>
      </c>
      <c r="G6467" s="7" t="s">
        <v>5494</v>
      </c>
    </row>
    <row r="6468" customFormat="false" ht="15" hidden="false" customHeight="false" outlineLevel="0" collapsed="false">
      <c r="A6468" s="7" t="s">
        <v>6957</v>
      </c>
      <c r="B6468" s="7" t="n">
        <v>19514.59</v>
      </c>
      <c r="C6468" s="7" t="n">
        <f aca="false">AVERAGE(B6419:B6468)</f>
        <v>19328.6982</v>
      </c>
      <c r="D6468" s="7" t="n">
        <f aca="false">AVERAGE(B6269:B6468)</f>
        <v>18208.9158</v>
      </c>
      <c r="E6468" s="7" t="n">
        <f aca="false">B6468/MAX(B6217:B6468)-1</f>
        <v>-0.0561435872037177</v>
      </c>
      <c r="F6468" s="7" t="str">
        <f aca="false">IFERROR(INDEX(02_轉折點45個!B:B,MATCH(A6468,02_轉折點45個!A:A,0)),"")</f>
        <v/>
      </c>
      <c r="G6468" s="7" t="s">
        <v>5494</v>
      </c>
    </row>
    <row r="6469" customFormat="false" ht="15" hidden="false" customHeight="false" outlineLevel="0" collapsed="false">
      <c r="A6469" s="7" t="s">
        <v>1858</v>
      </c>
      <c r="B6469" s="7" t="n">
        <v>19423.06</v>
      </c>
      <c r="C6469" s="7" t="n">
        <f aca="false">AVERAGE(B6420:B6469)</f>
        <v>19309.32</v>
      </c>
      <c r="D6469" s="7" t="n">
        <f aca="false">AVERAGE(B6270:B6469)</f>
        <v>18225.97895</v>
      </c>
      <c r="E6469" s="7" t="n">
        <f aca="false">B6469/MAX(B6218:B6469)-1</f>
        <v>-0.0605705916892458</v>
      </c>
      <c r="F6469" s="7" t="str">
        <f aca="false">IFERROR(INDEX(02_轉折點45個!B:B,MATCH(A6469,02_轉折點45個!A:A,0)),"")</f>
        <v/>
      </c>
      <c r="G6469" s="7" t="s">
        <v>5494</v>
      </c>
    </row>
    <row r="6470" customFormat="false" ht="15" hidden="false" customHeight="false" outlineLevel="0" collapsed="false">
      <c r="A6470" s="7" t="s">
        <v>6958</v>
      </c>
      <c r="B6470" s="7" t="n">
        <v>19432.4</v>
      </c>
      <c r="C6470" s="7" t="n">
        <f aca="false">AVERAGE(B6421:B6470)</f>
        <v>19289.1772</v>
      </c>
      <c r="D6470" s="7" t="n">
        <f aca="false">AVERAGE(B6271:B6470)</f>
        <v>18243.20295</v>
      </c>
      <c r="E6470" s="7" t="n">
        <f aca="false">B6470/MAX(B6219:B6470)-1</f>
        <v>-0.0601188466669053</v>
      </c>
      <c r="F6470" s="7" t="str">
        <f aca="false">IFERROR(INDEX(02_轉折點45個!B:B,MATCH(A6470,02_轉折點45個!A:A,0)),"")</f>
        <v/>
      </c>
      <c r="G6470" s="7" t="s">
        <v>5494</v>
      </c>
    </row>
    <row r="6471" customFormat="false" ht="15" hidden="false" customHeight="false" outlineLevel="0" collapsed="false">
      <c r="A6471" s="7" t="s">
        <v>6959</v>
      </c>
      <c r="B6471" s="7" t="n">
        <v>19344.49</v>
      </c>
      <c r="C6471" s="7" t="n">
        <f aca="false">AVERAGE(B6422:B6471)</f>
        <v>19267.0066</v>
      </c>
      <c r="D6471" s="7" t="n">
        <f aca="false">AVERAGE(B6272:B6471)</f>
        <v>18260.18605</v>
      </c>
      <c r="E6471" s="7" t="n">
        <f aca="false">B6471/MAX(B6220:B6471)-1</f>
        <v>-0.0643707636812479</v>
      </c>
      <c r="F6471" s="7" t="str">
        <f aca="false">IFERROR(INDEX(02_轉折點45個!B:B,MATCH(A6471,02_轉折點45個!A:A,0)),"")</f>
        <v/>
      </c>
      <c r="G6471" s="7" t="s">
        <v>5494</v>
      </c>
    </row>
    <row r="6472" customFormat="false" ht="15" hidden="false" customHeight="false" outlineLevel="0" collapsed="false">
      <c r="A6472" s="7" t="s">
        <v>1859</v>
      </c>
      <c r="B6472" s="7" t="n">
        <v>19839.83</v>
      </c>
      <c r="C6472" s="7" t="n">
        <f aca="false">AVERAGE(B6423:B6472)</f>
        <v>19250.2956</v>
      </c>
      <c r="D6472" s="7" t="n">
        <f aca="false">AVERAGE(B6273:B6472)</f>
        <v>18279.3973</v>
      </c>
      <c r="E6472" s="7" t="n">
        <f aca="false">B6472/MAX(B6221:B6472)-1</f>
        <v>-0.0404128001516779</v>
      </c>
      <c r="F6472" s="7" t="str">
        <f aca="false">IFERROR(INDEX(02_轉折點45個!B:B,MATCH(A6472,02_轉折點45個!A:A,0)),"")</f>
        <v/>
      </c>
      <c r="G6472" s="7" t="s">
        <v>5494</v>
      </c>
    </row>
    <row r="6473" customFormat="false" ht="15" hidden="false" customHeight="false" outlineLevel="0" collapsed="false">
      <c r="A6473" s="7" t="s">
        <v>1860</v>
      </c>
      <c r="B6473" s="7" t="n">
        <v>19791.49</v>
      </c>
      <c r="C6473" s="7" t="n">
        <f aca="false">AVERAGE(B6424:B6473)</f>
        <v>19241.8982</v>
      </c>
      <c r="D6473" s="7" t="n">
        <f aca="false">AVERAGE(B6274:B6473)</f>
        <v>18299.1564</v>
      </c>
      <c r="E6473" s="7" t="n">
        <f aca="false">B6473/MAX(B6222:B6473)-1</f>
        <v>-0.0427508466591666</v>
      </c>
      <c r="F6473" s="7" t="str">
        <f aca="false">IFERROR(INDEX(02_轉折點45個!B:B,MATCH(A6473,02_轉折點45個!A:A,0)),"")</f>
        <v/>
      </c>
      <c r="G6473" s="7" t="s">
        <v>5494</v>
      </c>
    </row>
    <row r="6474" customFormat="false" ht="15" hidden="false" customHeight="false" outlineLevel="0" collapsed="false">
      <c r="A6474" s="7" t="s">
        <v>6960</v>
      </c>
      <c r="B6474" s="7" t="n">
        <v>19852.2</v>
      </c>
      <c r="C6474" s="7" t="n">
        <f aca="false">AVERAGE(B6425:B6474)</f>
        <v>19232.3124</v>
      </c>
      <c r="D6474" s="7" t="n">
        <f aca="false">AVERAGE(B6275:B6474)</f>
        <v>18319.02885</v>
      </c>
      <c r="E6474" s="7" t="n">
        <f aca="false">B6474/MAX(B6223:B6474)-1</f>
        <v>-0.0398145040139528</v>
      </c>
      <c r="F6474" s="7" t="str">
        <f aca="false">IFERROR(INDEX(02_轉折點45個!B:B,MATCH(A6474,02_轉折點45個!A:A,0)),"")</f>
        <v/>
      </c>
      <c r="G6474" s="7" t="s">
        <v>5494</v>
      </c>
    </row>
    <row r="6475" customFormat="false" ht="15" hidden="false" customHeight="false" outlineLevel="0" collapsed="false">
      <c r="A6475" s="7" t="s">
        <v>6961</v>
      </c>
      <c r="B6475" s="7" t="n">
        <v>19944.84</v>
      </c>
      <c r="C6475" s="7" t="n">
        <f aca="false">AVERAGE(B6426:B6475)</f>
        <v>19223.4716</v>
      </c>
      <c r="D6475" s="7" t="n">
        <f aca="false">AVERAGE(B6276:B6475)</f>
        <v>18339.8128</v>
      </c>
      <c r="E6475" s="7" t="n">
        <f aca="false">B6475/MAX(B6224:B6475)-1</f>
        <v>-0.0353338124861551</v>
      </c>
      <c r="F6475" s="7" t="str">
        <f aca="false">IFERROR(INDEX(02_轉折點45個!B:B,MATCH(A6475,02_轉折點45個!A:A,0)),"")</f>
        <v/>
      </c>
      <c r="G6475" s="7" t="s">
        <v>5494</v>
      </c>
    </row>
    <row r="6476" customFormat="false" ht="15" hidden="false" customHeight="false" outlineLevel="0" collapsed="false">
      <c r="A6476" s="7" t="s">
        <v>6962</v>
      </c>
      <c r="B6476" s="7" t="n">
        <v>19972.61</v>
      </c>
      <c r="C6476" s="7" t="n">
        <f aca="false">AVERAGE(B6427:B6476)</f>
        <v>19214.9514</v>
      </c>
      <c r="D6476" s="7" t="n">
        <f aca="false">AVERAGE(B6277:B6476)</f>
        <v>18359.5634</v>
      </c>
      <c r="E6476" s="7" t="n">
        <f aca="false">B6476/MAX(B6225:B6476)-1</f>
        <v>-0.0339906690953201</v>
      </c>
      <c r="F6476" s="7" t="str">
        <f aca="false">IFERROR(INDEX(02_轉折點45個!B:B,MATCH(A6476,02_轉折點45個!A:A,0)),"")</f>
        <v/>
      </c>
      <c r="G6476" s="7" t="s">
        <v>5494</v>
      </c>
    </row>
    <row r="6477" customFormat="false" ht="15" hidden="false" customHeight="false" outlineLevel="0" collapsed="false">
      <c r="A6477" s="7" t="s">
        <v>6963</v>
      </c>
      <c r="B6477" s="7" t="n">
        <v>20115.54</v>
      </c>
      <c r="C6477" s="7" t="n">
        <f aca="false">AVERAGE(B6428:B6477)</f>
        <v>19221.2794</v>
      </c>
      <c r="D6477" s="7" t="n">
        <f aca="false">AVERAGE(B6278:B6477)</f>
        <v>18379.71765</v>
      </c>
      <c r="E6477" s="7" t="n">
        <f aca="false">B6477/MAX(B6226:B6477)-1</f>
        <v>-0.0270776159857763</v>
      </c>
      <c r="F6477" s="7" t="str">
        <f aca="false">IFERROR(INDEX(02_轉折點45個!B:B,MATCH(A6477,02_轉折點45個!A:A,0)),"")</f>
        <v/>
      </c>
      <c r="G6477" s="7" t="s">
        <v>5494</v>
      </c>
    </row>
    <row r="6478" customFormat="false" ht="15" hidden="false" customHeight="false" outlineLevel="0" collapsed="false">
      <c r="A6478" s="7" t="s">
        <v>6964</v>
      </c>
      <c r="B6478" s="7" t="n">
        <v>20008.62</v>
      </c>
      <c r="C6478" s="7" t="n">
        <f aca="false">AVERAGE(B6429:B6478)</f>
        <v>19227.35</v>
      </c>
      <c r="D6478" s="7" t="n">
        <f aca="false">AVERAGE(B6279:B6478)</f>
        <v>18398.6521</v>
      </c>
      <c r="E6478" s="7" t="n">
        <f aca="false">B6478/MAX(B6227:B6478)-1</f>
        <v>-0.0322489840573669</v>
      </c>
      <c r="F6478" s="7" t="str">
        <f aca="false">IFERROR(INDEX(02_轉折點45個!B:B,MATCH(A6478,02_轉折點45個!A:A,0)),"")</f>
        <v/>
      </c>
      <c r="G6478" s="7" t="s">
        <v>5494</v>
      </c>
    </row>
    <row r="6479" customFormat="false" ht="15" hidden="false" customHeight="false" outlineLevel="0" collapsed="false">
      <c r="A6479" s="7" t="s">
        <v>1861</v>
      </c>
      <c r="B6479" s="7" t="n">
        <v>20060.69</v>
      </c>
      <c r="C6479" s="7" t="n">
        <f aca="false">AVERAGE(B6430:B6479)</f>
        <v>19238.1114</v>
      </c>
      <c r="D6479" s="7" t="n">
        <f aca="false">AVERAGE(B6280:B6479)</f>
        <v>18417.1843</v>
      </c>
      <c r="E6479" s="7" t="n">
        <f aca="false">B6479/MAX(B6228:B6479)-1</f>
        <v>-0.0297305297411705</v>
      </c>
      <c r="F6479" s="7" t="str">
        <f aca="false">IFERROR(INDEX(02_轉折點45個!B:B,MATCH(A6479,02_轉折點45個!A:A,0)),"")</f>
        <v/>
      </c>
      <c r="G6479" s="7" t="s">
        <v>5494</v>
      </c>
    </row>
    <row r="6480" customFormat="false" ht="15" hidden="false" customHeight="false" outlineLevel="0" collapsed="false">
      <c r="A6480" s="7" t="s">
        <v>6965</v>
      </c>
      <c r="B6480" s="7" t="n">
        <v>19773.3</v>
      </c>
      <c r="C6480" s="7" t="n">
        <f aca="false">AVERAGE(B6431:B6480)</f>
        <v>19237.12</v>
      </c>
      <c r="D6480" s="7" t="n">
        <f aca="false">AVERAGE(B6281:B6480)</f>
        <v>18433.23895</v>
      </c>
      <c r="E6480" s="7" t="n">
        <f aca="false">B6480/MAX(B6229:B6480)-1</f>
        <v>-0.0436306370185217</v>
      </c>
      <c r="F6480" s="7" t="str">
        <f aca="false">IFERROR(INDEX(02_轉折點45個!B:B,MATCH(A6480,02_轉折點45個!A:A,0)),"")</f>
        <v/>
      </c>
      <c r="G6480" s="7" t="s">
        <v>5494</v>
      </c>
    </row>
    <row r="6481" customFormat="false" ht="15" hidden="false" customHeight="false" outlineLevel="0" collapsed="false">
      <c r="A6481" s="7" t="s">
        <v>6966</v>
      </c>
      <c r="B6481" s="7" t="n">
        <v>19802.59</v>
      </c>
      <c r="C6481" s="7" t="n">
        <f aca="false">AVERAGE(B6432:B6481)</f>
        <v>19238.085</v>
      </c>
      <c r="D6481" s="7" t="n">
        <f aca="false">AVERAGE(B6282:B6481)</f>
        <v>18449.56275</v>
      </c>
      <c r="E6481" s="7" t="n">
        <f aca="false">B6481/MAX(B6230:B6481)-1</f>
        <v>-0.0422139762364707</v>
      </c>
      <c r="F6481" s="7" t="str">
        <f aca="false">IFERROR(INDEX(02_轉折點45個!B:B,MATCH(A6481,02_轉折點45個!A:A,0)),"")</f>
        <v/>
      </c>
      <c r="G6481" s="7" t="s">
        <v>5494</v>
      </c>
    </row>
    <row r="6482" customFormat="false" ht="15" hidden="false" customHeight="false" outlineLevel="0" collapsed="false">
      <c r="A6482" s="7" t="s">
        <v>1862</v>
      </c>
      <c r="B6482" s="7" t="n">
        <v>19793.34</v>
      </c>
      <c r="C6482" s="7" t="n">
        <f aca="false">AVERAGE(B6433:B6482)</f>
        <v>19253.304</v>
      </c>
      <c r="D6482" s="7" t="n">
        <f aca="false">AVERAGE(B6283:B6482)</f>
        <v>18465.4122</v>
      </c>
      <c r="E6482" s="7" t="n">
        <f aca="false">B6482/MAX(B6231:B6482)-1</f>
        <v>-0.042661368255384</v>
      </c>
      <c r="F6482" s="7" t="str">
        <f aca="false">IFERROR(INDEX(02_轉折點45個!B:B,MATCH(A6482,02_轉折點45個!A:A,0)),"")</f>
        <v/>
      </c>
      <c r="G6482" s="7" t="s">
        <v>5494</v>
      </c>
    </row>
    <row r="6483" customFormat="false" ht="15" hidden="false" customHeight="false" outlineLevel="0" collapsed="false">
      <c r="A6483" s="7" t="s">
        <v>6967</v>
      </c>
      <c r="B6483" s="7" t="n">
        <v>20035.02</v>
      </c>
      <c r="C6483" s="7" t="n">
        <f aca="false">AVERAGE(B6434:B6483)</f>
        <v>19277.3928</v>
      </c>
      <c r="D6483" s="7" t="n">
        <f aca="false">AVERAGE(B6284:B6483)</f>
        <v>18481.9383</v>
      </c>
      <c r="E6483" s="7" t="n">
        <f aca="false">B6483/MAX(B6232:B6483)-1</f>
        <v>-0.0309721030520358</v>
      </c>
      <c r="F6483" s="7" t="str">
        <f aca="false">IFERROR(INDEX(02_轉折點45個!B:B,MATCH(A6483,02_轉折點45個!A:A,0)),"")</f>
        <v/>
      </c>
      <c r="G6483" s="7" t="s">
        <v>5494</v>
      </c>
    </row>
    <row r="6484" customFormat="false" ht="15" hidden="false" customHeight="false" outlineLevel="0" collapsed="false">
      <c r="A6484" s="7" t="s">
        <v>6968</v>
      </c>
      <c r="B6484" s="7" t="n">
        <v>19800.74</v>
      </c>
      <c r="C6484" s="7" t="n">
        <f aca="false">AVERAGE(B6435:B6484)</f>
        <v>19292.9344</v>
      </c>
      <c r="D6484" s="7" t="n">
        <f aca="false">AVERAGE(B6285:B6484)</f>
        <v>18496.88275</v>
      </c>
      <c r="E6484" s="7" t="n">
        <f aca="false">B6484/MAX(B6233:B6484)-1</f>
        <v>-0.0423034546402532</v>
      </c>
      <c r="F6484" s="7" t="str">
        <f aca="false">IFERROR(INDEX(02_轉折點45個!B:B,MATCH(A6484,02_轉折點45個!A:A,0)),"")</f>
        <v/>
      </c>
      <c r="G6484" s="7" t="s">
        <v>5494</v>
      </c>
    </row>
    <row r="6485" customFormat="false" ht="15" hidden="false" customHeight="false" outlineLevel="0" collapsed="false">
      <c r="A6485" s="7" t="s">
        <v>6969</v>
      </c>
      <c r="B6485" s="7" t="n">
        <v>20107.78</v>
      </c>
      <c r="C6485" s="7" t="n">
        <f aca="false">AVERAGE(B6436:B6485)</f>
        <v>19313.9002</v>
      </c>
      <c r="D6485" s="7" t="n">
        <f aca="false">AVERAGE(B6286:B6485)</f>
        <v>18514.65085</v>
      </c>
      <c r="E6485" s="7" t="n">
        <f aca="false">B6485/MAX(B6234:B6485)-1</f>
        <v>-0.0274529416146161</v>
      </c>
      <c r="F6485" s="7" t="str">
        <f aca="false">IFERROR(INDEX(02_轉折點45個!B:B,MATCH(A6485,02_轉折點45個!A:A,0)),"")</f>
        <v/>
      </c>
      <c r="G6485" s="7" t="s">
        <v>5494</v>
      </c>
    </row>
    <row r="6486" customFormat="false" ht="15" hidden="false" customHeight="false" outlineLevel="0" collapsed="false">
      <c r="A6486" s="7" t="s">
        <v>6970</v>
      </c>
      <c r="B6486" s="7" t="n">
        <v>20268.86</v>
      </c>
      <c r="C6486" s="7" t="n">
        <f aca="false">AVERAGE(B6437:B6486)</f>
        <v>19343.352</v>
      </c>
      <c r="D6486" s="7" t="n">
        <f aca="false">AVERAGE(B6287:B6486)</f>
        <v>18532.2081</v>
      </c>
      <c r="E6486" s="7" t="n">
        <f aca="false">B6486/MAX(B6235:B6486)-1</f>
        <v>-0.0196620328139072</v>
      </c>
      <c r="F6486" s="7" t="str">
        <f aca="false">IFERROR(INDEX(02_轉折點45個!B:B,MATCH(A6486,02_轉折點45個!A:A,0)),"")</f>
        <v/>
      </c>
      <c r="G6486" s="7" t="s">
        <v>5494</v>
      </c>
    </row>
    <row r="6487" customFormat="false" ht="15" hidden="false" customHeight="false" outlineLevel="0" collapsed="false">
      <c r="A6487" s="7" t="s">
        <v>6971</v>
      </c>
      <c r="B6487" s="7" t="n">
        <v>20241.76</v>
      </c>
      <c r="C6487" s="7" t="n">
        <f aca="false">AVERAGE(B6438:B6487)</f>
        <v>19360.9386</v>
      </c>
      <c r="D6487" s="7" t="n">
        <f aca="false">AVERAGE(B6288:B6487)</f>
        <v>18549.5299</v>
      </c>
      <c r="E6487" s="7" t="n">
        <f aca="false">B6487/MAX(B6236:B6487)-1</f>
        <v>-0.0209727705125614</v>
      </c>
      <c r="F6487" s="7" t="str">
        <f aca="false">IFERROR(INDEX(02_轉折點45個!B:B,MATCH(A6487,02_轉折點45個!A:A,0)),"")</f>
        <v/>
      </c>
      <c r="G6487" s="7" t="s">
        <v>5494</v>
      </c>
    </row>
    <row r="6488" customFormat="false" ht="15" hidden="false" customHeight="false" outlineLevel="0" collapsed="false">
      <c r="A6488" s="7" t="s">
        <v>6972</v>
      </c>
      <c r="B6488" s="7" t="n">
        <v>20271.97</v>
      </c>
      <c r="C6488" s="7" t="n">
        <f aca="false">AVERAGE(B6439:B6488)</f>
        <v>19388.5702</v>
      </c>
      <c r="D6488" s="7" t="n">
        <f aca="false">AVERAGE(B6289:B6488)</f>
        <v>18566.49745</v>
      </c>
      <c r="E6488" s="7" t="n">
        <f aca="false">B6488/MAX(B6237:B6488)-1</f>
        <v>-0.0195116123621428</v>
      </c>
      <c r="F6488" s="7" t="str">
        <f aca="false">IFERROR(INDEX(02_轉折點45個!B:B,MATCH(A6488,02_轉折點45個!A:A,0)),"")</f>
        <v/>
      </c>
      <c r="G6488" s="7" t="s">
        <v>5494</v>
      </c>
    </row>
    <row r="6489" customFormat="false" ht="15" hidden="false" customHeight="false" outlineLevel="0" collapsed="false">
      <c r="A6489" s="7" t="s">
        <v>6973</v>
      </c>
      <c r="B6489" s="7" t="n">
        <v>20439.05</v>
      </c>
      <c r="C6489" s="7" t="n">
        <f aca="false">AVERAGE(B6440:B6489)</f>
        <v>19428.5342</v>
      </c>
      <c r="D6489" s="7" t="n">
        <f aca="false">AVERAGE(B6290:B6489)</f>
        <v>18584.1587</v>
      </c>
      <c r="E6489" s="7" t="n">
        <f aca="false">B6489/MAX(B6238:B6489)-1</f>
        <v>-0.0114305033329497</v>
      </c>
      <c r="F6489" s="7" t="str">
        <f aca="false">IFERROR(INDEX(02_轉折點45個!B:B,MATCH(A6489,02_轉折點45個!A:A,0)),"")</f>
        <v/>
      </c>
      <c r="G6489" s="7" t="s">
        <v>5494</v>
      </c>
    </row>
    <row r="6490" customFormat="false" ht="15" hidden="false" customHeight="false" outlineLevel="0" collapsed="false">
      <c r="A6490" s="7" t="s">
        <v>6974</v>
      </c>
      <c r="B6490" s="7" t="n">
        <v>20159.83</v>
      </c>
      <c r="C6490" s="7" t="n">
        <f aca="false">AVERAGE(B6441:B6490)</f>
        <v>19473.8276</v>
      </c>
      <c r="D6490" s="7" t="n">
        <f aca="false">AVERAGE(B6291:B6490)</f>
        <v>18600.4655</v>
      </c>
      <c r="E6490" s="7" t="n">
        <f aca="false">B6490/MAX(B6239:B6490)-1</f>
        <v>-0.0249354546325146</v>
      </c>
      <c r="F6490" s="7" t="str">
        <f aca="false">IFERROR(INDEX(02_轉折點45個!B:B,MATCH(A6490,02_轉折點45個!A:A,0)),"")</f>
        <v/>
      </c>
      <c r="G6490" s="7" t="s">
        <v>5494</v>
      </c>
    </row>
    <row r="6491" customFormat="false" ht="15" hidden="false" customHeight="false" outlineLevel="0" collapsed="false">
      <c r="A6491" s="7" t="s">
        <v>1863</v>
      </c>
      <c r="B6491" s="7" t="n">
        <v>20174.05</v>
      </c>
      <c r="C6491" s="7" t="n">
        <f aca="false">AVERAGE(B6442:B6491)</f>
        <v>19515.7502</v>
      </c>
      <c r="D6491" s="7" t="n">
        <f aca="false">AVERAGE(B6292:B6491)</f>
        <v>18617.2061</v>
      </c>
      <c r="E6491" s="7" t="n">
        <f aca="false">B6491/MAX(B6240:B6491)-1</f>
        <v>-0.0242476800910069</v>
      </c>
      <c r="F6491" s="7" t="str">
        <f aca="false">IFERROR(INDEX(02_轉折點45個!B:B,MATCH(A6491,02_轉折點45個!A:A,0)),"")</f>
        <v/>
      </c>
      <c r="G6491" s="7" t="s">
        <v>5494</v>
      </c>
    </row>
    <row r="6492" customFormat="false" ht="15" hidden="false" customHeight="false" outlineLevel="0" collapsed="false">
      <c r="A6492" s="7" t="s">
        <v>6975</v>
      </c>
      <c r="B6492" s="7" t="n">
        <v>20190.42</v>
      </c>
      <c r="C6492" s="7" t="n">
        <f aca="false">AVERAGE(B6443:B6492)</f>
        <v>19562.2112</v>
      </c>
      <c r="D6492" s="7" t="n">
        <f aca="false">AVERAGE(B6293:B6492)</f>
        <v>18635.4385</v>
      </c>
      <c r="E6492" s="7" t="n">
        <f aca="false">B6492/MAX(B6241:B6492)-1</f>
        <v>-0.0234559171342922</v>
      </c>
      <c r="F6492" s="7" t="str">
        <f aca="false">IFERROR(INDEX(02_轉折點45個!B:B,MATCH(A6492,02_轉折點45個!A:A,0)),"")</f>
        <v/>
      </c>
      <c r="G6492" s="7" t="s">
        <v>5494</v>
      </c>
    </row>
    <row r="6493" customFormat="false" ht="15" hidden="false" customHeight="false" outlineLevel="0" collapsed="false">
      <c r="A6493" s="7" t="s">
        <v>6976</v>
      </c>
      <c r="B6493" s="7" t="n">
        <v>20324.04</v>
      </c>
      <c r="C6493" s="7" t="n">
        <f aca="false">AVERAGE(B6444:B6493)</f>
        <v>19600.4156</v>
      </c>
      <c r="D6493" s="7" t="n">
        <f aca="false">AVERAGE(B6294:B6493)</f>
        <v>18655.21625</v>
      </c>
      <c r="E6493" s="7" t="n">
        <f aca="false">B6493/MAX(B6242:B6493)-1</f>
        <v>-0.0169931580459465</v>
      </c>
      <c r="F6493" s="7" t="str">
        <f aca="false">IFERROR(INDEX(02_轉折點45個!B:B,MATCH(A6493,02_轉折點45個!A:A,0)),"")</f>
        <v/>
      </c>
      <c r="G6493" s="7" t="s">
        <v>5494</v>
      </c>
    </row>
    <row r="6494" customFormat="false" ht="15" hidden="false" customHeight="false" outlineLevel="0" collapsed="false">
      <c r="A6494" s="7" t="s">
        <v>1864</v>
      </c>
      <c r="B6494" s="7" t="n">
        <v>20361.47</v>
      </c>
      <c r="C6494" s="7" t="n">
        <f aca="false">AVERAGE(B6445:B6494)</f>
        <v>19637.383</v>
      </c>
      <c r="D6494" s="7" t="n">
        <f aca="false">AVERAGE(B6295:B6494)</f>
        <v>18675.61355</v>
      </c>
      <c r="E6494" s="7" t="n">
        <f aca="false">B6494/MAX(B6243:B6494)-1</f>
        <v>-0.0151827922872518</v>
      </c>
      <c r="F6494" s="7" t="str">
        <f aca="false">IFERROR(INDEX(02_轉折點45個!B:B,MATCH(A6494,02_轉折點45個!A:A,0)),"")</f>
        <v/>
      </c>
      <c r="G6494" s="7" t="s">
        <v>5494</v>
      </c>
    </row>
    <row r="6495" customFormat="false" ht="15" hidden="false" customHeight="false" outlineLevel="0" collapsed="false">
      <c r="A6495" s="7" t="s">
        <v>6977</v>
      </c>
      <c r="B6495" s="7" t="n">
        <v>20390.46</v>
      </c>
      <c r="C6495" s="7" t="n">
        <f aca="false">AVERAGE(B6446:B6495)</f>
        <v>19674.3516</v>
      </c>
      <c r="D6495" s="7" t="n">
        <f aca="false">AVERAGE(B6296:B6495)</f>
        <v>18696.03595</v>
      </c>
      <c r="E6495" s="7" t="n">
        <f aca="false">B6495/MAX(B6244:B6495)-1</f>
        <v>-0.0137806415166252</v>
      </c>
      <c r="F6495" s="7" t="str">
        <f aca="false">IFERROR(INDEX(02_轉折點45個!B:B,MATCH(A6495,02_轉折點45個!A:A,0)),"")</f>
        <v/>
      </c>
      <c r="G6495" s="7" t="s">
        <v>5494</v>
      </c>
    </row>
    <row r="6496" customFormat="false" ht="15" hidden="false" customHeight="false" outlineLevel="0" collapsed="false">
      <c r="A6496" s="7" t="s">
        <v>6978</v>
      </c>
      <c r="B6496" s="7" t="n">
        <v>20066.96</v>
      </c>
      <c r="C6496" s="7" t="n">
        <f aca="false">AVERAGE(B6447:B6496)</f>
        <v>19695.5622</v>
      </c>
      <c r="D6496" s="7" t="n">
        <f aca="false">AVERAGE(B6297:B6496)</f>
        <v>18713.1214</v>
      </c>
      <c r="E6496" s="7" t="n">
        <f aca="false">B6496/MAX(B6245:B6496)-1</f>
        <v>-0.0294272705024043</v>
      </c>
      <c r="F6496" s="7" t="str">
        <f aca="false">IFERROR(INDEX(02_轉折點45個!B:B,MATCH(A6496,02_轉折點45個!A:A,0)),"")</f>
        <v/>
      </c>
      <c r="G6496" s="7" t="s">
        <v>5494</v>
      </c>
    </row>
    <row r="6497" customFormat="false" ht="15" hidden="false" customHeight="false" outlineLevel="0" collapsed="false">
      <c r="A6497" s="7" t="s">
        <v>6979</v>
      </c>
      <c r="B6497" s="7" t="n">
        <v>20232.87</v>
      </c>
      <c r="C6497" s="7" t="n">
        <f aca="false">AVERAGE(B6448:B6497)</f>
        <v>19719.766</v>
      </c>
      <c r="D6497" s="7" t="n">
        <f aca="false">AVERAGE(B6298:B6497)</f>
        <v>18730.89225</v>
      </c>
      <c r="E6497" s="7" t="n">
        <f aca="false">B6497/MAX(B6246:B6497)-1</f>
        <v>-0.0214027505177656</v>
      </c>
      <c r="F6497" s="7" t="str">
        <f aca="false">IFERROR(INDEX(02_轉折點45個!B:B,MATCH(A6497,02_轉折點45個!A:A,0)),"")</f>
        <v/>
      </c>
      <c r="G6497" s="7" t="s">
        <v>5494</v>
      </c>
    </row>
    <row r="6498" customFormat="false" ht="15" hidden="false" customHeight="false" outlineLevel="0" collapsed="false">
      <c r="A6498" s="7" t="s">
        <v>6980</v>
      </c>
      <c r="B6498" s="7" t="n">
        <v>20352.02</v>
      </c>
      <c r="C6498" s="7" t="n">
        <f aca="false">AVERAGE(B6449:B6498)</f>
        <v>19737.0034</v>
      </c>
      <c r="D6498" s="7" t="n">
        <f aca="false">AVERAGE(B6299:B6498)</f>
        <v>18748.6871</v>
      </c>
      <c r="E6498" s="7" t="n">
        <f aca="false">B6498/MAX(B6247:B6498)-1</f>
        <v>-0.0156398576471146</v>
      </c>
      <c r="F6498" s="7" t="str">
        <f aca="false">IFERROR(INDEX(02_轉折點45個!B:B,MATCH(A6498,02_轉折點45個!A:A,0)),"")</f>
        <v/>
      </c>
      <c r="G6498" s="7" t="s">
        <v>5494</v>
      </c>
    </row>
    <row r="6499" customFormat="false" ht="15" hidden="false" customHeight="false" outlineLevel="0" collapsed="false">
      <c r="A6499" s="7" t="s">
        <v>6981</v>
      </c>
      <c r="B6499" s="7" t="n">
        <v>20351.07</v>
      </c>
      <c r="C6499" s="7" t="n">
        <f aca="false">AVERAGE(B6450:B6499)</f>
        <v>19753.8544</v>
      </c>
      <c r="D6499" s="7" t="n">
        <f aca="false">AVERAGE(B6300:B6499)</f>
        <v>18766.33795</v>
      </c>
      <c r="E6499" s="7" t="n">
        <f aca="false">B6499/MAX(B6248:B6499)-1</f>
        <v>-0.0156858060166246</v>
      </c>
      <c r="F6499" s="7" t="str">
        <f aca="false">IFERROR(INDEX(02_轉折點45個!B:B,MATCH(A6499,02_轉折點45個!A:A,0)),"")</f>
        <v/>
      </c>
      <c r="G6499" s="7" t="s">
        <v>5494</v>
      </c>
    </row>
    <row r="6500" customFormat="false" ht="15" hidden="false" customHeight="false" outlineLevel="0" collapsed="false">
      <c r="A6500" s="7" t="s">
        <v>1865</v>
      </c>
      <c r="B6500" s="7" t="n">
        <v>20550.65</v>
      </c>
      <c r="C6500" s="7" t="n">
        <f aca="false">AVERAGE(B6451:B6500)</f>
        <v>19769.5376</v>
      </c>
      <c r="D6500" s="7" t="n">
        <f aca="false">AVERAGE(B6301:B6500)</f>
        <v>18784.9266</v>
      </c>
      <c r="E6500" s="7" t="n">
        <f aca="false">B6500/MAX(B6249:B6500)-1</f>
        <v>-0.00603277908314137</v>
      </c>
      <c r="F6500" s="7" t="str">
        <f aca="false">IFERROR(INDEX(02_轉折點45個!B:B,MATCH(A6500,02_轉折點45個!A:A,0)),"")</f>
        <v/>
      </c>
      <c r="G6500" s="7" t="s">
        <v>5494</v>
      </c>
    </row>
    <row r="6501" customFormat="false" ht="15" hidden="false" customHeight="false" outlineLevel="0" collapsed="false">
      <c r="A6501" s="7" t="s">
        <v>1866</v>
      </c>
      <c r="B6501" s="7" t="n">
        <v>20387.7</v>
      </c>
      <c r="C6501" s="7" t="n">
        <f aca="false">AVERAGE(B6452:B6501)</f>
        <v>19782.8952</v>
      </c>
      <c r="D6501" s="7" t="n">
        <f aca="false">AVERAGE(B6302:B6501)</f>
        <v>18802.71155</v>
      </c>
      <c r="E6501" s="7" t="n">
        <f aca="false">B6501/MAX(B6250:B6501)-1</f>
        <v>-0.0139141336217279</v>
      </c>
      <c r="F6501" s="7" t="str">
        <f aca="false">IFERROR(INDEX(02_轉折點45個!B:B,MATCH(A6501,02_轉折點45個!A:A,0)),"")</f>
        <v/>
      </c>
      <c r="G6501" s="7" t="s">
        <v>5494</v>
      </c>
    </row>
    <row r="6502" customFormat="false" ht="15" hidden="false" customHeight="false" outlineLevel="0" collapsed="false">
      <c r="A6502" s="7" t="s">
        <v>1867</v>
      </c>
      <c r="B6502" s="7" t="n">
        <v>19890.42</v>
      </c>
      <c r="C6502" s="7" t="n">
        <f aca="false">AVERAGE(B6453:B6502)</f>
        <v>19784.2068</v>
      </c>
      <c r="D6502" s="7" t="n">
        <f aca="false">AVERAGE(B6303:B6502)</f>
        <v>18818.48225</v>
      </c>
      <c r="E6502" s="7" t="n">
        <f aca="false">B6502/MAX(B6251:B6502)-1</f>
        <v>-0.0379659285585079</v>
      </c>
      <c r="F6502" s="7" t="str">
        <f aca="false">IFERROR(INDEX(02_轉折點45個!B:B,MATCH(A6502,02_轉折點45個!A:A,0)),"")</f>
        <v/>
      </c>
      <c r="G6502" s="7" t="s">
        <v>5494</v>
      </c>
    </row>
    <row r="6503" customFormat="false" ht="15" hidden="false" customHeight="false" outlineLevel="0" collapsed="false">
      <c r="A6503" s="7" t="s">
        <v>1868</v>
      </c>
      <c r="B6503" s="7" t="n">
        <v>20033.14</v>
      </c>
      <c r="C6503" s="7" t="n">
        <f aca="false">AVERAGE(B6454:B6503)</f>
        <v>19795.0328</v>
      </c>
      <c r="D6503" s="7" t="n">
        <f aca="false">AVERAGE(B6304:B6503)</f>
        <v>18833.7365</v>
      </c>
      <c r="E6503" s="7" t="n">
        <f aca="false">B6503/MAX(B6252:B6503)-1</f>
        <v>-0.031063032456961</v>
      </c>
      <c r="F6503" s="7" t="str">
        <f aca="false">IFERROR(INDEX(02_轉折點45個!B:B,MATCH(A6503,02_轉折點45個!A:A,0)),"")</f>
        <v/>
      </c>
      <c r="G6503" s="7" t="s">
        <v>5494</v>
      </c>
    </row>
    <row r="6504" customFormat="false" ht="15" hidden="false" customHeight="false" outlineLevel="0" collapsed="false">
      <c r="A6504" s="7" t="s">
        <v>6982</v>
      </c>
      <c r="B6504" s="7" t="n">
        <v>19963.6</v>
      </c>
      <c r="C6504" s="7" t="n">
        <f aca="false">AVERAGE(B6455:B6504)</f>
        <v>19799.8874</v>
      </c>
      <c r="D6504" s="7" t="n">
        <f aca="false">AVERAGE(B6305:B6504)</f>
        <v>18846.9845</v>
      </c>
      <c r="E6504" s="7" t="n">
        <f aca="false">B6504/MAX(B6253:B6504)-1</f>
        <v>-0.0344264531050942</v>
      </c>
      <c r="F6504" s="7" t="str">
        <f aca="false">IFERROR(INDEX(02_轉折點45個!B:B,MATCH(A6504,02_轉折點45個!A:A,0)),"")</f>
        <v/>
      </c>
      <c r="G6504" s="7" t="s">
        <v>5494</v>
      </c>
    </row>
    <row r="6505" customFormat="false" ht="15" hidden="false" customHeight="false" outlineLevel="0" collapsed="false">
      <c r="A6505" s="7" t="s">
        <v>6983</v>
      </c>
      <c r="B6505" s="7" t="n">
        <v>20227.46</v>
      </c>
      <c r="C6505" s="7" t="n">
        <f aca="false">AVERAGE(B6456:B6505)</f>
        <v>19814.1078</v>
      </c>
      <c r="D6505" s="7" t="n">
        <f aca="false">AVERAGE(B6306:B6505)</f>
        <v>18861.4699</v>
      </c>
      <c r="E6505" s="7" t="n">
        <f aca="false">B6505/MAX(B6254:B6505)-1</f>
        <v>-0.021664414390449</v>
      </c>
      <c r="F6505" s="7" t="str">
        <f aca="false">IFERROR(INDEX(02_轉折點45個!B:B,MATCH(A6505,02_轉折點45個!A:A,0)),"")</f>
        <v/>
      </c>
      <c r="G6505" s="7" t="s">
        <v>5494</v>
      </c>
    </row>
    <row r="6506" customFormat="false" ht="15" hidden="false" customHeight="false" outlineLevel="0" collapsed="false">
      <c r="A6506" s="7" t="s">
        <v>1869</v>
      </c>
      <c r="B6506" s="7" t="n">
        <v>20781.33</v>
      </c>
      <c r="C6506" s="7" t="n">
        <f aca="false">AVERAGE(B6457:B6506)</f>
        <v>19838.104</v>
      </c>
      <c r="D6506" s="7" t="n">
        <f aca="false">AVERAGE(B6307:B6506)</f>
        <v>18878.3555</v>
      </c>
      <c r="E6506" s="7" t="n">
        <f aca="false">B6506/MAX(B6255:B6506)-1</f>
        <v>0</v>
      </c>
      <c r="F6506" s="7" t="str">
        <f aca="false">IFERROR(INDEX(02_轉折點45個!B:B,MATCH(A6506,02_轉折點45個!A:A,0)),"")</f>
        <v/>
      </c>
      <c r="G6506" s="7" t="s">
        <v>5494</v>
      </c>
    </row>
    <row r="6507" customFormat="false" ht="15" hidden="false" customHeight="false" outlineLevel="0" collapsed="false">
      <c r="A6507" s="7" t="s">
        <v>6984</v>
      </c>
      <c r="B6507" s="7" t="n">
        <v>21101.57</v>
      </c>
      <c r="C6507" s="7" t="n">
        <f aca="false">AVERAGE(B6458:B6507)</f>
        <v>19873.1198</v>
      </c>
      <c r="D6507" s="7" t="n">
        <f aca="false">AVERAGE(B6308:B6507)</f>
        <v>18896.36685</v>
      </c>
      <c r="E6507" s="7" t="n">
        <f aca="false">B6507/MAX(B6256:B6507)-1</f>
        <v>0</v>
      </c>
      <c r="F6507" s="7" t="str">
        <f aca="false">IFERROR(INDEX(02_轉折點45個!B:B,MATCH(A6507,02_轉折點45個!A:A,0)),"")</f>
        <v/>
      </c>
      <c r="G6507" s="7" t="s">
        <v>5494</v>
      </c>
    </row>
    <row r="6508" customFormat="false" ht="15" hidden="false" customHeight="false" outlineLevel="0" collapsed="false">
      <c r="A6508" s="7" t="s">
        <v>6985</v>
      </c>
      <c r="B6508" s="7" t="n">
        <v>21117.18</v>
      </c>
      <c r="C6508" s="7" t="n">
        <f aca="false">AVERAGE(B6459:B6508)</f>
        <v>19908.9544</v>
      </c>
      <c r="D6508" s="7" t="n">
        <f aca="false">AVERAGE(B6309:B6508)</f>
        <v>18914.3678</v>
      </c>
      <c r="E6508" s="7" t="n">
        <f aca="false">B6508/MAX(B6257:B6508)-1</f>
        <v>0</v>
      </c>
      <c r="F6508" s="7" t="str">
        <f aca="false">IFERROR(INDEX(02_轉折點45個!B:B,MATCH(A6508,02_轉折點45個!A:A,0)),"")</f>
        <v/>
      </c>
      <c r="G6508" s="7" t="s">
        <v>5494</v>
      </c>
    </row>
    <row r="6509" customFormat="false" ht="15" hidden="false" customHeight="false" outlineLevel="0" collapsed="false">
      <c r="A6509" s="7" t="s">
        <v>6986</v>
      </c>
      <c r="B6509" s="7" t="n">
        <v>21106.59</v>
      </c>
      <c r="C6509" s="7" t="n">
        <f aca="false">AVERAGE(B6460:B6509)</f>
        <v>19939.5934</v>
      </c>
      <c r="D6509" s="7" t="n">
        <f aca="false">AVERAGE(B6310:B6509)</f>
        <v>18932.7957</v>
      </c>
      <c r="E6509" s="7" t="n">
        <f aca="false">B6509/MAX(B6258:B6509)-1</f>
        <v>-0.000501487414512725</v>
      </c>
      <c r="F6509" s="7" t="str">
        <f aca="false">IFERROR(INDEX(02_轉折點45個!B:B,MATCH(A6509,02_轉折點45個!A:A,0)),"")</f>
        <v/>
      </c>
      <c r="G6509" s="7" t="s">
        <v>5494</v>
      </c>
    </row>
    <row r="6510" customFormat="false" ht="15" hidden="false" customHeight="false" outlineLevel="0" collapsed="false">
      <c r="A6510" s="7" t="s">
        <v>6987</v>
      </c>
      <c r="B6510" s="7" t="n">
        <v>21070.79</v>
      </c>
      <c r="C6510" s="7" t="n">
        <f aca="false">AVERAGE(B6461:B6510)</f>
        <v>19981.8344</v>
      </c>
      <c r="D6510" s="7" t="n">
        <f aca="false">AVERAGE(B6311:B6510)</f>
        <v>18950.1683</v>
      </c>
      <c r="E6510" s="7" t="n">
        <f aca="false">B6510/MAX(B6259:B6510)-1</f>
        <v>-0.00219678953345093</v>
      </c>
      <c r="F6510" s="7" t="str">
        <f aca="false">IFERROR(INDEX(02_轉折點45個!B:B,MATCH(A6510,02_轉折點45個!A:A,0)),"")</f>
        <v/>
      </c>
      <c r="G6510" s="7" t="s">
        <v>5494</v>
      </c>
    </row>
    <row r="6511" customFormat="false" ht="15" hidden="false" customHeight="false" outlineLevel="0" collapsed="false">
      <c r="A6511" s="7" t="s">
        <v>6988</v>
      </c>
      <c r="B6511" s="7" t="n">
        <v>21036.16</v>
      </c>
      <c r="C6511" s="7" t="n">
        <f aca="false">AVERAGE(B6462:B6511)</f>
        <v>20024.1296</v>
      </c>
      <c r="D6511" s="7" t="n">
        <f aca="false">AVERAGE(B6312:B6511)</f>
        <v>18967.96555</v>
      </c>
      <c r="E6511" s="7" t="n">
        <f aca="false">B6511/MAX(B6260:B6511)-1</f>
        <v>-0.00383668652727309</v>
      </c>
      <c r="F6511" s="7" t="str">
        <f aca="false">IFERROR(INDEX(02_轉折點45個!B:B,MATCH(A6511,02_轉折點45個!A:A,0)),"")</f>
        <v/>
      </c>
      <c r="G6511" s="7" t="s">
        <v>5494</v>
      </c>
    </row>
    <row r="6512" customFormat="false" ht="15" hidden="false" customHeight="false" outlineLevel="0" collapsed="false">
      <c r="A6512" s="7" t="s">
        <v>6989</v>
      </c>
      <c r="B6512" s="7" t="n">
        <v>20896.67</v>
      </c>
      <c r="C6512" s="7" t="n">
        <f aca="false">AVERAGE(B6463:B6512)</f>
        <v>20063.4564</v>
      </c>
      <c r="D6512" s="7" t="n">
        <f aca="false">AVERAGE(B6313:B6512)</f>
        <v>18986.7627</v>
      </c>
      <c r="E6512" s="7" t="n">
        <f aca="false">B6512/MAX(B6261:B6512)-1</f>
        <v>-0.0104422086661193</v>
      </c>
      <c r="F6512" s="7" t="str">
        <f aca="false">IFERROR(INDEX(02_轉折點45個!B:B,MATCH(A6512,02_轉折點45個!A:A,0)),"")</f>
        <v/>
      </c>
      <c r="G6512" s="7" t="s">
        <v>5494</v>
      </c>
    </row>
    <row r="6513" customFormat="false" ht="15" hidden="false" customHeight="false" outlineLevel="0" collapsed="false">
      <c r="A6513" s="7" t="s">
        <v>1870</v>
      </c>
      <c r="B6513" s="7" t="n">
        <v>20394.13</v>
      </c>
      <c r="C6513" s="7" t="n">
        <f aca="false">AVERAGE(B6464:B6513)</f>
        <v>20102.9128</v>
      </c>
      <c r="D6513" s="7" t="n">
        <f aca="false">AVERAGE(B6314:B6513)</f>
        <v>19002.0098</v>
      </c>
      <c r="E6513" s="7" t="n">
        <f aca="false">B6513/MAX(B6262:B6513)-1</f>
        <v>-0.0342398937736951</v>
      </c>
      <c r="F6513" s="7" t="str">
        <f aca="false">IFERROR(INDEX(02_轉折點45個!B:B,MATCH(A6513,02_轉折點45個!A:A,0)),"")</f>
        <v/>
      </c>
      <c r="G6513" s="7" t="s">
        <v>5494</v>
      </c>
    </row>
    <row r="6514" customFormat="false" ht="15" hidden="false" customHeight="false" outlineLevel="0" collapsed="false">
      <c r="A6514" s="7" t="s">
        <v>1871</v>
      </c>
      <c r="B6514" s="7" t="n">
        <v>20539.19</v>
      </c>
      <c r="C6514" s="7" t="n">
        <f aca="false">AVERAGE(B6465:B6514)</f>
        <v>20140.481</v>
      </c>
      <c r="D6514" s="7" t="n">
        <f aca="false">AVERAGE(B6315:B6514)</f>
        <v>19016.4921</v>
      </c>
      <c r="E6514" s="7" t="n">
        <f aca="false">B6514/MAX(B6263:B6514)-1</f>
        <v>-0.02737060535545</v>
      </c>
      <c r="F6514" s="7" t="str">
        <f aca="false">IFERROR(INDEX(02_轉折點45個!B:B,MATCH(A6514,02_轉折點45個!A:A,0)),"")</f>
        <v/>
      </c>
      <c r="G6514" s="7" t="s">
        <v>5494</v>
      </c>
    </row>
    <row r="6515" customFormat="false" ht="15" hidden="false" customHeight="false" outlineLevel="0" collapsed="false">
      <c r="A6515" s="7" t="s">
        <v>6990</v>
      </c>
      <c r="B6515" s="7" t="n">
        <v>20684.59</v>
      </c>
      <c r="C6515" s="7" t="n">
        <f aca="false">AVERAGE(B6466:B6515)</f>
        <v>20177.59</v>
      </c>
      <c r="D6515" s="7" t="n">
        <f aca="false">AVERAGE(B6316:B6515)</f>
        <v>19031.84985</v>
      </c>
      <c r="E6515" s="7" t="n">
        <f aca="false">B6515/MAX(B6264:B6515)-1</f>
        <v>-0.0204852163025555</v>
      </c>
      <c r="F6515" s="7" t="str">
        <f aca="false">IFERROR(INDEX(02_轉折點45個!B:B,MATCH(A6515,02_轉折點45個!A:A,0)),"")</f>
        <v/>
      </c>
      <c r="G6515" s="7" t="s">
        <v>5494</v>
      </c>
    </row>
    <row r="6516" customFormat="false" ht="15" hidden="false" customHeight="false" outlineLevel="0" collapsed="false">
      <c r="A6516" s="7" t="s">
        <v>6991</v>
      </c>
      <c r="B6516" s="7" t="n">
        <v>20667.1</v>
      </c>
      <c r="C6516" s="7" t="n">
        <f aca="false">AVERAGE(B6467:B6516)</f>
        <v>20206.186</v>
      </c>
      <c r="D6516" s="7" t="n">
        <f aca="false">AVERAGE(B6317:B6516)</f>
        <v>19047.3217</v>
      </c>
      <c r="E6516" s="7" t="n">
        <f aca="false">B6516/MAX(B6265:B6516)-1</f>
        <v>-0.0213134518908302</v>
      </c>
      <c r="F6516" s="7" t="str">
        <f aca="false">IFERROR(INDEX(02_轉折點45個!B:B,MATCH(A6516,02_轉折點45個!A:A,0)),"")</f>
        <v/>
      </c>
      <c r="G6516" s="7" t="s">
        <v>5494</v>
      </c>
    </row>
    <row r="6517" customFormat="false" ht="15" hidden="false" customHeight="false" outlineLevel="0" collapsed="false">
      <c r="A6517" s="7" t="s">
        <v>6992</v>
      </c>
      <c r="B6517" s="7" t="n">
        <v>20740.78</v>
      </c>
      <c r="C6517" s="7" t="n">
        <f aca="false">AVERAGE(B6468:B6517)</f>
        <v>20232.5402</v>
      </c>
      <c r="D6517" s="7" t="n">
        <f aca="false">AVERAGE(B6318:B6517)</f>
        <v>19062.25025</v>
      </c>
      <c r="E6517" s="7" t="n">
        <f aca="false">B6517/MAX(B6266:B6517)-1</f>
        <v>-0.0178243496527473</v>
      </c>
      <c r="F6517" s="7" t="str">
        <f aca="false">IFERROR(INDEX(02_轉折點45個!B:B,MATCH(A6517,02_轉折點45個!A:A,0)),"")</f>
        <v/>
      </c>
      <c r="G6517" s="7" t="s">
        <v>5494</v>
      </c>
    </row>
    <row r="6518" customFormat="false" ht="15" hidden="false" customHeight="false" outlineLevel="0" collapsed="false">
      <c r="A6518" s="7" t="s">
        <v>6993</v>
      </c>
      <c r="B6518" s="7" t="n">
        <v>20776.23</v>
      </c>
      <c r="C6518" s="7" t="n">
        <f aca="false">AVERAGE(B6469:B6518)</f>
        <v>20257.773</v>
      </c>
      <c r="D6518" s="7" t="n">
        <f aca="false">AVERAGE(B6319:B6518)</f>
        <v>19077.21555</v>
      </c>
      <c r="E6518" s="7" t="n">
        <f aca="false">B6518/MAX(B6267:B6518)-1</f>
        <v>-0.016145621716536</v>
      </c>
      <c r="F6518" s="7" t="str">
        <f aca="false">IFERROR(INDEX(02_轉折點45個!B:B,MATCH(A6518,02_轉折點45個!A:A,0)),"")</f>
        <v/>
      </c>
      <c r="G6518" s="7" t="s">
        <v>5494</v>
      </c>
    </row>
    <row r="6519" customFormat="false" ht="15" hidden="false" customHeight="false" outlineLevel="0" collapsed="false">
      <c r="A6519" s="7" t="s">
        <v>6994</v>
      </c>
      <c r="B6519" s="7" t="n">
        <v>20804.89</v>
      </c>
      <c r="C6519" s="7" t="n">
        <f aca="false">AVERAGE(B6470:B6519)</f>
        <v>20285.4096</v>
      </c>
      <c r="D6519" s="7" t="n">
        <f aca="false">AVERAGE(B6320:B6519)</f>
        <v>19091.42795</v>
      </c>
      <c r="E6519" s="7" t="n">
        <f aca="false">B6519/MAX(B6268:B6519)-1</f>
        <v>-0.0147884329252297</v>
      </c>
      <c r="F6519" s="7" t="str">
        <f aca="false">IFERROR(INDEX(02_轉折點45個!B:B,MATCH(A6519,02_轉折點45個!A:A,0)),"")</f>
        <v/>
      </c>
      <c r="G6519" s="7" t="s">
        <v>5494</v>
      </c>
    </row>
    <row r="6520" customFormat="false" ht="15" hidden="false" customHeight="false" outlineLevel="0" collapsed="false">
      <c r="A6520" s="7" t="s">
        <v>6995</v>
      </c>
      <c r="B6520" s="7" t="n">
        <v>20922.9</v>
      </c>
      <c r="C6520" s="7" t="n">
        <f aca="false">AVERAGE(B6471:B6520)</f>
        <v>20315.2196</v>
      </c>
      <c r="D6520" s="7" t="n">
        <f aca="false">AVERAGE(B6321:B6520)</f>
        <v>19106.62915</v>
      </c>
      <c r="E6520" s="7" t="n">
        <f aca="false">B6520/MAX(B6269:B6520)-1</f>
        <v>-0.0092000920577463</v>
      </c>
      <c r="F6520" s="7" t="str">
        <f aca="false">IFERROR(INDEX(02_轉折點45個!B:B,MATCH(A6520,02_轉折點45個!A:A,0)),"")</f>
        <v/>
      </c>
      <c r="G6520" s="7" t="s">
        <v>5494</v>
      </c>
    </row>
    <row r="6521" customFormat="false" ht="15" hidden="false" customHeight="false" outlineLevel="0" collapsed="false">
      <c r="A6521" s="7" t="s">
        <v>6996</v>
      </c>
      <c r="B6521" s="7" t="n">
        <v>20744.49</v>
      </c>
      <c r="C6521" s="7" t="n">
        <f aca="false">AVERAGE(B6472:B6521)</f>
        <v>20343.2196</v>
      </c>
      <c r="D6521" s="7" t="n">
        <f aca="false">AVERAGE(B6322:B6521)</f>
        <v>19122.3495</v>
      </c>
      <c r="E6521" s="7" t="n">
        <f aca="false">B6521/MAX(B6270:B6521)-1</f>
        <v>-0.0176486633158404</v>
      </c>
      <c r="F6521" s="7" t="str">
        <f aca="false">IFERROR(INDEX(02_轉折點45個!B:B,MATCH(A6521,02_轉折點45個!A:A,0)),"")</f>
        <v/>
      </c>
      <c r="G6521" s="7" t="s">
        <v>5494</v>
      </c>
    </row>
    <row r="6522" customFormat="false" ht="15" hidden="false" customHeight="false" outlineLevel="0" collapsed="false">
      <c r="A6522" s="7" t="s">
        <v>6997</v>
      </c>
      <c r="B6522" s="7" t="n">
        <v>20930.37</v>
      </c>
      <c r="C6522" s="7" t="n">
        <f aca="false">AVERAGE(B6473:B6522)</f>
        <v>20365.0304</v>
      </c>
      <c r="D6522" s="7" t="n">
        <f aca="false">AVERAGE(B6323:B6522)</f>
        <v>19137.9632</v>
      </c>
      <c r="E6522" s="7" t="n">
        <f aca="false">B6522/MAX(B6271:B6522)-1</f>
        <v>-0.00884635164354342</v>
      </c>
      <c r="F6522" s="7" t="str">
        <f aca="false">IFERROR(INDEX(02_轉折點45個!B:B,MATCH(A6522,02_轉折點45個!A:A,0)),"")</f>
        <v/>
      </c>
      <c r="G6522" s="7" t="s">
        <v>5494</v>
      </c>
    </row>
    <row r="6523" customFormat="false" ht="15" hidden="false" customHeight="false" outlineLevel="0" collapsed="false">
      <c r="A6523" s="7" t="s">
        <v>1872</v>
      </c>
      <c r="B6523" s="7" t="n">
        <v>21164.6</v>
      </c>
      <c r="C6523" s="7" t="n">
        <f aca="false">AVERAGE(B6474:B6523)</f>
        <v>20392.4926</v>
      </c>
      <c r="D6523" s="7" t="n">
        <f aca="false">AVERAGE(B6324:B6523)</f>
        <v>19154.5576</v>
      </c>
      <c r="E6523" s="7" t="n">
        <f aca="false">B6523/MAX(B6272:B6523)-1</f>
        <v>0</v>
      </c>
      <c r="F6523" s="7" t="str">
        <f aca="false">IFERROR(INDEX(02_轉折點45個!B:B,MATCH(A6523,02_轉折點45個!A:A,0)),"")</f>
        <v/>
      </c>
      <c r="G6523" s="7" t="s">
        <v>5494</v>
      </c>
    </row>
    <row r="6524" customFormat="false" ht="15" hidden="false" customHeight="false" outlineLevel="0" collapsed="false">
      <c r="A6524" s="7" t="s">
        <v>1873</v>
      </c>
      <c r="B6524" s="7" t="n">
        <v>21229.32</v>
      </c>
      <c r="C6524" s="7" t="n">
        <f aca="false">AVERAGE(B6475:B6524)</f>
        <v>20420.035</v>
      </c>
      <c r="D6524" s="7" t="n">
        <f aca="false">AVERAGE(B6325:B6524)</f>
        <v>19172.2743</v>
      </c>
      <c r="E6524" s="7" t="n">
        <f aca="false">B6524/MAX(B6273:B6524)-1</f>
        <v>0</v>
      </c>
      <c r="F6524" s="7" t="str">
        <f aca="false">IFERROR(INDEX(02_轉折點45個!B:B,MATCH(A6524,02_轉折點45個!A:A,0)),"")</f>
        <v/>
      </c>
      <c r="G6524" s="7" t="s">
        <v>5494</v>
      </c>
    </row>
    <row r="6525" customFormat="false" ht="15" hidden="false" customHeight="false" outlineLevel="0" collapsed="false">
      <c r="A6525" s="7" t="s">
        <v>6998</v>
      </c>
      <c r="B6525" s="7" t="n">
        <v>21492.36</v>
      </c>
      <c r="C6525" s="7" t="n">
        <f aca="false">AVERAGE(B6476:B6525)</f>
        <v>20450.9854</v>
      </c>
      <c r="D6525" s="7" t="n">
        <f aca="false">AVERAGE(B6326:B6525)</f>
        <v>19192.0056</v>
      </c>
      <c r="E6525" s="7" t="n">
        <f aca="false">B6525/MAX(B6274:B6525)-1</f>
        <v>0</v>
      </c>
      <c r="F6525" s="7" t="str">
        <f aca="false">IFERROR(INDEX(02_轉折點45個!B:B,MATCH(A6525,02_轉折點45個!A:A,0)),"")</f>
        <v/>
      </c>
      <c r="G6525" s="7" t="s">
        <v>5494</v>
      </c>
    </row>
    <row r="6526" customFormat="false" ht="15" hidden="false" customHeight="false" outlineLevel="0" collapsed="false">
      <c r="A6526" s="7" t="s">
        <v>6999</v>
      </c>
      <c r="B6526" s="7" t="n">
        <v>21425.22</v>
      </c>
      <c r="C6526" s="7" t="n">
        <f aca="false">AVERAGE(B6477:B6526)</f>
        <v>20480.0376</v>
      </c>
      <c r="D6526" s="7" t="n">
        <f aca="false">AVERAGE(B6327:B6526)</f>
        <v>19211.73715</v>
      </c>
      <c r="E6526" s="7" t="n">
        <f aca="false">B6526/MAX(B6275:B6526)-1</f>
        <v>-0.00312390077218139</v>
      </c>
      <c r="F6526" s="7" t="str">
        <f aca="false">IFERROR(INDEX(02_轉折點45個!B:B,MATCH(A6526,02_轉折點45個!A:A,0)),"")</f>
        <v/>
      </c>
      <c r="G6526" s="7" t="s">
        <v>5494</v>
      </c>
    </row>
    <row r="6527" customFormat="false" ht="15" hidden="false" customHeight="false" outlineLevel="0" collapsed="false">
      <c r="A6527" s="7" t="s">
        <v>7000</v>
      </c>
      <c r="B6527" s="7" t="n">
        <v>21622.25</v>
      </c>
      <c r="C6527" s="7" t="n">
        <f aca="false">AVERAGE(B6478:B6527)</f>
        <v>20510.1718</v>
      </c>
      <c r="D6527" s="7" t="n">
        <f aca="false">AVERAGE(B6328:B6527)</f>
        <v>19229.8249</v>
      </c>
      <c r="E6527" s="7" t="n">
        <f aca="false">B6527/MAX(B6276:B6527)-1</f>
        <v>0</v>
      </c>
      <c r="F6527" s="7" t="str">
        <f aca="false">IFERROR(INDEX(02_轉折點45個!B:B,MATCH(A6527,02_轉折點45個!A:A,0)),"")</f>
        <v/>
      </c>
      <c r="G6527" s="7" t="s">
        <v>5494</v>
      </c>
    </row>
    <row r="6528" customFormat="false" ht="15" hidden="false" customHeight="false" outlineLevel="0" collapsed="false">
      <c r="A6528" s="7" t="s">
        <v>7001</v>
      </c>
      <c r="B6528" s="7" t="n">
        <v>21440.82</v>
      </c>
      <c r="C6528" s="7" t="n">
        <f aca="false">AVERAGE(B6479:B6528)</f>
        <v>20538.8158</v>
      </c>
      <c r="D6528" s="7" t="n">
        <f aca="false">AVERAGE(B6329:B6528)</f>
        <v>19247.34095</v>
      </c>
      <c r="E6528" s="7" t="n">
        <f aca="false">B6528/MAX(B6277:B6528)-1</f>
        <v>-0.00839089363965362</v>
      </c>
      <c r="F6528" s="7" t="str">
        <f aca="false">IFERROR(INDEX(02_轉折點45個!B:B,MATCH(A6528,02_轉折點45個!A:A,0)),"")</f>
        <v/>
      </c>
      <c r="G6528" s="7" t="s">
        <v>5494</v>
      </c>
    </row>
    <row r="6529" customFormat="false" ht="15" hidden="false" customHeight="false" outlineLevel="0" collapsed="false">
      <c r="A6529" s="7" t="s">
        <v>7002</v>
      </c>
      <c r="B6529" s="7" t="n">
        <v>21368.18</v>
      </c>
      <c r="C6529" s="7" t="n">
        <f aca="false">AVERAGE(B6480:B6529)</f>
        <v>20564.9656</v>
      </c>
      <c r="D6529" s="7" t="n">
        <f aca="false">AVERAGE(B6330:B6529)</f>
        <v>19264.5152</v>
      </c>
      <c r="E6529" s="7" t="n">
        <f aca="false">B6529/MAX(B6278:B6529)-1</f>
        <v>-0.0117503960041161</v>
      </c>
      <c r="F6529" s="7" t="str">
        <f aca="false">IFERROR(INDEX(02_轉折點45個!B:B,MATCH(A6529,02_轉折點45個!A:A,0)),"")</f>
        <v/>
      </c>
      <c r="G6529" s="7" t="s">
        <v>5494</v>
      </c>
    </row>
    <row r="6530" customFormat="false" ht="15" hidden="false" customHeight="false" outlineLevel="0" collapsed="false">
      <c r="A6530" s="7" t="s">
        <v>7003</v>
      </c>
      <c r="B6530" s="7" t="n">
        <v>21763.98</v>
      </c>
      <c r="C6530" s="7" t="n">
        <f aca="false">AVERAGE(B6481:B6530)</f>
        <v>20604.7792</v>
      </c>
      <c r="D6530" s="7" t="n">
        <f aca="false">AVERAGE(B6331:B6530)</f>
        <v>19283.47985</v>
      </c>
      <c r="E6530" s="7" t="n">
        <f aca="false">B6530/MAX(B6279:B6530)-1</f>
        <v>0</v>
      </c>
      <c r="F6530" s="7" t="str">
        <f aca="false">IFERROR(INDEX(02_轉折點45個!B:B,MATCH(A6530,02_轉折點45個!A:A,0)),"")</f>
        <v/>
      </c>
      <c r="G6530" s="7" t="s">
        <v>5494</v>
      </c>
    </row>
    <row r="6531" customFormat="false" ht="15" hidden="false" customHeight="false" outlineLevel="0" collapsed="false">
      <c r="A6531" s="7" t="s">
        <v>7004</v>
      </c>
      <c r="B6531" s="7" t="n">
        <v>21615.27</v>
      </c>
      <c r="C6531" s="7" t="n">
        <f aca="false">AVERAGE(B6482:B6531)</f>
        <v>20641.0328</v>
      </c>
      <c r="D6531" s="7" t="n">
        <f aca="false">AVERAGE(B6332:B6531)</f>
        <v>19302.1837</v>
      </c>
      <c r="E6531" s="7" t="n">
        <f aca="false">B6531/MAX(B6280:B6531)-1</f>
        <v>-0.00683284950638619</v>
      </c>
      <c r="F6531" s="7" t="str">
        <f aca="false">IFERROR(INDEX(02_轉折點45個!B:B,MATCH(A6531,02_轉折點45個!A:A,0)),"")</f>
        <v/>
      </c>
      <c r="G6531" s="7" t="s">
        <v>5494</v>
      </c>
    </row>
    <row r="6532" customFormat="false" ht="15" hidden="false" customHeight="false" outlineLevel="0" collapsed="false">
      <c r="A6532" s="7" t="s">
        <v>7005</v>
      </c>
      <c r="B6532" s="7" t="n">
        <v>21780.25</v>
      </c>
      <c r="C6532" s="7" t="n">
        <f aca="false">AVERAGE(B6483:B6532)</f>
        <v>20680.771</v>
      </c>
      <c r="D6532" s="7" t="n">
        <f aca="false">AVERAGE(B6333:B6532)</f>
        <v>19320.8657</v>
      </c>
      <c r="E6532" s="7" t="n">
        <f aca="false">B6532/MAX(B6281:B6532)-1</f>
        <v>0</v>
      </c>
      <c r="F6532" s="7" t="str">
        <f aca="false">IFERROR(INDEX(02_轉折點45個!B:B,MATCH(A6532,02_轉折點45個!A:A,0)),"")</f>
        <v/>
      </c>
      <c r="G6532" s="7" t="s">
        <v>5494</v>
      </c>
    </row>
    <row r="6533" customFormat="false" ht="15" hidden="false" customHeight="false" outlineLevel="0" collapsed="false">
      <c r="A6533" s="7" t="s">
        <v>1874</v>
      </c>
      <c r="B6533" s="7" t="n">
        <v>22096.66</v>
      </c>
      <c r="C6533" s="7" t="n">
        <f aca="false">AVERAGE(B6484:B6533)</f>
        <v>20722.0038</v>
      </c>
      <c r="D6533" s="7" t="n">
        <f aca="false">AVERAGE(B6334:B6533)</f>
        <v>19339.83445</v>
      </c>
      <c r="E6533" s="7" t="n">
        <f aca="false">B6533/MAX(B6282:B6533)-1</f>
        <v>0</v>
      </c>
      <c r="F6533" s="7" t="str">
        <f aca="false">IFERROR(INDEX(02_轉折點45個!B:B,MATCH(A6533,02_轉折點45個!A:A,0)),"")</f>
        <v/>
      </c>
      <c r="G6533" s="7" t="s">
        <v>5494</v>
      </c>
    </row>
    <row r="6534" customFormat="false" ht="15" hidden="false" customHeight="false" outlineLevel="0" collapsed="false">
      <c r="A6534" s="7" t="s">
        <v>7006</v>
      </c>
      <c r="B6534" s="7" t="n">
        <v>22001.08</v>
      </c>
      <c r="C6534" s="7" t="n">
        <f aca="false">AVERAGE(B6485:B6534)</f>
        <v>20766.0106</v>
      </c>
      <c r="D6534" s="7" t="n">
        <f aca="false">AVERAGE(B6335:B6534)</f>
        <v>19358.70745</v>
      </c>
      <c r="E6534" s="7" t="n">
        <f aca="false">B6534/MAX(B6283:B6534)-1</f>
        <v>-0.0043255406020638</v>
      </c>
      <c r="F6534" s="7" t="str">
        <f aca="false">IFERROR(INDEX(02_轉折點45個!B:B,MATCH(A6534,02_轉折點45個!A:A,0)),"")</f>
        <v/>
      </c>
      <c r="G6534" s="7" t="s">
        <v>5494</v>
      </c>
    </row>
    <row r="6535" customFormat="false" ht="15" hidden="false" customHeight="false" outlineLevel="0" collapsed="false">
      <c r="A6535" s="7" t="s">
        <v>1875</v>
      </c>
      <c r="B6535" s="7" t="n">
        <v>21209.32</v>
      </c>
      <c r="C6535" s="7" t="n">
        <f aca="false">AVERAGE(B6486:B6535)</f>
        <v>20788.0414</v>
      </c>
      <c r="D6535" s="7" t="n">
        <f aca="false">AVERAGE(B6336:B6535)</f>
        <v>19375.2647</v>
      </c>
      <c r="E6535" s="7" t="n">
        <f aca="false">B6535/MAX(B6284:B6535)-1</f>
        <v>-0.0401572002284508</v>
      </c>
      <c r="F6535" s="7" t="str">
        <f aca="false">IFERROR(INDEX(02_轉折點45個!B:B,MATCH(A6535,02_轉折點45個!A:A,0)),"")</f>
        <v/>
      </c>
      <c r="G6535" s="7" t="s">
        <v>5494</v>
      </c>
    </row>
    <row r="6536" customFormat="false" ht="15" hidden="false" customHeight="false" outlineLevel="0" collapsed="false">
      <c r="A6536" s="7" t="s">
        <v>7007</v>
      </c>
      <c r="B6536" s="7" t="n">
        <v>21110.51</v>
      </c>
      <c r="C6536" s="7" t="n">
        <f aca="false">AVERAGE(B6487:B6536)</f>
        <v>20804.8744</v>
      </c>
      <c r="D6536" s="7" t="n">
        <f aca="false">AVERAGE(B6337:B6536)</f>
        <v>19390.7294</v>
      </c>
      <c r="E6536" s="7" t="n">
        <f aca="false">B6536/MAX(B6285:B6536)-1</f>
        <v>-0.0446289167684166</v>
      </c>
      <c r="F6536" s="7" t="str">
        <f aca="false">IFERROR(INDEX(02_轉折點45個!B:B,MATCH(A6536,02_轉折點45個!A:A,0)),"")</f>
        <v/>
      </c>
      <c r="G6536" s="7" t="s">
        <v>5494</v>
      </c>
    </row>
    <row r="6537" customFormat="false" ht="15" hidden="false" customHeight="false" outlineLevel="0" collapsed="false">
      <c r="A6537" s="7" t="s">
        <v>1876</v>
      </c>
      <c r="B6537" s="7" t="n">
        <v>21289.15</v>
      </c>
      <c r="C6537" s="7" t="n">
        <f aca="false">AVERAGE(B6488:B6537)</f>
        <v>20825.8222</v>
      </c>
      <c r="D6537" s="7" t="n">
        <f aca="false">AVERAGE(B6338:B6537)</f>
        <v>19405.6852</v>
      </c>
      <c r="E6537" s="7" t="n">
        <f aca="false">B6537/MAX(B6286:B6537)-1</f>
        <v>-0.0365444370325651</v>
      </c>
      <c r="F6537" s="7" t="str">
        <f aca="false">IFERROR(INDEX(02_轉折點45個!B:B,MATCH(A6537,02_轉折點45個!A:A,0)),"")</f>
        <v/>
      </c>
      <c r="G6537" s="7" t="s">
        <v>5494</v>
      </c>
    </row>
    <row r="6538" customFormat="false" ht="15" hidden="false" customHeight="false" outlineLevel="0" collapsed="false">
      <c r="A6538" s="7" t="s">
        <v>1877</v>
      </c>
      <c r="B6538" s="7" t="n">
        <v>21503.17</v>
      </c>
      <c r="C6538" s="7" t="n">
        <f aca="false">AVERAGE(B6489:B6538)</f>
        <v>20850.4462</v>
      </c>
      <c r="D6538" s="7" t="n">
        <f aca="false">AVERAGE(B6339:B6538)</f>
        <v>19423.1088</v>
      </c>
      <c r="E6538" s="7" t="n">
        <f aca="false">B6538/MAX(B6287:B6538)-1</f>
        <v>-0.0268588103360418</v>
      </c>
      <c r="F6538" s="7" t="str">
        <f aca="false">IFERROR(INDEX(02_轉折點45個!B:B,MATCH(A6538,02_轉折點45個!A:A,0)),"")</f>
        <v/>
      </c>
      <c r="G6538" s="7" t="s">
        <v>5494</v>
      </c>
    </row>
    <row r="6539" customFormat="false" ht="15" hidden="false" customHeight="false" outlineLevel="0" collapsed="false">
      <c r="A6539" s="7" t="s">
        <v>7008</v>
      </c>
      <c r="B6539" s="7" t="n">
        <v>21797.65</v>
      </c>
      <c r="C6539" s="7" t="n">
        <f aca="false">AVERAGE(B6490:B6539)</f>
        <v>20877.6182</v>
      </c>
      <c r="D6539" s="7" t="n">
        <f aca="false">AVERAGE(B6340:B6539)</f>
        <v>19442.3386</v>
      </c>
      <c r="E6539" s="7" t="n">
        <f aca="false">B6539/MAX(B6288:B6539)-1</f>
        <v>-0.0135319093473855</v>
      </c>
      <c r="F6539" s="7" t="str">
        <f aca="false">IFERROR(INDEX(02_轉折點45個!B:B,MATCH(A6539,02_轉折點45個!A:A,0)),"")</f>
        <v/>
      </c>
      <c r="G6539" s="7" t="s">
        <v>5494</v>
      </c>
    </row>
    <row r="6540" customFormat="false" ht="15" hidden="false" customHeight="false" outlineLevel="0" collapsed="false">
      <c r="A6540" s="7" t="s">
        <v>7009</v>
      </c>
      <c r="B6540" s="7" t="n">
        <v>21768.31</v>
      </c>
      <c r="C6540" s="7" t="n">
        <f aca="false">AVERAGE(B6491:B6540)</f>
        <v>20909.7878</v>
      </c>
      <c r="D6540" s="7" t="n">
        <f aca="false">AVERAGE(B6341:B6540)</f>
        <v>19460.0846</v>
      </c>
      <c r="E6540" s="7" t="n">
        <f aca="false">B6540/MAX(B6289:B6540)-1</f>
        <v>-0.0148597118297515</v>
      </c>
      <c r="F6540" s="7" t="str">
        <f aca="false">IFERROR(INDEX(02_轉折點45個!B:B,MATCH(A6540,02_轉折點45個!A:A,0)),"")</f>
        <v/>
      </c>
      <c r="G6540" s="7" t="s">
        <v>5494</v>
      </c>
    </row>
    <row r="6541" customFormat="false" ht="15" hidden="false" customHeight="false" outlineLevel="0" collapsed="false">
      <c r="A6541" s="7" t="s">
        <v>7010</v>
      </c>
      <c r="B6541" s="7" t="n">
        <v>21473.02</v>
      </c>
      <c r="C6541" s="7" t="n">
        <f aca="false">AVERAGE(B6492:B6541)</f>
        <v>20935.7672</v>
      </c>
      <c r="D6541" s="7" t="n">
        <f aca="false">AVERAGE(B6342:B6541)</f>
        <v>19477.10735</v>
      </c>
      <c r="E6541" s="7" t="n">
        <f aca="false">B6541/MAX(B6290:B6541)-1</f>
        <v>-0.0282232699421541</v>
      </c>
      <c r="F6541" s="7" t="str">
        <f aca="false">IFERROR(INDEX(02_轉折點45個!B:B,MATCH(A6541,02_轉折點45個!A:A,0)),"")</f>
        <v/>
      </c>
      <c r="G6541" s="7" t="s">
        <v>5494</v>
      </c>
    </row>
    <row r="6542" customFormat="false" ht="15" hidden="false" customHeight="false" outlineLevel="0" collapsed="false">
      <c r="A6542" s="7" t="s">
        <v>7011</v>
      </c>
      <c r="B6542" s="7" t="n">
        <v>21197.09</v>
      </c>
      <c r="C6542" s="7" t="n">
        <f aca="false">AVERAGE(B6493:B6542)</f>
        <v>20955.9006</v>
      </c>
      <c r="D6542" s="7" t="n">
        <f aca="false">AVERAGE(B6343:B6542)</f>
        <v>19493.01875</v>
      </c>
      <c r="E6542" s="7" t="n">
        <f aca="false">B6542/MAX(B6291:B6542)-1</f>
        <v>-0.0407106775413116</v>
      </c>
      <c r="F6542" s="7" t="str">
        <f aca="false">IFERROR(INDEX(02_轉折點45個!B:B,MATCH(A6542,02_轉折點45個!A:A,0)),"")</f>
        <v/>
      </c>
      <c r="G6542" s="7" t="s">
        <v>5494</v>
      </c>
    </row>
    <row r="6543" customFormat="false" ht="15" hidden="false" customHeight="false" outlineLevel="0" collapsed="false">
      <c r="A6543" s="7" t="s">
        <v>7012</v>
      </c>
      <c r="B6543" s="7" t="n">
        <v>21012.17</v>
      </c>
      <c r="C6543" s="7" t="n">
        <f aca="false">AVERAGE(B6494:B6543)</f>
        <v>20969.6632</v>
      </c>
      <c r="D6543" s="7" t="n">
        <f aca="false">AVERAGE(B6344:B6543)</f>
        <v>19509.03835</v>
      </c>
      <c r="E6543" s="7" t="n">
        <f aca="false">B6543/MAX(B6292:B6543)-1</f>
        <v>-0.0490793631254679</v>
      </c>
      <c r="F6543" s="7" t="str">
        <f aca="false">IFERROR(INDEX(02_轉折點45個!B:B,MATCH(A6543,02_轉折點45個!A:A,0)),"")</f>
        <v/>
      </c>
      <c r="G6543" s="7" t="s">
        <v>5494</v>
      </c>
    </row>
    <row r="6544" customFormat="false" ht="15" hidden="false" customHeight="false" outlineLevel="0" collapsed="false">
      <c r="A6544" s="7" t="s">
        <v>7013</v>
      </c>
      <c r="B6544" s="7" t="n">
        <v>20975.62</v>
      </c>
      <c r="C6544" s="7" t="n">
        <f aca="false">AVERAGE(B6495:B6544)</f>
        <v>20981.9462</v>
      </c>
      <c r="D6544" s="7" t="n">
        <f aca="false">AVERAGE(B6345:B6544)</f>
        <v>19523.9914</v>
      </c>
      <c r="E6544" s="7" t="n">
        <f aca="false">B6544/MAX(B6293:B6544)-1</f>
        <v>-0.0507334592648844</v>
      </c>
      <c r="F6544" s="7" t="str">
        <f aca="false">IFERROR(INDEX(02_轉折點45個!B:B,MATCH(A6544,02_轉折點45個!A:A,0)),"")</f>
        <v/>
      </c>
      <c r="G6544" s="7" t="s">
        <v>5494</v>
      </c>
    </row>
    <row r="6545" customFormat="false" ht="15" hidden="false" customHeight="false" outlineLevel="0" collapsed="false">
      <c r="A6545" s="7" t="s">
        <v>1878</v>
      </c>
      <c r="B6545" s="7" t="n">
        <v>21326.16</v>
      </c>
      <c r="C6545" s="7" t="n">
        <f aca="false">AVERAGE(B6496:B6545)</f>
        <v>21000.6602</v>
      </c>
      <c r="D6545" s="7" t="n">
        <f aca="false">AVERAGE(B6346:B6545)</f>
        <v>19540.4612</v>
      </c>
      <c r="E6545" s="7" t="n">
        <f aca="false">B6545/MAX(B6294:B6545)-1</f>
        <v>-0.0348695232673173</v>
      </c>
      <c r="F6545" s="7" t="str">
        <f aca="false">IFERROR(INDEX(02_轉折點45個!B:B,MATCH(A6545,02_轉折點45個!A:A,0)),"")</f>
        <v/>
      </c>
      <c r="G6545" s="7" t="s">
        <v>5494</v>
      </c>
    </row>
    <row r="6546" customFormat="false" ht="15" hidden="false" customHeight="false" outlineLevel="0" collapsed="false">
      <c r="A6546" s="7" t="s">
        <v>7014</v>
      </c>
      <c r="B6546" s="7" t="n">
        <v>21559.5</v>
      </c>
      <c r="C6546" s="7" t="n">
        <f aca="false">AVERAGE(B6497:B6546)</f>
        <v>21030.511</v>
      </c>
      <c r="D6546" s="7" t="n">
        <f aca="false">AVERAGE(B6347:B6546)</f>
        <v>19557.05815</v>
      </c>
      <c r="E6546" s="7" t="n">
        <f aca="false">B6546/MAX(B6295:B6546)-1</f>
        <v>-0.0243095562858822</v>
      </c>
      <c r="F6546" s="7" t="str">
        <f aca="false">IFERROR(INDEX(02_轉折點45個!B:B,MATCH(A6546,02_轉折點45個!A:A,0)),"")</f>
        <v/>
      </c>
      <c r="G6546" s="7" t="s">
        <v>5494</v>
      </c>
    </row>
    <row r="6547" customFormat="false" ht="15" hidden="false" customHeight="false" outlineLevel="0" collapsed="false">
      <c r="A6547" s="7" t="s">
        <v>7015</v>
      </c>
      <c r="B6547" s="7" t="n">
        <v>21173.04</v>
      </c>
      <c r="C6547" s="7" t="n">
        <f aca="false">AVERAGE(B6498:B6547)</f>
        <v>21049.3144</v>
      </c>
      <c r="D6547" s="7" t="n">
        <f aca="false">AVERAGE(B6348:B6547)</f>
        <v>19571.32145</v>
      </c>
      <c r="E6547" s="7" t="n">
        <f aca="false">B6547/MAX(B6296:B6547)-1</f>
        <v>-0.0417990773266186</v>
      </c>
      <c r="F6547" s="7" t="str">
        <f aca="false">IFERROR(INDEX(02_轉折點45個!B:B,MATCH(A6547,02_轉折點45個!A:A,0)),"")</f>
        <v/>
      </c>
      <c r="G6547" s="7" t="s">
        <v>5494</v>
      </c>
    </row>
    <row r="6548" customFormat="false" ht="15" hidden="false" customHeight="false" outlineLevel="0" collapsed="false">
      <c r="A6548" s="7" t="s">
        <v>7016</v>
      </c>
      <c r="B6548" s="7" t="n">
        <v>21180.97</v>
      </c>
      <c r="C6548" s="7" t="n">
        <f aca="false">AVERAGE(B6499:B6548)</f>
        <v>21065.8934</v>
      </c>
      <c r="D6548" s="7" t="n">
        <f aca="false">AVERAGE(B6349:B6548)</f>
        <v>19585.5291</v>
      </c>
      <c r="E6548" s="7" t="n">
        <f aca="false">B6548/MAX(B6297:B6548)-1</f>
        <v>-0.0414401995595713</v>
      </c>
      <c r="F6548" s="7" t="str">
        <f aca="false">IFERROR(INDEX(02_轉折點45個!B:B,MATCH(A6548,02_轉折點45個!A:A,0)),"")</f>
        <v/>
      </c>
      <c r="G6548" s="7" t="s">
        <v>5494</v>
      </c>
    </row>
    <row r="6549" customFormat="false" ht="15" hidden="false" customHeight="false" outlineLevel="0" collapsed="false">
      <c r="A6549" s="7" t="s">
        <v>1879</v>
      </c>
      <c r="B6549" s="7" t="n">
        <v>20847.58</v>
      </c>
      <c r="C6549" s="7" t="n">
        <f aca="false">AVERAGE(B6500:B6549)</f>
        <v>21075.8236</v>
      </c>
      <c r="D6549" s="7" t="n">
        <f aca="false">AVERAGE(B6350:B6549)</f>
        <v>19598.3817</v>
      </c>
      <c r="E6549" s="7" t="n">
        <f aca="false">B6549/MAX(B6298:B6549)-1</f>
        <v>-0.0565280001593</v>
      </c>
      <c r="F6549" s="7" t="str">
        <f aca="false">IFERROR(INDEX(02_轉折點45個!B:B,MATCH(A6549,02_轉折點45個!A:A,0)),"")</f>
        <v/>
      </c>
      <c r="G6549" s="7" t="s">
        <v>5494</v>
      </c>
    </row>
    <row r="6550" customFormat="false" ht="15" hidden="false" customHeight="false" outlineLevel="0" collapsed="false">
      <c r="A6550" s="7" t="s">
        <v>7017</v>
      </c>
      <c r="B6550" s="7" t="n">
        <v>20784.72</v>
      </c>
      <c r="C6550" s="7" t="n">
        <f aca="false">AVERAGE(B6501:B6550)</f>
        <v>21080.505</v>
      </c>
      <c r="D6550" s="7" t="n">
        <f aca="false">AVERAGE(B6351:B6550)</f>
        <v>19611.2526</v>
      </c>
      <c r="E6550" s="7" t="n">
        <f aca="false">B6550/MAX(B6299:B6550)-1</f>
        <v>-0.0593727739848465</v>
      </c>
      <c r="F6550" s="7" t="str">
        <f aca="false">IFERROR(INDEX(02_轉折點45個!B:B,MATCH(A6550,02_轉折點45個!A:A,0)),"")</f>
        <v/>
      </c>
      <c r="G6550" s="7" t="s">
        <v>5494</v>
      </c>
    </row>
    <row r="6551" customFormat="false" ht="15" hidden="false" customHeight="false" outlineLevel="0" collapsed="false">
      <c r="A6551" s="7" t="s">
        <v>1880</v>
      </c>
      <c r="B6551" s="7" t="n">
        <v>20757.41</v>
      </c>
      <c r="C6551" s="7" t="n">
        <f aca="false">AVERAGE(B6502:B6551)</f>
        <v>21087.8992</v>
      </c>
      <c r="D6551" s="7" t="n">
        <f aca="false">AVERAGE(B6352:B6551)</f>
        <v>19623.63545</v>
      </c>
      <c r="E6551" s="7" t="n">
        <f aca="false">B6551/MAX(B6300:B6551)-1</f>
        <v>-0.0606087073793052</v>
      </c>
      <c r="F6551" s="7" t="str">
        <f aca="false">IFERROR(INDEX(02_轉折點45個!B:B,MATCH(A6551,02_轉折點45個!A:A,0)),"")</f>
        <v/>
      </c>
      <c r="G6551" s="7" t="s">
        <v>5494</v>
      </c>
    </row>
    <row r="6552" customFormat="false" ht="15" hidden="false" customHeight="false" outlineLevel="0" collapsed="false">
      <c r="A6552" s="7" t="s">
        <v>1881</v>
      </c>
      <c r="B6552" s="7" t="n">
        <v>21237.85</v>
      </c>
      <c r="C6552" s="7" t="n">
        <f aca="false">AVERAGE(B6503:B6552)</f>
        <v>21114.8478</v>
      </c>
      <c r="D6552" s="7" t="n">
        <f aca="false">AVERAGE(B6353:B6552)</f>
        <v>19638.55125</v>
      </c>
      <c r="E6552" s="7" t="n">
        <f aca="false">B6552/MAX(B6301:B6552)-1</f>
        <v>-0.0388660548698311</v>
      </c>
      <c r="F6552" s="7" t="str">
        <f aca="false">IFERROR(INDEX(02_轉折點45個!B:B,MATCH(A6552,02_轉折點45個!A:A,0)),"")</f>
        <v/>
      </c>
      <c r="G6552" s="7" t="s">
        <v>5494</v>
      </c>
    </row>
    <row r="6553" customFormat="false" ht="15" hidden="false" customHeight="false" outlineLevel="0" collapsed="false">
      <c r="A6553" s="7" t="s">
        <v>7018</v>
      </c>
      <c r="B6553" s="7" t="n">
        <v>21091.25</v>
      </c>
      <c r="C6553" s="7" t="n">
        <f aca="false">AVERAGE(B6504:B6553)</f>
        <v>21136.01</v>
      </c>
      <c r="D6553" s="7" t="n">
        <f aca="false">AVERAGE(B6354:B6553)</f>
        <v>19652.5415</v>
      </c>
      <c r="E6553" s="7" t="n">
        <f aca="false">B6553/MAX(B6302:B6553)-1</f>
        <v>-0.0455005417108287</v>
      </c>
      <c r="F6553" s="7" t="str">
        <f aca="false">IFERROR(INDEX(02_轉折點45個!B:B,MATCH(A6553,02_轉折點45個!A:A,0)),"")</f>
        <v/>
      </c>
      <c r="G6553" s="7" t="s">
        <v>5494</v>
      </c>
    </row>
    <row r="6554" customFormat="false" ht="15" hidden="false" customHeight="false" outlineLevel="0" collapsed="false">
      <c r="A6554" s="7" t="s">
        <v>7019</v>
      </c>
      <c r="B6554" s="7" t="n">
        <v>21441.16</v>
      </c>
      <c r="C6554" s="7" t="n">
        <f aca="false">AVERAGE(B6505:B6554)</f>
        <v>21165.5612</v>
      </c>
      <c r="D6554" s="7" t="n">
        <f aca="false">AVERAGE(B6355:B6554)</f>
        <v>19669.1384</v>
      </c>
      <c r="E6554" s="7" t="n">
        <f aca="false">B6554/MAX(B6303:B6554)-1</f>
        <v>-0.0296651168095088</v>
      </c>
      <c r="F6554" s="7" t="str">
        <f aca="false">IFERROR(INDEX(02_轉折點45個!B:B,MATCH(A6554,02_轉折點45個!A:A,0)),"")</f>
        <v/>
      </c>
      <c r="G6554" s="7" t="s">
        <v>5494</v>
      </c>
    </row>
    <row r="6555" customFormat="false" ht="15" hidden="false" customHeight="false" outlineLevel="0" collapsed="false">
      <c r="A6555" s="7" t="s">
        <v>7020</v>
      </c>
      <c r="B6555" s="7" t="n">
        <v>21566.51</v>
      </c>
      <c r="C6555" s="7" t="n">
        <f aca="false">AVERAGE(B6506:B6555)</f>
        <v>21192.3422</v>
      </c>
      <c r="D6555" s="7" t="n">
        <f aca="false">AVERAGE(B6356:B6555)</f>
        <v>19686.17</v>
      </c>
      <c r="E6555" s="7" t="n">
        <f aca="false">B6555/MAX(B6304:B6555)-1</f>
        <v>-0.0239923137704975</v>
      </c>
      <c r="F6555" s="7" t="str">
        <f aca="false">IFERROR(INDEX(02_轉折點45個!B:B,MATCH(A6555,02_轉折點45個!A:A,0)),"")</f>
        <v/>
      </c>
      <c r="G6555" s="7" t="s">
        <v>5494</v>
      </c>
    </row>
    <row r="6556" customFormat="false" ht="15" hidden="false" customHeight="false" outlineLevel="0" collapsed="false">
      <c r="A6556" s="7" t="s">
        <v>7021</v>
      </c>
      <c r="B6556" s="7" t="n">
        <v>21853</v>
      </c>
      <c r="C6556" s="7" t="n">
        <f aca="false">AVERAGE(B6507:B6556)</f>
        <v>21213.7756</v>
      </c>
      <c r="D6556" s="7" t="n">
        <f aca="false">AVERAGE(B6357:B6556)</f>
        <v>19706.0411</v>
      </c>
      <c r="E6556" s="7" t="n">
        <f aca="false">B6556/MAX(B6305:B6556)-1</f>
        <v>-0.0110270058913881</v>
      </c>
      <c r="F6556" s="7" t="str">
        <f aca="false">IFERROR(INDEX(02_轉折點45個!B:B,MATCH(A6556,02_轉折點45個!A:A,0)),"")</f>
        <v/>
      </c>
      <c r="G6556" s="7" t="s">
        <v>5494</v>
      </c>
    </row>
    <row r="6557" customFormat="false" ht="15" hidden="false" customHeight="false" outlineLevel="0" collapsed="false">
      <c r="A6557" s="7" t="s">
        <v>7022</v>
      </c>
      <c r="B6557" s="7" t="n">
        <v>21900.93</v>
      </c>
      <c r="C6557" s="7" t="n">
        <f aca="false">AVERAGE(B6508:B6557)</f>
        <v>21229.7628</v>
      </c>
      <c r="D6557" s="7" t="n">
        <f aca="false">AVERAGE(B6358:B6557)</f>
        <v>19725.00345</v>
      </c>
      <c r="E6557" s="7" t="n">
        <f aca="false">B6557/MAX(B6306:B6557)-1</f>
        <v>-0.00885789979119012</v>
      </c>
      <c r="F6557" s="7" t="str">
        <f aca="false">IFERROR(INDEX(02_轉折點45個!B:B,MATCH(A6557,02_轉折點45個!A:A,0)),"")</f>
        <v/>
      </c>
      <c r="G6557" s="7" t="s">
        <v>5494</v>
      </c>
    </row>
    <row r="6558" customFormat="false" ht="15" hidden="false" customHeight="false" outlineLevel="0" collapsed="false">
      <c r="A6558" s="7" t="s">
        <v>7023</v>
      </c>
      <c r="B6558" s="7" t="n">
        <v>21774.01</v>
      </c>
      <c r="C6558" s="7" t="n">
        <f aca="false">AVERAGE(B6509:B6558)</f>
        <v>21242.8994</v>
      </c>
      <c r="D6558" s="7" t="n">
        <f aca="false">AVERAGE(B6359:B6558)</f>
        <v>19743.37255</v>
      </c>
      <c r="E6558" s="7" t="n">
        <f aca="false">B6558/MAX(B6307:B6558)-1</f>
        <v>-0.0146017542922777</v>
      </c>
      <c r="F6558" s="7" t="str">
        <f aca="false">IFERROR(INDEX(02_轉折點45個!B:B,MATCH(A6558,02_轉折點45個!A:A,0)),"")</f>
        <v/>
      </c>
      <c r="G6558" s="7" t="s">
        <v>5494</v>
      </c>
    </row>
    <row r="6559" customFormat="false" ht="15" hidden="false" customHeight="false" outlineLevel="0" collapsed="false">
      <c r="A6559" s="7" t="s">
        <v>1882</v>
      </c>
      <c r="B6559" s="7" t="n">
        <v>21127.28</v>
      </c>
      <c r="C6559" s="7" t="n">
        <f aca="false">AVERAGE(B6510:B6559)</f>
        <v>21243.3132</v>
      </c>
      <c r="D6559" s="7" t="n">
        <f aca="false">AVERAGE(B6360:B6559)</f>
        <v>19758.15945</v>
      </c>
      <c r="E6559" s="7" t="n">
        <f aca="false">B6559/MAX(B6308:B6559)-1</f>
        <v>-0.0438699785397432</v>
      </c>
      <c r="F6559" s="7" t="str">
        <f aca="false">IFERROR(INDEX(02_轉折點45個!B:B,MATCH(A6559,02_轉折點45個!A:A,0)),"")</f>
        <v/>
      </c>
      <c r="G6559" s="7" t="s">
        <v>5494</v>
      </c>
    </row>
    <row r="6560" customFormat="false" ht="15" hidden="false" customHeight="false" outlineLevel="0" collapsed="false">
      <c r="A6560" s="7" t="s">
        <v>7024</v>
      </c>
      <c r="B6560" s="7" t="n">
        <v>21463.04</v>
      </c>
      <c r="C6560" s="7" t="n">
        <f aca="false">AVERAGE(B6511:B6560)</f>
        <v>21251.1582</v>
      </c>
      <c r="D6560" s="7" t="n">
        <f aca="false">AVERAGE(B6361:B6560)</f>
        <v>19775.41635</v>
      </c>
      <c r="E6560" s="7" t="n">
        <f aca="false">B6560/MAX(B6309:B6560)-1</f>
        <v>-0.0286749219112752</v>
      </c>
      <c r="F6560" s="7" t="str">
        <f aca="false">IFERROR(INDEX(02_轉折點45個!B:B,MATCH(A6560,02_轉折點45個!A:A,0)),"")</f>
        <v/>
      </c>
      <c r="G6560" s="7" t="s">
        <v>5494</v>
      </c>
    </row>
    <row r="6561" customFormat="false" ht="15" hidden="false" customHeight="false" outlineLevel="0" collapsed="false">
      <c r="A6561" s="7" t="s">
        <v>7025</v>
      </c>
      <c r="B6561" s="7" t="n">
        <v>21411.46</v>
      </c>
      <c r="C6561" s="7" t="n">
        <f aca="false">AVERAGE(B6512:B6561)</f>
        <v>21258.6642</v>
      </c>
      <c r="D6561" s="7" t="n">
        <f aca="false">AVERAGE(B6362:B6561)</f>
        <v>19790.93375</v>
      </c>
      <c r="E6561" s="7" t="n">
        <f aca="false">B6561/MAX(B6310:B6561)-1</f>
        <v>-0.0310092113468733</v>
      </c>
      <c r="F6561" s="7" t="str">
        <f aca="false">IFERROR(INDEX(02_轉折點45個!B:B,MATCH(A6561,02_轉折點45個!A:A,0)),"")</f>
        <v/>
      </c>
      <c r="G6561" s="7" t="s">
        <v>5494</v>
      </c>
    </row>
    <row r="6562" customFormat="false" ht="15" hidden="false" customHeight="false" outlineLevel="0" collapsed="false">
      <c r="A6562" s="7" t="s">
        <v>1883</v>
      </c>
      <c r="B6562" s="7" t="n">
        <v>21508.12</v>
      </c>
      <c r="C6562" s="7" t="n">
        <f aca="false">AVERAGE(B6513:B6562)</f>
        <v>21270.8932</v>
      </c>
      <c r="D6562" s="7" t="n">
        <f aca="false">AVERAGE(B6363:B6562)</f>
        <v>19808.4569</v>
      </c>
      <c r="E6562" s="7" t="n">
        <f aca="false">B6562/MAX(B6311:B6562)-1</f>
        <v>-0.0266347945798143</v>
      </c>
      <c r="F6562" s="7" t="str">
        <f aca="false">IFERROR(INDEX(02_轉折點45個!B:B,MATCH(A6562,02_轉折點45個!A:A,0)),"")</f>
        <v/>
      </c>
      <c r="G6562" s="7" t="s">
        <v>5494</v>
      </c>
    </row>
    <row r="6563" customFormat="false" ht="15" hidden="false" customHeight="false" outlineLevel="0" collapsed="false">
      <c r="A6563" s="7" t="s">
        <v>7026</v>
      </c>
      <c r="B6563" s="7" t="n">
        <v>21478.05</v>
      </c>
      <c r="C6563" s="7" t="n">
        <f aca="false">AVERAGE(B6514:B6563)</f>
        <v>21292.5716</v>
      </c>
      <c r="D6563" s="7" t="n">
        <f aca="false">AVERAGE(B6364:B6563)</f>
        <v>19827.313</v>
      </c>
      <c r="E6563" s="7" t="n">
        <f aca="false">B6563/MAX(B6312:B6563)-1</f>
        <v>-0.0279956337292605</v>
      </c>
      <c r="F6563" s="7" t="str">
        <f aca="false">IFERROR(INDEX(02_轉折點45個!B:B,MATCH(A6563,02_轉折點45個!A:A,0)),"")</f>
        <v/>
      </c>
      <c r="G6563" s="7" t="s">
        <v>5494</v>
      </c>
    </row>
    <row r="6564" customFormat="false" ht="15" hidden="false" customHeight="false" outlineLevel="0" collapsed="false">
      <c r="A6564" s="7" t="s">
        <v>7027</v>
      </c>
      <c r="B6564" s="7" t="n">
        <v>21297.58</v>
      </c>
      <c r="C6564" s="7" t="n">
        <f aca="false">AVERAGE(B6515:B6564)</f>
        <v>21307.7394</v>
      </c>
      <c r="D6564" s="7" t="n">
        <f aca="false">AVERAGE(B6365:B6564)</f>
        <v>19845.2326</v>
      </c>
      <c r="E6564" s="7" t="n">
        <f aca="false">B6564/MAX(B6313:B6564)-1</f>
        <v>-0.0361629314113535</v>
      </c>
      <c r="F6564" s="7" t="str">
        <f aca="false">IFERROR(INDEX(02_轉折點45個!B:B,MATCH(A6564,02_轉折點45個!A:A,0)),"")</f>
        <v/>
      </c>
      <c r="G6564" s="7" t="s">
        <v>5494</v>
      </c>
    </row>
    <row r="6565" customFormat="false" ht="15" hidden="false" customHeight="false" outlineLevel="0" collapsed="false">
      <c r="A6565" s="7" t="s">
        <v>7028</v>
      </c>
      <c r="B6565" s="7" t="n">
        <v>21566.92</v>
      </c>
      <c r="C6565" s="7" t="n">
        <f aca="false">AVERAGE(B6516:B6565)</f>
        <v>21325.386</v>
      </c>
      <c r="D6565" s="7" t="n">
        <f aca="false">AVERAGE(B6366:B6565)</f>
        <v>19865.5991</v>
      </c>
      <c r="E6565" s="7" t="n">
        <f aca="false">B6565/MAX(B6314:B6565)-1</f>
        <v>-0.0239737589300827</v>
      </c>
      <c r="F6565" s="7" t="str">
        <f aca="false">IFERROR(INDEX(02_轉折點45個!B:B,MATCH(A6565,02_轉折點45個!A:A,0)),"")</f>
        <v/>
      </c>
      <c r="G6565" s="7" t="s">
        <v>5494</v>
      </c>
    </row>
    <row r="6566" customFormat="false" ht="15" hidden="false" customHeight="false" outlineLevel="0" collapsed="false">
      <c r="A6566" s="7" t="s">
        <v>7029</v>
      </c>
      <c r="B6566" s="7" t="n">
        <v>21658.16</v>
      </c>
      <c r="C6566" s="7" t="n">
        <f aca="false">AVERAGE(B6517:B6566)</f>
        <v>21345.2072</v>
      </c>
      <c r="D6566" s="7" t="n">
        <f aca="false">AVERAGE(B6367:B6566)</f>
        <v>19886.91835</v>
      </c>
      <c r="E6566" s="7" t="n">
        <f aca="false">B6566/MAX(B6315:B6566)-1</f>
        <v>-0.0198446281021657</v>
      </c>
      <c r="F6566" s="7" t="str">
        <f aca="false">IFERROR(INDEX(02_轉折點45個!B:B,MATCH(A6566,02_轉折點45個!A:A,0)),"")</f>
        <v/>
      </c>
      <c r="G6566" s="7" t="s">
        <v>5494</v>
      </c>
    </row>
    <row r="6567" customFormat="false" ht="15" hidden="false" customHeight="false" outlineLevel="0" collapsed="false">
      <c r="A6567" s="7" t="s">
        <v>1884</v>
      </c>
      <c r="B6567" s="7" t="n">
        <v>21774.07</v>
      </c>
      <c r="C6567" s="7" t="n">
        <f aca="false">AVERAGE(B6518:B6567)</f>
        <v>21365.873</v>
      </c>
      <c r="D6567" s="7" t="n">
        <f aca="false">AVERAGE(B6368:B6567)</f>
        <v>19910.60045</v>
      </c>
      <c r="E6567" s="7" t="n">
        <f aca="false">B6567/MAX(B6316:B6567)-1</f>
        <v>-0.014599038949778</v>
      </c>
      <c r="F6567" s="7" t="str">
        <f aca="false">IFERROR(INDEX(02_轉折點45個!B:B,MATCH(A6567,02_轉折點45個!A:A,0)),"")</f>
        <v/>
      </c>
      <c r="G6567" s="7" t="s">
        <v>5494</v>
      </c>
    </row>
    <row r="6568" customFormat="false" ht="15" hidden="false" customHeight="false" outlineLevel="0" collapsed="false">
      <c r="A6568" s="7" t="s">
        <v>7030</v>
      </c>
      <c r="B6568" s="7" t="n">
        <v>21491.31</v>
      </c>
      <c r="C6568" s="7" t="n">
        <f aca="false">AVERAGE(B6519:B6568)</f>
        <v>21380.1746</v>
      </c>
      <c r="D6568" s="7" t="n">
        <f aca="false">AVERAGE(B6369:B6568)</f>
        <v>19932.00255</v>
      </c>
      <c r="E6568" s="7" t="n">
        <f aca="false">B6568/MAX(B6317:B6568)-1</f>
        <v>-0.0273955430368209</v>
      </c>
      <c r="F6568" s="7" t="str">
        <f aca="false">IFERROR(INDEX(02_轉折點45個!B:B,MATCH(A6568,02_轉折點45個!A:A,0)),"")</f>
        <v/>
      </c>
      <c r="G6568" s="7" t="s">
        <v>5494</v>
      </c>
    </row>
    <row r="6569" customFormat="false" ht="15" hidden="false" customHeight="false" outlineLevel="0" collapsed="false">
      <c r="A6569" s="7" t="s">
        <v>7031</v>
      </c>
      <c r="B6569" s="7" t="n">
        <v>21756.73</v>
      </c>
      <c r="C6569" s="7" t="n">
        <f aca="false">AVERAGE(B6520:B6569)</f>
        <v>21399.2114</v>
      </c>
      <c r="D6569" s="7" t="n">
        <f aca="false">AVERAGE(B6370:B6569)</f>
        <v>19953.42885</v>
      </c>
      <c r="E6569" s="7" t="n">
        <f aca="false">B6569/MAX(B6318:B6569)-1</f>
        <v>-0.0153837729321988</v>
      </c>
      <c r="F6569" s="7" t="str">
        <f aca="false">IFERROR(INDEX(02_轉折點45個!B:B,MATCH(A6569,02_轉折點45個!A:A,0)),"")</f>
        <v/>
      </c>
      <c r="G6569" s="7" t="s">
        <v>5494</v>
      </c>
    </row>
    <row r="6570" customFormat="false" ht="15" hidden="false" customHeight="false" outlineLevel="0" collapsed="false">
      <c r="A6570" s="7" t="s">
        <v>7032</v>
      </c>
      <c r="B6570" s="7" t="n">
        <v>21693.52</v>
      </c>
      <c r="C6570" s="7" t="n">
        <f aca="false">AVERAGE(B6521:B6570)</f>
        <v>21414.6238</v>
      </c>
      <c r="D6570" s="7" t="n">
        <f aca="false">AVERAGE(B6371:B6570)</f>
        <v>19974.26245</v>
      </c>
      <c r="E6570" s="7" t="n">
        <f aca="false">B6570/MAX(B6319:B6570)-1</f>
        <v>-0.0182443862556604</v>
      </c>
      <c r="F6570" s="7" t="str">
        <f aca="false">IFERROR(INDEX(02_轉折點45個!B:B,MATCH(A6570,02_轉折點45個!A:A,0)),"")</f>
        <v/>
      </c>
      <c r="G6570" s="7" t="s">
        <v>5494</v>
      </c>
    </row>
    <row r="6571" customFormat="false" ht="15" hidden="false" customHeight="false" outlineLevel="0" collapsed="false">
      <c r="A6571" s="7" t="s">
        <v>7033</v>
      </c>
      <c r="B6571" s="7" t="n">
        <v>21719.26</v>
      </c>
      <c r="C6571" s="7" t="n">
        <f aca="false">AVERAGE(B6522:B6571)</f>
        <v>21434.1192</v>
      </c>
      <c r="D6571" s="7" t="n">
        <f aca="false">AVERAGE(B6372:B6571)</f>
        <v>19995.70625</v>
      </c>
      <c r="E6571" s="7" t="n">
        <f aca="false">B6571/MAX(B6320:B6571)-1</f>
        <v>-0.0170795043232779</v>
      </c>
      <c r="F6571" s="7" t="str">
        <f aca="false">IFERROR(INDEX(02_轉折點45個!B:B,MATCH(A6571,02_轉折點45個!A:A,0)),"")</f>
        <v/>
      </c>
      <c r="G6571" s="7" t="s">
        <v>5494</v>
      </c>
    </row>
    <row r="6572" customFormat="false" ht="15" hidden="false" customHeight="false" outlineLevel="0" collapsed="false">
      <c r="A6572" s="7" t="s">
        <v>7034</v>
      </c>
      <c r="B6572" s="7" t="n">
        <v>22030.71</v>
      </c>
      <c r="C6572" s="7" t="n">
        <f aca="false">AVERAGE(B6523:B6572)</f>
        <v>21456.126</v>
      </c>
      <c r="D6572" s="7" t="n">
        <f aca="false">AVERAGE(B6373:B6572)</f>
        <v>20017.2683</v>
      </c>
      <c r="E6572" s="7" t="n">
        <f aca="false">B6572/MAX(B6321:B6572)-1</f>
        <v>-0.0029846139642824</v>
      </c>
      <c r="F6572" s="7" t="str">
        <f aca="false">IFERROR(INDEX(02_轉折點45個!B:B,MATCH(A6572,02_轉折點45個!A:A,0)),"")</f>
        <v/>
      </c>
      <c r="G6572" s="7" t="s">
        <v>5494</v>
      </c>
    </row>
    <row r="6573" customFormat="false" ht="15" hidden="false" customHeight="false" outlineLevel="0" collapsed="false">
      <c r="A6573" s="7" t="s">
        <v>1885</v>
      </c>
      <c r="B6573" s="7" t="n">
        <v>22114.69</v>
      </c>
      <c r="C6573" s="7" t="n">
        <f aca="false">AVERAGE(B6524:B6573)</f>
        <v>21475.1278</v>
      </c>
      <c r="D6573" s="7" t="n">
        <f aca="false">AVERAGE(B6374:B6573)</f>
        <v>20038.92815</v>
      </c>
      <c r="E6573" s="7" t="n">
        <f aca="false">B6573/MAX(B6322:B6573)-1</f>
        <v>0</v>
      </c>
      <c r="F6573" s="7" t="str">
        <f aca="false">IFERROR(INDEX(02_轉折點45個!B:B,MATCH(A6573,02_轉折點45個!A:A,0)),"")</f>
        <v/>
      </c>
      <c r="G6573" s="7" t="s">
        <v>5494</v>
      </c>
    </row>
    <row r="6574" customFormat="false" ht="15" hidden="false" customHeight="false" outlineLevel="0" collapsed="false">
      <c r="A6574" s="7" t="s">
        <v>1886</v>
      </c>
      <c r="B6574" s="7" t="n">
        <v>22164.61</v>
      </c>
      <c r="C6574" s="7" t="n">
        <f aca="false">AVERAGE(B6525:B6574)</f>
        <v>21493.8336</v>
      </c>
      <c r="D6574" s="7" t="n">
        <f aca="false">AVERAGE(B6375:B6574)</f>
        <v>20062.54775</v>
      </c>
      <c r="E6574" s="7" t="n">
        <f aca="false">B6574/MAX(B6323:B6574)-1</f>
        <v>0</v>
      </c>
      <c r="F6574" s="7" t="str">
        <f aca="false">IFERROR(INDEX(02_轉折點45個!B:B,MATCH(A6574,02_轉折點45個!A:A,0)),"")</f>
        <v/>
      </c>
      <c r="G6574" s="7" t="s">
        <v>5494</v>
      </c>
    </row>
    <row r="6575" customFormat="false" ht="15" hidden="false" customHeight="false" outlineLevel="0" collapsed="false">
      <c r="A6575" s="7" t="s">
        <v>156</v>
      </c>
      <c r="B6575" s="7" t="n">
        <v>22175.6</v>
      </c>
      <c r="C6575" s="7" t="n">
        <f aca="false">AVERAGE(B6526:B6575)</f>
        <v>21507.4984</v>
      </c>
      <c r="D6575" s="7" t="n">
        <f aca="false">AVERAGE(B6376:B6575)</f>
        <v>20086.833</v>
      </c>
      <c r="E6575" s="7" t="n">
        <f aca="false">B6575/MAX(B6324:B6575)-1</f>
        <v>0</v>
      </c>
      <c r="F6575" s="7" t="str">
        <f aca="false">IFERROR(INDEX(02_轉折點45個!B:B,MATCH(A6575,02_轉折點45個!A:A,0)),"")</f>
        <v>TOP</v>
      </c>
      <c r="G6575" s="7" t="s">
        <v>5494</v>
      </c>
    </row>
    <row r="6576" customFormat="false" ht="15" hidden="false" customHeight="false" outlineLevel="0" collapsed="false">
      <c r="A6576" s="7" t="s">
        <v>7035</v>
      </c>
      <c r="B6576" s="7" t="n">
        <v>22068.06</v>
      </c>
      <c r="C6576" s="7" t="n">
        <f aca="false">AVERAGE(B6527:B6576)</f>
        <v>21520.3552</v>
      </c>
      <c r="D6576" s="7" t="n">
        <f aca="false">AVERAGE(B6377:B6576)</f>
        <v>20109.4656</v>
      </c>
      <c r="E6576" s="7" t="n">
        <f aca="false">B6576/MAX(B6325:B6576)-1</f>
        <v>-0.00484947419686488</v>
      </c>
      <c r="F6576" s="7" t="str">
        <f aca="false">IFERROR(INDEX(02_轉折點45個!B:B,MATCH(A6576,02_轉折點45個!A:A,0)),"")</f>
        <v/>
      </c>
      <c r="G6576" s="7" t="s">
        <v>5494</v>
      </c>
    </row>
    <row r="6577" customFormat="false" ht="15" hidden="false" customHeight="false" outlineLevel="0" collapsed="false">
      <c r="A6577" s="7" t="s">
        <v>7036</v>
      </c>
      <c r="B6577" s="7" t="n">
        <v>21614.08</v>
      </c>
      <c r="C6577" s="7" t="n">
        <f aca="false">AVERAGE(B6528:B6577)</f>
        <v>21520.1918</v>
      </c>
      <c r="D6577" s="7" t="n">
        <f aca="false">AVERAGE(B6378:B6577)</f>
        <v>20128.082</v>
      </c>
      <c r="E6577" s="7" t="n">
        <f aca="false">B6577/MAX(B6326:B6577)-1</f>
        <v>-0.0253215245585237</v>
      </c>
      <c r="F6577" s="7" t="str">
        <f aca="false">IFERROR(INDEX(02_轉折點45個!B:B,MATCH(A6577,02_轉折點45個!A:A,0)),"")</f>
        <v/>
      </c>
      <c r="G6577" s="7" t="s">
        <v>5494</v>
      </c>
    </row>
    <row r="6578" customFormat="false" ht="15" hidden="false" customHeight="false" outlineLevel="0" collapsed="false">
      <c r="A6578" s="7" t="s">
        <v>1887</v>
      </c>
      <c r="B6578" s="7" t="n">
        <v>21352.08</v>
      </c>
      <c r="C6578" s="7" t="n">
        <f aca="false">AVERAGE(B6529:B6578)</f>
        <v>21518.417</v>
      </c>
      <c r="D6578" s="7" t="n">
        <f aca="false">AVERAGE(B6379:B6578)</f>
        <v>20144.37455</v>
      </c>
      <c r="E6578" s="7" t="n">
        <f aca="false">B6578/MAX(B6327:B6578)-1</f>
        <v>-0.0371363119825392</v>
      </c>
      <c r="F6578" s="7" t="str">
        <f aca="false">IFERROR(INDEX(02_轉折點45個!B:B,MATCH(A6578,02_轉折點45個!A:A,0)),"")</f>
        <v/>
      </c>
      <c r="G6578" s="7" t="s">
        <v>5494</v>
      </c>
    </row>
    <row r="6579" customFormat="false" ht="15" hidden="false" customHeight="false" outlineLevel="0" collapsed="false">
      <c r="A6579" s="7" t="s">
        <v>1888</v>
      </c>
      <c r="B6579" s="7" t="n">
        <v>21087.25</v>
      </c>
      <c r="C6579" s="7" t="n">
        <f aca="false">AVERAGE(B6530:B6579)</f>
        <v>21512.7984</v>
      </c>
      <c r="D6579" s="7" t="n">
        <f aca="false">AVERAGE(B6380:B6579)</f>
        <v>20159.35355</v>
      </c>
      <c r="E6579" s="7" t="n">
        <f aca="false">B6579/MAX(B6328:B6579)-1</f>
        <v>-0.0490787171485777</v>
      </c>
      <c r="F6579" s="7" t="str">
        <f aca="false">IFERROR(INDEX(02_轉折點45個!B:B,MATCH(A6579,02_轉折點45個!A:A,0)),"")</f>
        <v/>
      </c>
      <c r="G6579" s="7" t="s">
        <v>5494</v>
      </c>
    </row>
    <row r="6580" customFormat="false" ht="15" hidden="false" customHeight="false" outlineLevel="0" collapsed="false">
      <c r="A6580" s="7" t="s">
        <v>7037</v>
      </c>
      <c r="B6580" s="7" t="n">
        <v>21132.92</v>
      </c>
      <c r="C6580" s="7" t="n">
        <f aca="false">AVERAGE(B6531:B6580)</f>
        <v>21500.1772</v>
      </c>
      <c r="D6580" s="7" t="n">
        <f aca="false">AVERAGE(B6381:B6580)</f>
        <v>20174.5931</v>
      </c>
      <c r="E6580" s="7" t="n">
        <f aca="false">B6580/MAX(B6329:B6580)-1</f>
        <v>-0.047019246378903</v>
      </c>
      <c r="F6580" s="7" t="str">
        <f aca="false">IFERROR(INDEX(02_轉折點45個!B:B,MATCH(A6580,02_轉折點45個!A:A,0)),"")</f>
        <v/>
      </c>
      <c r="G6580" s="7" t="s">
        <v>5494</v>
      </c>
    </row>
    <row r="6581" customFormat="false" ht="15" hidden="false" customHeight="false" outlineLevel="0" collapsed="false">
      <c r="A6581" s="7" t="s">
        <v>1889</v>
      </c>
      <c r="B6581" s="7" t="n">
        <v>20550.95</v>
      </c>
      <c r="C6581" s="7" t="n">
        <f aca="false">AVERAGE(B6532:B6581)</f>
        <v>21478.8908</v>
      </c>
      <c r="D6581" s="7" t="n">
        <f aca="false">AVERAGE(B6382:B6581)</f>
        <v>20186.78055</v>
      </c>
      <c r="E6581" s="7" t="n">
        <f aca="false">B6581/MAX(B6330:B6581)-1</f>
        <v>-0.0732629556810187</v>
      </c>
      <c r="F6581" s="7" t="str">
        <f aca="false">IFERROR(INDEX(02_轉折點45個!B:B,MATCH(A6581,02_轉折點45個!A:A,0)),"")</f>
        <v/>
      </c>
      <c r="G6581" s="7" t="s">
        <v>5494</v>
      </c>
    </row>
    <row r="6582" customFormat="false" ht="15" hidden="false" customHeight="false" outlineLevel="0" collapsed="false">
      <c r="A6582" s="7" t="s">
        <v>1890</v>
      </c>
      <c r="B6582" s="7" t="n">
        <v>20884.41</v>
      </c>
      <c r="C6582" s="7" t="n">
        <f aca="false">AVERAGE(B6533:B6582)</f>
        <v>21460.974</v>
      </c>
      <c r="D6582" s="7" t="n">
        <f aca="false">AVERAGE(B6383:B6582)</f>
        <v>20200.3967</v>
      </c>
      <c r="E6582" s="7" t="n">
        <f aca="false">B6582/MAX(B6331:B6582)-1</f>
        <v>-0.0582257075344071</v>
      </c>
      <c r="F6582" s="7" t="str">
        <f aca="false">IFERROR(INDEX(02_轉折點45個!B:B,MATCH(A6582,02_轉折點45個!A:A,0)),"")</f>
        <v/>
      </c>
      <c r="G6582" s="7" t="s">
        <v>5494</v>
      </c>
    </row>
    <row r="6583" customFormat="false" ht="15" hidden="false" customHeight="false" outlineLevel="0" collapsed="false">
      <c r="A6583" s="7" t="s">
        <v>1891</v>
      </c>
      <c r="B6583" s="7" t="n">
        <v>20425.58</v>
      </c>
      <c r="C6583" s="7" t="n">
        <f aca="false">AVERAGE(B6534:B6583)</f>
        <v>21427.5524</v>
      </c>
      <c r="D6583" s="7" t="n">
        <f aca="false">AVERAGE(B6384:B6583)</f>
        <v>20211.53155</v>
      </c>
      <c r="E6583" s="7" t="n">
        <f aca="false">B6583/MAX(B6332:B6583)-1</f>
        <v>-0.0789164667472355</v>
      </c>
      <c r="F6583" s="7" t="str">
        <f aca="false">IFERROR(INDEX(02_轉折點45個!B:B,MATCH(A6583,02_轉折點45個!A:A,0)),"")</f>
        <v/>
      </c>
      <c r="G6583" s="7" t="s">
        <v>5494</v>
      </c>
    </row>
    <row r="6584" customFormat="false" ht="15" hidden="false" customHeight="false" outlineLevel="0" collapsed="false">
      <c r="A6584" s="7" t="s">
        <v>7038</v>
      </c>
      <c r="B6584" s="7" t="n">
        <v>20352.53</v>
      </c>
      <c r="C6584" s="7" t="n">
        <f aca="false">AVERAGE(B6535:B6584)</f>
        <v>21394.5814</v>
      </c>
      <c r="D6584" s="7" t="n">
        <f aca="false">AVERAGE(B6385:B6584)</f>
        <v>20221.68035</v>
      </c>
      <c r="E6584" s="7" t="n">
        <f aca="false">B6584/MAX(B6333:B6584)-1</f>
        <v>-0.0822106278973286</v>
      </c>
      <c r="F6584" s="7" t="str">
        <f aca="false">IFERROR(INDEX(02_轉折點45個!B:B,MATCH(A6584,02_轉折點45個!A:A,0)),"")</f>
        <v/>
      </c>
      <c r="G6584" s="7" t="s">
        <v>5494</v>
      </c>
    </row>
    <row r="6585" customFormat="false" ht="15" hidden="false" customHeight="false" outlineLevel="0" collapsed="false">
      <c r="A6585" s="7" t="s">
        <v>7039</v>
      </c>
      <c r="B6585" s="7" t="n">
        <v>20628.46</v>
      </c>
      <c r="C6585" s="7" t="n">
        <f aca="false">AVERAGE(B6536:B6585)</f>
        <v>21382.9642</v>
      </c>
      <c r="D6585" s="7" t="n">
        <f aca="false">AVERAGE(B6386:B6585)</f>
        <v>20231.8394</v>
      </c>
      <c r="E6585" s="7" t="n">
        <f aca="false">B6585/MAX(B6334:B6585)-1</f>
        <v>-0.0697676725770666</v>
      </c>
      <c r="F6585" s="7" t="str">
        <f aca="false">IFERROR(INDEX(02_轉折點45個!B:B,MATCH(A6585,02_轉折點45個!A:A,0)),"")</f>
        <v/>
      </c>
      <c r="G6585" s="7" t="s">
        <v>5494</v>
      </c>
    </row>
    <row r="6586" customFormat="false" ht="15" hidden="false" customHeight="false" outlineLevel="0" collapsed="false">
      <c r="A6586" s="7" t="s">
        <v>1892</v>
      </c>
      <c r="B6586" s="7" t="n">
        <v>20052.63</v>
      </c>
      <c r="C6586" s="7" t="n">
        <f aca="false">AVERAGE(B6537:B6586)</f>
        <v>21361.8066</v>
      </c>
      <c r="D6586" s="7" t="n">
        <f aca="false">AVERAGE(B6387:B6586)</f>
        <v>20239.31275</v>
      </c>
      <c r="E6586" s="7" t="n">
        <f aca="false">B6586/MAX(B6335:B6586)-1</f>
        <v>-0.0957345009830624</v>
      </c>
      <c r="F6586" s="7" t="str">
        <f aca="false">IFERROR(INDEX(02_轉折點45個!B:B,MATCH(A6586,02_轉折點45個!A:A,0)),"")</f>
        <v/>
      </c>
      <c r="G6586" s="7" t="s">
        <v>5494</v>
      </c>
    </row>
    <row r="6587" customFormat="false" ht="15" hidden="false" customHeight="false" outlineLevel="0" collapsed="false">
      <c r="A6587" s="7" t="s">
        <v>1893</v>
      </c>
      <c r="B6587" s="7" t="n">
        <v>20201.37</v>
      </c>
      <c r="C6587" s="7" t="n">
        <f aca="false">AVERAGE(B6538:B6587)</f>
        <v>21340.051</v>
      </c>
      <c r="D6587" s="7" t="n">
        <f aca="false">AVERAGE(B6388:B6587)</f>
        <v>20247.58845</v>
      </c>
      <c r="E6587" s="7" t="n">
        <f aca="false">B6587/MAX(B6336:B6587)-1</f>
        <v>-0.0890271289164667</v>
      </c>
      <c r="F6587" s="7" t="str">
        <f aca="false">IFERROR(INDEX(02_轉折點45個!B:B,MATCH(A6587,02_轉折點45個!A:A,0)),"")</f>
        <v/>
      </c>
      <c r="G6587" s="7" t="s">
        <v>5494</v>
      </c>
    </row>
    <row r="6588" customFormat="false" ht="15" hidden="false" customHeight="false" outlineLevel="0" collapsed="false">
      <c r="A6588" s="7" t="s">
        <v>7040</v>
      </c>
      <c r="B6588" s="7" t="n">
        <v>19430.95</v>
      </c>
      <c r="C6588" s="7" t="n">
        <f aca="false">AVERAGE(B6539:B6588)</f>
        <v>21298.6066</v>
      </c>
      <c r="D6588" s="7" t="n">
        <f aca="false">AVERAGE(B6389:B6588)</f>
        <v>20251.37225</v>
      </c>
      <c r="E6588" s="7" t="n">
        <f aca="false">B6588/MAX(B6337:B6588)-1</f>
        <v>-0.123768917188261</v>
      </c>
      <c r="F6588" s="7" t="str">
        <f aca="false">IFERROR(INDEX(02_轉折點45個!B:B,MATCH(A6588,02_轉折點45個!A:A,0)),"")</f>
        <v/>
      </c>
      <c r="G6588" s="7" t="s">
        <v>5494</v>
      </c>
    </row>
    <row r="6589" customFormat="false" ht="15" hidden="false" customHeight="false" outlineLevel="0" collapsed="false">
      <c r="A6589" s="7" t="s">
        <v>7041</v>
      </c>
      <c r="B6589" s="7" t="n">
        <v>19376.96</v>
      </c>
      <c r="C6589" s="7" t="n">
        <f aca="false">AVERAGE(B6540:B6589)</f>
        <v>21250.1928</v>
      </c>
      <c r="D6589" s="7" t="n">
        <f aca="false">AVERAGE(B6390:B6589)</f>
        <v>20254.68805</v>
      </c>
      <c r="E6589" s="7" t="n">
        <f aca="false">B6589/MAX(B6338:B6589)-1</f>
        <v>-0.126203575100561</v>
      </c>
      <c r="F6589" s="7" t="str">
        <f aca="false">IFERROR(INDEX(02_轉折點45個!B:B,MATCH(A6589,02_轉折點45個!A:A,0)),"")</f>
        <v/>
      </c>
      <c r="G6589" s="7" t="s">
        <v>5494</v>
      </c>
    </row>
    <row r="6590" customFormat="false" ht="15" hidden="false" customHeight="false" outlineLevel="0" collapsed="false">
      <c r="A6590" s="7" t="s">
        <v>7042</v>
      </c>
      <c r="B6590" s="7" t="n">
        <v>19596.02</v>
      </c>
      <c r="C6590" s="7" t="n">
        <f aca="false">AVERAGE(B6541:B6590)</f>
        <v>21206.747</v>
      </c>
      <c r="D6590" s="7" t="n">
        <f aca="false">AVERAGE(B6391:B6590)</f>
        <v>20259.14215</v>
      </c>
      <c r="E6590" s="7" t="n">
        <f aca="false">B6590/MAX(B6339:B6590)-1</f>
        <v>-0.116325150165046</v>
      </c>
      <c r="F6590" s="7" t="str">
        <f aca="false">IFERROR(INDEX(02_轉折點45個!B:B,MATCH(A6590,02_轉折點45個!A:A,0)),"")</f>
        <v/>
      </c>
      <c r="G6590" s="7" t="s">
        <v>5494</v>
      </c>
    </row>
    <row r="6591" customFormat="false" ht="15" hidden="false" customHeight="false" outlineLevel="0" collapsed="false">
      <c r="A6591" s="7" t="s">
        <v>7043</v>
      </c>
      <c r="B6591" s="7" t="n">
        <v>19225.48</v>
      </c>
      <c r="C6591" s="7" t="n">
        <f aca="false">AVERAGE(B6542:B6591)</f>
        <v>21161.7962</v>
      </c>
      <c r="D6591" s="7" t="n">
        <f aca="false">AVERAGE(B6392:B6591)</f>
        <v>20262.1526</v>
      </c>
      <c r="E6591" s="7" t="n">
        <f aca="false">B6591/MAX(B6340:B6591)-1</f>
        <v>-0.133034506394416</v>
      </c>
      <c r="F6591" s="7" t="str">
        <f aca="false">IFERROR(INDEX(02_轉折點45個!B:B,MATCH(A6591,02_轉折點45個!A:A,0)),"")</f>
        <v/>
      </c>
      <c r="G6591" s="7" t="s">
        <v>5494</v>
      </c>
    </row>
    <row r="6592" customFormat="false" ht="15" hidden="false" customHeight="false" outlineLevel="0" collapsed="false">
      <c r="A6592" s="7" t="s">
        <v>7044</v>
      </c>
      <c r="B6592" s="7" t="n">
        <v>19704.64</v>
      </c>
      <c r="C6592" s="7" t="n">
        <f aca="false">AVERAGE(B6543:B6592)</f>
        <v>21131.9472</v>
      </c>
      <c r="D6592" s="7" t="n">
        <f aca="false">AVERAGE(B6393:B6592)</f>
        <v>20266.63405</v>
      </c>
      <c r="E6592" s="7" t="n">
        <f aca="false">B6592/MAX(B6341:B6592)-1</f>
        <v>-0.111426973791014</v>
      </c>
      <c r="F6592" s="7" t="str">
        <f aca="false">IFERROR(INDEX(02_轉折點45個!B:B,MATCH(A6592,02_轉折點45個!A:A,0)),"")</f>
        <v/>
      </c>
      <c r="G6592" s="7" t="s">
        <v>5494</v>
      </c>
    </row>
    <row r="6593" customFormat="false" ht="15" hidden="false" customHeight="false" outlineLevel="0" collapsed="false">
      <c r="A6593" s="7" t="s">
        <v>7045</v>
      </c>
      <c r="B6593" s="7" t="n">
        <v>19812.24</v>
      </c>
      <c r="C6593" s="7" t="n">
        <f aca="false">AVERAGE(B6544:B6593)</f>
        <v>21107.9486</v>
      </c>
      <c r="D6593" s="7" t="n">
        <f aca="false">AVERAGE(B6394:B6593)</f>
        <v>20271.34805</v>
      </c>
      <c r="E6593" s="7" t="n">
        <f aca="false">B6593/MAX(B6342:B6593)-1</f>
        <v>-0.106574793917639</v>
      </c>
      <c r="F6593" s="7" t="str">
        <f aca="false">IFERROR(INDEX(02_轉折點45個!B:B,MATCH(A6593,02_轉折點45個!A:A,0)),"")</f>
        <v/>
      </c>
      <c r="G6593" s="7" t="s">
        <v>5494</v>
      </c>
    </row>
    <row r="6594" customFormat="false" ht="15" hidden="false" customHeight="false" outlineLevel="0" collapsed="false">
      <c r="A6594" s="7" t="s">
        <v>7046</v>
      </c>
      <c r="B6594" s="7" t="n">
        <v>19483.36</v>
      </c>
      <c r="C6594" s="7" t="n">
        <f aca="false">AVERAGE(B6545:B6594)</f>
        <v>21078.1034</v>
      </c>
      <c r="D6594" s="7" t="n">
        <f aca="false">AVERAGE(B6395:B6594)</f>
        <v>20275.0811</v>
      </c>
      <c r="E6594" s="7" t="n">
        <f aca="false">B6594/MAX(B6343:B6594)-1</f>
        <v>-0.121405508757373</v>
      </c>
      <c r="F6594" s="7" t="str">
        <f aca="false">IFERROR(INDEX(02_轉折點45個!B:B,MATCH(A6594,02_轉折點45個!A:A,0)),"")</f>
        <v/>
      </c>
      <c r="G6594" s="7" t="s">
        <v>5494</v>
      </c>
    </row>
    <row r="6595" customFormat="false" ht="15" hidden="false" customHeight="false" outlineLevel="0" collapsed="false">
      <c r="A6595" s="7" t="s">
        <v>7047</v>
      </c>
      <c r="B6595" s="7" t="n">
        <v>19736.66</v>
      </c>
      <c r="C6595" s="7" t="n">
        <f aca="false">AVERAGE(B6546:B6595)</f>
        <v>21046.3134</v>
      </c>
      <c r="D6595" s="7" t="n">
        <f aca="false">AVERAGE(B6396:B6595)</f>
        <v>20281.0711</v>
      </c>
      <c r="E6595" s="7" t="n">
        <f aca="false">B6595/MAX(B6344:B6595)-1</f>
        <v>-0.109983044427208</v>
      </c>
      <c r="F6595" s="7" t="str">
        <f aca="false">IFERROR(INDEX(02_轉折點45個!B:B,MATCH(A6595,02_轉折點45個!A:A,0)),"")</f>
        <v/>
      </c>
      <c r="G6595" s="7" t="s">
        <v>5494</v>
      </c>
    </row>
    <row r="6596" customFormat="false" ht="15" hidden="false" customHeight="false" outlineLevel="0" collapsed="false">
      <c r="A6596" s="7" t="s">
        <v>1894</v>
      </c>
      <c r="B6596" s="7" t="n">
        <v>19677.61</v>
      </c>
      <c r="C6596" s="7" t="n">
        <f aca="false">AVERAGE(B6547:B6596)</f>
        <v>21008.6756</v>
      </c>
      <c r="D6596" s="7" t="n">
        <f aca="false">AVERAGE(B6397:B6596)</f>
        <v>20286.7759</v>
      </c>
      <c r="E6596" s="7" t="n">
        <f aca="false">B6596/MAX(B6345:B6596)-1</f>
        <v>-0.112645881058461</v>
      </c>
      <c r="F6596" s="7" t="str">
        <f aca="false">IFERROR(INDEX(02_轉折點45個!B:B,MATCH(A6596,02_轉折點45個!A:A,0)),"")</f>
        <v/>
      </c>
      <c r="G6596" s="7" t="s">
        <v>5494</v>
      </c>
    </row>
    <row r="6597" customFormat="false" ht="15" hidden="false" customHeight="false" outlineLevel="0" collapsed="false">
      <c r="A6597" s="7" t="s">
        <v>7048</v>
      </c>
      <c r="B6597" s="7" t="n">
        <v>19753.97</v>
      </c>
      <c r="C6597" s="7" t="n">
        <f aca="false">AVERAGE(B6548:B6597)</f>
        <v>20980.2942</v>
      </c>
      <c r="D6597" s="7" t="n">
        <f aca="false">AVERAGE(B6398:B6597)</f>
        <v>20292.5409</v>
      </c>
      <c r="E6597" s="7" t="n">
        <f aca="false">B6597/MAX(B6346:B6597)-1</f>
        <v>-0.10920245675427</v>
      </c>
      <c r="F6597" s="7" t="str">
        <f aca="false">IFERROR(INDEX(02_轉折點45個!B:B,MATCH(A6597,02_轉折點45個!A:A,0)),"")</f>
        <v/>
      </c>
      <c r="G6597" s="7" t="s">
        <v>5494</v>
      </c>
    </row>
    <row r="6598" customFormat="false" ht="15" hidden="false" customHeight="false" outlineLevel="0" collapsed="false">
      <c r="A6598" s="7" t="s">
        <v>1895</v>
      </c>
      <c r="B6598" s="7" t="n">
        <v>20180.45</v>
      </c>
      <c r="C6598" s="7" t="n">
        <f aca="false">AVERAGE(B6549:B6598)</f>
        <v>20960.2838</v>
      </c>
      <c r="D6598" s="7" t="n">
        <f aca="false">AVERAGE(B6399:B6598)</f>
        <v>20300.16895</v>
      </c>
      <c r="E6598" s="7" t="n">
        <f aca="false">B6598/MAX(B6347:B6598)-1</f>
        <v>-0.0899705081260483</v>
      </c>
      <c r="F6598" s="7" t="str">
        <f aca="false">IFERROR(INDEX(02_轉折點45個!B:B,MATCH(A6598,02_轉折點45個!A:A,0)),"")</f>
        <v/>
      </c>
      <c r="G6598" s="7" t="s">
        <v>5494</v>
      </c>
    </row>
    <row r="6599" customFormat="false" ht="15" hidden="false" customHeight="false" outlineLevel="0" collapsed="false">
      <c r="A6599" s="7" t="s">
        <v>7049</v>
      </c>
      <c r="B6599" s="7" t="n">
        <v>20287.83</v>
      </c>
      <c r="C6599" s="7" t="n">
        <f aca="false">AVERAGE(B6550:B6599)</f>
        <v>20949.0888</v>
      </c>
      <c r="D6599" s="7" t="n">
        <f aca="false">AVERAGE(B6400:B6599)</f>
        <v>20306.43285</v>
      </c>
      <c r="E6599" s="7" t="n">
        <f aca="false">B6599/MAX(B6348:B6599)-1</f>
        <v>-0.0851282490665415</v>
      </c>
      <c r="F6599" s="7" t="str">
        <f aca="false">IFERROR(INDEX(02_轉折點45個!B:B,MATCH(A6599,02_轉折點45個!A:A,0)),"")</f>
        <v/>
      </c>
      <c r="G6599" s="7" t="s">
        <v>5494</v>
      </c>
    </row>
    <row r="6600" customFormat="false" ht="15" hidden="false" customHeight="false" outlineLevel="0" collapsed="false">
      <c r="A6600" s="7" t="s">
        <v>7050</v>
      </c>
      <c r="B6600" s="7" t="n">
        <v>19916.99</v>
      </c>
      <c r="C6600" s="7" t="n">
        <f aca="false">AVERAGE(B6551:B6600)</f>
        <v>20931.7342</v>
      </c>
      <c r="D6600" s="7" t="n">
        <f aca="false">AVERAGE(B6401:B6600)</f>
        <v>20310.91185</v>
      </c>
      <c r="E6600" s="7" t="n">
        <f aca="false">B6600/MAX(B6349:B6600)-1</f>
        <v>-0.101851133678457</v>
      </c>
      <c r="F6600" s="7" t="str">
        <f aca="false">IFERROR(INDEX(02_轉折點45個!B:B,MATCH(A6600,02_轉折點45個!A:A,0)),"")</f>
        <v/>
      </c>
      <c r="G6600" s="7" t="s">
        <v>5494</v>
      </c>
    </row>
    <row r="6601" customFormat="false" ht="15" hidden="false" customHeight="false" outlineLevel="0" collapsed="false">
      <c r="A6601" s="7" t="s">
        <v>7051</v>
      </c>
      <c r="B6601" s="7" t="n">
        <v>19798.62</v>
      </c>
      <c r="C6601" s="7" t="n">
        <f aca="false">AVERAGE(B6552:B6601)</f>
        <v>20912.5584</v>
      </c>
      <c r="D6601" s="7" t="n">
        <f aca="false">AVERAGE(B6402:B6601)</f>
        <v>20314.9002</v>
      </c>
      <c r="E6601" s="7" t="n">
        <f aca="false">B6601/MAX(B6350:B6601)-1</f>
        <v>-0.107188982485254</v>
      </c>
      <c r="F6601" s="7" t="str">
        <f aca="false">IFERROR(INDEX(02_轉折點45個!B:B,MATCH(A6601,02_轉折點45個!A:A,0)),"")</f>
        <v/>
      </c>
      <c r="G6601" s="7" t="s">
        <v>5494</v>
      </c>
    </row>
    <row r="6602" customFormat="false" ht="15" hidden="false" customHeight="false" outlineLevel="0" collapsed="false">
      <c r="A6602" s="7" t="s">
        <v>7052</v>
      </c>
      <c r="B6602" s="7" t="n">
        <v>19281.4</v>
      </c>
      <c r="C6602" s="7" t="n">
        <f aca="false">AVERAGE(B6553:B6602)</f>
        <v>20873.4294</v>
      </c>
      <c r="D6602" s="7" t="n">
        <f aca="false">AVERAGE(B6403:B6602)</f>
        <v>20315.93385</v>
      </c>
      <c r="E6602" s="7" t="n">
        <f aca="false">B6602/MAX(B6351:B6602)-1</f>
        <v>-0.130512815887732</v>
      </c>
      <c r="F6602" s="7" t="str">
        <f aca="false">IFERROR(INDEX(02_轉折點45個!B:B,MATCH(A6602,02_轉折點45個!A:A,0)),"")</f>
        <v/>
      </c>
      <c r="G6602" s="7" t="s">
        <v>5494</v>
      </c>
    </row>
    <row r="6603" customFormat="false" ht="15" hidden="false" customHeight="false" outlineLevel="0" collapsed="false">
      <c r="A6603" s="7" t="s">
        <v>1896</v>
      </c>
      <c r="B6603" s="7" t="n">
        <v>19278.45</v>
      </c>
      <c r="C6603" s="7" t="n">
        <f aca="false">AVERAGE(B6554:B6603)</f>
        <v>20837.1734</v>
      </c>
      <c r="D6603" s="7" t="n">
        <f aca="false">AVERAGE(B6404:B6603)</f>
        <v>20316.2752</v>
      </c>
      <c r="E6603" s="7" t="n">
        <f aca="false">B6603/MAX(B6352:B6603)-1</f>
        <v>-0.130645844982774</v>
      </c>
      <c r="F6603" s="7" t="str">
        <f aca="false">IFERROR(INDEX(02_轉折點45個!B:B,MATCH(A6603,02_轉折點45個!A:A,0)),"")</f>
        <v/>
      </c>
      <c r="G6603" s="7" t="s">
        <v>5494</v>
      </c>
    </row>
    <row r="6604" customFormat="false" ht="15" hidden="false" customHeight="false" outlineLevel="0" collapsed="false">
      <c r="A6604" s="7" t="s">
        <v>7053</v>
      </c>
      <c r="B6604" s="7" t="n">
        <v>19436.42</v>
      </c>
      <c r="C6604" s="7" t="n">
        <f aca="false">AVERAGE(B6555:B6604)</f>
        <v>20797.0786</v>
      </c>
      <c r="D6604" s="7" t="n">
        <f aca="false">AVERAGE(B6405:B6604)</f>
        <v>20316.1314</v>
      </c>
      <c r="E6604" s="7" t="n">
        <f aca="false">B6604/MAX(B6353:B6604)-1</f>
        <v>-0.123522249679828</v>
      </c>
      <c r="F6604" s="7" t="str">
        <f aca="false">IFERROR(INDEX(02_轉折點45個!B:B,MATCH(A6604,02_轉折點45個!A:A,0)),"")</f>
        <v/>
      </c>
      <c r="G6604" s="7" t="s">
        <v>5494</v>
      </c>
    </row>
    <row r="6605" customFormat="false" ht="15" hidden="false" customHeight="false" outlineLevel="0" collapsed="false">
      <c r="A6605" s="7" t="s">
        <v>7054</v>
      </c>
      <c r="B6605" s="7" t="n">
        <v>19581.78</v>
      </c>
      <c r="C6605" s="7" t="n">
        <f aca="false">AVERAGE(B6556:B6605)</f>
        <v>20757.384</v>
      </c>
      <c r="D6605" s="7" t="n">
        <f aca="false">AVERAGE(B6406:B6605)</f>
        <v>20316.1557</v>
      </c>
      <c r="E6605" s="7" t="n">
        <f aca="false">B6605/MAX(B6354:B6605)-1</f>
        <v>-0.116967297389924</v>
      </c>
      <c r="F6605" s="7" t="str">
        <f aca="false">IFERROR(INDEX(02_轉折點45個!B:B,MATCH(A6605,02_轉折點45個!A:A,0)),"")</f>
        <v/>
      </c>
      <c r="G6605" s="7" t="s">
        <v>5494</v>
      </c>
    </row>
    <row r="6606" customFormat="false" ht="15" hidden="false" customHeight="false" outlineLevel="0" collapsed="false">
      <c r="A6606" s="7" t="s">
        <v>1897</v>
      </c>
      <c r="B6606" s="7" t="n">
        <v>18521.47</v>
      </c>
      <c r="C6606" s="7" t="n">
        <f aca="false">AVERAGE(B6557:B6606)</f>
        <v>20690.7534</v>
      </c>
      <c r="D6606" s="7" t="n">
        <f aca="false">AVERAGE(B6407:B6606)</f>
        <v>20310.46405</v>
      </c>
      <c r="E6606" s="7" t="n">
        <f aca="false">B6606/MAX(B6355:B6606)-1</f>
        <v>-0.164781561716481</v>
      </c>
      <c r="F6606" s="7" t="str">
        <f aca="false">IFERROR(INDEX(02_轉折點45個!B:B,MATCH(A6606,02_轉折點45個!A:A,0)),"")</f>
        <v/>
      </c>
      <c r="G6606" s="7" t="s">
        <v>5494</v>
      </c>
    </row>
    <row r="6607" customFormat="false" ht="15" hidden="false" customHeight="false" outlineLevel="0" collapsed="false">
      <c r="A6607" s="7" t="s">
        <v>7055</v>
      </c>
      <c r="B6607" s="7" t="n">
        <v>17397.7</v>
      </c>
      <c r="C6607" s="7" t="n">
        <f aca="false">AVERAGE(B6558:B6607)</f>
        <v>20600.6888</v>
      </c>
      <c r="D6607" s="7" t="n">
        <f aca="false">AVERAGE(B6408:B6607)</f>
        <v>20297.9388</v>
      </c>
      <c r="E6607" s="7" t="n">
        <f aca="false">B6607/MAX(B6356:B6607)-1</f>
        <v>-0.215457529897725</v>
      </c>
      <c r="F6607" s="7" t="str">
        <f aca="false">IFERROR(INDEX(02_轉折點45個!B:B,MATCH(A6607,02_轉折點45個!A:A,0)),"")</f>
        <v/>
      </c>
      <c r="G6607" s="7" t="s">
        <v>5494</v>
      </c>
    </row>
    <row r="6608" customFormat="false" ht="15" hidden="false" customHeight="false" outlineLevel="0" collapsed="false">
      <c r="A6608" s="7" t="s">
        <v>7056</v>
      </c>
      <c r="B6608" s="7" t="n">
        <v>17430.68</v>
      </c>
      <c r="C6608" s="7" t="n">
        <f aca="false">AVERAGE(B6559:B6608)</f>
        <v>20513.8222</v>
      </c>
      <c r="D6608" s="7" t="n">
        <f aca="false">AVERAGE(B6409:B6608)</f>
        <v>20285.5479</v>
      </c>
      <c r="E6608" s="7" t="n">
        <f aca="false">B6608/MAX(B6357:B6608)-1</f>
        <v>-0.213970309709771</v>
      </c>
      <c r="F6608" s="7" t="str">
        <f aca="false">IFERROR(INDEX(02_轉折點45個!B:B,MATCH(A6608,02_轉折點45個!A:A,0)),"")</f>
        <v/>
      </c>
      <c r="G6608" s="7" t="s">
        <v>5494</v>
      </c>
    </row>
    <row r="6609" customFormat="false" ht="15" hidden="false" customHeight="false" outlineLevel="0" collapsed="false">
      <c r="A6609" s="7" t="s">
        <v>157</v>
      </c>
      <c r="B6609" s="7" t="n">
        <v>17090.4</v>
      </c>
      <c r="C6609" s="7" t="n">
        <f aca="false">AVERAGE(B6560:B6609)</f>
        <v>20433.0846</v>
      </c>
      <c r="D6609" s="7" t="n">
        <f aca="false">AVERAGE(B6410:B6609)</f>
        <v>20272.2384</v>
      </c>
      <c r="E6609" s="7" t="n">
        <f aca="false">B6609/MAX(B6358:B6609)-1</f>
        <v>-0.229315103086275</v>
      </c>
      <c r="F6609" s="7" t="str">
        <f aca="false">IFERROR(INDEX(02_轉折點45個!B:B,MATCH(A6609,02_轉折點45個!A:A,0)),"")</f>
        <v>BOTTOM</v>
      </c>
      <c r="G6609" s="7" t="s">
        <v>5494</v>
      </c>
    </row>
    <row r="6610" customFormat="false" ht="15" hidden="false" customHeight="false" outlineLevel="0" collapsed="false">
      <c r="A6610" s="7" t="s">
        <v>1898</v>
      </c>
      <c r="B6610" s="7" t="n">
        <v>19145.06</v>
      </c>
      <c r="C6610" s="7" t="n">
        <f aca="false">AVERAGE(B6561:B6610)</f>
        <v>20386.725</v>
      </c>
      <c r="D6610" s="7" t="n">
        <f aca="false">AVERAGE(B6411:B6610)</f>
        <v>20269.46155</v>
      </c>
      <c r="E6610" s="7" t="n">
        <f aca="false">B6610/MAX(B6359:B6610)-1</f>
        <v>-0.136661014809069</v>
      </c>
      <c r="F6610" s="7" t="str">
        <f aca="false">IFERROR(INDEX(02_轉折點45個!B:B,MATCH(A6610,02_轉折點45個!A:A,0)),"")</f>
        <v/>
      </c>
      <c r="G6610" s="7" t="s">
        <v>5494</v>
      </c>
    </row>
    <row r="6611" customFormat="false" ht="15" hidden="false" customHeight="false" outlineLevel="0" collapsed="false">
      <c r="A6611" s="7" t="s">
        <v>7057</v>
      </c>
      <c r="B6611" s="7" t="n">
        <v>18343.57</v>
      </c>
      <c r="C6611" s="7" t="n">
        <f aca="false">AVERAGE(B6562:B6611)</f>
        <v>20325.3672</v>
      </c>
      <c r="D6611" s="7" t="n">
        <f aca="false">AVERAGE(B6412:B6611)</f>
        <v>20263.8063</v>
      </c>
      <c r="E6611" s="7" t="n">
        <f aca="false">B6611/MAX(B6360:B6611)-1</f>
        <v>-0.172803892566605</v>
      </c>
      <c r="F6611" s="7" t="str">
        <f aca="false">IFERROR(INDEX(02_轉折點45個!B:B,MATCH(A6611,02_轉折點45個!A:A,0)),"")</f>
        <v/>
      </c>
      <c r="G6611" s="7" t="s">
        <v>5494</v>
      </c>
    </row>
    <row r="6612" customFormat="false" ht="15" hidden="false" customHeight="false" outlineLevel="0" collapsed="false">
      <c r="A6612" s="7" t="s">
        <v>1899</v>
      </c>
      <c r="B6612" s="7" t="n">
        <v>18690.05</v>
      </c>
      <c r="C6612" s="7" t="n">
        <f aca="false">AVERAGE(B6563:B6612)</f>
        <v>20269.0058</v>
      </c>
      <c r="D6612" s="7" t="n">
        <f aca="false">AVERAGE(B6413:B6612)</f>
        <v>20258.7509</v>
      </c>
      <c r="E6612" s="7" t="n">
        <f aca="false">B6612/MAX(B6361:B6612)-1</f>
        <v>-0.157179512617471</v>
      </c>
      <c r="F6612" s="7" t="str">
        <f aca="false">IFERROR(INDEX(02_轉折點45個!B:B,MATCH(A6612,02_轉折點45個!A:A,0)),"")</f>
        <v/>
      </c>
      <c r="G6612" s="7" t="s">
        <v>5494</v>
      </c>
    </row>
    <row r="6613" customFormat="false" ht="15" hidden="false" customHeight="false" outlineLevel="0" collapsed="false">
      <c r="A6613" s="7" t="s">
        <v>1900</v>
      </c>
      <c r="B6613" s="7" t="n">
        <v>18796.02</v>
      </c>
      <c r="C6613" s="7" t="n">
        <f aca="false">AVERAGE(B6564:B6613)</f>
        <v>20215.3652</v>
      </c>
      <c r="D6613" s="7" t="n">
        <f aca="false">AVERAGE(B6414:B6613)</f>
        <v>20253.97575</v>
      </c>
      <c r="E6613" s="7" t="n">
        <f aca="false">B6613/MAX(B6362:B6613)-1</f>
        <v>-0.152400836955933</v>
      </c>
      <c r="F6613" s="7" t="str">
        <f aca="false">IFERROR(INDEX(02_轉折點45個!B:B,MATCH(A6613,02_轉折點45個!A:A,0)),"")</f>
        <v/>
      </c>
      <c r="G6613" s="7" t="s">
        <v>5494</v>
      </c>
    </row>
    <row r="6614" customFormat="false" ht="15" hidden="false" customHeight="false" outlineLevel="0" collapsed="false">
      <c r="A6614" s="7" t="s">
        <v>1901</v>
      </c>
      <c r="B6614" s="7" t="n">
        <v>18830.23</v>
      </c>
      <c r="C6614" s="7" t="n">
        <f aca="false">AVERAGE(B6565:B6614)</f>
        <v>20166.0182</v>
      </c>
      <c r="D6614" s="7" t="n">
        <f aca="false">AVERAGE(B6415:B6614)</f>
        <v>20249.18175</v>
      </c>
      <c r="E6614" s="7" t="n">
        <f aca="false">B6614/MAX(B6363:B6614)-1</f>
        <v>-0.150858150399538</v>
      </c>
      <c r="F6614" s="7" t="str">
        <f aca="false">IFERROR(INDEX(02_轉折點45個!B:B,MATCH(A6614,02_轉折點45個!A:A,0)),"")</f>
        <v/>
      </c>
      <c r="G6614" s="7" t="s">
        <v>5494</v>
      </c>
    </row>
    <row r="6615" customFormat="false" ht="15" hidden="false" customHeight="false" outlineLevel="0" collapsed="false">
      <c r="A6615" s="7" t="s">
        <v>7058</v>
      </c>
      <c r="B6615" s="7" t="n">
        <v>18257.64</v>
      </c>
      <c r="C6615" s="7" t="n">
        <f aca="false">AVERAGE(B6566:B6615)</f>
        <v>20099.8326</v>
      </c>
      <c r="D6615" s="7" t="n">
        <f aca="false">AVERAGE(B6416:B6615)</f>
        <v>20242.0556</v>
      </c>
      <c r="E6615" s="7" t="n">
        <f aca="false">B6615/MAX(B6364:B6615)-1</f>
        <v>-0.176678872274031</v>
      </c>
      <c r="F6615" s="7" t="str">
        <f aca="false">IFERROR(INDEX(02_轉折點45個!B:B,MATCH(A6615,02_轉折點45個!A:A,0)),"")</f>
        <v/>
      </c>
      <c r="G6615" s="7" t="s">
        <v>5494</v>
      </c>
    </row>
    <row r="6616" customFormat="false" ht="15" hidden="false" customHeight="false" outlineLevel="0" collapsed="false">
      <c r="A6616" s="7" t="s">
        <v>7059</v>
      </c>
      <c r="B6616" s="7" t="n">
        <v>18258.09</v>
      </c>
      <c r="C6616" s="7" t="n">
        <f aca="false">AVERAGE(B6567:B6616)</f>
        <v>20031.8312</v>
      </c>
      <c r="D6616" s="7" t="n">
        <f aca="false">AVERAGE(B6417:B6616)</f>
        <v>20234.28495</v>
      </c>
      <c r="E6616" s="7" t="n">
        <f aca="false">B6616/MAX(B6365:B6616)-1</f>
        <v>-0.176658579700211</v>
      </c>
      <c r="F6616" s="7" t="str">
        <f aca="false">IFERROR(INDEX(02_轉折點45個!B:B,MATCH(A6616,02_轉折點45個!A:A,0)),"")</f>
        <v/>
      </c>
      <c r="G6616" s="7" t="s">
        <v>5494</v>
      </c>
    </row>
    <row r="6617" customFormat="false" ht="15" hidden="false" customHeight="false" outlineLevel="0" collapsed="false">
      <c r="A6617" s="7" t="s">
        <v>7060</v>
      </c>
      <c r="B6617" s="7" t="n">
        <v>17808.3</v>
      </c>
      <c r="C6617" s="7" t="n">
        <f aca="false">AVERAGE(B6568:B6617)</f>
        <v>19952.5158</v>
      </c>
      <c r="D6617" s="7" t="n">
        <f aca="false">AVERAGE(B6418:B6617)</f>
        <v>20223.267</v>
      </c>
      <c r="E6617" s="7" t="n">
        <f aca="false">B6617/MAX(B6366:B6617)-1</f>
        <v>-0.196941683652302</v>
      </c>
      <c r="F6617" s="7" t="str">
        <f aca="false">IFERROR(INDEX(02_轉折點45個!B:B,MATCH(A6617,02_轉折點45個!A:A,0)),"")</f>
        <v/>
      </c>
      <c r="G6617" s="7" t="s">
        <v>5494</v>
      </c>
    </row>
    <row r="6618" customFormat="false" ht="15" hidden="false" customHeight="false" outlineLevel="0" collapsed="false">
      <c r="A6618" s="7" t="s">
        <v>7061</v>
      </c>
      <c r="B6618" s="7" t="n">
        <v>18276.41</v>
      </c>
      <c r="C6618" s="7" t="n">
        <f aca="false">AVERAGE(B6569:B6618)</f>
        <v>19888.2178</v>
      </c>
      <c r="D6618" s="7" t="n">
        <f aca="false">AVERAGE(B6419:B6618)</f>
        <v>20213.7159</v>
      </c>
      <c r="E6618" s="7" t="n">
        <f aca="false">B6618/MAX(B6367:B6618)-1</f>
        <v>-0.1758324464727</v>
      </c>
      <c r="F6618" s="7" t="str">
        <f aca="false">IFERROR(INDEX(02_轉折點45個!B:B,MATCH(A6618,02_轉折點45個!A:A,0)),"")</f>
        <v/>
      </c>
      <c r="G6618" s="7" t="s">
        <v>5494</v>
      </c>
    </row>
    <row r="6619" customFormat="false" ht="15" hidden="false" customHeight="false" outlineLevel="0" collapsed="false">
      <c r="A6619" s="7" t="s">
        <v>7062</v>
      </c>
      <c r="B6619" s="7" t="n">
        <v>18693.26</v>
      </c>
      <c r="C6619" s="7" t="n">
        <f aca="false">AVERAGE(B6570:B6619)</f>
        <v>19826.9484</v>
      </c>
      <c r="D6619" s="7" t="n">
        <f aca="false">AVERAGE(B6420:B6619)</f>
        <v>20205.22235</v>
      </c>
      <c r="E6619" s="7" t="n">
        <f aca="false">B6619/MAX(B6368:B6619)-1</f>
        <v>-0.157034758924223</v>
      </c>
      <c r="F6619" s="7" t="str">
        <f aca="false">IFERROR(INDEX(02_轉折點45個!B:B,MATCH(A6619,02_轉折點45個!A:A,0)),"")</f>
        <v/>
      </c>
      <c r="G6619" s="7" t="s">
        <v>5494</v>
      </c>
    </row>
    <row r="6620" customFormat="false" ht="15" hidden="false" customHeight="false" outlineLevel="0" collapsed="false">
      <c r="A6620" s="7" t="s">
        <v>7063</v>
      </c>
      <c r="B6620" s="7" t="n">
        <v>19214.4</v>
      </c>
      <c r="C6620" s="7" t="n">
        <f aca="false">AVERAGE(B6571:B6620)</f>
        <v>19777.366</v>
      </c>
      <c r="D6620" s="7" t="n">
        <f aca="false">AVERAGE(B6421:B6620)</f>
        <v>20199.09665</v>
      </c>
      <c r="E6620" s="7" t="n">
        <f aca="false">B6620/MAX(B6369:B6620)-1</f>
        <v>-0.133534154656469</v>
      </c>
      <c r="F6620" s="7" t="str">
        <f aca="false">IFERROR(INDEX(02_轉折點45個!B:B,MATCH(A6620,02_轉折點45個!A:A,0)),"")</f>
        <v/>
      </c>
      <c r="G6620" s="7" t="s">
        <v>5494</v>
      </c>
    </row>
    <row r="6621" customFormat="false" ht="15" hidden="false" customHeight="false" outlineLevel="0" collapsed="false">
      <c r="A6621" s="7" t="s">
        <v>7064</v>
      </c>
      <c r="B6621" s="7" t="n">
        <v>19432.56</v>
      </c>
      <c r="C6621" s="7" t="n">
        <f aca="false">AVERAGE(B6572:B6621)</f>
        <v>19731.632</v>
      </c>
      <c r="D6621" s="7" t="n">
        <f aca="false">AVERAGE(B6422:B6621)</f>
        <v>20193.99435</v>
      </c>
      <c r="E6621" s="7" t="n">
        <f aca="false">B6621/MAX(B6370:B6621)-1</f>
        <v>-0.123696314868594</v>
      </c>
      <c r="F6621" s="7" t="str">
        <f aca="false">IFERROR(INDEX(02_轉折點45個!B:B,MATCH(A6621,02_轉折點45個!A:A,0)),"")</f>
        <v/>
      </c>
      <c r="G6621" s="7" t="s">
        <v>5494</v>
      </c>
    </row>
    <row r="6622" customFormat="false" ht="15" hidden="false" customHeight="false" outlineLevel="0" collapsed="false">
      <c r="A6622" s="7" t="s">
        <v>7065</v>
      </c>
      <c r="B6622" s="7" t="n">
        <v>19427.29</v>
      </c>
      <c r="C6622" s="7" t="n">
        <f aca="false">AVERAGE(B6573:B6622)</f>
        <v>19679.5636</v>
      </c>
      <c r="D6622" s="7" t="n">
        <f aca="false">AVERAGE(B6423:B6622)</f>
        <v>20187.7539</v>
      </c>
      <c r="E6622" s="7" t="n">
        <f aca="false">B6622/MAX(B6371:B6622)-1</f>
        <v>-0.123933963455329</v>
      </c>
      <c r="F6622" s="7" t="str">
        <f aca="false">IFERROR(INDEX(02_轉折點45個!B:B,MATCH(A6622,02_轉折點45個!A:A,0)),"")</f>
        <v/>
      </c>
      <c r="G6622" s="7" t="s">
        <v>5494</v>
      </c>
    </row>
    <row r="6623" customFormat="false" ht="15" hidden="false" customHeight="false" outlineLevel="0" collapsed="false">
      <c r="A6623" s="7" t="s">
        <v>1902</v>
      </c>
      <c r="B6623" s="7" t="n">
        <v>19544.95</v>
      </c>
      <c r="C6623" s="7" t="n">
        <f aca="false">AVERAGE(B6574:B6623)</f>
        <v>19628.1688</v>
      </c>
      <c r="D6623" s="7" t="n">
        <f aca="false">AVERAGE(B6424:B6623)</f>
        <v>20184.42185</v>
      </c>
      <c r="E6623" s="7" t="n">
        <f aca="false">B6623/MAX(B6372:B6623)-1</f>
        <v>-0.118628131820559</v>
      </c>
      <c r="F6623" s="7" t="str">
        <f aca="false">IFERROR(INDEX(02_轉折點45個!B:B,MATCH(A6623,02_轉折點45個!A:A,0)),"")</f>
        <v/>
      </c>
      <c r="G6623" s="7" t="s">
        <v>5494</v>
      </c>
    </row>
    <row r="6624" customFormat="false" ht="15" hidden="false" customHeight="false" outlineLevel="0" collapsed="false">
      <c r="A6624" s="7" t="s">
        <v>7066</v>
      </c>
      <c r="B6624" s="7" t="n">
        <v>19571.02</v>
      </c>
      <c r="C6624" s="7" t="n">
        <f aca="false">AVERAGE(B6575:B6624)</f>
        <v>19576.297</v>
      </c>
      <c r="D6624" s="7" t="n">
        <f aca="false">AVERAGE(B6425:B6624)</f>
        <v>20180.6195</v>
      </c>
      <c r="E6624" s="7" t="n">
        <f aca="false">B6624/MAX(B6373:B6624)-1</f>
        <v>-0.117452515377261</v>
      </c>
      <c r="F6624" s="7" t="str">
        <f aca="false">IFERROR(INDEX(02_轉折點45個!B:B,MATCH(A6624,02_轉折點45個!A:A,0)),"")</f>
        <v/>
      </c>
      <c r="G6624" s="7" t="s">
        <v>5494</v>
      </c>
    </row>
    <row r="6625" customFormat="false" ht="15" hidden="false" customHeight="false" outlineLevel="0" collapsed="false">
      <c r="A6625" s="7" t="s">
        <v>1903</v>
      </c>
      <c r="B6625" s="7" t="n">
        <v>19786.71</v>
      </c>
      <c r="C6625" s="7" t="n">
        <f aca="false">AVERAGE(B6576:B6625)</f>
        <v>19528.5192</v>
      </c>
      <c r="D6625" s="7" t="n">
        <f aca="false">AVERAGE(B6426:B6625)</f>
        <v>20177.61865</v>
      </c>
      <c r="E6625" s="7" t="n">
        <f aca="false">B6625/MAX(B6374:B6625)-1</f>
        <v>-0.107726059272353</v>
      </c>
      <c r="F6625" s="7" t="str">
        <f aca="false">IFERROR(INDEX(02_轉折點45個!B:B,MATCH(A6625,02_轉折點45個!A:A,0)),"")</f>
        <v/>
      </c>
      <c r="G6625" s="7" t="s">
        <v>5494</v>
      </c>
    </row>
    <row r="6626" customFormat="false" ht="15" hidden="false" customHeight="false" outlineLevel="0" collapsed="false">
      <c r="A6626" s="7" t="s">
        <v>7067</v>
      </c>
      <c r="B6626" s="7" t="n">
        <v>20102.61</v>
      </c>
      <c r="C6626" s="7" t="n">
        <f aca="false">AVERAGE(B6577:B6626)</f>
        <v>19489.2102</v>
      </c>
      <c r="D6626" s="7" t="n">
        <f aca="false">AVERAGE(B6427:B6626)</f>
        <v>20176.1386</v>
      </c>
      <c r="E6626" s="7" t="n">
        <f aca="false">B6626/MAX(B6375:B6626)-1</f>
        <v>-0.0934806724508017</v>
      </c>
      <c r="F6626" s="7" t="str">
        <f aca="false">IFERROR(INDEX(02_轉折點45個!B:B,MATCH(A6626,02_轉折點45個!A:A,0)),"")</f>
        <v/>
      </c>
      <c r="G6626" s="7" t="s">
        <v>5494</v>
      </c>
    </row>
    <row r="6627" customFormat="false" ht="15" hidden="false" customHeight="false" outlineLevel="0" collapsed="false">
      <c r="A6627" s="7" t="s">
        <v>7068</v>
      </c>
      <c r="B6627" s="7" t="n">
        <v>19967.94</v>
      </c>
      <c r="C6627" s="7" t="n">
        <f aca="false">AVERAGE(B6578:B6627)</f>
        <v>19456.2874</v>
      </c>
      <c r="D6627" s="7" t="n">
        <f aca="false">AVERAGE(B6428:B6627)</f>
        <v>20176.9826</v>
      </c>
      <c r="E6627" s="7" t="n">
        <f aca="false">B6627/MAX(B6376:B6627)-1</f>
        <v>-0.0995535633759628</v>
      </c>
      <c r="F6627" s="7" t="str">
        <f aca="false">IFERROR(INDEX(02_轉折點45個!B:B,MATCH(A6627,02_轉折點45個!A:A,0)),"")</f>
        <v/>
      </c>
      <c r="G6627" s="7" t="s">
        <v>5494</v>
      </c>
    </row>
    <row r="6628" customFormat="false" ht="15" hidden="false" customHeight="false" outlineLevel="0" collapsed="false">
      <c r="A6628" s="7" t="s">
        <v>7069</v>
      </c>
      <c r="B6628" s="7" t="n">
        <v>19791.35</v>
      </c>
      <c r="C6628" s="7" t="n">
        <f aca="false">AVERAGE(B6579:B6628)</f>
        <v>19425.0728</v>
      </c>
      <c r="D6628" s="7" t="n">
        <f aca="false">AVERAGE(B6429:B6628)</f>
        <v>20177.4139</v>
      </c>
      <c r="E6628" s="7" t="n">
        <f aca="false">B6628/MAX(B6377:B6628)-1</f>
        <v>-0.107516820288966</v>
      </c>
      <c r="F6628" s="7" t="str">
        <f aca="false">IFERROR(INDEX(02_轉折點45個!B:B,MATCH(A6628,02_轉折點45個!A:A,0)),"")</f>
        <v/>
      </c>
      <c r="G6628" s="7" t="s">
        <v>5494</v>
      </c>
    </row>
    <row r="6629" customFormat="false" ht="15" hidden="false" customHeight="false" outlineLevel="0" collapsed="false">
      <c r="A6629" s="7" t="s">
        <v>7070</v>
      </c>
      <c r="B6629" s="7" t="n">
        <v>19867.97</v>
      </c>
      <c r="C6629" s="7" t="n">
        <f aca="false">AVERAGE(B6580:B6629)</f>
        <v>19400.6872</v>
      </c>
      <c r="D6629" s="7" t="n">
        <f aca="false">AVERAGE(B6430:B6629)</f>
        <v>20179.14065</v>
      </c>
      <c r="E6629" s="7" t="n">
        <f aca="false">B6629/MAX(B6378:B6629)-1</f>
        <v>-0.104061671386569</v>
      </c>
      <c r="F6629" s="7" t="str">
        <f aca="false">IFERROR(INDEX(02_轉折點45個!B:B,MATCH(A6629,02_轉折點45個!A:A,0)),"")</f>
        <v/>
      </c>
      <c r="G6629" s="7" t="s">
        <v>5494</v>
      </c>
    </row>
    <row r="6630" customFormat="false" ht="15" hidden="false" customHeight="false" outlineLevel="0" collapsed="false">
      <c r="A6630" s="7" t="s">
        <v>7071</v>
      </c>
      <c r="B6630" s="7" t="n">
        <v>20063.56</v>
      </c>
      <c r="C6630" s="7" t="n">
        <f aca="false">AVERAGE(B6581:B6630)</f>
        <v>19379.3</v>
      </c>
      <c r="D6630" s="7" t="n">
        <f aca="false">AVERAGE(B6431:B6630)</f>
        <v>20180.3441</v>
      </c>
      <c r="E6630" s="7" t="n">
        <f aca="false">B6630/MAX(B6379:B6630)-1</f>
        <v>-0.0952416169122818</v>
      </c>
      <c r="F6630" s="7" t="str">
        <f aca="false">IFERROR(INDEX(02_轉折點45個!B:B,MATCH(A6630,02_轉折點45個!A:A,0)),"")</f>
        <v/>
      </c>
      <c r="G6630" s="7" t="s">
        <v>5494</v>
      </c>
    </row>
    <row r="6631" customFormat="false" ht="15" hidden="false" customHeight="false" outlineLevel="0" collapsed="false">
      <c r="A6631" s="7" t="s">
        <v>7072</v>
      </c>
      <c r="B6631" s="7" t="n">
        <v>20061.45</v>
      </c>
      <c r="C6631" s="7" t="n">
        <f aca="false">AVERAGE(B6582:B6631)</f>
        <v>19369.51</v>
      </c>
      <c r="D6631" s="7" t="n">
        <f aca="false">AVERAGE(B6432:B6631)</f>
        <v>20181.87965</v>
      </c>
      <c r="E6631" s="7" t="n">
        <f aca="false">B6631/MAX(B6380:B6631)-1</f>
        <v>-0.0953367665361928</v>
      </c>
      <c r="F6631" s="7" t="str">
        <f aca="false">IFERROR(INDEX(02_轉折點45個!B:B,MATCH(A6631,02_轉折點45個!A:A,0)),"")</f>
        <v/>
      </c>
      <c r="G6631" s="7" t="s">
        <v>5494</v>
      </c>
    </row>
    <row r="6632" customFormat="false" ht="15" hidden="false" customHeight="false" outlineLevel="0" collapsed="false">
      <c r="A6632" s="7" t="s">
        <v>1904</v>
      </c>
      <c r="B6632" s="7" t="n">
        <v>20868.15</v>
      </c>
      <c r="C6632" s="7" t="n">
        <f aca="false">AVERAGE(B6583:B6632)</f>
        <v>19369.1848</v>
      </c>
      <c r="D6632" s="7" t="n">
        <f aca="false">AVERAGE(B6433:B6632)</f>
        <v>20191.05845</v>
      </c>
      <c r="E6632" s="7" t="n">
        <f aca="false">B6632/MAX(B6381:B6632)-1</f>
        <v>-0.0589589458684319</v>
      </c>
      <c r="F6632" s="7" t="str">
        <f aca="false">IFERROR(INDEX(02_轉折點45個!B:B,MATCH(A6632,02_轉折點45個!A:A,0)),"")</f>
        <v/>
      </c>
      <c r="G6632" s="7" t="s">
        <v>5494</v>
      </c>
    </row>
    <row r="6633" customFormat="false" ht="15" hidden="false" customHeight="false" outlineLevel="0" collapsed="false">
      <c r="A6633" s="7" t="s">
        <v>1905</v>
      </c>
      <c r="B6633" s="7" t="n">
        <v>21197.7</v>
      </c>
      <c r="C6633" s="7" t="n">
        <f aca="false">AVERAGE(B6584:B6633)</f>
        <v>19384.6272</v>
      </c>
      <c r="D6633" s="7" t="n">
        <f aca="false">AVERAGE(B6434:B6633)</f>
        <v>20202.89405</v>
      </c>
      <c r="E6633" s="7" t="n">
        <f aca="false">B6633/MAX(B6382:B6633)-1</f>
        <v>-0.0440980176410107</v>
      </c>
      <c r="F6633" s="7" t="str">
        <f aca="false">IFERROR(INDEX(02_轉折點45個!B:B,MATCH(A6633,02_轉折點45個!A:A,0)),"")</f>
        <v/>
      </c>
      <c r="G6633" s="7" t="s">
        <v>5494</v>
      </c>
    </row>
    <row r="6634" customFormat="false" ht="15" hidden="false" customHeight="false" outlineLevel="0" collapsed="false">
      <c r="A6634" s="7" t="s">
        <v>7073</v>
      </c>
      <c r="B6634" s="7" t="n">
        <v>21319.21</v>
      </c>
      <c r="C6634" s="7" t="n">
        <f aca="false">AVERAGE(B6585:B6634)</f>
        <v>19403.9608</v>
      </c>
      <c r="D6634" s="7" t="n">
        <f aca="false">AVERAGE(B6435:B6634)</f>
        <v>20214.3718</v>
      </c>
      <c r="E6634" s="7" t="n">
        <f aca="false">B6634/MAX(B6383:B6634)-1</f>
        <v>-0.0386185717635599</v>
      </c>
      <c r="F6634" s="7" t="str">
        <f aca="false">IFERROR(INDEX(02_轉折點45個!B:B,MATCH(A6634,02_轉折點45個!A:A,0)),"")</f>
        <v/>
      </c>
      <c r="G6634" s="7" t="s">
        <v>5494</v>
      </c>
    </row>
    <row r="6635" customFormat="false" ht="15" hidden="false" customHeight="false" outlineLevel="0" collapsed="false">
      <c r="A6635" s="7" t="s">
        <v>7074</v>
      </c>
      <c r="B6635" s="7" t="n">
        <v>21335.82</v>
      </c>
      <c r="C6635" s="7" t="n">
        <f aca="false">AVERAGE(B6586:B6635)</f>
        <v>19418.108</v>
      </c>
      <c r="D6635" s="7" t="n">
        <f aca="false">AVERAGE(B6436:B6635)</f>
        <v>20225.75345</v>
      </c>
      <c r="E6635" s="7" t="n">
        <f aca="false">B6635/MAX(B6384:B6635)-1</f>
        <v>-0.0378695503165641</v>
      </c>
      <c r="F6635" s="7" t="str">
        <f aca="false">IFERROR(INDEX(02_轉折點45個!B:B,MATCH(A6635,02_轉折點45個!A:A,0)),"")</f>
        <v/>
      </c>
      <c r="G6635" s="7" t="s">
        <v>5494</v>
      </c>
    </row>
    <row r="6636" customFormat="false" ht="15" hidden="false" customHeight="false" outlineLevel="0" collapsed="false">
      <c r="A6636" s="7" t="s">
        <v>7075</v>
      </c>
      <c r="B6636" s="7" t="n">
        <v>21427.94</v>
      </c>
      <c r="C6636" s="7" t="n">
        <f aca="false">AVERAGE(B6587:B6636)</f>
        <v>19445.6142</v>
      </c>
      <c r="D6636" s="7" t="n">
        <f aca="false">AVERAGE(B6437:B6636)</f>
        <v>20238.9118</v>
      </c>
      <c r="E6636" s="7" t="n">
        <f aca="false">B6636/MAX(B6385:B6636)-1</f>
        <v>-0.0337154349825934</v>
      </c>
      <c r="F6636" s="7" t="str">
        <f aca="false">IFERROR(INDEX(02_轉折點45個!B:B,MATCH(A6636,02_轉折點45個!A:A,0)),"")</f>
        <v/>
      </c>
      <c r="G6636" s="7" t="s">
        <v>5494</v>
      </c>
    </row>
    <row r="6637" customFormat="false" ht="15" hidden="false" customHeight="false" outlineLevel="0" collapsed="false">
      <c r="A6637" s="7" t="s">
        <v>7076</v>
      </c>
      <c r="B6637" s="7" t="n">
        <v>21447.05</v>
      </c>
      <c r="C6637" s="7" t="n">
        <f aca="false">AVERAGE(B6588:B6637)</f>
        <v>19470.5278</v>
      </c>
      <c r="D6637" s="7" t="n">
        <f aca="false">AVERAGE(B6438:B6637)</f>
        <v>20249.3349</v>
      </c>
      <c r="E6637" s="7" t="n">
        <f aca="false">B6637/MAX(B6386:B6637)-1</f>
        <v>-0.0328536770143761</v>
      </c>
      <c r="F6637" s="7" t="str">
        <f aca="false">IFERROR(INDEX(02_轉折點45個!B:B,MATCH(A6637,02_轉折點45個!A:A,0)),"")</f>
        <v/>
      </c>
      <c r="G6637" s="7" t="s">
        <v>5494</v>
      </c>
    </row>
    <row r="6638" customFormat="false" ht="15" hidden="false" customHeight="false" outlineLevel="0" collapsed="false">
      <c r="A6638" s="7" t="s">
        <v>7077</v>
      </c>
      <c r="B6638" s="7" t="n">
        <v>21367.37</v>
      </c>
      <c r="C6638" s="7" t="n">
        <f aca="false">AVERAGE(B6589:B6638)</f>
        <v>19509.2562</v>
      </c>
      <c r="D6638" s="7" t="n">
        <f aca="false">AVERAGE(B6439:B6638)</f>
        <v>20261.7198</v>
      </c>
      <c r="E6638" s="7" t="n">
        <f aca="false">B6638/MAX(B6387:B6638)-1</f>
        <v>-0.0364468154187485</v>
      </c>
      <c r="F6638" s="7" t="str">
        <f aca="false">IFERROR(INDEX(02_轉折點45個!B:B,MATCH(A6638,02_轉折點45個!A:A,0)),"")</f>
        <v/>
      </c>
      <c r="G6638" s="7" t="s">
        <v>5494</v>
      </c>
    </row>
    <row r="6639" customFormat="false" ht="15" hidden="false" customHeight="false" outlineLevel="0" collapsed="false">
      <c r="A6639" s="7" t="s">
        <v>7078</v>
      </c>
      <c r="B6639" s="7" t="n">
        <v>21080.36</v>
      </c>
      <c r="C6639" s="7" t="n">
        <f aca="false">AVERAGE(B6590:B6639)</f>
        <v>19543.3242</v>
      </c>
      <c r="D6639" s="7" t="n">
        <f aca="false">AVERAGE(B6440:B6639)</f>
        <v>20274.91735</v>
      </c>
      <c r="E6639" s="7" t="n">
        <f aca="false">B6639/MAX(B6388:B6639)-1</f>
        <v>-0.0493894190010642</v>
      </c>
      <c r="F6639" s="7" t="str">
        <f aca="false">IFERROR(INDEX(02_轉折點45個!B:B,MATCH(A6639,02_轉折點45個!A:A,0)),"")</f>
        <v/>
      </c>
      <c r="G6639" s="7" t="s">
        <v>5494</v>
      </c>
    </row>
    <row r="6640" customFormat="false" ht="15" hidden="false" customHeight="false" outlineLevel="0" collapsed="false">
      <c r="A6640" s="7" t="s">
        <v>7079</v>
      </c>
      <c r="B6640" s="7" t="n">
        <v>21112.47</v>
      </c>
      <c r="C6640" s="7" t="n">
        <f aca="false">AVERAGE(B6591:B6640)</f>
        <v>19573.6532</v>
      </c>
      <c r="D6640" s="7" t="n">
        <f aca="false">AVERAGE(B6441:B6640)</f>
        <v>20291.0039</v>
      </c>
      <c r="E6640" s="7" t="n">
        <f aca="false">B6640/MAX(B6389:B6640)-1</f>
        <v>-0.0479414311224948</v>
      </c>
      <c r="F6640" s="7" t="str">
        <f aca="false">IFERROR(INDEX(02_轉折點45個!B:B,MATCH(A6640,02_轉折點45個!A:A,0)),"")</f>
        <v/>
      </c>
      <c r="G6640" s="7" t="s">
        <v>5494</v>
      </c>
    </row>
    <row r="6641" customFormat="false" ht="15" hidden="false" customHeight="false" outlineLevel="0" collapsed="false">
      <c r="A6641" s="7" t="s">
        <v>7080</v>
      </c>
      <c r="B6641" s="7" t="n">
        <v>20915.66</v>
      </c>
      <c r="C6641" s="7" t="n">
        <f aca="false">AVERAGE(B6592:B6641)</f>
        <v>19607.4568</v>
      </c>
      <c r="D6641" s="7" t="n">
        <f aca="false">AVERAGE(B6442:B6641)</f>
        <v>20305.1926</v>
      </c>
      <c r="E6641" s="7" t="n">
        <f aca="false">B6641/MAX(B6390:B6641)-1</f>
        <v>-0.056816501019138</v>
      </c>
      <c r="F6641" s="7" t="str">
        <f aca="false">IFERROR(INDEX(02_轉折點45個!B:B,MATCH(A6641,02_轉折點45個!A:A,0)),"")</f>
        <v/>
      </c>
      <c r="G6641" s="7" t="s">
        <v>5494</v>
      </c>
    </row>
    <row r="6642" customFormat="false" ht="15" hidden="false" customHeight="false" outlineLevel="0" collapsed="false">
      <c r="A6642" s="7" t="s">
        <v>7081</v>
      </c>
      <c r="B6642" s="7" t="n">
        <v>21414.99</v>
      </c>
      <c r="C6642" s="7" t="n">
        <f aca="false">AVERAGE(B6593:B6642)</f>
        <v>19641.6638</v>
      </c>
      <c r="D6642" s="7" t="n">
        <f aca="false">AVERAGE(B6443:B6642)</f>
        <v>20322.9307</v>
      </c>
      <c r="E6642" s="7" t="n">
        <f aca="false">B6642/MAX(B6391:B6642)-1</f>
        <v>-0.0342994101625208</v>
      </c>
      <c r="F6642" s="7" t="str">
        <f aca="false">IFERROR(INDEX(02_轉折點45個!B:B,MATCH(A6642,02_轉折點45個!A:A,0)),"")</f>
        <v/>
      </c>
      <c r="G6642" s="7" t="s">
        <v>5494</v>
      </c>
    </row>
    <row r="6643" customFormat="false" ht="15" hidden="false" customHeight="false" outlineLevel="0" collapsed="false">
      <c r="A6643" s="7" t="s">
        <v>7082</v>
      </c>
      <c r="B6643" s="7" t="n">
        <v>21318.17</v>
      </c>
      <c r="C6643" s="7" t="n">
        <f aca="false">AVERAGE(B6594:B6643)</f>
        <v>19671.7824</v>
      </c>
      <c r="D6643" s="7" t="n">
        <f aca="false">AVERAGE(B6444:B6643)</f>
        <v>20337.45245</v>
      </c>
      <c r="E6643" s="7" t="n">
        <f aca="false">B6643/MAX(B6392:B6643)-1</f>
        <v>-0.0386654701563881</v>
      </c>
      <c r="F6643" s="7" t="str">
        <f aca="false">IFERROR(INDEX(02_轉折點45個!B:B,MATCH(A6643,02_轉折點45個!A:A,0)),"")</f>
        <v/>
      </c>
      <c r="G6643" s="7" t="s">
        <v>5494</v>
      </c>
    </row>
    <row r="6644" customFormat="false" ht="15" hidden="false" customHeight="false" outlineLevel="0" collapsed="false">
      <c r="A6644" s="7" t="s">
        <v>7083</v>
      </c>
      <c r="B6644" s="7" t="n">
        <v>21363.95</v>
      </c>
      <c r="C6644" s="7" t="n">
        <f aca="false">AVERAGE(B6595:B6644)</f>
        <v>19709.3942</v>
      </c>
      <c r="D6644" s="7" t="n">
        <f aca="false">AVERAGE(B6445:B6644)</f>
        <v>20351.7067</v>
      </c>
      <c r="E6644" s="7" t="n">
        <f aca="false">B6644/MAX(B6393:B6644)-1</f>
        <v>-0.0366010389797795</v>
      </c>
      <c r="F6644" s="7" t="str">
        <f aca="false">IFERROR(INDEX(02_轉折點45個!B:B,MATCH(A6644,02_轉折點45個!A:A,0)),"")</f>
        <v/>
      </c>
      <c r="G6644" s="7" t="s">
        <v>5494</v>
      </c>
    </row>
    <row r="6645" customFormat="false" ht="15" hidden="false" customHeight="false" outlineLevel="0" collapsed="false">
      <c r="A6645" s="7" t="s">
        <v>7084</v>
      </c>
      <c r="B6645" s="7" t="n">
        <v>21340.99</v>
      </c>
      <c r="C6645" s="7" t="n">
        <f aca="false">AVERAGE(B6596:B6645)</f>
        <v>19741.4808</v>
      </c>
      <c r="D6645" s="7" t="n">
        <f aca="false">AVERAGE(B6446:B6645)</f>
        <v>20365.7015</v>
      </c>
      <c r="E6645" s="7" t="n">
        <f aca="false">B6645/MAX(B6394:B6645)-1</f>
        <v>-0.037636411190678</v>
      </c>
      <c r="F6645" s="7" t="str">
        <f aca="false">IFERROR(INDEX(02_轉折點45個!B:B,MATCH(A6645,02_轉折點45個!A:A,0)),"")</f>
        <v/>
      </c>
      <c r="G6645" s="7" t="s">
        <v>5494</v>
      </c>
    </row>
    <row r="6646" customFormat="false" ht="15" hidden="false" customHeight="false" outlineLevel="0" collapsed="false">
      <c r="A6646" s="7" t="s">
        <v>1906</v>
      </c>
      <c r="B6646" s="7" t="n">
        <v>21491.75</v>
      </c>
      <c r="C6646" s="7" t="n">
        <f aca="false">AVERAGE(B6597:B6646)</f>
        <v>19777.7636</v>
      </c>
      <c r="D6646" s="7" t="n">
        <f aca="false">AVERAGE(B6447:B6646)</f>
        <v>20378.1281</v>
      </c>
      <c r="E6646" s="7" t="n">
        <f aca="false">B6646/MAX(B6395:B6646)-1</f>
        <v>-0.0308379480149352</v>
      </c>
      <c r="F6646" s="7" t="str">
        <f aca="false">IFERROR(INDEX(02_轉折點45個!B:B,MATCH(A6646,02_轉折點45個!A:A,0)),"")</f>
        <v/>
      </c>
      <c r="G6646" s="7" t="s">
        <v>5494</v>
      </c>
    </row>
    <row r="6647" customFormat="false" ht="15" hidden="false" customHeight="false" outlineLevel="0" collapsed="false">
      <c r="A6647" s="7" t="s">
        <v>7085</v>
      </c>
      <c r="B6647" s="7" t="n">
        <v>21662.58</v>
      </c>
      <c r="C6647" s="7" t="n">
        <f aca="false">AVERAGE(B6598:B6647)</f>
        <v>19815.9358</v>
      </c>
      <c r="D6647" s="7" t="n">
        <f aca="false">AVERAGE(B6448:B6647)</f>
        <v>20391.3276</v>
      </c>
      <c r="E6647" s="7" t="n">
        <f aca="false">B6647/MAX(B6396:B6647)-1</f>
        <v>-0.0231344360468261</v>
      </c>
      <c r="F6647" s="7" t="str">
        <f aca="false">IFERROR(INDEX(02_轉折點45個!B:B,MATCH(A6647,02_轉折點45個!A:A,0)),"")</f>
        <v/>
      </c>
      <c r="G6647" s="7" t="s">
        <v>5494</v>
      </c>
    </row>
    <row r="6648" customFormat="false" ht="15" hidden="false" customHeight="false" outlineLevel="0" collapsed="false">
      <c r="A6648" s="7" t="s">
        <v>7086</v>
      </c>
      <c r="B6648" s="7" t="n">
        <v>21721.92</v>
      </c>
      <c r="C6648" s="7" t="n">
        <f aca="false">AVERAGE(B6599:B6648)</f>
        <v>19846.7652</v>
      </c>
      <c r="D6648" s="7" t="n">
        <f aca="false">AVERAGE(B6449:B6648)</f>
        <v>20402.48645</v>
      </c>
      <c r="E6648" s="7" t="n">
        <f aca="false">B6648/MAX(B6397:B6648)-1</f>
        <v>-0.0204585219791122</v>
      </c>
      <c r="F6648" s="7" t="str">
        <f aca="false">IFERROR(INDEX(02_轉折點45個!B:B,MATCH(A6648,02_轉折點45個!A:A,0)),"")</f>
        <v/>
      </c>
      <c r="G6648" s="7" t="s">
        <v>5494</v>
      </c>
    </row>
    <row r="6649" customFormat="false" ht="15" hidden="false" customHeight="false" outlineLevel="0" collapsed="false">
      <c r="A6649" s="7" t="s">
        <v>7087</v>
      </c>
      <c r="B6649" s="7" t="n">
        <v>21547.43</v>
      </c>
      <c r="C6649" s="7" t="n">
        <f aca="false">AVERAGE(B6600:B6649)</f>
        <v>19871.9572</v>
      </c>
      <c r="D6649" s="7" t="n">
        <f aca="false">AVERAGE(B6450:B6649)</f>
        <v>20412.681</v>
      </c>
      <c r="E6649" s="7" t="n">
        <f aca="false">B6649/MAX(B6398:B6649)-1</f>
        <v>-0.0283270802142895</v>
      </c>
      <c r="F6649" s="7" t="str">
        <f aca="false">IFERROR(INDEX(02_轉折點45個!B:B,MATCH(A6649,02_轉折點45個!A:A,0)),"")</f>
        <v/>
      </c>
      <c r="G6649" s="7" t="s">
        <v>5494</v>
      </c>
    </row>
    <row r="6650" customFormat="false" ht="15" hidden="false" customHeight="false" outlineLevel="0" collapsed="false">
      <c r="A6650" s="7" t="s">
        <v>7088</v>
      </c>
      <c r="B6650" s="7" t="n">
        <v>21761.79</v>
      </c>
      <c r="C6650" s="7" t="n">
        <f aca="false">AVERAGE(B6601:B6650)</f>
        <v>19908.8532</v>
      </c>
      <c r="D6650" s="7" t="n">
        <f aca="false">AVERAGE(B6451:B6650)</f>
        <v>20422.6575</v>
      </c>
      <c r="E6650" s="7" t="n">
        <f aca="false">B6650/MAX(B6399:B6650)-1</f>
        <v>-0.0186605999386712</v>
      </c>
      <c r="F6650" s="7" t="str">
        <f aca="false">IFERROR(INDEX(02_轉折點45個!B:B,MATCH(A6650,02_轉折點45個!A:A,0)),"")</f>
        <v/>
      </c>
      <c r="G6650" s="7" t="s">
        <v>5494</v>
      </c>
    </row>
    <row r="6651" customFormat="false" ht="15" hidden="false" customHeight="false" outlineLevel="0" collapsed="false">
      <c r="A6651" s="7" t="s">
        <v>7089</v>
      </c>
      <c r="B6651" s="7" t="n">
        <v>21797.87</v>
      </c>
      <c r="C6651" s="7" t="n">
        <f aca="false">AVERAGE(B6602:B6651)</f>
        <v>19948.8382</v>
      </c>
      <c r="D6651" s="7" t="n">
        <f aca="false">AVERAGE(B6452:B6651)</f>
        <v>20433.04775</v>
      </c>
      <c r="E6651" s="7" t="n">
        <f aca="false">B6651/MAX(B6400:B6651)-1</f>
        <v>-0.0170335864644023</v>
      </c>
      <c r="F6651" s="7" t="str">
        <f aca="false">IFERROR(INDEX(02_轉折點45個!B:B,MATCH(A6651,02_轉折點45個!A:A,0)),"")</f>
        <v/>
      </c>
      <c r="G6651" s="7" t="s">
        <v>5494</v>
      </c>
    </row>
    <row r="6652" customFormat="false" ht="15" hidden="false" customHeight="false" outlineLevel="0" collapsed="false">
      <c r="A6652" s="7" t="s">
        <v>7090</v>
      </c>
      <c r="B6652" s="7" t="n">
        <v>21941.92</v>
      </c>
      <c r="C6652" s="7" t="n">
        <f aca="false">AVERAGE(B6603:B6652)</f>
        <v>20002.0486</v>
      </c>
      <c r="D6652" s="7" t="n">
        <f aca="false">AVERAGE(B6453:B6652)</f>
        <v>20443.63315</v>
      </c>
      <c r="E6652" s="7" t="n">
        <f aca="false">B6652/MAX(B6401:B6652)-1</f>
        <v>-0.0105377081116181</v>
      </c>
      <c r="F6652" s="7" t="str">
        <f aca="false">IFERROR(INDEX(02_轉折點45個!B:B,MATCH(A6652,02_轉折點45個!A:A,0)),"")</f>
        <v/>
      </c>
      <c r="G6652" s="7" t="s">
        <v>5494</v>
      </c>
    </row>
    <row r="6653" customFormat="false" ht="15" hidden="false" customHeight="false" outlineLevel="0" collapsed="false">
      <c r="A6653" s="7" t="s">
        <v>7091</v>
      </c>
      <c r="B6653" s="7" t="n">
        <v>21860.8</v>
      </c>
      <c r="C6653" s="7" t="n">
        <f aca="false">AVERAGE(B6604:B6653)</f>
        <v>20053.6956</v>
      </c>
      <c r="D6653" s="7" t="n">
        <f aca="false">AVERAGE(B6454:B6653)</f>
        <v>20455.47795</v>
      </c>
      <c r="E6653" s="7" t="n">
        <f aca="false">B6653/MAX(B6402:B6653)-1</f>
        <v>-0.0141957827522141</v>
      </c>
      <c r="F6653" s="7" t="str">
        <f aca="false">IFERROR(INDEX(02_轉折點45個!B:B,MATCH(A6653,02_轉折點45個!A:A,0)),"")</f>
        <v/>
      </c>
      <c r="G6653" s="7" t="s">
        <v>5494</v>
      </c>
    </row>
    <row r="6654" customFormat="false" ht="15" hidden="false" customHeight="false" outlineLevel="0" collapsed="false">
      <c r="A6654" s="7" t="s">
        <v>7092</v>
      </c>
      <c r="B6654" s="7" t="n">
        <v>21913.32</v>
      </c>
      <c r="C6654" s="7" t="n">
        <f aca="false">AVERAGE(B6605:B6654)</f>
        <v>20103.2336</v>
      </c>
      <c r="D6654" s="7" t="n">
        <f aca="false">AVERAGE(B6455:B6654)</f>
        <v>20466.4402</v>
      </c>
      <c r="E6654" s="7" t="n">
        <f aca="false">B6654/MAX(B6403:B6654)-1</f>
        <v>-0.0118274139143923</v>
      </c>
      <c r="F6654" s="7" t="str">
        <f aca="false">IFERROR(INDEX(02_轉折點45個!B:B,MATCH(A6654,02_轉折點45個!A:A,0)),"")</f>
        <v/>
      </c>
      <c r="G6654" s="7" t="s">
        <v>5494</v>
      </c>
    </row>
    <row r="6655" customFormat="false" ht="15" hidden="false" customHeight="false" outlineLevel="0" collapsed="false">
      <c r="A6655" s="7" t="s">
        <v>1907</v>
      </c>
      <c r="B6655" s="7" t="n">
        <v>21631.04</v>
      </c>
      <c r="C6655" s="7" t="n">
        <f aca="false">AVERAGE(B6606:B6655)</f>
        <v>20144.2188</v>
      </c>
      <c r="D6655" s="7" t="n">
        <f aca="false">AVERAGE(B6456:B6655)</f>
        <v>20477.0132</v>
      </c>
      <c r="E6655" s="7" t="n">
        <f aca="false">B6655/MAX(B6404:B6655)-1</f>
        <v>-0.0245567199985569</v>
      </c>
      <c r="F6655" s="7" t="str">
        <f aca="false">IFERROR(INDEX(02_轉折點45個!B:B,MATCH(A6655,02_轉折點45個!A:A,0)),"")</f>
        <v/>
      </c>
      <c r="G6655" s="7" t="s">
        <v>5494</v>
      </c>
    </row>
    <row r="6656" customFormat="false" ht="15" hidden="false" customHeight="false" outlineLevel="0" collapsed="false">
      <c r="A6656" s="7" t="s">
        <v>7093</v>
      </c>
      <c r="B6656" s="7" t="n">
        <v>21937.57</v>
      </c>
      <c r="C6656" s="7" t="n">
        <f aca="false">AVERAGE(B6607:B6656)</f>
        <v>20212.5408</v>
      </c>
      <c r="D6656" s="7" t="n">
        <f aca="false">AVERAGE(B6457:B6656)</f>
        <v>20488.79345</v>
      </c>
      <c r="E6656" s="7" t="n">
        <f aca="false">B6656/MAX(B6405:B6656)-1</f>
        <v>-0.0107338696585436</v>
      </c>
      <c r="F6656" s="7" t="str">
        <f aca="false">IFERROR(INDEX(02_轉折點45個!B:B,MATCH(A6656,02_轉折點45個!A:A,0)),"")</f>
        <v/>
      </c>
      <c r="G6656" s="7" t="s">
        <v>5494</v>
      </c>
    </row>
    <row r="6657" customFormat="false" ht="15" hidden="false" customHeight="false" outlineLevel="0" collapsed="false">
      <c r="A6657" s="7" t="s">
        <v>7094</v>
      </c>
      <c r="B6657" s="7" t="n">
        <v>21719.08</v>
      </c>
      <c r="C6657" s="7" t="n">
        <f aca="false">AVERAGE(B6608:B6657)</f>
        <v>20298.9684</v>
      </c>
      <c r="D6657" s="7" t="n">
        <f aca="false">AVERAGE(B6458:B6657)</f>
        <v>20500.63495</v>
      </c>
      <c r="E6657" s="7" t="n">
        <f aca="false">B6657/MAX(B6406:B6657)-1</f>
        <v>-0.0205865906672197</v>
      </c>
      <c r="F6657" s="7" t="str">
        <f aca="false">IFERROR(INDEX(02_轉折點45個!B:B,MATCH(A6657,02_轉折點45個!A:A,0)),"")</f>
        <v/>
      </c>
      <c r="G6657" s="7" t="s">
        <v>5494</v>
      </c>
    </row>
    <row r="6658" customFormat="false" ht="15" hidden="false" customHeight="false" outlineLevel="0" collapsed="false">
      <c r="A6658" s="7" t="s">
        <v>7095</v>
      </c>
      <c r="B6658" s="7" t="n">
        <v>21719.69</v>
      </c>
      <c r="C6658" s="7" t="n">
        <f aca="false">AVERAGE(B6609:B6658)</f>
        <v>20384.7486</v>
      </c>
      <c r="D6658" s="7" t="n">
        <f aca="false">AVERAGE(B6459:B6658)</f>
        <v>20512.60615</v>
      </c>
      <c r="E6658" s="7" t="n">
        <f aca="false">B6658/MAX(B6407:B6658)-1</f>
        <v>-0.0205590829560418</v>
      </c>
      <c r="F6658" s="7" t="str">
        <f aca="false">IFERROR(INDEX(02_轉折點45個!B:B,MATCH(A6658,02_轉折點45個!A:A,0)),"")</f>
        <v/>
      </c>
      <c r="G6658" s="7" t="s">
        <v>5494</v>
      </c>
    </row>
    <row r="6659" customFormat="false" ht="15" hidden="false" customHeight="false" outlineLevel="0" collapsed="false">
      <c r="A6659" s="7" t="s">
        <v>1908</v>
      </c>
      <c r="B6659" s="7" t="n">
        <v>21626.39</v>
      </c>
      <c r="C6659" s="7" t="n">
        <f aca="false">AVERAGE(B6610:B6659)</f>
        <v>20475.4684</v>
      </c>
      <c r="D6659" s="7" t="n">
        <f aca="false">AVERAGE(B6460:B6659)</f>
        <v>20522.8649</v>
      </c>
      <c r="E6659" s="7" t="n">
        <f aca="false">B6659/MAX(B6408:B6659)-1</f>
        <v>-0.0247664099280289</v>
      </c>
      <c r="F6659" s="7" t="str">
        <f aca="false">IFERROR(INDEX(02_轉折點45個!B:B,MATCH(A6659,02_轉折點45個!A:A,0)),"")</f>
        <v/>
      </c>
      <c r="G6659" s="7" t="s">
        <v>5494</v>
      </c>
    </row>
    <row r="6660" customFormat="false" ht="15" hidden="false" customHeight="false" outlineLevel="0" collapsed="false">
      <c r="A6660" s="7" t="s">
        <v>7096</v>
      </c>
      <c r="B6660" s="7" t="n">
        <v>21856.33</v>
      </c>
      <c r="C6660" s="7" t="n">
        <f aca="false">AVERAGE(B6611:B6660)</f>
        <v>20529.6938</v>
      </c>
      <c r="D6660" s="7" t="n">
        <f aca="false">AVERAGE(B6461:B6660)</f>
        <v>20537.35285</v>
      </c>
      <c r="E6660" s="7" t="n">
        <f aca="false">B6660/MAX(B6409:B6660)-1</f>
        <v>-0.0143973556521581</v>
      </c>
      <c r="F6660" s="7" t="str">
        <f aca="false">IFERROR(INDEX(02_轉折點45個!B:B,MATCH(A6660,02_轉折點45個!A:A,0)),"")</f>
        <v/>
      </c>
      <c r="G6660" s="7" t="s">
        <v>5494</v>
      </c>
    </row>
    <row r="6661" customFormat="false" ht="15" hidden="false" customHeight="false" outlineLevel="0" collapsed="false">
      <c r="A6661" s="7" t="s">
        <v>1909</v>
      </c>
      <c r="B6661" s="7" t="n">
        <v>22190.52</v>
      </c>
      <c r="C6661" s="7" t="n">
        <f aca="false">AVERAGE(B6612:B6661)</f>
        <v>20606.6328</v>
      </c>
      <c r="D6661" s="7" t="n">
        <f aca="false">AVERAGE(B6462:B6661)</f>
        <v>20553.69845</v>
      </c>
      <c r="E6661" s="7" t="n">
        <f aca="false">B6661/MAX(B6410:B6661)-1</f>
        <v>0</v>
      </c>
      <c r="F6661" s="7" t="str">
        <f aca="false">IFERROR(INDEX(02_轉折點45個!B:B,MATCH(A6661,02_轉折點45個!A:A,0)),"")</f>
        <v/>
      </c>
      <c r="G6661" s="7" t="s">
        <v>5494</v>
      </c>
    </row>
    <row r="6662" customFormat="false" ht="15" hidden="false" customHeight="false" outlineLevel="0" collapsed="false">
      <c r="A6662" s="7" t="s">
        <v>1910</v>
      </c>
      <c r="B6662" s="7" t="n">
        <v>22237.74</v>
      </c>
      <c r="C6662" s="7" t="n">
        <f aca="false">AVERAGE(B6613:B6662)</f>
        <v>20677.5866</v>
      </c>
      <c r="D6662" s="7" t="n">
        <f aca="false">AVERAGE(B6463:B6662)</f>
        <v>20570.2355</v>
      </c>
      <c r="E6662" s="7" t="n">
        <f aca="false">B6662/MAX(B6411:B6662)-1</f>
        <v>0</v>
      </c>
      <c r="F6662" s="7" t="str">
        <f aca="false">IFERROR(INDEX(02_轉折點45個!B:B,MATCH(A6662,02_轉折點45個!A:A,0)),"")</f>
        <v/>
      </c>
      <c r="G6662" s="7" t="s">
        <v>5494</v>
      </c>
    </row>
    <row r="6663" customFormat="false" ht="15" hidden="false" customHeight="false" outlineLevel="0" collapsed="false">
      <c r="A6663" s="7" t="s">
        <v>7097</v>
      </c>
      <c r="B6663" s="7" t="n">
        <v>22447.29</v>
      </c>
      <c r="C6663" s="7" t="n">
        <f aca="false">AVERAGE(B6614:B6663)</f>
        <v>20750.612</v>
      </c>
      <c r="D6663" s="7" t="n">
        <f aca="false">AVERAGE(B6464:B6663)</f>
        <v>20590.3654</v>
      </c>
      <c r="E6663" s="7" t="n">
        <f aca="false">B6663/MAX(B6412:B6663)-1</f>
        <v>0</v>
      </c>
      <c r="F6663" s="7" t="str">
        <f aca="false">IFERROR(INDEX(02_轉折點45個!B:B,MATCH(A6663,02_轉折點45個!A:A,0)),"")</f>
        <v/>
      </c>
      <c r="G6663" s="7" t="s">
        <v>5494</v>
      </c>
    </row>
    <row r="6664" customFormat="false" ht="15" hidden="false" customHeight="false" outlineLevel="0" collapsed="false">
      <c r="A6664" s="7" t="s">
        <v>7098</v>
      </c>
      <c r="B6664" s="7" t="n">
        <v>22534.2</v>
      </c>
      <c r="C6664" s="7" t="n">
        <f aca="false">AVERAGE(B6615:B6664)</f>
        <v>20824.6914</v>
      </c>
      <c r="D6664" s="7" t="n">
        <f aca="false">AVERAGE(B6465:B6664)</f>
        <v>20609.7325</v>
      </c>
      <c r="E6664" s="7" t="n">
        <f aca="false">B6664/MAX(B6413:B6664)-1</f>
        <v>0</v>
      </c>
      <c r="F6664" s="7" t="str">
        <f aca="false">IFERROR(INDEX(02_轉折點45個!B:B,MATCH(A6664,02_轉折點45個!A:A,0)),"")</f>
        <v/>
      </c>
      <c r="G6664" s="7" t="s">
        <v>5494</v>
      </c>
    </row>
    <row r="6665" customFormat="false" ht="15" hidden="false" customHeight="false" outlineLevel="0" collapsed="false">
      <c r="A6665" s="7" t="s">
        <v>7099</v>
      </c>
      <c r="B6665" s="7" t="n">
        <v>22679.01</v>
      </c>
      <c r="C6665" s="7" t="n">
        <f aca="false">AVERAGE(B6616:B6665)</f>
        <v>20913.1188</v>
      </c>
      <c r="D6665" s="7" t="n">
        <f aca="false">AVERAGE(B6466:B6665)</f>
        <v>20628.98185</v>
      </c>
      <c r="E6665" s="7" t="n">
        <f aca="false">B6665/MAX(B6414:B6665)-1</f>
        <v>0</v>
      </c>
      <c r="F6665" s="7" t="str">
        <f aca="false">IFERROR(INDEX(02_轉折點45個!B:B,MATCH(A6665,02_轉折點45個!A:A,0)),"")</f>
        <v/>
      </c>
      <c r="G6665" s="7" t="s">
        <v>5494</v>
      </c>
    </row>
    <row r="6666" customFormat="false" ht="15" hidden="false" customHeight="false" outlineLevel="0" collapsed="false">
      <c r="A6666" s="7" t="s">
        <v>7100</v>
      </c>
      <c r="B6666" s="7" t="n">
        <v>22478.13</v>
      </c>
      <c r="C6666" s="7" t="n">
        <f aca="false">AVERAGE(B6617:B6666)</f>
        <v>20997.5196</v>
      </c>
      <c r="D6666" s="7" t="n">
        <f aca="false">AVERAGE(B6467:B6666)</f>
        <v>20645.186</v>
      </c>
      <c r="E6666" s="7" t="n">
        <f aca="false">B6666/MAX(B6415:B6666)-1</f>
        <v>-0.00885752949533503</v>
      </c>
      <c r="F6666" s="7" t="str">
        <f aca="false">IFERROR(INDEX(02_轉折點45個!B:B,MATCH(A6666,02_轉折點45個!A:A,0)),"")</f>
        <v/>
      </c>
      <c r="G6666" s="7" t="s">
        <v>5494</v>
      </c>
    </row>
    <row r="6667" customFormat="false" ht="15" hidden="false" customHeight="false" outlineLevel="0" collapsed="false">
      <c r="A6667" s="7" t="s">
        <v>7101</v>
      </c>
      <c r="B6667" s="7" t="n">
        <v>22641.89</v>
      </c>
      <c r="C6667" s="7" t="n">
        <f aca="false">AVERAGE(B6618:B6667)</f>
        <v>21094.1914</v>
      </c>
      <c r="D6667" s="7" t="n">
        <f aca="false">AVERAGE(B6468:B6667)</f>
        <v>20661.2801</v>
      </c>
      <c r="E6667" s="7" t="n">
        <f aca="false">B6667/MAX(B6416:B6667)-1</f>
        <v>-0.00163675574903843</v>
      </c>
      <c r="F6667" s="7" t="str">
        <f aca="false">IFERROR(INDEX(02_轉折點45個!B:B,MATCH(A6667,02_轉折點45個!A:A,0)),"")</f>
        <v/>
      </c>
      <c r="G6667" s="7" t="s">
        <v>5494</v>
      </c>
    </row>
    <row r="6668" customFormat="false" ht="15" hidden="false" customHeight="false" outlineLevel="0" collapsed="false">
      <c r="A6668" s="7" t="s">
        <v>7102</v>
      </c>
      <c r="B6668" s="7" t="n">
        <v>22866.97</v>
      </c>
      <c r="C6668" s="7" t="n">
        <f aca="false">AVERAGE(B6619:B6668)</f>
        <v>21186.0026</v>
      </c>
      <c r="D6668" s="7" t="n">
        <f aca="false">AVERAGE(B6469:B6668)</f>
        <v>20678.042</v>
      </c>
      <c r="E6668" s="7" t="n">
        <f aca="false">B6668/MAX(B6417:B6668)-1</f>
        <v>0</v>
      </c>
      <c r="F6668" s="7" t="str">
        <f aca="false">IFERROR(INDEX(02_轉折點45個!B:B,MATCH(A6668,02_轉折點45個!A:A,0)),"")</f>
        <v/>
      </c>
      <c r="G6668" s="7" t="s">
        <v>5494</v>
      </c>
    </row>
    <row r="6669" customFormat="false" ht="15" hidden="false" customHeight="false" outlineLevel="0" collapsed="false">
      <c r="A6669" s="7" t="s">
        <v>7103</v>
      </c>
      <c r="B6669" s="7" t="n">
        <v>22685.57</v>
      </c>
      <c r="C6669" s="7" t="n">
        <f aca="false">AVERAGE(B6620:B6669)</f>
        <v>21265.8488</v>
      </c>
      <c r="D6669" s="7" t="n">
        <f aca="false">AVERAGE(B6470:B6669)</f>
        <v>20694.35455</v>
      </c>
      <c r="E6669" s="7" t="n">
        <f aca="false">B6669/MAX(B6418:B6669)-1</f>
        <v>-0.00793283937487133</v>
      </c>
      <c r="F6669" s="7" t="str">
        <f aca="false">IFERROR(INDEX(02_轉折點45個!B:B,MATCH(A6669,02_轉折點45個!A:A,0)),"")</f>
        <v/>
      </c>
      <c r="G6669" s="7" t="s">
        <v>5494</v>
      </c>
    </row>
    <row r="6670" customFormat="false" ht="15" hidden="false" customHeight="false" outlineLevel="0" collapsed="false">
      <c r="A6670" s="7" t="s">
        <v>7104</v>
      </c>
      <c r="B6670" s="7" t="n">
        <v>22702.25</v>
      </c>
      <c r="C6670" s="7" t="n">
        <f aca="false">AVERAGE(B6621:B6670)</f>
        <v>21335.6058</v>
      </c>
      <c r="D6670" s="7" t="n">
        <f aca="false">AVERAGE(B6471:B6670)</f>
        <v>20710.7038</v>
      </c>
      <c r="E6670" s="7" t="n">
        <f aca="false">B6670/MAX(B6419:B6670)-1</f>
        <v>-0.00720340298692834</v>
      </c>
      <c r="F6670" s="7" t="str">
        <f aca="false">IFERROR(INDEX(02_轉折點45個!B:B,MATCH(A6670,02_轉折點45個!A:A,0)),"")</f>
        <v/>
      </c>
      <c r="G6670" s="7" t="s">
        <v>5494</v>
      </c>
    </row>
    <row r="6671" customFormat="false" ht="15" hidden="false" customHeight="false" outlineLevel="0" collapsed="false">
      <c r="A6671" s="7" t="s">
        <v>7105</v>
      </c>
      <c r="B6671" s="7" t="n">
        <v>22864.91</v>
      </c>
      <c r="C6671" s="7" t="n">
        <f aca="false">AVERAGE(B6622:B6671)</f>
        <v>21404.2528</v>
      </c>
      <c r="D6671" s="7" t="n">
        <f aca="false">AVERAGE(B6472:B6671)</f>
        <v>20728.3059</v>
      </c>
      <c r="E6671" s="7" t="n">
        <f aca="false">B6671/MAX(B6420:B6671)-1</f>
        <v>-9.00862685350168E-005</v>
      </c>
      <c r="F6671" s="7" t="str">
        <f aca="false">IFERROR(INDEX(02_轉折點45個!B:B,MATCH(A6671,02_轉折點45個!A:A,0)),"")</f>
        <v/>
      </c>
      <c r="G6671" s="7" t="s">
        <v>5494</v>
      </c>
    </row>
    <row r="6672" customFormat="false" ht="15" hidden="false" customHeight="false" outlineLevel="0" collapsed="false">
      <c r="A6672" s="7" t="s">
        <v>7106</v>
      </c>
      <c r="B6672" s="7" t="n">
        <v>22829.26</v>
      </c>
      <c r="C6672" s="7" t="n">
        <f aca="false">AVERAGE(B6623:B6672)</f>
        <v>21472.2922</v>
      </c>
      <c r="D6672" s="7" t="n">
        <f aca="false">AVERAGE(B6473:B6672)</f>
        <v>20743.25305</v>
      </c>
      <c r="E6672" s="7" t="n">
        <f aca="false">B6672/MAX(B6421:B6672)-1</f>
        <v>-0.00164910348856906</v>
      </c>
      <c r="F6672" s="7" t="str">
        <f aca="false">IFERROR(INDEX(02_轉折點45個!B:B,MATCH(A6672,02_轉折點45個!A:A,0)),"")</f>
        <v/>
      </c>
      <c r="G6672" s="7" t="s">
        <v>5494</v>
      </c>
    </row>
    <row r="6673" customFormat="false" ht="15" hidden="false" customHeight="false" outlineLevel="0" collapsed="false">
      <c r="A6673" s="7" t="s">
        <v>7107</v>
      </c>
      <c r="B6673" s="7" t="n">
        <v>22780.6</v>
      </c>
      <c r="C6673" s="7" t="n">
        <f aca="false">AVERAGE(B6624:B6673)</f>
        <v>21537.0052</v>
      </c>
      <c r="D6673" s="7" t="n">
        <f aca="false">AVERAGE(B6474:B6673)</f>
        <v>20758.1986</v>
      </c>
      <c r="E6673" s="7" t="n">
        <f aca="false">B6673/MAX(B6422:B6673)-1</f>
        <v>-0.0037770635987191</v>
      </c>
      <c r="F6673" s="7" t="str">
        <f aca="false">IFERROR(INDEX(02_轉折點45個!B:B,MATCH(A6673,02_轉折點45個!A:A,0)),"")</f>
        <v/>
      </c>
      <c r="G6673" s="7" t="s">
        <v>5494</v>
      </c>
    </row>
    <row r="6674" customFormat="false" ht="15" hidden="false" customHeight="false" outlineLevel="0" collapsed="false">
      <c r="A6674" s="7" t="s">
        <v>7108</v>
      </c>
      <c r="B6674" s="7" t="n">
        <v>22855.63</v>
      </c>
      <c r="C6674" s="7" t="n">
        <f aca="false">AVERAGE(B6625:B6674)</f>
        <v>21602.6974</v>
      </c>
      <c r="D6674" s="7" t="n">
        <f aca="false">AVERAGE(B6475:B6674)</f>
        <v>20773.21575</v>
      </c>
      <c r="E6674" s="7" t="n">
        <f aca="false">B6674/MAX(B6423:B6674)-1</f>
        <v>-0.000495911788925274</v>
      </c>
      <c r="F6674" s="7" t="str">
        <f aca="false">IFERROR(INDEX(02_轉折點45個!B:B,MATCH(A6674,02_轉折點45個!A:A,0)),"")</f>
        <v/>
      </c>
      <c r="G6674" s="7" t="s">
        <v>5494</v>
      </c>
    </row>
    <row r="6675" customFormat="false" ht="15" hidden="false" customHeight="false" outlineLevel="0" collapsed="false">
      <c r="A6675" s="7" t="s">
        <v>1911</v>
      </c>
      <c r="B6675" s="7" t="n">
        <v>22884.59</v>
      </c>
      <c r="C6675" s="7" t="n">
        <f aca="false">AVERAGE(B6626:B6675)</f>
        <v>21664.655</v>
      </c>
      <c r="D6675" s="7" t="n">
        <f aca="false">AVERAGE(B6476:B6675)</f>
        <v>20787.9145</v>
      </c>
      <c r="E6675" s="7" t="n">
        <f aca="false">B6675/MAX(B6424:B6675)-1</f>
        <v>0</v>
      </c>
      <c r="F6675" s="7" t="str">
        <f aca="false">IFERROR(INDEX(02_轉折點45個!B:B,MATCH(A6675,02_轉折點45個!A:A,0)),"")</f>
        <v/>
      </c>
      <c r="G6675" s="7" t="s">
        <v>5494</v>
      </c>
    </row>
    <row r="6676" customFormat="false" ht="15" hidden="false" customHeight="false" outlineLevel="0" collapsed="false">
      <c r="A6676" s="7" t="s">
        <v>1912</v>
      </c>
      <c r="B6676" s="7" t="n">
        <v>22907.97</v>
      </c>
      <c r="C6676" s="7" t="n">
        <f aca="false">AVERAGE(B6627:B6676)</f>
        <v>21720.7622</v>
      </c>
      <c r="D6676" s="7" t="n">
        <f aca="false">AVERAGE(B6477:B6676)</f>
        <v>20802.5913</v>
      </c>
      <c r="E6676" s="7" t="n">
        <f aca="false">B6676/MAX(B6425:B6676)-1</f>
        <v>0</v>
      </c>
      <c r="F6676" s="7" t="str">
        <f aca="false">IFERROR(INDEX(02_轉折點45個!B:B,MATCH(A6676,02_轉折點45個!A:A,0)),"")</f>
        <v/>
      </c>
      <c r="G6676" s="7" t="s">
        <v>5494</v>
      </c>
    </row>
    <row r="6677" customFormat="false" ht="15" hidden="false" customHeight="false" outlineLevel="0" collapsed="false">
      <c r="A6677" s="7" t="s">
        <v>7109</v>
      </c>
      <c r="B6677" s="7" t="n">
        <v>23081.05</v>
      </c>
      <c r="C6677" s="7" t="n">
        <f aca="false">AVERAGE(B6628:B6677)</f>
        <v>21783.0244</v>
      </c>
      <c r="D6677" s="7" t="n">
        <f aca="false">AVERAGE(B6478:B6677)</f>
        <v>20817.41885</v>
      </c>
      <c r="E6677" s="7" t="n">
        <f aca="false">B6677/MAX(B6426:B6677)-1</f>
        <v>0</v>
      </c>
      <c r="F6677" s="7" t="str">
        <f aca="false">IFERROR(INDEX(02_轉折點45個!B:B,MATCH(A6677,02_轉折點45個!A:A,0)),"")</f>
        <v/>
      </c>
      <c r="G6677" s="7" t="s">
        <v>5494</v>
      </c>
    </row>
    <row r="6678" customFormat="false" ht="15" hidden="false" customHeight="false" outlineLevel="0" collapsed="false">
      <c r="A6678" s="7" t="s">
        <v>7110</v>
      </c>
      <c r="B6678" s="7" t="n">
        <v>23065.47</v>
      </c>
      <c r="C6678" s="7" t="n">
        <f aca="false">AVERAGE(B6629:B6678)</f>
        <v>21848.5068</v>
      </c>
      <c r="D6678" s="7" t="n">
        <f aca="false">AVERAGE(B6479:B6678)</f>
        <v>20832.7031</v>
      </c>
      <c r="E6678" s="7" t="n">
        <f aca="false">B6678/MAX(B6427:B6678)-1</f>
        <v>-0.000675012618576609</v>
      </c>
      <c r="F6678" s="7" t="str">
        <f aca="false">IFERROR(INDEX(02_轉折點45個!B:B,MATCH(A6678,02_轉折點45個!A:A,0)),"")</f>
        <v/>
      </c>
      <c r="G6678" s="7" t="s">
        <v>5494</v>
      </c>
    </row>
    <row r="6679" customFormat="false" ht="15" hidden="false" customHeight="false" outlineLevel="0" collapsed="false">
      <c r="A6679" s="7" t="s">
        <v>7111</v>
      </c>
      <c r="B6679" s="7" t="n">
        <v>23180.06</v>
      </c>
      <c r="C6679" s="7" t="n">
        <f aca="false">AVERAGE(B6630:B6679)</f>
        <v>21914.7486</v>
      </c>
      <c r="D6679" s="7" t="n">
        <f aca="false">AVERAGE(B6480:B6679)</f>
        <v>20848.29995</v>
      </c>
      <c r="E6679" s="7" t="n">
        <f aca="false">B6679/MAX(B6428:B6679)-1</f>
        <v>0</v>
      </c>
      <c r="F6679" s="7" t="str">
        <f aca="false">IFERROR(INDEX(02_轉折點45個!B:B,MATCH(A6679,02_轉折點45個!A:A,0)),"")</f>
        <v/>
      </c>
      <c r="G6679" s="7" t="s">
        <v>5494</v>
      </c>
    </row>
    <row r="6680" customFormat="false" ht="15" hidden="false" customHeight="false" outlineLevel="0" collapsed="false">
      <c r="A6680" s="7" t="s">
        <v>7112</v>
      </c>
      <c r="B6680" s="7" t="n">
        <v>23063.58</v>
      </c>
      <c r="C6680" s="7" t="n">
        <f aca="false">AVERAGE(B6631:B6680)</f>
        <v>21974.749</v>
      </c>
      <c r="D6680" s="7" t="n">
        <f aca="false">AVERAGE(B6481:B6680)</f>
        <v>20864.75135</v>
      </c>
      <c r="E6680" s="7" t="n">
        <f aca="false">B6680/MAX(B6429:B6680)-1</f>
        <v>-0.00502500856339461</v>
      </c>
      <c r="F6680" s="7" t="str">
        <f aca="false">IFERROR(INDEX(02_轉折點45個!B:B,MATCH(A6680,02_轉折點45個!A:A,0)),"")</f>
        <v/>
      </c>
      <c r="G6680" s="7" t="s">
        <v>5494</v>
      </c>
    </row>
    <row r="6681" customFormat="false" ht="15" hidden="false" customHeight="false" outlineLevel="0" collapsed="false">
      <c r="A6681" s="7" t="s">
        <v>7113</v>
      </c>
      <c r="B6681" s="7" t="n">
        <v>23162.41</v>
      </c>
      <c r="C6681" s="7" t="n">
        <f aca="false">AVERAGE(B6632:B6681)</f>
        <v>22036.7682</v>
      </c>
      <c r="D6681" s="7" t="n">
        <f aca="false">AVERAGE(B6482:B6681)</f>
        <v>20881.55045</v>
      </c>
      <c r="E6681" s="7" t="n">
        <f aca="false">B6681/MAX(B6430:B6681)-1</f>
        <v>-0.00076143029828224</v>
      </c>
      <c r="F6681" s="7" t="str">
        <f aca="false">IFERROR(INDEX(02_轉折點45個!B:B,MATCH(A6681,02_轉折點45個!A:A,0)),"")</f>
        <v/>
      </c>
      <c r="G6681" s="7" t="s">
        <v>5494</v>
      </c>
    </row>
    <row r="6682" customFormat="false" ht="15" hidden="false" customHeight="false" outlineLevel="0" collapsed="false">
      <c r="A6682" s="7" t="s">
        <v>7114</v>
      </c>
      <c r="B6682" s="7" t="n">
        <v>23219.87</v>
      </c>
      <c r="C6682" s="7" t="n">
        <f aca="false">AVERAGE(B6633:B6682)</f>
        <v>22083.8026</v>
      </c>
      <c r="D6682" s="7" t="n">
        <f aca="false">AVERAGE(B6483:B6682)</f>
        <v>20898.6831</v>
      </c>
      <c r="E6682" s="7" t="n">
        <f aca="false">B6682/MAX(B6431:B6682)-1</f>
        <v>0</v>
      </c>
      <c r="F6682" s="7" t="str">
        <f aca="false">IFERROR(INDEX(02_轉折點45個!B:B,MATCH(A6682,02_轉折點45個!A:A,0)),"")</f>
        <v/>
      </c>
      <c r="G6682" s="7" t="s">
        <v>5494</v>
      </c>
    </row>
    <row r="6683" customFormat="false" ht="15" hidden="false" customHeight="false" outlineLevel="0" collapsed="false">
      <c r="A6683" s="7" t="s">
        <v>7115</v>
      </c>
      <c r="B6683" s="7" t="n">
        <v>23272.25</v>
      </c>
      <c r="C6683" s="7" t="n">
        <f aca="false">AVERAGE(B6634:B6683)</f>
        <v>22125.2936</v>
      </c>
      <c r="D6683" s="7" t="n">
        <f aca="false">AVERAGE(B6484:B6683)</f>
        <v>20914.86925</v>
      </c>
      <c r="E6683" s="7" t="n">
        <f aca="false">B6683/MAX(B6432:B6683)-1</f>
        <v>0</v>
      </c>
      <c r="F6683" s="7" t="str">
        <f aca="false">IFERROR(INDEX(02_轉折點45個!B:B,MATCH(A6683,02_轉折點45個!A:A,0)),"")</f>
        <v/>
      </c>
      <c r="G6683" s="7" t="s">
        <v>5494</v>
      </c>
    </row>
    <row r="6684" customFormat="false" ht="15" hidden="false" customHeight="false" outlineLevel="0" collapsed="false">
      <c r="A6684" s="7" t="s">
        <v>7116</v>
      </c>
      <c r="B6684" s="7" t="n">
        <v>23356.27</v>
      </c>
      <c r="C6684" s="7" t="n">
        <f aca="false">AVERAGE(B6635:B6684)</f>
        <v>22166.0348</v>
      </c>
      <c r="D6684" s="7" t="n">
        <f aca="false">AVERAGE(B6485:B6684)</f>
        <v>20932.6469</v>
      </c>
      <c r="E6684" s="7" t="n">
        <f aca="false">B6684/MAX(B6433:B6684)-1</f>
        <v>0</v>
      </c>
      <c r="F6684" s="7" t="str">
        <f aca="false">IFERROR(INDEX(02_轉折點45個!B:B,MATCH(A6684,02_轉折點45個!A:A,0)),"")</f>
        <v/>
      </c>
      <c r="G6684" s="7" t="s">
        <v>5494</v>
      </c>
    </row>
    <row r="6685" customFormat="false" ht="15" hidden="false" customHeight="false" outlineLevel="0" collapsed="false">
      <c r="A6685" s="7" t="s">
        <v>7117</v>
      </c>
      <c r="B6685" s="7" t="n">
        <v>23308.3</v>
      </c>
      <c r="C6685" s="7" t="n">
        <f aca="false">AVERAGE(B6636:B6685)</f>
        <v>22205.4844</v>
      </c>
      <c r="D6685" s="7" t="n">
        <f aca="false">AVERAGE(B6486:B6685)</f>
        <v>20948.6495</v>
      </c>
      <c r="E6685" s="7" t="n">
        <f aca="false">B6685/MAX(B6434:B6685)-1</f>
        <v>-0.00205383821988703</v>
      </c>
      <c r="F6685" s="7" t="str">
        <f aca="false">IFERROR(INDEX(02_轉折點45個!B:B,MATCH(A6685,02_轉折點45個!A:A,0)),"")</f>
        <v/>
      </c>
      <c r="G6685" s="7" t="s">
        <v>5494</v>
      </c>
    </row>
    <row r="6686" customFormat="false" ht="15" hidden="false" customHeight="false" outlineLevel="0" collapsed="false">
      <c r="A6686" s="7" t="s">
        <v>7118</v>
      </c>
      <c r="B6686" s="7" t="n">
        <v>23345.41</v>
      </c>
      <c r="C6686" s="7" t="n">
        <f aca="false">AVERAGE(B6637:B6686)</f>
        <v>22243.8338</v>
      </c>
      <c r="D6686" s="7" t="n">
        <f aca="false">AVERAGE(B6487:B6686)</f>
        <v>20964.03225</v>
      </c>
      <c r="E6686" s="7" t="n">
        <f aca="false">B6686/MAX(B6435:B6686)-1</f>
        <v>-0.000464971504439693</v>
      </c>
      <c r="F6686" s="7" t="str">
        <f aca="false">IFERROR(INDEX(02_轉折點45個!B:B,MATCH(A6686,02_轉折點45個!A:A,0)),"")</f>
        <v/>
      </c>
      <c r="G6686" s="7" t="s">
        <v>5494</v>
      </c>
    </row>
    <row r="6687" customFormat="false" ht="15" hidden="false" customHeight="false" outlineLevel="0" collapsed="false">
      <c r="A6687" s="7" t="s">
        <v>1913</v>
      </c>
      <c r="B6687" s="7" t="n">
        <v>23218.12</v>
      </c>
      <c r="C6687" s="7" t="n">
        <f aca="false">AVERAGE(B6638:B6687)</f>
        <v>22279.2552</v>
      </c>
      <c r="D6687" s="7" t="n">
        <f aca="false">AVERAGE(B6488:B6687)</f>
        <v>20978.91405</v>
      </c>
      <c r="E6687" s="7" t="n">
        <f aca="false">B6687/MAX(B6436:B6687)-1</f>
        <v>-0.00591489993907424</v>
      </c>
      <c r="F6687" s="7" t="str">
        <f aca="false">IFERROR(INDEX(02_轉折點45個!B:B,MATCH(A6687,02_轉折點45個!A:A,0)),"")</f>
        <v/>
      </c>
      <c r="G6687" s="7" t="s">
        <v>5494</v>
      </c>
    </row>
    <row r="6688" customFormat="false" ht="15" hidden="false" customHeight="false" outlineLevel="0" collapsed="false">
      <c r="A6688" s="7" t="s">
        <v>1914</v>
      </c>
      <c r="B6688" s="7" t="n">
        <v>22763.31</v>
      </c>
      <c r="C6688" s="7" t="n">
        <f aca="false">AVERAGE(B6639:B6688)</f>
        <v>22307.174</v>
      </c>
      <c r="D6688" s="7" t="n">
        <f aca="false">AVERAGE(B6489:B6688)</f>
        <v>20991.37075</v>
      </c>
      <c r="E6688" s="7" t="n">
        <f aca="false">B6688/MAX(B6437:B6688)-1</f>
        <v>-0.0253876154026306</v>
      </c>
      <c r="F6688" s="7" t="str">
        <f aca="false">IFERROR(INDEX(02_轉折點45個!B:B,MATCH(A6688,02_轉折點45個!A:A,0)),"")</f>
        <v/>
      </c>
      <c r="G6688" s="7" t="s">
        <v>5494</v>
      </c>
    </row>
    <row r="6689" customFormat="false" ht="15" hidden="false" customHeight="false" outlineLevel="0" collapsed="false">
      <c r="A6689" s="7" t="s">
        <v>1915</v>
      </c>
      <c r="B6689" s="7" t="n">
        <v>23188.61</v>
      </c>
      <c r="C6689" s="7" t="n">
        <f aca="false">AVERAGE(B6640:B6689)</f>
        <v>22349.339</v>
      </c>
      <c r="D6689" s="7" t="n">
        <f aca="false">AVERAGE(B6490:B6689)</f>
        <v>21005.11855</v>
      </c>
      <c r="E6689" s="7" t="n">
        <f aca="false">B6689/MAX(B6438:B6689)-1</f>
        <v>-0.00717837223152495</v>
      </c>
      <c r="F6689" s="7" t="str">
        <f aca="false">IFERROR(INDEX(02_轉折點45個!B:B,MATCH(A6689,02_轉折點45個!A:A,0)),"")</f>
        <v/>
      </c>
      <c r="G6689" s="7" t="s">
        <v>5494</v>
      </c>
    </row>
    <row r="6690" customFormat="false" ht="15" hidden="false" customHeight="false" outlineLevel="0" collapsed="false">
      <c r="A6690" s="7" t="s">
        <v>7119</v>
      </c>
      <c r="B6690" s="7" t="n">
        <v>23018.56</v>
      </c>
      <c r="C6690" s="7" t="n">
        <f aca="false">AVERAGE(B6641:B6690)</f>
        <v>22387.4608</v>
      </c>
      <c r="D6690" s="7" t="n">
        <f aca="false">AVERAGE(B6491:B6690)</f>
        <v>21019.4122</v>
      </c>
      <c r="E6690" s="7" t="n">
        <f aca="false">B6690/MAX(B6439:B6690)-1</f>
        <v>-0.0144590724460711</v>
      </c>
      <c r="F6690" s="7" t="str">
        <f aca="false">IFERROR(INDEX(02_轉折點45個!B:B,MATCH(A6690,02_轉折點45個!A:A,0)),"")</f>
        <v/>
      </c>
      <c r="G6690" s="7" t="s">
        <v>5494</v>
      </c>
    </row>
    <row r="6691" customFormat="false" ht="15" hidden="false" customHeight="false" outlineLevel="0" collapsed="false">
      <c r="A6691" s="7" t="s">
        <v>7120</v>
      </c>
      <c r="B6691" s="7" t="n">
        <v>23315.04</v>
      </c>
      <c r="C6691" s="7" t="n">
        <f aca="false">AVERAGE(B6642:B6691)</f>
        <v>22435.4484</v>
      </c>
      <c r="D6691" s="7" t="n">
        <f aca="false">AVERAGE(B6492:B6691)</f>
        <v>21035.11715</v>
      </c>
      <c r="E6691" s="7" t="n">
        <f aca="false">B6691/MAX(B6440:B6691)-1</f>
        <v>-0.00176526474475591</v>
      </c>
      <c r="F6691" s="7" t="str">
        <f aca="false">IFERROR(INDEX(02_轉折點45個!B:B,MATCH(A6691,02_轉折點45個!A:A,0)),"")</f>
        <v/>
      </c>
      <c r="G6691" s="7" t="s">
        <v>5494</v>
      </c>
    </row>
    <row r="6692" customFormat="false" ht="15" hidden="false" customHeight="false" outlineLevel="0" collapsed="false">
      <c r="A6692" s="7" t="s">
        <v>1916</v>
      </c>
      <c r="B6692" s="7" t="n">
        <v>23389.53</v>
      </c>
      <c r="C6692" s="7" t="n">
        <f aca="false">AVERAGE(B6643:B6692)</f>
        <v>22474.9392</v>
      </c>
      <c r="D6692" s="7" t="n">
        <f aca="false">AVERAGE(B6493:B6692)</f>
        <v>21051.1127</v>
      </c>
      <c r="E6692" s="7" t="n">
        <f aca="false">B6692/MAX(B6441:B6692)-1</f>
        <v>0</v>
      </c>
      <c r="F6692" s="7" t="str">
        <f aca="false">IFERROR(INDEX(02_轉折點45個!B:B,MATCH(A6692,02_轉折點45個!A:A,0)),"")</f>
        <v/>
      </c>
      <c r="G6692" s="7" t="s">
        <v>5494</v>
      </c>
    </row>
    <row r="6693" customFormat="false" ht="15" hidden="false" customHeight="false" outlineLevel="0" collapsed="false">
      <c r="A6693" s="7" t="s">
        <v>1917</v>
      </c>
      <c r="B6693" s="7" t="n">
        <v>23611.27</v>
      </c>
      <c r="C6693" s="7" t="n">
        <f aca="false">AVERAGE(B6644:B6693)</f>
        <v>22520.8012</v>
      </c>
      <c r="D6693" s="7" t="n">
        <f aca="false">AVERAGE(B6494:B6693)</f>
        <v>21067.54885</v>
      </c>
      <c r="E6693" s="7" t="n">
        <f aca="false">B6693/MAX(B6442:B6693)-1</f>
        <v>0</v>
      </c>
      <c r="F6693" s="7" t="str">
        <f aca="false">IFERROR(INDEX(02_轉折點45個!B:B,MATCH(A6693,02_轉折點45個!A:A,0)),"")</f>
        <v/>
      </c>
      <c r="G6693" s="7" t="s">
        <v>5494</v>
      </c>
    </row>
    <row r="6694" customFormat="false" ht="15" hidden="false" customHeight="false" outlineLevel="0" collapsed="false">
      <c r="A6694" s="7" t="s">
        <v>7121</v>
      </c>
      <c r="B6694" s="7" t="n">
        <v>23526.63</v>
      </c>
      <c r="C6694" s="7" t="n">
        <f aca="false">AVERAGE(B6645:B6694)</f>
        <v>22564.0548</v>
      </c>
      <c r="D6694" s="7" t="n">
        <f aca="false">AVERAGE(B6495:B6694)</f>
        <v>21083.37465</v>
      </c>
      <c r="E6694" s="7" t="n">
        <f aca="false">B6694/MAX(B6443:B6694)-1</f>
        <v>-0.00358472881806016</v>
      </c>
      <c r="F6694" s="7" t="str">
        <f aca="false">IFERROR(INDEX(02_轉折點45個!B:B,MATCH(A6694,02_轉折點45個!A:A,0)),"")</f>
        <v/>
      </c>
      <c r="G6694" s="7" t="s">
        <v>5494</v>
      </c>
    </row>
    <row r="6695" customFormat="false" ht="15" hidden="false" customHeight="false" outlineLevel="0" collapsed="false">
      <c r="A6695" s="7" t="s">
        <v>1918</v>
      </c>
      <c r="B6695" s="7" t="n">
        <v>23839.2</v>
      </c>
      <c r="C6695" s="7" t="n">
        <f aca="false">AVERAGE(B6646:B6695)</f>
        <v>22614.019</v>
      </c>
      <c r="D6695" s="7" t="n">
        <f aca="false">AVERAGE(B6496:B6695)</f>
        <v>21100.61835</v>
      </c>
      <c r="E6695" s="7" t="n">
        <f aca="false">B6695/MAX(B6444:B6695)-1</f>
        <v>0</v>
      </c>
      <c r="F6695" s="7" t="str">
        <f aca="false">IFERROR(INDEX(02_轉折點45個!B:B,MATCH(A6695,02_轉折點45個!A:A,0)),"")</f>
        <v/>
      </c>
      <c r="G6695" s="7" t="s">
        <v>5494</v>
      </c>
    </row>
    <row r="6696" customFormat="false" ht="15" hidden="false" customHeight="false" outlineLevel="0" collapsed="false">
      <c r="A6696" s="7" t="s">
        <v>1919</v>
      </c>
      <c r="B6696" s="7" t="n">
        <v>23849.04</v>
      </c>
      <c r="C6696" s="7" t="n">
        <f aca="false">AVERAGE(B6647:B6696)</f>
        <v>22661.1648</v>
      </c>
      <c r="D6696" s="7" t="n">
        <f aca="false">AVERAGE(B6497:B6696)</f>
        <v>21119.52875</v>
      </c>
      <c r="E6696" s="7" t="n">
        <f aca="false">B6696/MAX(B6445:B6696)-1</f>
        <v>0</v>
      </c>
      <c r="F6696" s="7" t="str">
        <f aca="false">IFERROR(INDEX(02_轉折點45個!B:B,MATCH(A6696,02_轉折點45個!A:A,0)),"")</f>
        <v/>
      </c>
      <c r="G6696" s="7" t="s">
        <v>5494</v>
      </c>
    </row>
    <row r="6697" customFormat="false" ht="15" hidden="false" customHeight="false" outlineLevel="0" collapsed="false">
      <c r="A6697" s="7" t="s">
        <v>7122</v>
      </c>
      <c r="B6697" s="7" t="n">
        <v>23832.44</v>
      </c>
      <c r="C6697" s="7" t="n">
        <f aca="false">AVERAGE(B6648:B6697)</f>
        <v>22704.562</v>
      </c>
      <c r="D6697" s="7" t="n">
        <f aca="false">AVERAGE(B6498:B6697)</f>
        <v>21137.5266</v>
      </c>
      <c r="E6697" s="7" t="n">
        <f aca="false">B6697/MAX(B6446:B6697)-1</f>
        <v>-0.000696044788385697</v>
      </c>
      <c r="F6697" s="7" t="str">
        <f aca="false">IFERROR(INDEX(02_轉折點45個!B:B,MATCH(A6697,02_轉折點45個!A:A,0)),"")</f>
        <v/>
      </c>
      <c r="G6697" s="7" t="s">
        <v>5494</v>
      </c>
    </row>
    <row r="6698" customFormat="false" ht="15" hidden="false" customHeight="false" outlineLevel="0" collapsed="false">
      <c r="A6698" s="7" t="s">
        <v>7123</v>
      </c>
      <c r="B6698" s="7" t="n">
        <v>23712.07</v>
      </c>
      <c r="C6698" s="7" t="n">
        <f aca="false">AVERAGE(B6649:B6698)</f>
        <v>22744.365</v>
      </c>
      <c r="D6698" s="7" t="n">
        <f aca="false">AVERAGE(B6499:B6698)</f>
        <v>21154.32685</v>
      </c>
      <c r="E6698" s="7" t="n">
        <f aca="false">B6698/MAX(B6447:B6698)-1</f>
        <v>-0.00574320811236018</v>
      </c>
      <c r="F6698" s="7" t="str">
        <f aca="false">IFERROR(INDEX(02_轉折點45個!B:B,MATCH(A6698,02_轉折點45個!A:A,0)),"")</f>
        <v/>
      </c>
      <c r="G6698" s="7" t="s">
        <v>5494</v>
      </c>
    </row>
    <row r="6699" customFormat="false" ht="15" hidden="false" customHeight="false" outlineLevel="0" collapsed="false">
      <c r="A6699" s="7" t="s">
        <v>7124</v>
      </c>
      <c r="B6699" s="7" t="n">
        <v>23713.76</v>
      </c>
      <c r="C6699" s="7" t="n">
        <f aca="false">AVERAGE(B6650:B6699)</f>
        <v>22787.6916</v>
      </c>
      <c r="D6699" s="7" t="n">
        <f aca="false">AVERAGE(B6500:B6699)</f>
        <v>21171.1403</v>
      </c>
      <c r="E6699" s="7" t="n">
        <f aca="false">B6699/MAX(B6448:B6699)-1</f>
        <v>-0.00567234572125341</v>
      </c>
      <c r="F6699" s="7" t="str">
        <f aca="false">IFERROR(INDEX(02_轉折點45個!B:B,MATCH(A6699,02_轉折點45個!A:A,0)),"")</f>
        <v/>
      </c>
      <c r="G6699" s="7" t="s">
        <v>5494</v>
      </c>
    </row>
    <row r="6700" customFormat="false" ht="15" hidden="false" customHeight="false" outlineLevel="0" collapsed="false">
      <c r="A6700" s="7" t="s">
        <v>7125</v>
      </c>
      <c r="B6700" s="7" t="n">
        <v>23384.77</v>
      </c>
      <c r="C6700" s="7" t="n">
        <f aca="false">AVERAGE(B6651:B6700)</f>
        <v>22820.1512</v>
      </c>
      <c r="D6700" s="7" t="n">
        <f aca="false">AVERAGE(B6501:B6700)</f>
        <v>21185.3109</v>
      </c>
      <c r="E6700" s="7" t="n">
        <f aca="false">B6700/MAX(B6449:B6700)-1</f>
        <v>-0.0194670309580596</v>
      </c>
      <c r="F6700" s="7" t="str">
        <f aca="false">IFERROR(INDEX(02_轉折點45個!B:B,MATCH(A6700,02_轉折點45個!A:A,0)),"")</f>
        <v/>
      </c>
      <c r="G6700" s="7" t="s">
        <v>5494</v>
      </c>
    </row>
    <row r="6701" customFormat="false" ht="15" hidden="false" customHeight="false" outlineLevel="0" collapsed="false">
      <c r="A6701" s="7" t="s">
        <v>1920</v>
      </c>
      <c r="B6701" s="7" t="n">
        <v>23249.57</v>
      </c>
      <c r="C6701" s="7" t="n">
        <f aca="false">AVERAGE(B6652:B6701)</f>
        <v>22849.1852</v>
      </c>
      <c r="D6701" s="7" t="n">
        <f aca="false">AVERAGE(B6502:B6701)</f>
        <v>21199.62025</v>
      </c>
      <c r="E6701" s="7" t="n">
        <f aca="false">B6701/MAX(B6450:B6701)-1</f>
        <v>-0.0251360222465978</v>
      </c>
      <c r="F6701" s="7" t="str">
        <f aca="false">IFERROR(INDEX(02_轉折點45個!B:B,MATCH(A6701,02_轉折點45個!A:A,0)),"")</f>
        <v/>
      </c>
      <c r="G6701" s="7" t="s">
        <v>5494</v>
      </c>
    </row>
    <row r="6702" customFormat="false" ht="15" hidden="false" customHeight="false" outlineLevel="0" collapsed="false">
      <c r="A6702" s="7" t="s">
        <v>7126</v>
      </c>
      <c r="B6702" s="7" t="n">
        <v>23142.58</v>
      </c>
      <c r="C6702" s="7" t="n">
        <f aca="false">AVERAGE(B6653:B6702)</f>
        <v>22873.1984</v>
      </c>
      <c r="D6702" s="7" t="n">
        <f aca="false">AVERAGE(B6503:B6702)</f>
        <v>21215.88105</v>
      </c>
      <c r="E6702" s="7" t="n">
        <f aca="false">B6702/MAX(B6451:B6702)-1</f>
        <v>-0.0296221566989698</v>
      </c>
      <c r="F6702" s="7" t="str">
        <f aca="false">IFERROR(INDEX(02_轉折點45個!B:B,MATCH(A6702,02_轉折點45個!A:A,0)),"")</f>
        <v/>
      </c>
      <c r="G6702" s="7" t="s">
        <v>5494</v>
      </c>
    </row>
    <row r="6703" customFormat="false" ht="15" hidden="false" customHeight="false" outlineLevel="0" collapsed="false">
      <c r="A6703" s="7" t="s">
        <v>7127</v>
      </c>
      <c r="B6703" s="7" t="n">
        <v>23498.12</v>
      </c>
      <c r="C6703" s="7" t="n">
        <f aca="false">AVERAGE(B6654:B6703)</f>
        <v>22905.9448</v>
      </c>
      <c r="D6703" s="7" t="n">
        <f aca="false">AVERAGE(B6504:B6703)</f>
        <v>21233.20595</v>
      </c>
      <c r="E6703" s="7" t="n">
        <f aca="false">B6703/MAX(B6452:B6703)-1</f>
        <v>-0.0147142191048362</v>
      </c>
      <c r="F6703" s="7" t="str">
        <f aca="false">IFERROR(INDEX(02_轉折點45個!B:B,MATCH(A6703,02_轉折點45個!A:A,0)),"")</f>
        <v/>
      </c>
      <c r="G6703" s="7" t="s">
        <v>5494</v>
      </c>
    </row>
    <row r="6704" customFormat="false" ht="15" hidden="false" customHeight="false" outlineLevel="0" collapsed="false">
      <c r="A6704" s="7" t="s">
        <v>7128</v>
      </c>
      <c r="B6704" s="7" t="n">
        <v>23425.61</v>
      </c>
      <c r="C6704" s="7" t="n">
        <f aca="false">AVERAGE(B6655:B6704)</f>
        <v>22936.1906</v>
      </c>
      <c r="D6704" s="7" t="n">
        <f aca="false">AVERAGE(B6505:B6704)</f>
        <v>21250.516</v>
      </c>
      <c r="E6704" s="7" t="n">
        <f aca="false">B6704/MAX(B6453:B6704)-1</f>
        <v>-0.0177545930569952</v>
      </c>
      <c r="F6704" s="7" t="str">
        <f aca="false">IFERROR(INDEX(02_轉折點45個!B:B,MATCH(A6704,02_轉折點45個!A:A,0)),"")</f>
        <v/>
      </c>
      <c r="G6704" s="7" t="s">
        <v>5494</v>
      </c>
    </row>
    <row r="6705" customFormat="false" ht="15" hidden="false" customHeight="false" outlineLevel="0" collapsed="false">
      <c r="A6705" s="7" t="s">
        <v>7129</v>
      </c>
      <c r="B6705" s="7" t="n">
        <v>23525.29</v>
      </c>
      <c r="C6705" s="7" t="n">
        <f aca="false">AVERAGE(B6656:B6705)</f>
        <v>22974.0756</v>
      </c>
      <c r="D6705" s="7" t="n">
        <f aca="false">AVERAGE(B6506:B6705)</f>
        <v>21267.00515</v>
      </c>
      <c r="E6705" s="7" t="n">
        <f aca="false">B6705/MAX(B6454:B6705)-1</f>
        <v>-0.0135749698939663</v>
      </c>
      <c r="F6705" s="7" t="str">
        <f aca="false">IFERROR(INDEX(02_轉折點45個!B:B,MATCH(A6705,02_轉折點45個!A:A,0)),"")</f>
        <v/>
      </c>
      <c r="G6705" s="7" t="s">
        <v>5494</v>
      </c>
    </row>
    <row r="6706" customFormat="false" ht="15" hidden="false" customHeight="false" outlineLevel="0" collapsed="false">
      <c r="A6706" s="7" t="s">
        <v>7130</v>
      </c>
      <c r="B6706" s="7" t="n">
        <v>23565.85</v>
      </c>
      <c r="C6706" s="7" t="n">
        <f aca="false">AVERAGE(B6657:B6706)</f>
        <v>23006.6412</v>
      </c>
      <c r="D6706" s="7" t="n">
        <f aca="false">AVERAGE(B6507:B6706)</f>
        <v>21280.92775</v>
      </c>
      <c r="E6706" s="7" t="n">
        <f aca="false">B6706/MAX(B6455:B6706)-1</f>
        <v>-0.011874272507405</v>
      </c>
      <c r="F6706" s="7" t="str">
        <f aca="false">IFERROR(INDEX(02_轉折點45個!B:B,MATCH(A6706,02_轉折點45個!A:A,0)),"")</f>
        <v/>
      </c>
      <c r="G6706" s="7" t="s">
        <v>5494</v>
      </c>
    </row>
    <row r="6707" customFormat="false" ht="15" hidden="false" customHeight="false" outlineLevel="0" collapsed="false">
      <c r="A6707" s="7" t="s">
        <v>7131</v>
      </c>
      <c r="B6707" s="7" t="n">
        <v>23703.45</v>
      </c>
      <c r="C6707" s="7" t="n">
        <f aca="false">AVERAGE(B6658:B6707)</f>
        <v>23046.3286</v>
      </c>
      <c r="D6707" s="7" t="n">
        <f aca="false">AVERAGE(B6508:B6707)</f>
        <v>21293.93715</v>
      </c>
      <c r="E6707" s="7" t="n">
        <f aca="false">B6707/MAX(B6456:B6707)-1</f>
        <v>-0.0061046482374133</v>
      </c>
      <c r="F6707" s="7" t="str">
        <f aca="false">IFERROR(INDEX(02_轉折點45個!B:B,MATCH(A6707,02_轉折點45個!A:A,0)),"")</f>
        <v/>
      </c>
      <c r="G6707" s="7" t="s">
        <v>5494</v>
      </c>
    </row>
    <row r="6708" customFormat="false" ht="15" hidden="false" customHeight="false" outlineLevel="0" collapsed="false">
      <c r="A6708" s="7" t="s">
        <v>7132</v>
      </c>
      <c r="B6708" s="7" t="n">
        <v>23415.42</v>
      </c>
      <c r="C6708" s="7" t="n">
        <f aca="false">AVERAGE(B6659:B6708)</f>
        <v>23080.2432</v>
      </c>
      <c r="D6708" s="7" t="n">
        <f aca="false">AVERAGE(B6509:B6708)</f>
        <v>21305.42835</v>
      </c>
      <c r="E6708" s="7" t="n">
        <f aca="false">B6708/MAX(B6457:B6708)-1</f>
        <v>-0.0181818639240826</v>
      </c>
      <c r="F6708" s="7" t="str">
        <f aca="false">IFERROR(INDEX(02_轉折點45個!B:B,MATCH(A6708,02_轉折點45個!A:A,0)),"")</f>
        <v/>
      </c>
      <c r="G6708" s="7" t="s">
        <v>5494</v>
      </c>
    </row>
    <row r="6709" customFormat="false" ht="15" hidden="false" customHeight="false" outlineLevel="0" collapsed="false">
      <c r="A6709" s="7" t="s">
        <v>7133</v>
      </c>
      <c r="B6709" s="7" t="n">
        <v>23231.11</v>
      </c>
      <c r="C6709" s="7" t="n">
        <f aca="false">AVERAGE(B6660:B6709)</f>
        <v>23112.3376</v>
      </c>
      <c r="D6709" s="7" t="n">
        <f aca="false">AVERAGE(B6510:B6709)</f>
        <v>21316.05095</v>
      </c>
      <c r="E6709" s="7" t="n">
        <f aca="false">B6709/MAX(B6458:B6709)-1</f>
        <v>-0.0259100575956097</v>
      </c>
      <c r="F6709" s="7" t="str">
        <f aca="false">IFERROR(INDEX(02_轉折點45個!B:B,MATCH(A6709,02_轉折點45個!A:A,0)),"")</f>
        <v/>
      </c>
      <c r="G6709" s="7" t="s">
        <v>5494</v>
      </c>
    </row>
    <row r="6710" customFormat="false" ht="15" hidden="false" customHeight="false" outlineLevel="0" collapsed="false">
      <c r="A6710" s="7" t="s">
        <v>7134</v>
      </c>
      <c r="B6710" s="7" t="n">
        <v>23414.84</v>
      </c>
      <c r="C6710" s="7" t="n">
        <f aca="false">AVERAGE(B6661:B6710)</f>
        <v>23143.5078</v>
      </c>
      <c r="D6710" s="7" t="n">
        <f aca="false">AVERAGE(B6511:B6710)</f>
        <v>21327.7712</v>
      </c>
      <c r="E6710" s="7" t="n">
        <f aca="false">B6710/MAX(B6459:B6710)-1</f>
        <v>-0.018206183561267</v>
      </c>
      <c r="F6710" s="7" t="str">
        <f aca="false">IFERROR(INDEX(02_轉折點45個!B:B,MATCH(A6710,02_轉折點45個!A:A,0)),"")</f>
        <v/>
      </c>
      <c r="G6710" s="7" t="s">
        <v>5494</v>
      </c>
    </row>
    <row r="6711" customFormat="false" ht="15" hidden="false" customHeight="false" outlineLevel="0" collapsed="false">
      <c r="A6711" s="7" t="s">
        <v>7135</v>
      </c>
      <c r="B6711" s="7" t="n">
        <v>23633.01</v>
      </c>
      <c r="C6711" s="7" t="n">
        <f aca="false">AVERAGE(B6662:B6711)</f>
        <v>23172.3576</v>
      </c>
      <c r="D6711" s="7" t="n">
        <f aca="false">AVERAGE(B6512:B6711)</f>
        <v>21340.75545</v>
      </c>
      <c r="E6711" s="7" t="n">
        <f aca="false">B6711/MAX(B6460:B6711)-1</f>
        <v>-0.00905822624306896</v>
      </c>
      <c r="F6711" s="7" t="str">
        <f aca="false">IFERROR(INDEX(02_轉折點45個!B:B,MATCH(A6711,02_轉折點45個!A:A,0)),"")</f>
        <v/>
      </c>
      <c r="G6711" s="7" t="s">
        <v>5494</v>
      </c>
    </row>
    <row r="6712" customFormat="false" ht="15" hidden="false" customHeight="false" outlineLevel="0" collapsed="false">
      <c r="A6712" s="7" t="s">
        <v>1921</v>
      </c>
      <c r="B6712" s="7" t="n">
        <v>23652.44</v>
      </c>
      <c r="C6712" s="7" t="n">
        <f aca="false">AVERAGE(B6663:B6712)</f>
        <v>23200.6516</v>
      </c>
      <c r="D6712" s="7" t="n">
        <f aca="false">AVERAGE(B6513:B6712)</f>
        <v>21354.5343</v>
      </c>
      <c r="E6712" s="7" t="n">
        <f aca="false">B6712/MAX(B6461:B6712)-1</f>
        <v>-0.00824351839738635</v>
      </c>
      <c r="F6712" s="7" t="str">
        <f aca="false">IFERROR(INDEX(02_轉折點45個!B:B,MATCH(A6712,02_轉折點45個!A:A,0)),"")</f>
        <v/>
      </c>
      <c r="G6712" s="7" t="s">
        <v>5494</v>
      </c>
    </row>
    <row r="6713" customFormat="false" ht="15" hidden="false" customHeight="false" outlineLevel="0" collapsed="false">
      <c r="A6713" s="7" t="s">
        <v>7136</v>
      </c>
      <c r="B6713" s="7" t="n">
        <v>23762.3</v>
      </c>
      <c r="C6713" s="7" t="n">
        <f aca="false">AVERAGE(B6664:B6713)</f>
        <v>23226.9518</v>
      </c>
      <c r="D6713" s="7" t="n">
        <f aca="false">AVERAGE(B6514:B6713)</f>
        <v>21371.37515</v>
      </c>
      <c r="E6713" s="7" t="n">
        <f aca="false">B6713/MAX(B6462:B6713)-1</f>
        <v>-0.00363704367135953</v>
      </c>
      <c r="F6713" s="7" t="str">
        <f aca="false">IFERROR(INDEX(02_轉折點45個!B:B,MATCH(A6713,02_轉折點45個!A:A,0)),"")</f>
        <v/>
      </c>
      <c r="G6713" s="7" t="s">
        <v>5494</v>
      </c>
    </row>
    <row r="6714" customFormat="false" ht="15" hidden="false" customHeight="false" outlineLevel="0" collapsed="false">
      <c r="A6714" s="7" t="s">
        <v>7137</v>
      </c>
      <c r="B6714" s="7" t="n">
        <v>23839.8</v>
      </c>
      <c r="C6714" s="7" t="n">
        <f aca="false">AVERAGE(B6665:B6714)</f>
        <v>23253.0638</v>
      </c>
      <c r="D6714" s="7" t="n">
        <f aca="false">AVERAGE(B6515:B6714)</f>
        <v>21387.8782</v>
      </c>
      <c r="E6714" s="7" t="n">
        <f aca="false">B6714/MAX(B6463:B6714)-1</f>
        <v>-0.000387436978595446</v>
      </c>
      <c r="F6714" s="7" t="str">
        <f aca="false">IFERROR(INDEX(02_轉折點45個!B:B,MATCH(A6714,02_轉折點45個!A:A,0)),"")</f>
        <v/>
      </c>
      <c r="G6714" s="7" t="s">
        <v>5494</v>
      </c>
    </row>
    <row r="6715" customFormat="false" ht="15" hidden="false" customHeight="false" outlineLevel="0" collapsed="false">
      <c r="A6715" s="7" t="s">
        <v>1922</v>
      </c>
      <c r="B6715" s="7" t="n">
        <v>23849.27</v>
      </c>
      <c r="C6715" s="7" t="n">
        <f aca="false">AVERAGE(B6666:B6715)</f>
        <v>23276.469</v>
      </c>
      <c r="D6715" s="7" t="n">
        <f aca="false">AVERAGE(B6516:B6715)</f>
        <v>21403.7016</v>
      </c>
      <c r="E6715" s="7" t="n">
        <f aca="false">B6715/MAX(B6464:B6715)-1</f>
        <v>0</v>
      </c>
      <c r="F6715" s="7" t="str">
        <f aca="false">IFERROR(INDEX(02_轉折點45個!B:B,MATCH(A6715,02_轉折點45個!A:A,0)),"")</f>
        <v/>
      </c>
      <c r="G6715" s="7" t="s">
        <v>5494</v>
      </c>
    </row>
    <row r="6716" customFormat="false" ht="15" hidden="false" customHeight="false" outlineLevel="0" collapsed="false">
      <c r="A6716" s="7" t="s">
        <v>1923</v>
      </c>
      <c r="B6716" s="7" t="n">
        <v>23992.56</v>
      </c>
      <c r="C6716" s="7" t="n">
        <f aca="false">AVERAGE(B6667:B6716)</f>
        <v>23306.7576</v>
      </c>
      <c r="D6716" s="7" t="n">
        <f aca="false">AVERAGE(B6517:B6716)</f>
        <v>21420.3289</v>
      </c>
      <c r="E6716" s="7" t="n">
        <f aca="false">B6716/MAX(B6465:B6716)-1</f>
        <v>0</v>
      </c>
      <c r="F6716" s="7" t="str">
        <f aca="false">IFERROR(INDEX(02_轉折點45個!B:B,MATCH(A6716,02_轉折點45個!A:A,0)),"")</f>
        <v/>
      </c>
      <c r="G6716" s="7" t="s">
        <v>5494</v>
      </c>
    </row>
    <row r="6717" customFormat="false" ht="15" hidden="false" customHeight="false" outlineLevel="0" collapsed="false">
      <c r="A6717" s="7" t="s">
        <v>1924</v>
      </c>
      <c r="B6717" s="7" t="n">
        <v>24092.19</v>
      </c>
      <c r="C6717" s="7" t="n">
        <f aca="false">AVERAGE(B6668:B6717)</f>
        <v>23335.7636</v>
      </c>
      <c r="D6717" s="7" t="n">
        <f aca="false">AVERAGE(B6518:B6717)</f>
        <v>21437.08595</v>
      </c>
      <c r="E6717" s="7" t="n">
        <f aca="false">B6717/MAX(B6466:B6717)-1</f>
        <v>0</v>
      </c>
      <c r="F6717" s="7" t="str">
        <f aca="false">IFERROR(INDEX(02_轉折點45個!B:B,MATCH(A6717,02_轉折點45個!A:A,0)),"")</f>
        <v/>
      </c>
      <c r="G6717" s="7" t="s">
        <v>5494</v>
      </c>
    </row>
    <row r="6718" customFormat="false" ht="15" hidden="false" customHeight="false" outlineLevel="0" collapsed="false">
      <c r="A6718" s="7" t="s">
        <v>1925</v>
      </c>
      <c r="B6718" s="7" t="n">
        <v>24293.78</v>
      </c>
      <c r="C6718" s="7" t="n">
        <f aca="false">AVERAGE(B6669:B6718)</f>
        <v>23364.2998</v>
      </c>
      <c r="D6718" s="7" t="n">
        <f aca="false">AVERAGE(B6519:B6718)</f>
        <v>21454.6737</v>
      </c>
      <c r="E6718" s="7" t="n">
        <f aca="false">B6718/MAX(B6467:B6718)-1</f>
        <v>0</v>
      </c>
      <c r="F6718" s="7" t="str">
        <f aca="false">IFERROR(INDEX(02_轉折點45個!B:B,MATCH(A6718,02_轉折點45個!A:A,0)),"")</f>
        <v/>
      </c>
      <c r="G6718" s="7" t="s">
        <v>5494</v>
      </c>
    </row>
    <row r="6719" customFormat="false" ht="15" hidden="false" customHeight="false" outlineLevel="0" collapsed="false">
      <c r="A6719" s="7" t="s">
        <v>7138</v>
      </c>
      <c r="B6719" s="7" t="n">
        <v>24274.25</v>
      </c>
      <c r="C6719" s="7" t="n">
        <f aca="false">AVERAGE(B6670:B6719)</f>
        <v>23396.0734</v>
      </c>
      <c r="D6719" s="7" t="n">
        <f aca="false">AVERAGE(B6520:B6719)</f>
        <v>21472.0205</v>
      </c>
      <c r="E6719" s="7" t="n">
        <f aca="false">B6719/MAX(B6468:B6719)-1</f>
        <v>-0.000803909478063858</v>
      </c>
      <c r="F6719" s="7" t="str">
        <f aca="false">IFERROR(INDEX(02_轉折點45個!B:B,MATCH(A6719,02_轉折點45個!A:A,0)),"")</f>
        <v/>
      </c>
      <c r="G6719" s="7" t="s">
        <v>5494</v>
      </c>
    </row>
    <row r="6720" customFormat="false" ht="15" hidden="false" customHeight="false" outlineLevel="0" collapsed="false">
      <c r="A6720" s="7" t="s">
        <v>7139</v>
      </c>
      <c r="B6720" s="7" t="n">
        <v>24223.69</v>
      </c>
      <c r="C6720" s="7" t="n">
        <f aca="false">AVERAGE(B6671:B6720)</f>
        <v>23426.5022</v>
      </c>
      <c r="D6720" s="7" t="n">
        <f aca="false">AVERAGE(B6521:B6720)</f>
        <v>21488.52445</v>
      </c>
      <c r="E6720" s="7" t="n">
        <f aca="false">B6720/MAX(B6469:B6720)-1</f>
        <v>-0.00288510063069647</v>
      </c>
      <c r="F6720" s="7" t="str">
        <f aca="false">IFERROR(INDEX(02_轉折點45個!B:B,MATCH(A6720,02_轉折點45個!A:A,0)),"")</f>
        <v/>
      </c>
      <c r="G6720" s="7" t="s">
        <v>5494</v>
      </c>
    </row>
    <row r="6721" customFormat="false" ht="15" hidden="false" customHeight="false" outlineLevel="0" collapsed="false">
      <c r="A6721" s="7" t="s">
        <v>1926</v>
      </c>
      <c r="B6721" s="7" t="n">
        <v>24454.89</v>
      </c>
      <c r="C6721" s="7" t="n">
        <f aca="false">AVERAGE(B6672:B6721)</f>
        <v>23458.3018</v>
      </c>
      <c r="D6721" s="7" t="n">
        <f aca="false">AVERAGE(B6522:B6721)</f>
        <v>21507.07645</v>
      </c>
      <c r="E6721" s="7" t="n">
        <f aca="false">B6721/MAX(B6470:B6721)-1</f>
        <v>0</v>
      </c>
      <c r="F6721" s="7" t="str">
        <f aca="false">IFERROR(INDEX(02_轉折點45個!B:B,MATCH(A6721,02_轉折點45個!A:A,0)),"")</f>
        <v/>
      </c>
      <c r="G6721" s="7" t="s">
        <v>5494</v>
      </c>
    </row>
    <row r="6722" customFormat="false" ht="15" hidden="false" customHeight="false" outlineLevel="0" collapsed="false">
      <c r="A6722" s="7" t="s">
        <v>7140</v>
      </c>
      <c r="B6722" s="7" t="n">
        <v>24626.25</v>
      </c>
      <c r="C6722" s="7" t="n">
        <f aca="false">AVERAGE(B6673:B6722)</f>
        <v>23494.2416</v>
      </c>
      <c r="D6722" s="7" t="n">
        <f aca="false">AVERAGE(B6523:B6722)</f>
        <v>21525.55585</v>
      </c>
      <c r="E6722" s="7" t="n">
        <f aca="false">B6722/MAX(B6471:B6722)-1</f>
        <v>0</v>
      </c>
      <c r="F6722" s="7" t="str">
        <f aca="false">IFERROR(INDEX(02_轉折點45個!B:B,MATCH(A6722,02_轉折點45個!A:A,0)),"")</f>
        <v/>
      </c>
      <c r="G6722" s="7" t="s">
        <v>5494</v>
      </c>
    </row>
    <row r="6723" customFormat="false" ht="15" hidden="false" customHeight="false" outlineLevel="0" collapsed="false">
      <c r="A6723" s="7" t="s">
        <v>7141</v>
      </c>
      <c r="B6723" s="7" t="n">
        <v>24761.07</v>
      </c>
      <c r="C6723" s="7" t="n">
        <f aca="false">AVERAGE(B6674:B6723)</f>
        <v>23533.851</v>
      </c>
      <c r="D6723" s="7" t="n">
        <f aca="false">AVERAGE(B6524:B6723)</f>
        <v>21543.5382</v>
      </c>
      <c r="E6723" s="7" t="n">
        <f aca="false">B6723/MAX(B6472:B6723)-1</f>
        <v>0</v>
      </c>
      <c r="F6723" s="7" t="str">
        <f aca="false">IFERROR(INDEX(02_轉折點45個!B:B,MATCH(A6723,02_轉折點45個!A:A,0)),"")</f>
        <v/>
      </c>
      <c r="G6723" s="7" t="s">
        <v>5494</v>
      </c>
    </row>
    <row r="6724" customFormat="false" ht="15" hidden="false" customHeight="false" outlineLevel="0" collapsed="false">
      <c r="A6724" s="7" t="s">
        <v>1927</v>
      </c>
      <c r="B6724" s="7" t="n">
        <v>24580.17</v>
      </c>
      <c r="C6724" s="7" t="n">
        <f aca="false">AVERAGE(B6675:B6724)</f>
        <v>23568.3418</v>
      </c>
      <c r="D6724" s="7" t="n">
        <f aca="false">AVERAGE(B6525:B6724)</f>
        <v>21560.29245</v>
      </c>
      <c r="E6724" s="7" t="n">
        <f aca="false">B6724/MAX(B6473:B6724)-1</f>
        <v>-0.00730582321361728</v>
      </c>
      <c r="F6724" s="7" t="str">
        <f aca="false">IFERROR(INDEX(02_轉折點45個!B:B,MATCH(A6724,02_轉折點45個!A:A,0)),"")</f>
        <v/>
      </c>
      <c r="G6724" s="7" t="s">
        <v>5494</v>
      </c>
    </row>
    <row r="6725" customFormat="false" ht="15" hidden="false" customHeight="false" outlineLevel="0" collapsed="false">
      <c r="A6725" s="7" t="s">
        <v>7142</v>
      </c>
      <c r="B6725" s="7" t="n">
        <v>24503.57</v>
      </c>
      <c r="C6725" s="7" t="n">
        <f aca="false">AVERAGE(B6676:B6725)</f>
        <v>23600.7214</v>
      </c>
      <c r="D6725" s="7" t="n">
        <f aca="false">AVERAGE(B6526:B6725)</f>
        <v>21575.3485</v>
      </c>
      <c r="E6725" s="7" t="n">
        <f aca="false">B6725/MAX(B6474:B6725)-1</f>
        <v>-0.0103993890409421</v>
      </c>
      <c r="F6725" s="7" t="str">
        <f aca="false">IFERROR(INDEX(02_轉折點45個!B:B,MATCH(A6725,02_轉折點45個!A:A,0)),"")</f>
        <v/>
      </c>
      <c r="G6725" s="7" t="s">
        <v>5494</v>
      </c>
    </row>
    <row r="6726" customFormat="false" ht="15" hidden="false" customHeight="false" outlineLevel="0" collapsed="false">
      <c r="A6726" s="7" t="s">
        <v>7143</v>
      </c>
      <c r="B6726" s="7" t="n">
        <v>24397.31</v>
      </c>
      <c r="C6726" s="7" t="n">
        <f aca="false">AVERAGE(B6677:B6726)</f>
        <v>23630.5082</v>
      </c>
      <c r="D6726" s="7" t="n">
        <f aca="false">AVERAGE(B6527:B6726)</f>
        <v>21590.20895</v>
      </c>
      <c r="E6726" s="7" t="n">
        <f aca="false">B6726/MAX(B6475:B6726)-1</f>
        <v>-0.0146908029418761</v>
      </c>
      <c r="F6726" s="7" t="str">
        <f aca="false">IFERROR(INDEX(02_轉折點45個!B:B,MATCH(A6726,02_轉折點45個!A:A,0)),"")</f>
        <v/>
      </c>
      <c r="G6726" s="7" t="s">
        <v>5494</v>
      </c>
    </row>
    <row r="6727" customFormat="false" ht="15" hidden="false" customHeight="false" outlineLevel="0" collapsed="false">
      <c r="A6727" s="7" t="s">
        <v>7144</v>
      </c>
      <c r="B6727" s="7" t="n">
        <v>24503.85</v>
      </c>
      <c r="C6727" s="7" t="n">
        <f aca="false">AVERAGE(B6678:B6727)</f>
        <v>23658.9642</v>
      </c>
      <c r="D6727" s="7" t="n">
        <f aca="false">AVERAGE(B6528:B6727)</f>
        <v>21604.61695</v>
      </c>
      <c r="E6727" s="7" t="n">
        <f aca="false">B6727/MAX(B6476:B6727)-1</f>
        <v>-0.0103880809674219</v>
      </c>
      <c r="F6727" s="7" t="str">
        <f aca="false">IFERROR(INDEX(02_轉折點45個!B:B,MATCH(A6727,02_轉折點45個!A:A,0)),"")</f>
        <v/>
      </c>
      <c r="G6727" s="7" t="s">
        <v>5494</v>
      </c>
    </row>
    <row r="6728" customFormat="false" ht="15" hidden="false" customHeight="false" outlineLevel="0" collapsed="false">
      <c r="A6728" s="7" t="s">
        <v>7145</v>
      </c>
      <c r="B6728" s="7" t="n">
        <v>24611.35</v>
      </c>
      <c r="C6728" s="7" t="n">
        <f aca="false">AVERAGE(B6679:B6728)</f>
        <v>23689.8818</v>
      </c>
      <c r="D6728" s="7" t="n">
        <f aca="false">AVERAGE(B6529:B6728)</f>
        <v>21620.4696</v>
      </c>
      <c r="E6728" s="7" t="n">
        <f aca="false">B6728/MAX(B6477:B6728)-1</f>
        <v>-0.00604658845518391</v>
      </c>
      <c r="F6728" s="7" t="str">
        <f aca="false">IFERROR(INDEX(02_轉折點45個!B:B,MATCH(A6728,02_轉折點45個!A:A,0)),"")</f>
        <v/>
      </c>
      <c r="G6728" s="7" t="s">
        <v>5494</v>
      </c>
    </row>
    <row r="6729" customFormat="false" ht="15" hidden="false" customHeight="false" outlineLevel="0" collapsed="false">
      <c r="A6729" s="7" t="s">
        <v>1928</v>
      </c>
      <c r="B6729" s="7" t="n">
        <v>24679.99</v>
      </c>
      <c r="C6729" s="7" t="n">
        <f aca="false">AVERAGE(B6680:B6729)</f>
        <v>23719.8804</v>
      </c>
      <c r="D6729" s="7" t="n">
        <f aca="false">AVERAGE(B6530:B6729)</f>
        <v>21637.02865</v>
      </c>
      <c r="E6729" s="7" t="n">
        <f aca="false">B6729/MAX(B6478:B6729)-1</f>
        <v>-0.00327449500364885</v>
      </c>
      <c r="F6729" s="7" t="str">
        <f aca="false">IFERROR(INDEX(02_轉折點45個!B:B,MATCH(A6729,02_轉折點45個!A:A,0)),"")</f>
        <v/>
      </c>
      <c r="G6729" s="7" t="s">
        <v>5494</v>
      </c>
    </row>
    <row r="6730" customFormat="false" ht="15" hidden="false" customHeight="false" outlineLevel="0" collapsed="false">
      <c r="A6730" s="7" t="s">
        <v>7146</v>
      </c>
      <c r="B6730" s="7" t="n">
        <v>24800.86</v>
      </c>
      <c r="C6730" s="7" t="n">
        <f aca="false">AVERAGE(B6681:B6730)</f>
        <v>23754.626</v>
      </c>
      <c r="D6730" s="7" t="n">
        <f aca="false">AVERAGE(B6531:B6730)</f>
        <v>21652.21305</v>
      </c>
      <c r="E6730" s="7" t="n">
        <f aca="false">B6730/MAX(B6479:B6730)-1</f>
        <v>0</v>
      </c>
      <c r="F6730" s="7" t="str">
        <f aca="false">IFERROR(INDEX(02_轉折點45個!B:B,MATCH(A6730,02_轉折點45個!A:A,0)),"")</f>
        <v/>
      </c>
      <c r="G6730" s="7" t="s">
        <v>5494</v>
      </c>
    </row>
    <row r="6731" customFormat="false" ht="15" hidden="false" customHeight="false" outlineLevel="0" collapsed="false">
      <c r="A6731" s="7" t="s">
        <v>7147</v>
      </c>
      <c r="B6731" s="7" t="n">
        <v>24892.76</v>
      </c>
      <c r="C6731" s="7" t="n">
        <f aca="false">AVERAGE(B6682:B6731)</f>
        <v>23789.233</v>
      </c>
      <c r="D6731" s="7" t="n">
        <f aca="false">AVERAGE(B6532:B6731)</f>
        <v>21668.6005</v>
      </c>
      <c r="E6731" s="7" t="n">
        <f aca="false">B6731/MAX(B6480:B6731)-1</f>
        <v>0</v>
      </c>
      <c r="F6731" s="7" t="str">
        <f aca="false">IFERROR(INDEX(02_轉折點45個!B:B,MATCH(A6731,02_轉折點45個!A:A,0)),"")</f>
        <v/>
      </c>
      <c r="G6731" s="7" t="s">
        <v>5494</v>
      </c>
    </row>
    <row r="6732" customFormat="false" ht="15" hidden="false" customHeight="false" outlineLevel="0" collapsed="false">
      <c r="A6732" s="7" t="s">
        <v>1929</v>
      </c>
      <c r="B6732" s="7" t="n">
        <v>24785.52</v>
      </c>
      <c r="C6732" s="7" t="n">
        <f aca="false">AVERAGE(B6683:B6732)</f>
        <v>23820.546</v>
      </c>
      <c r="D6732" s="7" t="n">
        <f aca="false">AVERAGE(B6533:B6732)</f>
        <v>21683.62685</v>
      </c>
      <c r="E6732" s="7" t="n">
        <f aca="false">B6732/MAX(B6481:B6732)-1</f>
        <v>-0.00430807993970928</v>
      </c>
      <c r="F6732" s="7" t="str">
        <f aca="false">IFERROR(INDEX(02_轉折點45個!B:B,MATCH(A6732,02_轉折點45個!A:A,0)),"")</f>
        <v/>
      </c>
      <c r="G6732" s="7" t="s">
        <v>5494</v>
      </c>
    </row>
    <row r="6733" customFormat="false" ht="15" hidden="false" customHeight="false" outlineLevel="0" collapsed="false">
      <c r="A6733" s="7" t="s">
        <v>1930</v>
      </c>
      <c r="B6733" s="7" t="n">
        <v>24978.56</v>
      </c>
      <c r="C6733" s="7" t="n">
        <f aca="false">AVERAGE(B6684:B6733)</f>
        <v>23854.6722</v>
      </c>
      <c r="D6733" s="7" t="n">
        <f aca="false">AVERAGE(B6534:B6733)</f>
        <v>21698.03635</v>
      </c>
      <c r="E6733" s="7" t="n">
        <f aca="false">B6733/MAX(B6482:B6733)-1</f>
        <v>0</v>
      </c>
      <c r="F6733" s="7" t="str">
        <f aca="false">IFERROR(INDEX(02_轉折點45個!B:B,MATCH(A6733,02_轉折點45個!A:A,0)),"")</f>
        <v/>
      </c>
      <c r="G6733" s="7" t="s">
        <v>5494</v>
      </c>
    </row>
    <row r="6734" customFormat="false" ht="15" hidden="false" customHeight="false" outlineLevel="0" collapsed="false">
      <c r="A6734" s="7" t="s">
        <v>7148</v>
      </c>
      <c r="B6734" s="7" t="n">
        <v>24840.23</v>
      </c>
      <c r="C6734" s="7" t="n">
        <f aca="false">AVERAGE(B6685:B6734)</f>
        <v>23884.3514</v>
      </c>
      <c r="D6734" s="7" t="n">
        <f aca="false">AVERAGE(B6535:B6734)</f>
        <v>21712.2321</v>
      </c>
      <c r="E6734" s="7" t="n">
        <f aca="false">B6734/MAX(B6483:B6734)-1</f>
        <v>-0.00553794934535867</v>
      </c>
      <c r="F6734" s="7" t="str">
        <f aca="false">IFERROR(INDEX(02_轉折點45個!B:B,MATCH(A6734,02_轉折點45個!A:A,0)),"")</f>
        <v/>
      </c>
      <c r="G6734" s="7" t="s">
        <v>5494</v>
      </c>
    </row>
    <row r="6735" customFormat="false" ht="15" hidden="false" customHeight="false" outlineLevel="0" collapsed="false">
      <c r="A6735" s="7" t="s">
        <v>1931</v>
      </c>
      <c r="B6735" s="7" t="n">
        <v>25136.62</v>
      </c>
      <c r="C6735" s="7" t="n">
        <f aca="false">AVERAGE(B6686:B6735)</f>
        <v>23920.9178</v>
      </c>
      <c r="D6735" s="7" t="n">
        <f aca="false">AVERAGE(B6536:B6735)</f>
        <v>21731.8686</v>
      </c>
      <c r="E6735" s="7" t="n">
        <f aca="false">B6735/MAX(B6484:B6735)-1</f>
        <v>0</v>
      </c>
      <c r="F6735" s="7" t="str">
        <f aca="false">IFERROR(INDEX(02_轉折點45個!B:B,MATCH(A6735,02_轉折點45個!A:A,0)),"")</f>
        <v/>
      </c>
      <c r="G6735" s="7" t="s">
        <v>5494</v>
      </c>
    </row>
    <row r="6736" customFormat="false" ht="15" hidden="false" customHeight="false" outlineLevel="0" collapsed="false">
      <c r="A6736" s="7" t="s">
        <v>7149</v>
      </c>
      <c r="B6736" s="7" t="n">
        <v>25098.18</v>
      </c>
      <c r="C6736" s="7" t="n">
        <f aca="false">AVERAGE(B6687:B6736)</f>
        <v>23955.9732</v>
      </c>
      <c r="D6736" s="7" t="n">
        <f aca="false">AVERAGE(B6537:B6736)</f>
        <v>21751.80695</v>
      </c>
      <c r="E6736" s="7" t="n">
        <f aca="false">B6736/MAX(B6485:B6736)-1</f>
        <v>-0.00152924299289237</v>
      </c>
      <c r="F6736" s="7" t="str">
        <f aca="false">IFERROR(INDEX(02_轉折點45個!B:B,MATCH(A6736,02_轉折點45個!A:A,0)),"")</f>
        <v/>
      </c>
      <c r="G6736" s="7" t="s">
        <v>5494</v>
      </c>
    </row>
    <row r="6737" customFormat="false" ht="15" hidden="false" customHeight="false" outlineLevel="0" collapsed="false">
      <c r="A6737" s="7" t="s">
        <v>1932</v>
      </c>
      <c r="B6737" s="7" t="n">
        <v>24221.74</v>
      </c>
      <c r="C6737" s="7" t="n">
        <f aca="false">AVERAGE(B6688:B6737)</f>
        <v>23976.0456</v>
      </c>
      <c r="D6737" s="7" t="n">
        <f aca="false">AVERAGE(B6538:B6737)</f>
        <v>21766.4699</v>
      </c>
      <c r="E6737" s="7" t="n">
        <f aca="false">B6737/MAX(B6486:B6737)-1</f>
        <v>-0.0363963014916086</v>
      </c>
      <c r="F6737" s="7" t="str">
        <f aca="false">IFERROR(INDEX(02_轉折點45個!B:B,MATCH(A6737,02_轉折點45個!A:A,0)),"")</f>
        <v/>
      </c>
      <c r="G6737" s="7" t="s">
        <v>5494</v>
      </c>
    </row>
    <row r="6738" customFormat="false" ht="15" hidden="false" customHeight="false" outlineLevel="0" collapsed="false">
      <c r="A6738" s="7" t="s">
        <v>1933</v>
      </c>
      <c r="B6738" s="7" t="n">
        <v>24750.25</v>
      </c>
      <c r="C6738" s="7" t="n">
        <f aca="false">AVERAGE(B6689:B6738)</f>
        <v>24015.7844</v>
      </c>
      <c r="D6738" s="7" t="n">
        <f aca="false">AVERAGE(B6539:B6738)</f>
        <v>21782.7053</v>
      </c>
      <c r="E6738" s="7" t="n">
        <f aca="false">B6738/MAX(B6487:B6738)-1</f>
        <v>-0.0153708016431803</v>
      </c>
      <c r="F6738" s="7" t="str">
        <f aca="false">IFERROR(INDEX(02_轉折點45個!B:B,MATCH(A6738,02_轉折點45個!A:A,0)),"")</f>
        <v/>
      </c>
      <c r="G6738" s="7" t="s">
        <v>5494</v>
      </c>
    </row>
    <row r="6739" customFormat="false" ht="15" hidden="false" customHeight="false" outlineLevel="0" collapsed="false">
      <c r="A6739" s="7" t="s">
        <v>7150</v>
      </c>
      <c r="B6739" s="7" t="n">
        <v>24579.32</v>
      </c>
      <c r="C6739" s="7" t="n">
        <f aca="false">AVERAGE(B6690:B6739)</f>
        <v>24043.5986</v>
      </c>
      <c r="D6739" s="7" t="n">
        <f aca="false">AVERAGE(B6540:B6739)</f>
        <v>21796.61365</v>
      </c>
      <c r="E6739" s="7" t="n">
        <f aca="false">B6739/MAX(B6488:B6739)-1</f>
        <v>-0.0221708407892548</v>
      </c>
      <c r="F6739" s="7" t="str">
        <f aca="false">IFERROR(INDEX(02_轉折點45個!B:B,MATCH(A6739,02_轉折點45個!A:A,0)),"")</f>
        <v/>
      </c>
      <c r="G6739" s="7" t="s">
        <v>5494</v>
      </c>
    </row>
    <row r="6740" customFormat="false" ht="15" hidden="false" customHeight="false" outlineLevel="0" collapsed="false">
      <c r="A6740" s="7" t="s">
        <v>7151</v>
      </c>
      <c r="B6740" s="7" t="n">
        <v>24745.36</v>
      </c>
      <c r="C6740" s="7" t="n">
        <f aca="false">AVERAGE(B6691:B6740)</f>
        <v>24078.1346</v>
      </c>
      <c r="D6740" s="7" t="n">
        <f aca="false">AVERAGE(B6541:B6740)</f>
        <v>21811.4989</v>
      </c>
      <c r="E6740" s="7" t="n">
        <f aca="false">B6740/MAX(B6489:B6740)-1</f>
        <v>-0.0155653385379577</v>
      </c>
      <c r="F6740" s="7" t="str">
        <f aca="false">IFERROR(INDEX(02_轉折點45個!B:B,MATCH(A6740,02_轉折點45個!A:A,0)),"")</f>
        <v/>
      </c>
      <c r="G6740" s="7" t="s">
        <v>5494</v>
      </c>
    </row>
    <row r="6741" customFormat="false" ht="15" hidden="false" customHeight="false" outlineLevel="0" collapsed="false">
      <c r="A6741" s="7" t="s">
        <v>1934</v>
      </c>
      <c r="B6741" s="7" t="n">
        <v>24657.24</v>
      </c>
      <c r="C6741" s="7" t="n">
        <f aca="false">AVERAGE(B6692:B6741)</f>
        <v>24104.9786</v>
      </c>
      <c r="D6741" s="7" t="n">
        <f aca="false">AVERAGE(B6542:B6741)</f>
        <v>21827.42</v>
      </c>
      <c r="E6741" s="7" t="n">
        <f aca="false">B6741/MAX(B6490:B6741)-1</f>
        <v>-0.0190709809035581</v>
      </c>
      <c r="F6741" s="7" t="str">
        <f aca="false">IFERROR(INDEX(02_轉折點45個!B:B,MATCH(A6741,02_轉折點45個!A:A,0)),"")</f>
        <v/>
      </c>
      <c r="G6741" s="7" t="s">
        <v>5494</v>
      </c>
    </row>
    <row r="6742" customFormat="false" ht="15" hidden="false" customHeight="false" outlineLevel="0" collapsed="false">
      <c r="A6742" s="7" t="s">
        <v>7152</v>
      </c>
      <c r="B6742" s="7" t="n">
        <v>24817.95</v>
      </c>
      <c r="C6742" s="7" t="n">
        <f aca="false">AVERAGE(B6693:B6742)</f>
        <v>24133.547</v>
      </c>
      <c r="D6742" s="7" t="n">
        <f aca="false">AVERAGE(B6543:B6742)</f>
        <v>21845.5243</v>
      </c>
      <c r="E6742" s="7" t="n">
        <f aca="false">B6742/MAX(B6491:B6742)-1</f>
        <v>-0.0126775198893089</v>
      </c>
      <c r="F6742" s="7" t="str">
        <f aca="false">IFERROR(INDEX(02_轉折點45個!B:B,MATCH(A6742,02_轉折點45個!A:A,0)),"")</f>
        <v/>
      </c>
      <c r="G6742" s="7" t="s">
        <v>5494</v>
      </c>
    </row>
    <row r="6743" customFormat="false" ht="15" hidden="false" customHeight="false" outlineLevel="0" collapsed="false">
      <c r="A6743" s="7" t="s">
        <v>1935</v>
      </c>
      <c r="B6743" s="7" t="n">
        <v>25141.02</v>
      </c>
      <c r="C6743" s="7" t="n">
        <f aca="false">AVERAGE(B6694:B6743)</f>
        <v>24164.142</v>
      </c>
      <c r="D6743" s="7" t="n">
        <f aca="false">AVERAGE(B6544:B6743)</f>
        <v>21866.16855</v>
      </c>
      <c r="E6743" s="7" t="n">
        <f aca="false">B6743/MAX(B6492:B6743)-1</f>
        <v>0</v>
      </c>
      <c r="F6743" s="7" t="str">
        <f aca="false">IFERROR(INDEX(02_轉折點45個!B:B,MATCH(A6743,02_轉折點45個!A:A,0)),"")</f>
        <v/>
      </c>
      <c r="G6743" s="7" t="s">
        <v>5494</v>
      </c>
    </row>
    <row r="6744" customFormat="false" ht="15" hidden="false" customHeight="false" outlineLevel="0" collapsed="false">
      <c r="A6744" s="7" t="s">
        <v>7153</v>
      </c>
      <c r="B6744" s="7" t="n">
        <v>25127.13</v>
      </c>
      <c r="C6744" s="7" t="n">
        <f aca="false">AVERAGE(B6695:B6744)</f>
        <v>24196.152</v>
      </c>
      <c r="D6744" s="7" t="n">
        <f aca="false">AVERAGE(B6545:B6744)</f>
        <v>21886.9261</v>
      </c>
      <c r="E6744" s="7" t="n">
        <f aca="false">B6744/MAX(B6493:B6744)-1</f>
        <v>-0.000552483550786742</v>
      </c>
      <c r="F6744" s="7" t="str">
        <f aca="false">IFERROR(INDEX(02_轉折點45個!B:B,MATCH(A6744,02_轉折點45個!A:A,0)),"")</f>
        <v/>
      </c>
      <c r="G6744" s="7" t="s">
        <v>5494</v>
      </c>
    </row>
    <row r="6745" customFormat="false" ht="15" hidden="false" customHeight="false" outlineLevel="0" collapsed="false">
      <c r="A6745" s="7" t="s">
        <v>7154</v>
      </c>
      <c r="B6745" s="7" t="n">
        <v>24879.01</v>
      </c>
      <c r="C6745" s="7" t="n">
        <f aca="false">AVERAGE(B6696:B6745)</f>
        <v>24216.9482</v>
      </c>
      <c r="D6745" s="7" t="n">
        <f aca="false">AVERAGE(B6546:B6745)</f>
        <v>21904.69035</v>
      </c>
      <c r="E6745" s="7" t="n">
        <f aca="false">B6745/MAX(B6494:B6745)-1</f>
        <v>-0.0104216137610965</v>
      </c>
      <c r="F6745" s="7" t="str">
        <f aca="false">IFERROR(INDEX(02_轉折點45個!B:B,MATCH(A6745,02_轉折點45個!A:A,0)),"")</f>
        <v/>
      </c>
      <c r="G6745" s="7" t="s">
        <v>5494</v>
      </c>
    </row>
    <row r="6746" customFormat="false" ht="15" hidden="false" customHeight="false" outlineLevel="0" collapsed="false">
      <c r="A6746" s="7" t="s">
        <v>7155</v>
      </c>
      <c r="B6746" s="7" t="n">
        <v>25097.41</v>
      </c>
      <c r="C6746" s="7" t="n">
        <f aca="false">AVERAGE(B6697:B6746)</f>
        <v>24241.9156</v>
      </c>
      <c r="D6746" s="7" t="n">
        <f aca="false">AVERAGE(B6547:B6746)</f>
        <v>21922.3799</v>
      </c>
      <c r="E6746" s="7" t="n">
        <f aca="false">B6746/MAX(B6495:B6746)-1</f>
        <v>-0.00173461538155573</v>
      </c>
      <c r="F6746" s="7" t="str">
        <f aca="false">IFERROR(INDEX(02_轉折點45個!B:B,MATCH(A6746,02_轉折點45個!A:A,0)),"")</f>
        <v/>
      </c>
      <c r="G6746" s="7" t="s">
        <v>5494</v>
      </c>
    </row>
    <row r="6747" customFormat="false" ht="15" hidden="false" customHeight="false" outlineLevel="0" collapsed="false">
      <c r="A6747" s="7" t="s">
        <v>1936</v>
      </c>
      <c r="B6747" s="7" t="n">
        <v>25358.16</v>
      </c>
      <c r="C6747" s="7" t="n">
        <f aca="false">AVERAGE(B6698:B6747)</f>
        <v>24272.43</v>
      </c>
      <c r="D6747" s="7" t="n">
        <f aca="false">AVERAGE(B6548:B6747)</f>
        <v>21943.3055</v>
      </c>
      <c r="E6747" s="7" t="n">
        <f aca="false">B6747/MAX(B6496:B6747)-1</f>
        <v>0</v>
      </c>
      <c r="F6747" s="7" t="str">
        <f aca="false">IFERROR(INDEX(02_轉折點45個!B:B,MATCH(A6747,02_轉折點45個!A:A,0)),"")</f>
        <v/>
      </c>
      <c r="G6747" s="7" t="s">
        <v>5494</v>
      </c>
    </row>
    <row r="6748" customFormat="false" ht="15" hidden="false" customHeight="false" outlineLevel="0" collapsed="false">
      <c r="A6748" s="7" t="s">
        <v>1937</v>
      </c>
      <c r="B6748" s="7" t="n">
        <v>25821.55</v>
      </c>
      <c r="C6748" s="7" t="n">
        <f aca="false">AVERAGE(B6699:B6748)</f>
        <v>24314.6196</v>
      </c>
      <c r="D6748" s="7" t="n">
        <f aca="false">AVERAGE(B6549:B6748)</f>
        <v>21966.5084</v>
      </c>
      <c r="E6748" s="7" t="n">
        <f aca="false">B6748/MAX(B6497:B6748)-1</f>
        <v>0</v>
      </c>
      <c r="F6748" s="7" t="str">
        <f aca="false">IFERROR(INDEX(02_轉折點45個!B:B,MATCH(A6748,02_轉折點45個!A:A,0)),"")</f>
        <v/>
      </c>
      <c r="G6748" s="7" t="s">
        <v>5494</v>
      </c>
    </row>
    <row r="6749" customFormat="false" ht="15" hidden="false" customHeight="false" outlineLevel="0" collapsed="false">
      <c r="A6749" s="7" t="s">
        <v>7156</v>
      </c>
      <c r="B6749" s="7" t="n">
        <v>26012.15</v>
      </c>
      <c r="C6749" s="7" t="n">
        <f aca="false">AVERAGE(B6700:B6749)</f>
        <v>24360.5874</v>
      </c>
      <c r="D6749" s="7" t="n">
        <f aca="false">AVERAGE(B6550:B6749)</f>
        <v>21992.33125</v>
      </c>
      <c r="E6749" s="7" t="n">
        <f aca="false">B6749/MAX(B6498:B6749)-1</f>
        <v>0</v>
      </c>
      <c r="F6749" s="7" t="str">
        <f aca="false">IFERROR(INDEX(02_轉折點45個!B:B,MATCH(A6749,02_轉折點45個!A:A,0)),"")</f>
        <v/>
      </c>
      <c r="G6749" s="7" t="s">
        <v>5494</v>
      </c>
    </row>
    <row r="6750" customFormat="false" ht="15" hidden="false" customHeight="false" outlineLevel="0" collapsed="false">
      <c r="A6750" s="7" t="s">
        <v>1938</v>
      </c>
      <c r="B6750" s="7" t="n">
        <v>26119.85</v>
      </c>
      <c r="C6750" s="7" t="n">
        <f aca="false">AVERAGE(B6701:B6750)</f>
        <v>24415.289</v>
      </c>
      <c r="D6750" s="7" t="n">
        <f aca="false">AVERAGE(B6551:B6750)</f>
        <v>22019.0069</v>
      </c>
      <c r="E6750" s="7" t="n">
        <f aca="false">B6750/MAX(B6499:B6750)-1</f>
        <v>0</v>
      </c>
      <c r="F6750" s="7" t="str">
        <f aca="false">IFERROR(INDEX(02_轉折點45個!B:B,MATCH(A6750,02_轉折點45個!A:A,0)),"")</f>
        <v/>
      </c>
      <c r="G6750" s="7" t="s">
        <v>5494</v>
      </c>
    </row>
    <row r="6751" customFormat="false" ht="15" hidden="false" customHeight="false" outlineLevel="0" collapsed="false">
      <c r="A6751" s="7" t="s">
        <v>7157</v>
      </c>
      <c r="B6751" s="7" t="n">
        <v>25734.81</v>
      </c>
      <c r="C6751" s="7" t="n">
        <f aca="false">AVERAGE(B6702:B6751)</f>
        <v>24464.9938</v>
      </c>
      <c r="D6751" s="7" t="n">
        <f aca="false">AVERAGE(B6552:B6751)</f>
        <v>22043.8939</v>
      </c>
      <c r="E6751" s="7" t="n">
        <f aca="false">B6751/MAX(B6500:B6751)-1</f>
        <v>-0.0147412791421083</v>
      </c>
      <c r="F6751" s="7" t="str">
        <f aca="false">IFERROR(INDEX(02_轉折點45個!B:B,MATCH(A6751,02_轉折點45個!A:A,0)),"")</f>
        <v/>
      </c>
      <c r="G6751" s="7" t="s">
        <v>5494</v>
      </c>
    </row>
    <row r="6752" customFormat="false" ht="15" hidden="false" customHeight="false" outlineLevel="0" collapsed="false">
      <c r="A6752" s="7" t="s">
        <v>7158</v>
      </c>
      <c r="B6752" s="7" t="n">
        <v>25858.13</v>
      </c>
      <c r="C6752" s="7" t="n">
        <f aca="false">AVERAGE(B6703:B6752)</f>
        <v>24519.3048</v>
      </c>
      <c r="D6752" s="7" t="n">
        <f aca="false">AVERAGE(B6553:B6752)</f>
        <v>22066.9953</v>
      </c>
      <c r="E6752" s="7" t="n">
        <f aca="false">B6752/MAX(B6501:B6752)-1</f>
        <v>-0.0100199656583019</v>
      </c>
      <c r="F6752" s="7" t="str">
        <f aca="false">IFERROR(INDEX(02_轉折點45個!B:B,MATCH(A6752,02_轉折點45個!A:A,0)),"")</f>
        <v/>
      </c>
      <c r="G6752" s="7" t="s">
        <v>5494</v>
      </c>
    </row>
    <row r="6753" customFormat="false" ht="15" hidden="false" customHeight="false" outlineLevel="0" collapsed="false">
      <c r="A6753" s="7" t="s">
        <v>7159</v>
      </c>
      <c r="B6753" s="7" t="n">
        <v>25972.94</v>
      </c>
      <c r="C6753" s="7" t="n">
        <f aca="false">AVERAGE(B6704:B6753)</f>
        <v>24568.8012</v>
      </c>
      <c r="D6753" s="7" t="n">
        <f aca="false">AVERAGE(B6554:B6753)</f>
        <v>22091.40375</v>
      </c>
      <c r="E6753" s="7" t="n">
        <f aca="false">B6753/MAX(B6502:B6753)-1</f>
        <v>-0.00562445802713263</v>
      </c>
      <c r="F6753" s="7" t="str">
        <f aca="false">IFERROR(INDEX(02_轉折點45個!B:B,MATCH(A6753,02_轉折點45個!A:A,0)),"")</f>
        <v/>
      </c>
      <c r="G6753" s="7" t="s">
        <v>5494</v>
      </c>
    </row>
    <row r="6754" customFormat="false" ht="15" hidden="false" customHeight="false" outlineLevel="0" collapsed="false">
      <c r="A6754" s="7" t="s">
        <v>7160</v>
      </c>
      <c r="B6754" s="7" t="n">
        <v>25435.7</v>
      </c>
      <c r="C6754" s="7" t="n">
        <f aca="false">AVERAGE(B6705:B6754)</f>
        <v>24609.003</v>
      </c>
      <c r="D6754" s="7" t="n">
        <f aca="false">AVERAGE(B6555:B6754)</f>
        <v>22111.37645</v>
      </c>
      <c r="E6754" s="7" t="n">
        <f aca="false">B6754/MAX(B6503:B6754)-1</f>
        <v>-0.0261927231588236</v>
      </c>
      <c r="F6754" s="7" t="str">
        <f aca="false">IFERROR(INDEX(02_轉折點45個!B:B,MATCH(A6754,02_轉折點45個!A:A,0)),"")</f>
        <v/>
      </c>
      <c r="G6754" s="7" t="s">
        <v>5494</v>
      </c>
    </row>
    <row r="6755" customFormat="false" ht="15" hidden="false" customHeight="false" outlineLevel="0" collapsed="false">
      <c r="A6755" s="7" t="s">
        <v>7161</v>
      </c>
      <c r="B6755" s="7" t="n">
        <v>25620.03</v>
      </c>
      <c r="C6755" s="7" t="n">
        <f aca="false">AVERAGE(B6706:B6755)</f>
        <v>24650.8978</v>
      </c>
      <c r="D6755" s="7" t="n">
        <f aca="false">AVERAGE(B6556:B6755)</f>
        <v>22131.64405</v>
      </c>
      <c r="E6755" s="7" t="n">
        <f aca="false">B6755/MAX(B6504:B6755)-1</f>
        <v>-0.0191356382215059</v>
      </c>
      <c r="F6755" s="7" t="str">
        <f aca="false">IFERROR(INDEX(02_轉折點45個!B:B,MATCH(A6755,02_轉折點45個!A:A,0)),"")</f>
        <v/>
      </c>
      <c r="G6755" s="7" t="s">
        <v>5494</v>
      </c>
    </row>
    <row r="6756" customFormat="false" ht="15" hidden="false" customHeight="false" outlineLevel="0" collapsed="false">
      <c r="A6756" s="7" t="s">
        <v>1939</v>
      </c>
      <c r="B6756" s="7" t="n">
        <v>25130.04</v>
      </c>
      <c r="C6756" s="7" t="n">
        <f aca="false">AVERAGE(B6707:B6756)</f>
        <v>24682.1816</v>
      </c>
      <c r="D6756" s="7" t="n">
        <f aca="false">AVERAGE(B6557:B6756)</f>
        <v>22148.02925</v>
      </c>
      <c r="E6756" s="7" t="n">
        <f aca="false">B6756/MAX(B6505:B6756)-1</f>
        <v>-0.0378949343124099</v>
      </c>
      <c r="F6756" s="7" t="str">
        <f aca="false">IFERROR(INDEX(02_轉折點45個!B:B,MATCH(A6756,02_轉折點45個!A:A,0)),"")</f>
        <v/>
      </c>
      <c r="G6756" s="7" t="s">
        <v>5494</v>
      </c>
    </row>
    <row r="6757" customFormat="false" ht="15" hidden="false" customHeight="false" outlineLevel="0" collapsed="false">
      <c r="A6757" s="7" t="s">
        <v>7162</v>
      </c>
      <c r="B6757" s="7" t="n">
        <v>25059.81</v>
      </c>
      <c r="C6757" s="7" t="n">
        <f aca="false">AVERAGE(B6708:B6757)</f>
        <v>24709.3088</v>
      </c>
      <c r="D6757" s="7" t="n">
        <f aca="false">AVERAGE(B6558:B6757)</f>
        <v>22163.82365</v>
      </c>
      <c r="E6757" s="7" t="n">
        <f aca="false">B6757/MAX(B6506:B6757)-1</f>
        <v>-0.0405836940104938</v>
      </c>
      <c r="F6757" s="7" t="str">
        <f aca="false">IFERROR(INDEX(02_轉折點45個!B:B,MATCH(A6757,02_轉折點45個!A:A,0)),"")</f>
        <v/>
      </c>
      <c r="G6757" s="7" t="s">
        <v>5494</v>
      </c>
    </row>
    <row r="6758" customFormat="false" ht="15" hidden="false" customHeight="false" outlineLevel="0" collapsed="false">
      <c r="A6758" s="7" t="s">
        <v>7163</v>
      </c>
      <c r="B6758" s="7" t="n">
        <v>25611.74</v>
      </c>
      <c r="C6758" s="7" t="n">
        <f aca="false">AVERAGE(B6709:B6758)</f>
        <v>24753.2352</v>
      </c>
      <c r="D6758" s="7" t="n">
        <f aca="false">AVERAGE(B6559:B6758)</f>
        <v>22183.0123</v>
      </c>
      <c r="E6758" s="7" t="n">
        <f aca="false">B6758/MAX(B6507:B6758)-1</f>
        <v>-0.0194530213611486</v>
      </c>
      <c r="F6758" s="7" t="str">
        <f aca="false">IFERROR(INDEX(02_轉折點45個!B:B,MATCH(A6758,02_轉折點45個!A:A,0)),"")</f>
        <v/>
      </c>
      <c r="G6758" s="7" t="s">
        <v>5494</v>
      </c>
    </row>
    <row r="6759" customFormat="false" ht="15" hidden="false" customHeight="false" outlineLevel="0" collapsed="false">
      <c r="A6759" s="7" t="s">
        <v>7164</v>
      </c>
      <c r="B6759" s="7" t="n">
        <v>25533.49</v>
      </c>
      <c r="C6759" s="7" t="n">
        <f aca="false">AVERAGE(B6710:B6759)</f>
        <v>24799.2828</v>
      </c>
      <c r="D6759" s="7" t="n">
        <f aca="false">AVERAGE(B6560:B6759)</f>
        <v>22205.04335</v>
      </c>
      <c r="E6759" s="7" t="n">
        <f aca="false">B6759/MAX(B6508:B6759)-1</f>
        <v>-0.0224488272329281</v>
      </c>
      <c r="F6759" s="7" t="str">
        <f aca="false">IFERROR(INDEX(02_轉折點45個!B:B,MATCH(A6759,02_轉折點45個!A:A,0)),"")</f>
        <v/>
      </c>
      <c r="G6759" s="7" t="s">
        <v>5494</v>
      </c>
    </row>
    <row r="6760" customFormat="false" ht="15" hidden="false" customHeight="false" outlineLevel="0" collapsed="false">
      <c r="A6760" s="7" t="s">
        <v>7165</v>
      </c>
      <c r="B6760" s="7" t="n">
        <v>25517.33</v>
      </c>
      <c r="C6760" s="7" t="n">
        <f aca="false">AVERAGE(B6711:B6760)</f>
        <v>24841.3326</v>
      </c>
      <c r="D6760" s="7" t="n">
        <f aca="false">AVERAGE(B6561:B6760)</f>
        <v>22225.3148</v>
      </c>
      <c r="E6760" s="7" t="n">
        <f aca="false">B6760/MAX(B6509:B6760)-1</f>
        <v>-0.0230675137874068</v>
      </c>
      <c r="F6760" s="7" t="str">
        <f aca="false">IFERROR(INDEX(02_轉折點45個!B:B,MATCH(A6760,02_轉折點45個!A:A,0)),"")</f>
        <v/>
      </c>
      <c r="G6760" s="7" t="s">
        <v>5494</v>
      </c>
    </row>
    <row r="6761" customFormat="false" ht="15" hidden="false" customHeight="false" outlineLevel="0" collapsed="false">
      <c r="A6761" s="7" t="s">
        <v>7166</v>
      </c>
      <c r="B6761" s="7" t="n">
        <v>24993.46</v>
      </c>
      <c r="C6761" s="7" t="n">
        <f aca="false">AVERAGE(B6712:B6761)</f>
        <v>24868.5416</v>
      </c>
      <c r="D6761" s="7" t="n">
        <f aca="false">AVERAGE(B6562:B6761)</f>
        <v>22243.2248</v>
      </c>
      <c r="E6761" s="7" t="n">
        <f aca="false">B6761/MAX(B6510:B6761)-1</f>
        <v>-0.0431239076794085</v>
      </c>
      <c r="F6761" s="7" t="str">
        <f aca="false">IFERROR(INDEX(02_轉折點45個!B:B,MATCH(A6761,02_轉折點45個!A:A,0)),"")</f>
        <v/>
      </c>
      <c r="G6761" s="7" t="s">
        <v>5494</v>
      </c>
    </row>
    <row r="6762" customFormat="false" ht="15" hidden="false" customHeight="false" outlineLevel="0" collapsed="false">
      <c r="A6762" s="7" t="s">
        <v>7167</v>
      </c>
      <c r="B6762" s="7" t="n">
        <v>25008.24</v>
      </c>
      <c r="C6762" s="7" t="n">
        <f aca="false">AVERAGE(B6713:B6762)</f>
        <v>24895.6576</v>
      </c>
      <c r="D6762" s="7" t="n">
        <f aca="false">AVERAGE(B6563:B6762)</f>
        <v>22260.7254</v>
      </c>
      <c r="E6762" s="7" t="n">
        <f aca="false">B6762/MAX(B6511:B6762)-1</f>
        <v>-0.0425580545064385</v>
      </c>
      <c r="F6762" s="7" t="str">
        <f aca="false">IFERROR(INDEX(02_轉折點45個!B:B,MATCH(A6762,02_轉折點45個!A:A,0)),"")</f>
        <v/>
      </c>
      <c r="G6762" s="7" t="s">
        <v>5494</v>
      </c>
    </row>
    <row r="6763" customFormat="false" ht="15" hidden="false" customHeight="false" outlineLevel="0" collapsed="false">
      <c r="A6763" s="7" t="s">
        <v>7168</v>
      </c>
      <c r="B6763" s="7" t="n">
        <v>24799.92</v>
      </c>
      <c r="C6763" s="7" t="n">
        <f aca="false">AVERAGE(B6714:B6763)</f>
        <v>24916.41</v>
      </c>
      <c r="D6763" s="7" t="n">
        <f aca="false">AVERAGE(B6564:B6763)</f>
        <v>22277.33475</v>
      </c>
      <c r="E6763" s="7" t="n">
        <f aca="false">B6763/MAX(B6512:B6763)-1</f>
        <v>-0.0505335980107083</v>
      </c>
      <c r="F6763" s="7" t="str">
        <f aca="false">IFERROR(INDEX(02_轉折點45個!B:B,MATCH(A6763,02_轉折點45個!A:A,0)),"")</f>
        <v/>
      </c>
      <c r="G6763" s="7" t="s">
        <v>5494</v>
      </c>
    </row>
    <row r="6764" customFormat="false" ht="15" hidden="false" customHeight="false" outlineLevel="0" collapsed="false">
      <c r="A6764" s="7" t="s">
        <v>1940</v>
      </c>
      <c r="B6764" s="7" t="n">
        <v>24503.1</v>
      </c>
      <c r="C6764" s="7" t="n">
        <f aca="false">AVERAGE(B6715:B6764)</f>
        <v>24929.676</v>
      </c>
      <c r="D6764" s="7" t="n">
        <f aca="false">AVERAGE(B6565:B6764)</f>
        <v>22293.36235</v>
      </c>
      <c r="E6764" s="7" t="n">
        <f aca="false">B6764/MAX(B6513:B6764)-1</f>
        <v>-0.0618973692421664</v>
      </c>
      <c r="F6764" s="7" t="str">
        <f aca="false">IFERROR(INDEX(02_轉折點45個!B:B,MATCH(A6764,02_轉折點45個!A:A,0)),"")</f>
        <v/>
      </c>
      <c r="G6764" s="7" t="s">
        <v>5494</v>
      </c>
    </row>
    <row r="6765" customFormat="false" ht="15" hidden="false" customHeight="false" outlineLevel="0" collapsed="false">
      <c r="A6765" s="7" t="s">
        <v>7169</v>
      </c>
      <c r="B6765" s="7" t="n">
        <v>24640.52</v>
      </c>
      <c r="C6765" s="7" t="n">
        <f aca="false">AVERAGE(B6716:B6765)</f>
        <v>24945.501</v>
      </c>
      <c r="D6765" s="7" t="n">
        <f aca="false">AVERAGE(B6566:B6765)</f>
        <v>22308.73035</v>
      </c>
      <c r="E6765" s="7" t="n">
        <f aca="false">B6765/MAX(B6514:B6765)-1</f>
        <v>-0.0566362364255537</v>
      </c>
      <c r="F6765" s="7" t="str">
        <f aca="false">IFERROR(INDEX(02_轉折點45個!B:B,MATCH(A6765,02_轉折點45個!A:A,0)),"")</f>
        <v/>
      </c>
      <c r="G6765" s="7" t="s">
        <v>5494</v>
      </c>
    </row>
    <row r="6766" customFormat="false" ht="15" hidden="false" customHeight="false" outlineLevel="0" collapsed="false">
      <c r="A6766" s="7" t="s">
        <v>1941</v>
      </c>
      <c r="B6766" s="7" t="n">
        <v>24054.38</v>
      </c>
      <c r="C6766" s="7" t="n">
        <f aca="false">AVERAGE(B6717:B6766)</f>
        <v>24946.7374</v>
      </c>
      <c r="D6766" s="7" t="n">
        <f aca="false">AVERAGE(B6567:B6766)</f>
        <v>22320.71145</v>
      </c>
      <c r="E6766" s="7" t="n">
        <f aca="false">B6766/MAX(B6515:B6766)-1</f>
        <v>-0.0790766409454877</v>
      </c>
      <c r="F6766" s="7" t="str">
        <f aca="false">IFERROR(INDEX(02_轉折點45個!B:B,MATCH(A6766,02_轉折點45個!A:A,0)),"")</f>
        <v/>
      </c>
      <c r="G6766" s="7" t="s">
        <v>5494</v>
      </c>
    </row>
    <row r="6767" customFormat="false" ht="15" hidden="false" customHeight="false" outlineLevel="0" collapsed="false">
      <c r="A6767" s="7" t="s">
        <v>1942</v>
      </c>
      <c r="B6767" s="7" t="n">
        <v>24239.57</v>
      </c>
      <c r="C6767" s="7" t="n">
        <f aca="false">AVERAGE(B6718:B6767)</f>
        <v>24949.685</v>
      </c>
      <c r="D6767" s="7" t="n">
        <f aca="false">AVERAGE(B6568:B6767)</f>
        <v>22333.03895</v>
      </c>
      <c r="E6767" s="7" t="n">
        <f aca="false">B6767/MAX(B6516:B6767)-1</f>
        <v>-0.0719866308573747</v>
      </c>
      <c r="F6767" s="7" t="str">
        <f aca="false">IFERROR(INDEX(02_轉折點45個!B:B,MATCH(A6767,02_轉折點45個!A:A,0)),"")</f>
        <v/>
      </c>
      <c r="G6767" s="7" t="s">
        <v>5494</v>
      </c>
    </row>
    <row r="6768" customFormat="false" ht="15" hidden="false" customHeight="false" outlineLevel="0" collapsed="false">
      <c r="A6768" s="7" t="s">
        <v>1943</v>
      </c>
      <c r="B6768" s="7" t="n">
        <v>24873.85</v>
      </c>
      <c r="C6768" s="7" t="n">
        <f aca="false">AVERAGE(B6719:B6768)</f>
        <v>24961.2864</v>
      </c>
      <c r="D6768" s="7" t="n">
        <f aca="false">AVERAGE(B6569:B6768)</f>
        <v>22349.95165</v>
      </c>
      <c r="E6768" s="7" t="n">
        <f aca="false">B6768/MAX(B6517:B6768)-1</f>
        <v>-0.0477031835940865</v>
      </c>
      <c r="F6768" s="7" t="str">
        <f aca="false">IFERROR(INDEX(02_轉折點45個!B:B,MATCH(A6768,02_轉折點45個!A:A,0)),"")</f>
        <v/>
      </c>
      <c r="G6768" s="7" t="s">
        <v>5494</v>
      </c>
    </row>
    <row r="6769" customFormat="false" ht="15" hidden="false" customHeight="false" outlineLevel="0" collapsed="false">
      <c r="A6769" s="7" t="s">
        <v>7170</v>
      </c>
      <c r="B6769" s="7" t="n">
        <v>25018.36</v>
      </c>
      <c r="C6769" s="7" t="n">
        <f aca="false">AVERAGE(B6720:B6769)</f>
        <v>24976.1686</v>
      </c>
      <c r="D6769" s="7" t="n">
        <f aca="false">AVERAGE(B6570:B6769)</f>
        <v>22366.2598</v>
      </c>
      <c r="E6769" s="7" t="n">
        <f aca="false">B6769/MAX(B6518:B6769)-1</f>
        <v>-0.042170609708708</v>
      </c>
      <c r="F6769" s="7" t="str">
        <f aca="false">IFERROR(INDEX(02_轉折點45個!B:B,MATCH(A6769,02_轉折點45個!A:A,0)),"")</f>
        <v/>
      </c>
      <c r="G6769" s="7" t="s">
        <v>5494</v>
      </c>
    </row>
    <row r="6770" customFormat="false" ht="15" hidden="false" customHeight="false" outlineLevel="0" collapsed="false">
      <c r="A6770" s="7" t="s">
        <v>7171</v>
      </c>
      <c r="B6770" s="7" t="n">
        <v>25236.94</v>
      </c>
      <c r="C6770" s="7" t="n">
        <f aca="false">AVERAGE(B6721:B6770)</f>
        <v>24996.4336</v>
      </c>
      <c r="D6770" s="7" t="n">
        <f aca="false">AVERAGE(B6571:B6770)</f>
        <v>22383.9769</v>
      </c>
      <c r="E6770" s="7" t="n">
        <f aca="false">B6770/MAX(B6519:B6770)-1</f>
        <v>-0.0338022614984389</v>
      </c>
      <c r="F6770" s="7" t="str">
        <f aca="false">IFERROR(INDEX(02_轉折點45個!B:B,MATCH(A6770,02_轉折點45個!A:A,0)),"")</f>
        <v/>
      </c>
      <c r="G6770" s="7" t="s">
        <v>5494</v>
      </c>
    </row>
    <row r="6771" customFormat="false" ht="15" hidden="false" customHeight="false" outlineLevel="0" collapsed="false">
      <c r="A6771" s="7" t="s">
        <v>7172</v>
      </c>
      <c r="B6771" s="7" t="n">
        <v>25434.89</v>
      </c>
      <c r="C6771" s="7" t="n">
        <f aca="false">AVERAGE(B6722:B6771)</f>
        <v>25016.0336</v>
      </c>
      <c r="D6771" s="7" t="n">
        <f aca="false">AVERAGE(B6572:B6771)</f>
        <v>22402.55505</v>
      </c>
      <c r="E6771" s="7" t="n">
        <f aca="false">B6771/MAX(B6520:B6771)-1</f>
        <v>-0.0262237340566657</v>
      </c>
      <c r="F6771" s="7" t="str">
        <f aca="false">IFERROR(INDEX(02_轉折點45個!B:B,MATCH(A6771,02_轉折點45個!A:A,0)),"")</f>
        <v/>
      </c>
      <c r="G6771" s="7" t="s">
        <v>5494</v>
      </c>
    </row>
    <row r="6772" customFormat="false" ht="15" hidden="false" customHeight="false" outlineLevel="0" collapsed="false">
      <c r="A6772" s="7" t="s">
        <v>7173</v>
      </c>
      <c r="B6772" s="7" t="n">
        <v>25342.85</v>
      </c>
      <c r="C6772" s="7" t="n">
        <f aca="false">AVERAGE(B6723:B6772)</f>
        <v>25030.3656</v>
      </c>
      <c r="D6772" s="7" t="n">
        <f aca="false">AVERAGE(B6573:B6772)</f>
        <v>22419.11575</v>
      </c>
      <c r="E6772" s="7" t="n">
        <f aca="false">B6772/MAX(B6521:B6772)-1</f>
        <v>-0.0297474908929416</v>
      </c>
      <c r="F6772" s="7" t="str">
        <f aca="false">IFERROR(INDEX(02_轉折點45個!B:B,MATCH(A6772,02_轉折點45個!A:A,0)),"")</f>
        <v/>
      </c>
      <c r="G6772" s="7" t="s">
        <v>5494</v>
      </c>
    </row>
    <row r="6773" customFormat="false" ht="15" hidden="false" customHeight="false" outlineLevel="0" collapsed="false">
      <c r="A6773" s="7" t="s">
        <v>7174</v>
      </c>
      <c r="B6773" s="7" t="n">
        <v>25555.86</v>
      </c>
      <c r="C6773" s="7" t="n">
        <f aca="false">AVERAGE(B6724:B6773)</f>
        <v>25046.2614</v>
      </c>
      <c r="D6773" s="7" t="n">
        <f aca="false">AVERAGE(B6574:B6773)</f>
        <v>22436.3216</v>
      </c>
      <c r="E6773" s="7" t="n">
        <f aca="false">B6773/MAX(B6522:B6773)-1</f>
        <v>-0.0215923904616603</v>
      </c>
      <c r="F6773" s="7" t="str">
        <f aca="false">IFERROR(INDEX(02_轉折點45個!B:B,MATCH(A6773,02_轉折點45個!A:A,0)),"")</f>
        <v/>
      </c>
      <c r="G6773" s="7" t="s">
        <v>5494</v>
      </c>
    </row>
    <row r="6774" customFormat="false" ht="15" hidden="false" customHeight="false" outlineLevel="0" collapsed="false">
      <c r="A6774" s="7" t="s">
        <v>7175</v>
      </c>
      <c r="B6774" s="7" t="n">
        <v>25606.54</v>
      </c>
      <c r="C6774" s="7" t="n">
        <f aca="false">AVERAGE(B6725:B6774)</f>
        <v>25066.7888</v>
      </c>
      <c r="D6774" s="7" t="n">
        <f aca="false">AVERAGE(B6575:B6774)</f>
        <v>22453.53125</v>
      </c>
      <c r="E6774" s="7" t="n">
        <f aca="false">B6774/MAX(B6523:B6774)-1</f>
        <v>-0.0196521036682829</v>
      </c>
      <c r="F6774" s="7" t="str">
        <f aca="false">IFERROR(INDEX(02_轉折點45個!B:B,MATCH(A6774,02_轉折點45個!A:A,0)),"")</f>
        <v/>
      </c>
      <c r="G6774" s="7" t="s">
        <v>5494</v>
      </c>
    </row>
    <row r="6775" customFormat="false" ht="15" hidden="false" customHeight="false" outlineLevel="0" collapsed="false">
      <c r="A6775" s="7" t="s">
        <v>7176</v>
      </c>
      <c r="B6775" s="7" t="n">
        <v>25581.7</v>
      </c>
      <c r="C6775" s="7" t="n">
        <f aca="false">AVERAGE(B6726:B6775)</f>
        <v>25088.3514</v>
      </c>
      <c r="D6775" s="7" t="n">
        <f aca="false">AVERAGE(B6576:B6775)</f>
        <v>22470.56175</v>
      </c>
      <c r="E6775" s="7" t="n">
        <f aca="false">B6775/MAX(B6524:B6775)-1</f>
        <v>-0.0206031045354395</v>
      </c>
      <c r="F6775" s="7" t="str">
        <f aca="false">IFERROR(INDEX(02_轉折點45個!B:B,MATCH(A6775,02_轉折點45個!A:A,0)),"")</f>
        <v/>
      </c>
      <c r="G6775" s="7" t="s">
        <v>5494</v>
      </c>
    </row>
    <row r="6776" customFormat="false" ht="15" hidden="false" customHeight="false" outlineLevel="0" collapsed="false">
      <c r="A6776" s="7" t="s">
        <v>7177</v>
      </c>
      <c r="B6776" s="7" t="n">
        <v>25692.05</v>
      </c>
      <c r="C6776" s="7" t="n">
        <f aca="false">AVERAGE(B6727:B6776)</f>
        <v>25114.2462</v>
      </c>
      <c r="D6776" s="7" t="n">
        <f aca="false">AVERAGE(B6577:B6776)</f>
        <v>22488.6817</v>
      </c>
      <c r="E6776" s="7" t="n">
        <f aca="false">B6776/MAX(B6525:B6776)-1</f>
        <v>-0.0163783482676968</v>
      </c>
      <c r="F6776" s="7" t="str">
        <f aca="false">IFERROR(INDEX(02_轉折點45個!B:B,MATCH(A6776,02_轉折點45個!A:A,0)),"")</f>
        <v/>
      </c>
      <c r="G6776" s="7" t="s">
        <v>5494</v>
      </c>
    </row>
    <row r="6777" customFormat="false" ht="15" hidden="false" customHeight="false" outlineLevel="0" collapsed="false">
      <c r="A6777" s="7" t="s">
        <v>7178</v>
      </c>
      <c r="B6777" s="7" t="n">
        <v>25627.95</v>
      </c>
      <c r="C6777" s="7" t="n">
        <f aca="false">AVERAGE(B6728:B6777)</f>
        <v>25136.7282</v>
      </c>
      <c r="D6777" s="7" t="n">
        <f aca="false">AVERAGE(B6578:B6777)</f>
        <v>22508.75105</v>
      </c>
      <c r="E6777" s="7" t="n">
        <f aca="false">B6777/MAX(B6526:B6777)-1</f>
        <v>-0.0188324205537167</v>
      </c>
      <c r="F6777" s="7" t="str">
        <f aca="false">IFERROR(INDEX(02_轉折點45個!B:B,MATCH(A6777,02_轉折點45個!A:A,0)),"")</f>
        <v/>
      </c>
      <c r="G6777" s="7" t="s">
        <v>5494</v>
      </c>
    </row>
    <row r="6778" customFormat="false" ht="15" hidden="false" customHeight="false" outlineLevel="0" collapsed="false">
      <c r="A6778" s="7" t="s">
        <v>7179</v>
      </c>
      <c r="B6778" s="7" t="n">
        <v>25668.69</v>
      </c>
      <c r="C6778" s="7" t="n">
        <f aca="false">AVERAGE(B6729:B6778)</f>
        <v>25157.875</v>
      </c>
      <c r="D6778" s="7" t="n">
        <f aca="false">AVERAGE(B6579:B6778)</f>
        <v>22530.3341</v>
      </c>
      <c r="E6778" s="7" t="n">
        <f aca="false">B6778/MAX(B6527:B6778)-1</f>
        <v>-0.0172726872474382</v>
      </c>
      <c r="F6778" s="7" t="str">
        <f aca="false">IFERROR(INDEX(02_轉折點45個!B:B,MATCH(A6778,02_轉折點45個!A:A,0)),"")</f>
        <v/>
      </c>
      <c r="G6778" s="7" t="s">
        <v>5494</v>
      </c>
    </row>
    <row r="6779" customFormat="false" ht="15" hidden="false" customHeight="false" outlineLevel="0" collapsed="false">
      <c r="A6779" s="7" t="s">
        <v>7180</v>
      </c>
      <c r="B6779" s="7" t="n">
        <v>25776.44</v>
      </c>
      <c r="C6779" s="7" t="n">
        <f aca="false">AVERAGE(B6730:B6779)</f>
        <v>25179.804</v>
      </c>
      <c r="D6779" s="7" t="n">
        <f aca="false">AVERAGE(B6580:B6779)</f>
        <v>22553.78005</v>
      </c>
      <c r="E6779" s="7" t="n">
        <f aca="false">B6779/MAX(B6528:B6779)-1</f>
        <v>-0.0131474721332626</v>
      </c>
      <c r="F6779" s="7" t="str">
        <f aca="false">IFERROR(INDEX(02_轉折點45個!B:B,MATCH(A6779,02_轉折點45個!A:A,0)),"")</f>
        <v/>
      </c>
      <c r="G6779" s="7" t="s">
        <v>5494</v>
      </c>
    </row>
    <row r="6780" customFormat="false" ht="15" hidden="false" customHeight="false" outlineLevel="0" collapsed="false">
      <c r="A6780" s="7" t="s">
        <v>7181</v>
      </c>
      <c r="B6780" s="7" t="n">
        <v>25686.69</v>
      </c>
      <c r="C6780" s="7" t="n">
        <f aca="false">AVERAGE(B6731:B6780)</f>
        <v>25197.5206</v>
      </c>
      <c r="D6780" s="7" t="n">
        <f aca="false">AVERAGE(B6581:B6780)</f>
        <v>22576.5489</v>
      </c>
      <c r="E6780" s="7" t="n">
        <f aca="false">B6780/MAX(B6529:B6780)-1</f>
        <v>-0.0165835561842813</v>
      </c>
      <c r="F6780" s="7" t="str">
        <f aca="false">IFERROR(INDEX(02_轉折點45個!B:B,MATCH(A6780,02_轉折點45個!A:A,0)),"")</f>
        <v/>
      </c>
      <c r="G6780" s="7" t="s">
        <v>5494</v>
      </c>
    </row>
    <row r="6781" customFormat="false" ht="15" hidden="false" customHeight="false" outlineLevel="0" collapsed="false">
      <c r="A6781" s="7" t="s">
        <v>7182</v>
      </c>
      <c r="B6781" s="7" t="n">
        <v>25196.73</v>
      </c>
      <c r="C6781" s="7" t="n">
        <f aca="false">AVERAGE(B6732:B6781)</f>
        <v>25203.6</v>
      </c>
      <c r="D6781" s="7" t="n">
        <f aca="false">AVERAGE(B6582:B6781)</f>
        <v>22599.7778</v>
      </c>
      <c r="E6781" s="7" t="n">
        <f aca="false">B6781/MAX(B6530:B6781)-1</f>
        <v>-0.0353417037234134</v>
      </c>
      <c r="F6781" s="7" t="str">
        <f aca="false">IFERROR(INDEX(02_轉折點45個!B:B,MATCH(A6781,02_轉折點45個!A:A,0)),"")</f>
        <v/>
      </c>
      <c r="G6781" s="7" t="s">
        <v>5494</v>
      </c>
    </row>
    <row r="6782" customFormat="false" ht="15" hidden="false" customHeight="false" outlineLevel="0" collapsed="false">
      <c r="A6782" s="7" t="s">
        <v>1944</v>
      </c>
      <c r="B6782" s="7" t="n">
        <v>25067.27</v>
      </c>
      <c r="C6782" s="7" t="n">
        <f aca="false">AVERAGE(B6733:B6782)</f>
        <v>25209.235</v>
      </c>
      <c r="D6782" s="7" t="n">
        <f aca="false">AVERAGE(B6583:B6782)</f>
        <v>22620.6921</v>
      </c>
      <c r="E6782" s="7" t="n">
        <f aca="false">B6782/MAX(B6531:B6782)-1</f>
        <v>-0.0402980874698744</v>
      </c>
      <c r="F6782" s="7" t="str">
        <f aca="false">IFERROR(INDEX(02_轉折點45個!B:B,MATCH(A6782,02_轉折點45個!A:A,0)),"")</f>
        <v/>
      </c>
      <c r="G6782" s="7" t="s">
        <v>5494</v>
      </c>
    </row>
    <row r="6783" customFormat="false" ht="15" hidden="false" customHeight="false" outlineLevel="0" collapsed="false">
      <c r="A6783" s="7" t="s">
        <v>7183</v>
      </c>
      <c r="B6783" s="7" t="n">
        <v>25132.94</v>
      </c>
      <c r="C6783" s="7" t="n">
        <f aca="false">AVERAGE(B6734:B6783)</f>
        <v>25212.3226</v>
      </c>
      <c r="D6783" s="7" t="n">
        <f aca="false">AVERAGE(B6584:B6783)</f>
        <v>22644.2289</v>
      </c>
      <c r="E6783" s="7" t="n">
        <f aca="false">B6783/MAX(B6532:B6783)-1</f>
        <v>-0.0377839076411235</v>
      </c>
      <c r="F6783" s="7" t="str">
        <f aca="false">IFERROR(INDEX(02_轉折點45個!B:B,MATCH(A6783,02_轉折點45個!A:A,0)),"")</f>
        <v/>
      </c>
      <c r="G6783" s="7" t="s">
        <v>5494</v>
      </c>
    </row>
    <row r="6784" customFormat="false" ht="15" hidden="false" customHeight="false" outlineLevel="0" collapsed="false">
      <c r="A6784" s="7" t="s">
        <v>7184</v>
      </c>
      <c r="B6784" s="7" t="n">
        <v>24647.61</v>
      </c>
      <c r="C6784" s="7" t="n">
        <f aca="false">AVERAGE(B6735:B6784)</f>
        <v>25208.4702</v>
      </c>
      <c r="D6784" s="7" t="n">
        <f aca="false">AVERAGE(B6585:B6784)</f>
        <v>22665.7043</v>
      </c>
      <c r="E6784" s="7" t="n">
        <f aca="false">B6784/MAX(B6533:B6784)-1</f>
        <v>-0.056364795356788</v>
      </c>
      <c r="F6784" s="7" t="str">
        <f aca="false">IFERROR(INDEX(02_轉折點45個!B:B,MATCH(A6784,02_轉折點45個!A:A,0)),"")</f>
        <v/>
      </c>
      <c r="G6784" s="7" t="s">
        <v>5494</v>
      </c>
    </row>
    <row r="6785" customFormat="false" ht="15" hidden="false" customHeight="false" outlineLevel="0" collapsed="false">
      <c r="A6785" s="7" t="s">
        <v>1945</v>
      </c>
      <c r="B6785" s="7" t="n">
        <v>25019.37</v>
      </c>
      <c r="C6785" s="7" t="n">
        <f aca="false">AVERAGE(B6736:B6785)</f>
        <v>25206.1252</v>
      </c>
      <c r="D6785" s="7" t="n">
        <f aca="false">AVERAGE(B6586:B6785)</f>
        <v>22687.65885</v>
      </c>
      <c r="E6785" s="7" t="n">
        <f aca="false">B6785/MAX(B6534:B6785)-1</f>
        <v>-0.0421319417990532</v>
      </c>
      <c r="F6785" s="7" t="str">
        <f aca="false">IFERROR(INDEX(02_轉折點45個!B:B,MATCH(A6785,02_轉折點45個!A:A,0)),"")</f>
        <v/>
      </c>
      <c r="G6785" s="7" t="s">
        <v>5494</v>
      </c>
    </row>
    <row r="6786" customFormat="false" ht="15" hidden="false" customHeight="false" outlineLevel="0" collapsed="false">
      <c r="A6786" s="7" t="s">
        <v>7185</v>
      </c>
      <c r="B6786" s="7" t="n">
        <v>25346.18</v>
      </c>
      <c r="C6786" s="7" t="n">
        <f aca="false">AVERAGE(B6737:B6786)</f>
        <v>25211.0852</v>
      </c>
      <c r="D6786" s="7" t="n">
        <f aca="false">AVERAGE(B6587:B6786)</f>
        <v>22714.1266</v>
      </c>
      <c r="E6786" s="7" t="n">
        <f aca="false">B6786/MAX(B6535:B6786)-1</f>
        <v>-0.0296200016462574</v>
      </c>
      <c r="F6786" s="7" t="str">
        <f aca="false">IFERROR(INDEX(02_轉折點45個!B:B,MATCH(A6786,02_轉折點45個!A:A,0)),"")</f>
        <v/>
      </c>
      <c r="G6786" s="7" t="s">
        <v>5494</v>
      </c>
    </row>
    <row r="6787" customFormat="false" ht="15" hidden="false" customHeight="false" outlineLevel="0" collapsed="false">
      <c r="A6787" s="7" t="s">
        <v>7186</v>
      </c>
      <c r="B6787" s="7" t="n">
        <v>25461.7</v>
      </c>
      <c r="C6787" s="7" t="n">
        <f aca="false">AVERAGE(B6738:B6787)</f>
        <v>25235.8844</v>
      </c>
      <c r="D6787" s="7" t="n">
        <f aca="false">AVERAGE(B6588:B6787)</f>
        <v>22740.42825</v>
      </c>
      <c r="E6787" s="7" t="n">
        <f aca="false">B6787/MAX(B6536:B6787)-1</f>
        <v>-0.0251973116231524</v>
      </c>
      <c r="F6787" s="7" t="str">
        <f aca="false">IFERROR(INDEX(02_轉折點45個!B:B,MATCH(A6787,02_轉折點45個!A:A,0)),"")</f>
        <v/>
      </c>
      <c r="G6787" s="7" t="s">
        <v>5494</v>
      </c>
    </row>
    <row r="6788" customFormat="false" ht="15" hidden="false" customHeight="false" outlineLevel="0" collapsed="false">
      <c r="A6788" s="7" t="s">
        <v>7187</v>
      </c>
      <c r="B6788" s="7" t="n">
        <v>25587.83</v>
      </c>
      <c r="C6788" s="7" t="n">
        <f aca="false">AVERAGE(B6739:B6788)</f>
        <v>25252.636</v>
      </c>
      <c r="D6788" s="7" t="n">
        <f aca="false">AVERAGE(B6589:B6788)</f>
        <v>22771.21265</v>
      </c>
      <c r="E6788" s="7" t="n">
        <f aca="false">B6788/MAX(B6537:B6788)-1</f>
        <v>-0.0203684171233755</v>
      </c>
      <c r="F6788" s="7" t="str">
        <f aca="false">IFERROR(INDEX(02_轉折點45個!B:B,MATCH(A6788,02_轉折點45個!A:A,0)),"")</f>
        <v/>
      </c>
      <c r="G6788" s="7" t="s">
        <v>5494</v>
      </c>
    </row>
    <row r="6789" customFormat="false" ht="15" hidden="false" customHeight="false" outlineLevel="0" collapsed="false">
      <c r="A6789" s="7" t="s">
        <v>7188</v>
      </c>
      <c r="B6789" s="7" t="n">
        <v>25656.15</v>
      </c>
      <c r="C6789" s="7" t="n">
        <f aca="false">AVERAGE(B6740:B6789)</f>
        <v>25274.1726</v>
      </c>
      <c r="D6789" s="7" t="n">
        <f aca="false">AVERAGE(B6590:B6789)</f>
        <v>22802.6086</v>
      </c>
      <c r="E6789" s="7" t="n">
        <f aca="false">B6789/MAX(B6538:B6789)-1</f>
        <v>-0.0177527818881041</v>
      </c>
      <c r="F6789" s="7" t="str">
        <f aca="false">IFERROR(INDEX(02_轉折點45個!B:B,MATCH(A6789,02_轉折點45個!A:A,0)),"")</f>
        <v/>
      </c>
      <c r="G6789" s="7" t="s">
        <v>5494</v>
      </c>
    </row>
    <row r="6790" customFormat="false" ht="15" hidden="false" customHeight="false" outlineLevel="0" collapsed="false">
      <c r="A6790" s="7" t="s">
        <v>7189</v>
      </c>
      <c r="B6790" s="7" t="n">
        <v>25644.39</v>
      </c>
      <c r="C6790" s="7" t="n">
        <f aca="false">AVERAGE(B6741:B6790)</f>
        <v>25292.1532</v>
      </c>
      <c r="D6790" s="7" t="n">
        <f aca="false">AVERAGE(B6591:B6790)</f>
        <v>22832.85045</v>
      </c>
      <c r="E6790" s="7" t="n">
        <f aca="false">B6790/MAX(B6539:B6790)-1</f>
        <v>-0.0182030141827001</v>
      </c>
      <c r="F6790" s="7" t="str">
        <f aca="false">IFERROR(INDEX(02_轉折點45個!B:B,MATCH(A6790,02_轉折點45個!A:A,0)),"")</f>
        <v/>
      </c>
      <c r="G6790" s="7" t="s">
        <v>5494</v>
      </c>
    </row>
    <row r="6791" customFormat="false" ht="15" hidden="false" customHeight="false" outlineLevel="0" collapsed="false">
      <c r="A6791" s="7" t="s">
        <v>7190</v>
      </c>
      <c r="B6791" s="7" t="n">
        <v>25525.56</v>
      </c>
      <c r="C6791" s="7" t="n">
        <f aca="false">AVERAGE(B6742:B6791)</f>
        <v>25309.5196</v>
      </c>
      <c r="D6791" s="7" t="n">
        <f aca="false">AVERAGE(B6592:B6791)</f>
        <v>22864.35085</v>
      </c>
      <c r="E6791" s="7" t="n">
        <f aca="false">B6791/MAX(B6540:B6791)-1</f>
        <v>-0.0227524277513078</v>
      </c>
      <c r="F6791" s="7" t="str">
        <f aca="false">IFERROR(INDEX(02_轉折點45個!B:B,MATCH(A6791,02_轉折點45個!A:A,0)),"")</f>
        <v/>
      </c>
      <c r="G6791" s="7" t="s">
        <v>5494</v>
      </c>
    </row>
    <row r="6792" customFormat="false" ht="15" hidden="false" customHeight="false" outlineLevel="0" collapsed="false">
      <c r="A6792" s="7" t="s">
        <v>7191</v>
      </c>
      <c r="B6792" s="7" t="n">
        <v>25462.56</v>
      </c>
      <c r="C6792" s="7" t="n">
        <f aca="false">AVERAGE(B6743:B6792)</f>
        <v>25322.4118</v>
      </c>
      <c r="D6792" s="7" t="n">
        <f aca="false">AVERAGE(B6593:B6792)</f>
        <v>22893.14045</v>
      </c>
      <c r="E6792" s="7" t="n">
        <f aca="false">B6792/MAX(B6541:B6792)-1</f>
        <v>-0.0251643864723571</v>
      </c>
      <c r="F6792" s="7" t="str">
        <f aca="false">IFERROR(INDEX(02_轉折點45個!B:B,MATCH(A6792,02_轉折點45個!A:A,0)),"")</f>
        <v/>
      </c>
      <c r="G6792" s="7" t="s">
        <v>5494</v>
      </c>
    </row>
    <row r="6793" customFormat="false" ht="15" hidden="false" customHeight="false" outlineLevel="0" collapsed="false">
      <c r="A6793" s="7" t="s">
        <v>7192</v>
      </c>
      <c r="B6793" s="7" t="n">
        <v>25249.85</v>
      </c>
      <c r="C6793" s="7" t="n">
        <f aca="false">AVERAGE(B6744:B6793)</f>
        <v>25324.5884</v>
      </c>
      <c r="D6793" s="7" t="n">
        <f aca="false">AVERAGE(B6594:B6793)</f>
        <v>22920.3285</v>
      </c>
      <c r="E6793" s="7" t="n">
        <f aca="false">B6793/MAX(B6542:B6793)-1</f>
        <v>-0.0333080013859192</v>
      </c>
      <c r="F6793" s="7" t="str">
        <f aca="false">IFERROR(INDEX(02_轉折點45個!B:B,MATCH(A6793,02_轉折點45個!A:A,0)),"")</f>
        <v/>
      </c>
      <c r="G6793" s="7" t="s">
        <v>5494</v>
      </c>
    </row>
    <row r="6794" customFormat="false" ht="15" hidden="false" customHeight="false" outlineLevel="0" collapsed="false">
      <c r="A6794" s="7" t="s">
        <v>7193</v>
      </c>
      <c r="B6794" s="7" t="n">
        <v>25206.17</v>
      </c>
      <c r="C6794" s="7" t="n">
        <f aca="false">AVERAGE(B6745:B6794)</f>
        <v>25326.1692</v>
      </c>
      <c r="D6794" s="7" t="n">
        <f aca="false">AVERAGE(B6595:B6794)</f>
        <v>22948.94255</v>
      </c>
      <c r="E6794" s="7" t="n">
        <f aca="false">B6794/MAX(B6543:B6794)-1</f>
        <v>-0.0349802927658467</v>
      </c>
      <c r="F6794" s="7" t="str">
        <f aca="false">IFERROR(INDEX(02_轉折點45個!B:B,MATCH(A6794,02_轉折點45個!A:A,0)),"")</f>
        <v/>
      </c>
      <c r="G6794" s="7" t="s">
        <v>5494</v>
      </c>
    </row>
    <row r="6795" customFormat="false" ht="15" hidden="false" customHeight="false" outlineLevel="0" collapsed="false">
      <c r="A6795" s="7" t="s">
        <v>1946</v>
      </c>
      <c r="B6795" s="7" t="n">
        <v>25401.32</v>
      </c>
      <c r="C6795" s="7" t="n">
        <f aca="false">AVERAGE(B6746:B6795)</f>
        <v>25336.6154</v>
      </c>
      <c r="D6795" s="7" t="n">
        <f aca="false">AVERAGE(B6596:B6795)</f>
        <v>22977.26585</v>
      </c>
      <c r="E6795" s="7" t="n">
        <f aca="false">B6795/MAX(B6544:B6795)-1</f>
        <v>-0.0275089634894534</v>
      </c>
      <c r="F6795" s="7" t="str">
        <f aca="false">IFERROR(INDEX(02_轉折點45個!B:B,MATCH(A6795,02_轉折點45個!A:A,0)),"")</f>
        <v/>
      </c>
      <c r="G6795" s="7" t="s">
        <v>5494</v>
      </c>
    </row>
    <row r="6796" customFormat="false" ht="15" hidden="false" customHeight="false" outlineLevel="0" collapsed="false">
      <c r="A6796" s="7" t="s">
        <v>7194</v>
      </c>
      <c r="B6796" s="7" t="n">
        <v>25639.71</v>
      </c>
      <c r="C6796" s="7" t="n">
        <f aca="false">AVERAGE(B6747:B6796)</f>
        <v>25347.4614</v>
      </c>
      <c r="D6796" s="7" t="n">
        <f aca="false">AVERAGE(B6597:B6796)</f>
        <v>23007.07635</v>
      </c>
      <c r="E6796" s="7" t="n">
        <f aca="false">B6796/MAX(B6545:B6796)-1</f>
        <v>-0.018382188259121</v>
      </c>
      <c r="F6796" s="7" t="str">
        <f aca="false">IFERROR(INDEX(02_轉折點45個!B:B,MATCH(A6796,02_轉折點45個!A:A,0)),"")</f>
        <v/>
      </c>
      <c r="G6796" s="7" t="s">
        <v>5494</v>
      </c>
    </row>
    <row r="6797" customFormat="false" ht="15" hidden="false" customHeight="false" outlineLevel="0" collapsed="false">
      <c r="A6797" s="7" t="s">
        <v>7195</v>
      </c>
      <c r="B6797" s="7" t="n">
        <v>25653.9</v>
      </c>
      <c r="C6797" s="7" t="n">
        <f aca="false">AVERAGE(B6748:B6797)</f>
        <v>25353.3762</v>
      </c>
      <c r="D6797" s="7" t="n">
        <f aca="false">AVERAGE(B6598:B6797)</f>
        <v>23036.576</v>
      </c>
      <c r="E6797" s="7" t="n">
        <f aca="false">B6797/MAX(B6546:B6797)-1</f>
        <v>-0.0178389232709988</v>
      </c>
      <c r="F6797" s="7" t="str">
        <f aca="false">IFERROR(INDEX(02_轉折點45個!B:B,MATCH(A6797,02_轉折點45個!A:A,0)),"")</f>
        <v/>
      </c>
      <c r="G6797" s="7" t="s">
        <v>5494</v>
      </c>
    </row>
    <row r="6798" customFormat="false" ht="15" hidden="false" customHeight="false" outlineLevel="0" collapsed="false">
      <c r="A6798" s="7" t="s">
        <v>7196</v>
      </c>
      <c r="B6798" s="7" t="n">
        <v>25507.1</v>
      </c>
      <c r="C6798" s="7" t="n">
        <f aca="false">AVERAGE(B6749:B6798)</f>
        <v>25347.0872</v>
      </c>
      <c r="D6798" s="7" t="n">
        <f aca="false">AVERAGE(B6599:B6798)</f>
        <v>23063.20925</v>
      </c>
      <c r="E6798" s="7" t="n">
        <f aca="false">B6798/MAX(B6547:B6798)-1</f>
        <v>-0.0234591699416344</v>
      </c>
      <c r="F6798" s="7" t="str">
        <f aca="false">IFERROR(INDEX(02_轉折點45個!B:B,MATCH(A6798,02_轉折點45個!A:A,0)),"")</f>
        <v/>
      </c>
      <c r="G6798" s="7" t="s">
        <v>5494</v>
      </c>
    </row>
    <row r="6799" customFormat="false" ht="15" hidden="false" customHeight="false" outlineLevel="0" collapsed="false">
      <c r="A6799" s="7" t="s">
        <v>7197</v>
      </c>
      <c r="B6799" s="7" t="n">
        <v>25766.26</v>
      </c>
      <c r="C6799" s="7" t="n">
        <f aca="false">AVERAGE(B6750:B6799)</f>
        <v>25342.1694</v>
      </c>
      <c r="D6799" s="7" t="n">
        <f aca="false">AVERAGE(B6600:B6799)</f>
        <v>23090.6014</v>
      </c>
      <c r="E6799" s="7" t="n">
        <f aca="false">B6799/MAX(B6548:B6799)-1</f>
        <v>-0.013537214034537</v>
      </c>
      <c r="F6799" s="7" t="str">
        <f aca="false">IFERROR(INDEX(02_轉折點45個!B:B,MATCH(A6799,02_轉折點45個!A:A,0)),"")</f>
        <v/>
      </c>
      <c r="G6799" s="7" t="s">
        <v>5494</v>
      </c>
    </row>
    <row r="6800" customFormat="false" ht="15" hidden="false" customHeight="false" outlineLevel="0" collapsed="false">
      <c r="A6800" s="7" t="s">
        <v>7198</v>
      </c>
      <c r="B6800" s="7" t="n">
        <v>25787.66</v>
      </c>
      <c r="C6800" s="7" t="n">
        <f aca="false">AVERAGE(B6751:B6800)</f>
        <v>25335.5256</v>
      </c>
      <c r="D6800" s="7" t="n">
        <f aca="false">AVERAGE(B6601:B6800)</f>
        <v>23119.95475</v>
      </c>
      <c r="E6800" s="7" t="n">
        <f aca="false">B6800/MAX(B6549:B6800)-1</f>
        <v>-0.0127179137705614</v>
      </c>
      <c r="F6800" s="7" t="str">
        <f aca="false">IFERROR(INDEX(02_轉折點45個!B:B,MATCH(A6800,02_轉折點45個!A:A,0)),"")</f>
        <v/>
      </c>
      <c r="G6800" s="7" t="s">
        <v>5494</v>
      </c>
    </row>
    <row r="6801" customFormat="false" ht="15" hidden="false" customHeight="false" outlineLevel="0" collapsed="false">
      <c r="A6801" s="7" t="s">
        <v>7199</v>
      </c>
      <c r="B6801" s="7" t="n">
        <v>25741.95</v>
      </c>
      <c r="C6801" s="7" t="n">
        <f aca="false">AVERAGE(B6752:B6801)</f>
        <v>25335.6684</v>
      </c>
      <c r="D6801" s="7" t="n">
        <f aca="false">AVERAGE(B6602:B6801)</f>
        <v>23149.6714</v>
      </c>
      <c r="E6801" s="7" t="n">
        <f aca="false">B6801/MAX(B6550:B6801)-1</f>
        <v>-0.0144679238203894</v>
      </c>
      <c r="F6801" s="7" t="str">
        <f aca="false">IFERROR(INDEX(02_轉折點45個!B:B,MATCH(A6801,02_轉折點45個!A:A,0)),"")</f>
        <v/>
      </c>
      <c r="G6801" s="7" t="s">
        <v>5494</v>
      </c>
    </row>
    <row r="6802" customFormat="false" ht="15" hidden="false" customHeight="false" outlineLevel="0" collapsed="false">
      <c r="A6802" s="7" t="s">
        <v>7200</v>
      </c>
      <c r="B6802" s="7" t="n">
        <v>25465.94</v>
      </c>
      <c r="C6802" s="7" t="n">
        <f aca="false">AVERAGE(B6753:B6802)</f>
        <v>25327.8246</v>
      </c>
      <c r="D6802" s="7" t="n">
        <f aca="false">AVERAGE(B6603:B6802)</f>
        <v>23180.5941</v>
      </c>
      <c r="E6802" s="7" t="n">
        <f aca="false">B6802/MAX(B6551:B6802)-1</f>
        <v>-0.02503498297272</v>
      </c>
      <c r="F6802" s="7" t="str">
        <f aca="false">IFERROR(INDEX(02_轉折點45個!B:B,MATCH(A6802,02_轉折點45個!A:A,0)),"")</f>
        <v/>
      </c>
      <c r="G6802" s="7" t="s">
        <v>5494</v>
      </c>
    </row>
    <row r="6803" customFormat="false" ht="15" hidden="false" customHeight="false" outlineLevel="0" collapsed="false">
      <c r="A6803" s="7" t="s">
        <v>7201</v>
      </c>
      <c r="B6803" s="7" t="n">
        <v>25547.07</v>
      </c>
      <c r="C6803" s="7" t="n">
        <f aca="false">AVERAGE(B6754:B6803)</f>
        <v>25319.3072</v>
      </c>
      <c r="D6803" s="7" t="n">
        <f aca="false">AVERAGE(B6604:B6803)</f>
        <v>23211.9372</v>
      </c>
      <c r="E6803" s="7" t="n">
        <f aca="false">B6803/MAX(B6552:B6803)-1</f>
        <v>-0.0219289161308354</v>
      </c>
      <c r="F6803" s="7" t="str">
        <f aca="false">IFERROR(INDEX(02_轉折點45個!B:B,MATCH(A6803,02_轉折點45個!A:A,0)),"")</f>
        <v/>
      </c>
      <c r="G6803" s="7" t="s">
        <v>5494</v>
      </c>
    </row>
    <row r="6804" customFormat="false" ht="15" hidden="false" customHeight="false" outlineLevel="0" collapsed="false">
      <c r="A6804" s="7" t="s">
        <v>7202</v>
      </c>
      <c r="B6804" s="7" t="n">
        <v>25529.26</v>
      </c>
      <c r="C6804" s="7" t="n">
        <f aca="false">AVERAGE(B6755:B6804)</f>
        <v>25321.1784</v>
      </c>
      <c r="D6804" s="7" t="n">
        <f aca="false">AVERAGE(B6605:B6804)</f>
        <v>23242.4014</v>
      </c>
      <c r="E6804" s="7" t="n">
        <f aca="false">B6804/MAX(B6553:B6804)-1</f>
        <v>-0.0226107730327702</v>
      </c>
      <c r="F6804" s="7" t="str">
        <f aca="false">IFERROR(INDEX(02_轉折點45個!B:B,MATCH(A6804,02_轉折點45個!A:A,0)),"")</f>
        <v/>
      </c>
      <c r="G6804" s="7" t="s">
        <v>5494</v>
      </c>
    </row>
    <row r="6805" customFormat="false" ht="15" hidden="false" customHeight="false" outlineLevel="0" collapsed="false">
      <c r="A6805" s="7" t="s">
        <v>1947</v>
      </c>
      <c r="B6805" s="7" t="n">
        <v>24987.57</v>
      </c>
      <c r="C6805" s="7" t="n">
        <f aca="false">AVERAGE(B6756:B6805)</f>
        <v>25308.5292</v>
      </c>
      <c r="D6805" s="7" t="n">
        <f aca="false">AVERAGE(B6606:B6805)</f>
        <v>23269.43035</v>
      </c>
      <c r="E6805" s="7" t="n">
        <f aca="false">B6805/MAX(B6554:B6805)-1</f>
        <v>-0.0433494066772971</v>
      </c>
      <c r="F6805" s="7" t="str">
        <f aca="false">IFERROR(INDEX(02_轉折點45個!B:B,MATCH(A6805,02_轉折點45個!A:A,0)),"")</f>
        <v/>
      </c>
      <c r="G6805" s="7" t="s">
        <v>5494</v>
      </c>
    </row>
    <row r="6806" customFormat="false" ht="15" hidden="false" customHeight="false" outlineLevel="0" collapsed="false">
      <c r="A6806" s="7" t="s">
        <v>7203</v>
      </c>
      <c r="B6806" s="7" t="n">
        <v>25326.58</v>
      </c>
      <c r="C6806" s="7" t="n">
        <f aca="false">AVERAGE(B6757:B6806)</f>
        <v>25312.46</v>
      </c>
      <c r="D6806" s="7" t="n">
        <f aca="false">AVERAGE(B6607:B6806)</f>
        <v>23303.4559</v>
      </c>
      <c r="E6806" s="7" t="n">
        <f aca="false">B6806/MAX(B6555:B6806)-1</f>
        <v>-0.0303703888039172</v>
      </c>
      <c r="F6806" s="7" t="str">
        <f aca="false">IFERROR(INDEX(02_轉折點45個!B:B,MATCH(A6806,02_轉折點45個!A:A,0)),"")</f>
        <v/>
      </c>
      <c r="G6806" s="7" t="s">
        <v>5494</v>
      </c>
    </row>
    <row r="6807" customFormat="false" ht="15" hidden="false" customHeight="false" outlineLevel="0" collapsed="false">
      <c r="A6807" s="7" t="s">
        <v>7204</v>
      </c>
      <c r="B6807" s="7" t="n">
        <v>25518.35</v>
      </c>
      <c r="C6807" s="7" t="n">
        <f aca="false">AVERAGE(B6758:B6807)</f>
        <v>25321.6308</v>
      </c>
      <c r="D6807" s="7" t="n">
        <f aca="false">AVERAGE(B6608:B6807)</f>
        <v>23344.05915</v>
      </c>
      <c r="E6807" s="7" t="n">
        <f aca="false">B6807/MAX(B6556:B6807)-1</f>
        <v>-0.0230284630271613</v>
      </c>
      <c r="F6807" s="7" t="str">
        <f aca="false">IFERROR(INDEX(02_轉折點45個!B:B,MATCH(A6807,02_轉折點45個!A:A,0)),"")</f>
        <v/>
      </c>
      <c r="G6807" s="7" t="s">
        <v>5494</v>
      </c>
    </row>
    <row r="6808" customFormat="false" ht="15" hidden="false" customHeight="false" outlineLevel="0" collapsed="false">
      <c r="A6808" s="7" t="s">
        <v>7205</v>
      </c>
      <c r="B6808" s="7" t="n">
        <v>25605.47</v>
      </c>
      <c r="C6808" s="7" t="n">
        <f aca="false">AVERAGE(B6759:B6808)</f>
        <v>25321.5054</v>
      </c>
      <c r="D6808" s="7" t="n">
        <f aca="false">AVERAGE(B6609:B6808)</f>
        <v>23384.9331</v>
      </c>
      <c r="E6808" s="7" t="n">
        <f aca="false">B6808/MAX(B6557:B6808)-1</f>
        <v>-0.0196930686814816</v>
      </c>
      <c r="F6808" s="7" t="str">
        <f aca="false">IFERROR(INDEX(02_轉折點45個!B:B,MATCH(A6808,02_轉折點45個!A:A,0)),"")</f>
        <v/>
      </c>
      <c r="G6808" s="7" t="s">
        <v>5494</v>
      </c>
    </row>
    <row r="6809" customFormat="false" ht="15" hidden="false" customHeight="false" outlineLevel="0" collapsed="false">
      <c r="A6809" s="7" t="s">
        <v>7206</v>
      </c>
      <c r="B6809" s="7" t="n">
        <v>25713.21</v>
      </c>
      <c r="C6809" s="7" t="n">
        <f aca="false">AVERAGE(B6760:B6809)</f>
        <v>25325.0998</v>
      </c>
      <c r="D6809" s="7" t="n">
        <f aca="false">AVERAGE(B6610:B6809)</f>
        <v>23428.04715</v>
      </c>
      <c r="E6809" s="7" t="n">
        <f aca="false">B6809/MAX(B6558:B6809)-1</f>
        <v>-0.0155682364178967</v>
      </c>
      <c r="F6809" s="7" t="str">
        <f aca="false">IFERROR(INDEX(02_轉折點45個!B:B,MATCH(A6809,02_轉折點45個!A:A,0)),"")</f>
        <v/>
      </c>
      <c r="G6809" s="7" t="s">
        <v>5494</v>
      </c>
    </row>
    <row r="6810" customFormat="false" ht="15" hidden="false" customHeight="false" outlineLevel="0" collapsed="false">
      <c r="A6810" s="7" t="s">
        <v>7207</v>
      </c>
      <c r="B6810" s="7" t="n">
        <v>25939.74</v>
      </c>
      <c r="C6810" s="7" t="n">
        <f aca="false">AVERAGE(B6761:B6810)</f>
        <v>25333.548</v>
      </c>
      <c r="D6810" s="7" t="n">
        <f aca="false">AVERAGE(B6611:B6810)</f>
        <v>23462.02055</v>
      </c>
      <c r="E6810" s="7" t="n">
        <f aca="false">B6810/MAX(B6559:B6810)-1</f>
        <v>-0.00689552198806642</v>
      </c>
      <c r="F6810" s="7" t="str">
        <f aca="false">IFERROR(INDEX(02_轉折點45個!B:B,MATCH(A6810,02_轉折點45個!A:A,0)),"")</f>
        <v/>
      </c>
      <c r="G6810" s="7" t="s">
        <v>5494</v>
      </c>
    </row>
    <row r="6811" customFormat="false" ht="15" hidden="false" customHeight="false" outlineLevel="0" collapsed="false">
      <c r="A6811" s="7" t="s">
        <v>7208</v>
      </c>
      <c r="B6811" s="7" t="n">
        <v>26022.79</v>
      </c>
      <c r="C6811" s="7" t="n">
        <f aca="false">AVERAGE(B6762:B6811)</f>
        <v>25354.1346</v>
      </c>
      <c r="D6811" s="7" t="n">
        <f aca="false">AVERAGE(B6612:B6811)</f>
        <v>23500.41665</v>
      </c>
      <c r="E6811" s="7" t="n">
        <f aca="false">B6811/MAX(B6560:B6811)-1</f>
        <v>-0.0037159478327784</v>
      </c>
      <c r="F6811" s="7" t="str">
        <f aca="false">IFERROR(INDEX(02_轉折點45個!B:B,MATCH(A6811,02_轉折點45個!A:A,0)),"")</f>
        <v/>
      </c>
      <c r="G6811" s="7" t="s">
        <v>5494</v>
      </c>
    </row>
    <row r="6812" customFormat="false" ht="15" hidden="false" customHeight="false" outlineLevel="0" collapsed="false">
      <c r="A6812" s="7" t="s">
        <v>7209</v>
      </c>
      <c r="B6812" s="7" t="n">
        <v>25884.3</v>
      </c>
      <c r="C6812" s="7" t="n">
        <f aca="false">AVERAGE(B6763:B6812)</f>
        <v>25371.6558</v>
      </c>
      <c r="D6812" s="7" t="n">
        <f aca="false">AVERAGE(B6613:B6812)</f>
        <v>23536.3879</v>
      </c>
      <c r="E6812" s="7" t="n">
        <f aca="false">B6812/MAX(B6561:B6812)-1</f>
        <v>-0.0090180456625899</v>
      </c>
      <c r="F6812" s="7" t="str">
        <f aca="false">IFERROR(INDEX(02_轉折點45個!B:B,MATCH(A6812,02_轉折點45個!A:A,0)),"")</f>
        <v/>
      </c>
      <c r="G6812" s="7" t="s">
        <v>5494</v>
      </c>
    </row>
    <row r="6813" customFormat="false" ht="15" hidden="false" customHeight="false" outlineLevel="0" collapsed="false">
      <c r="A6813" s="7" t="s">
        <v>1948</v>
      </c>
      <c r="B6813" s="7" t="n">
        <v>25552.39</v>
      </c>
      <c r="C6813" s="7" t="n">
        <f aca="false">AVERAGE(B6764:B6813)</f>
        <v>25386.7052</v>
      </c>
      <c r="D6813" s="7" t="n">
        <f aca="false">AVERAGE(B6614:B6813)</f>
        <v>23570.16975</v>
      </c>
      <c r="E6813" s="7" t="n">
        <f aca="false">B6813/MAX(B6562:B6813)-1</f>
        <v>-0.0217252396166134</v>
      </c>
      <c r="F6813" s="7" t="str">
        <f aca="false">IFERROR(INDEX(02_轉折點45個!B:B,MATCH(A6813,02_轉折點45個!A:A,0)),"")</f>
        <v/>
      </c>
      <c r="G6813" s="7" t="s">
        <v>5494</v>
      </c>
    </row>
    <row r="6814" customFormat="false" ht="15" hidden="false" customHeight="false" outlineLevel="0" collapsed="false">
      <c r="A6814" s="7" t="s">
        <v>7210</v>
      </c>
      <c r="B6814" s="7" t="n">
        <v>25738.61</v>
      </c>
      <c r="C6814" s="7" t="n">
        <f aca="false">AVERAGE(B6765:B6814)</f>
        <v>25411.4154</v>
      </c>
      <c r="D6814" s="7" t="n">
        <f aca="false">AVERAGE(B6615:B6814)</f>
        <v>23604.71165</v>
      </c>
      <c r="E6814" s="7" t="n">
        <f aca="false">B6814/MAX(B6563:B6814)-1</f>
        <v>-0.014595795917664</v>
      </c>
      <c r="F6814" s="7" t="str">
        <f aca="false">IFERROR(INDEX(02_轉折點45個!B:B,MATCH(A6814,02_轉折點45個!A:A,0)),"")</f>
        <v/>
      </c>
      <c r="G6814" s="7" t="s">
        <v>5494</v>
      </c>
    </row>
    <row r="6815" customFormat="false" ht="15" hidden="false" customHeight="false" outlineLevel="0" collapsed="false">
      <c r="A6815" s="7" t="s">
        <v>7211</v>
      </c>
      <c r="B6815" s="7" t="n">
        <v>25338.62</v>
      </c>
      <c r="C6815" s="7" t="n">
        <f aca="false">AVERAGE(B6766:B6815)</f>
        <v>25425.3774</v>
      </c>
      <c r="D6815" s="7" t="n">
        <f aca="false">AVERAGE(B6616:B6815)</f>
        <v>23640.11655</v>
      </c>
      <c r="E6815" s="7" t="n">
        <f aca="false">B6815/MAX(B6564:B6815)-1</f>
        <v>-0.0299094366927835</v>
      </c>
      <c r="F6815" s="7" t="str">
        <f aca="false">IFERROR(INDEX(02_轉折點45個!B:B,MATCH(A6815,02_轉折點45個!A:A,0)),"")</f>
        <v/>
      </c>
      <c r="G6815" s="7" t="s">
        <v>5494</v>
      </c>
    </row>
    <row r="6816" customFormat="false" ht="15" hidden="false" customHeight="false" outlineLevel="0" collapsed="false">
      <c r="A6816" s="7" t="s">
        <v>1949</v>
      </c>
      <c r="B6816" s="7" t="n">
        <v>24891.24</v>
      </c>
      <c r="C6816" s="7" t="n">
        <f aca="false">AVERAGE(B6767:B6816)</f>
        <v>25442.1146</v>
      </c>
      <c r="D6816" s="7" t="n">
        <f aca="false">AVERAGE(B6617:B6816)</f>
        <v>23673.2823</v>
      </c>
      <c r="E6816" s="7" t="n">
        <f aca="false">B6816/MAX(B6565:B6816)-1</f>
        <v>-0.0470374064169586</v>
      </c>
      <c r="F6816" s="7" t="str">
        <f aca="false">IFERROR(INDEX(02_轉折點45個!B:B,MATCH(A6816,02_轉折點45個!A:A,0)),"")</f>
        <v/>
      </c>
      <c r="G6816" s="7" t="s">
        <v>5494</v>
      </c>
    </row>
    <row r="6817" customFormat="false" ht="15" hidden="false" customHeight="false" outlineLevel="0" collapsed="false">
      <c r="A6817" s="7" t="s">
        <v>1950</v>
      </c>
      <c r="B6817" s="7" t="n">
        <v>24548.69</v>
      </c>
      <c r="C6817" s="7" t="n">
        <f aca="false">AVERAGE(B6768:B6817)</f>
        <v>25448.297</v>
      </c>
      <c r="D6817" s="7" t="n">
        <f aca="false">AVERAGE(B6618:B6817)</f>
        <v>23706.98425</v>
      </c>
      <c r="E6817" s="7" t="n">
        <f aca="false">B6817/MAX(B6566:B6817)-1</f>
        <v>-0.0601519533994261</v>
      </c>
      <c r="F6817" s="7" t="str">
        <f aca="false">IFERROR(INDEX(02_轉折點45個!B:B,MATCH(A6817,02_轉折點45個!A:A,0)),"")</f>
        <v/>
      </c>
      <c r="G6817" s="7" t="s">
        <v>5494</v>
      </c>
    </row>
    <row r="6818" customFormat="false" ht="15" hidden="false" customHeight="false" outlineLevel="0" collapsed="false">
      <c r="A6818" s="7" t="s">
        <v>1951</v>
      </c>
      <c r="B6818" s="7" t="n">
        <v>25075.77</v>
      </c>
      <c r="C6818" s="7" t="n">
        <f aca="false">AVERAGE(B6769:B6818)</f>
        <v>25452.3354</v>
      </c>
      <c r="D6818" s="7" t="n">
        <f aca="false">AVERAGE(B6619:B6818)</f>
        <v>23740.98105</v>
      </c>
      <c r="E6818" s="7" t="n">
        <f aca="false">B6818/MAX(B6567:B6818)-1</f>
        <v>-0.039972664467828</v>
      </c>
      <c r="F6818" s="7" t="str">
        <f aca="false">IFERROR(INDEX(02_轉折點45個!B:B,MATCH(A6818,02_轉折點45個!A:A,0)),"")</f>
        <v/>
      </c>
      <c r="G6818" s="7" t="s">
        <v>5494</v>
      </c>
    </row>
    <row r="6819" customFormat="false" ht="15" hidden="false" customHeight="false" outlineLevel="0" collapsed="false">
      <c r="A6819" s="7" t="s">
        <v>7212</v>
      </c>
      <c r="B6819" s="7" t="n">
        <v>25268.14</v>
      </c>
      <c r="C6819" s="7" t="n">
        <f aca="false">AVERAGE(B6770:B6819)</f>
        <v>25457.331</v>
      </c>
      <c r="D6819" s="7" t="n">
        <f aca="false">AVERAGE(B6620:B6819)</f>
        <v>23773.85545</v>
      </c>
      <c r="E6819" s="7" t="n">
        <f aca="false">B6819/MAX(B6568:B6819)-1</f>
        <v>-0.0326077676556336</v>
      </c>
      <c r="F6819" s="7" t="str">
        <f aca="false">IFERROR(INDEX(02_轉折點45個!B:B,MATCH(A6819,02_轉折點45個!A:A,0)),"")</f>
        <v/>
      </c>
      <c r="G6819" s="7" t="s">
        <v>5494</v>
      </c>
    </row>
    <row r="6820" customFormat="false" ht="15" hidden="false" customHeight="false" outlineLevel="0" collapsed="false">
      <c r="A6820" s="7" t="s">
        <v>7213</v>
      </c>
      <c r="B6820" s="7" t="n">
        <v>25127.64</v>
      </c>
      <c r="C6820" s="7" t="n">
        <f aca="false">AVERAGE(B6771:B6820)</f>
        <v>25455.145</v>
      </c>
      <c r="D6820" s="7" t="n">
        <f aca="false">AVERAGE(B6621:B6820)</f>
        <v>23803.42165</v>
      </c>
      <c r="E6820" s="7" t="n">
        <f aca="false">B6820/MAX(B6569:B6820)-1</f>
        <v>-0.0379868184541642</v>
      </c>
      <c r="F6820" s="7" t="str">
        <f aca="false">IFERROR(INDEX(02_轉折點45個!B:B,MATCH(A6820,02_轉折點45個!A:A,0)),"")</f>
        <v/>
      </c>
      <c r="G6820" s="7" t="s">
        <v>5494</v>
      </c>
    </row>
    <row r="6821" customFormat="false" ht="15" hidden="false" customHeight="false" outlineLevel="0" collapsed="false">
      <c r="A6821" s="7" t="s">
        <v>7214</v>
      </c>
      <c r="B6821" s="7" t="n">
        <v>25201.26</v>
      </c>
      <c r="C6821" s="7" t="n">
        <f aca="false">AVERAGE(B6772:B6821)</f>
        <v>25450.4724</v>
      </c>
      <c r="D6821" s="7" t="n">
        <f aca="false">AVERAGE(B6622:B6821)</f>
        <v>23832.26515</v>
      </c>
      <c r="E6821" s="7" t="n">
        <f aca="false">B6821/MAX(B6570:B6821)-1</f>
        <v>-0.0351682724058523</v>
      </c>
      <c r="F6821" s="7" t="str">
        <f aca="false">IFERROR(INDEX(02_轉折點45個!B:B,MATCH(A6821,02_轉折點45個!A:A,0)),"")</f>
        <v/>
      </c>
      <c r="G6821" s="7" t="s">
        <v>5494</v>
      </c>
    </row>
    <row r="6822" customFormat="false" ht="15" hidden="false" customHeight="false" outlineLevel="0" collapsed="false">
      <c r="A6822" s="7" t="s">
        <v>7215</v>
      </c>
      <c r="B6822" s="7" t="n">
        <v>24687.61</v>
      </c>
      <c r="C6822" s="7" t="n">
        <f aca="false">AVERAGE(B6773:B6822)</f>
        <v>25437.3676</v>
      </c>
      <c r="D6822" s="7" t="n">
        <f aca="false">AVERAGE(B6623:B6822)</f>
        <v>23858.56675</v>
      </c>
      <c r="E6822" s="7" t="n">
        <f aca="false">B6822/MAX(B6571:B6822)-1</f>
        <v>-0.054833392994217</v>
      </c>
      <c r="F6822" s="7" t="str">
        <f aca="false">IFERROR(INDEX(02_轉折點45個!B:B,MATCH(A6822,02_轉折點45個!A:A,0)),"")</f>
        <v/>
      </c>
      <c r="G6822" s="7" t="s">
        <v>5494</v>
      </c>
    </row>
    <row r="6823" customFormat="false" ht="15" hidden="false" customHeight="false" outlineLevel="0" collapsed="false">
      <c r="A6823" s="7" t="s">
        <v>7216</v>
      </c>
      <c r="B6823" s="7" t="n">
        <v>24732.73</v>
      </c>
      <c r="C6823" s="7" t="n">
        <f aca="false">AVERAGE(B6774:B6823)</f>
        <v>25420.905</v>
      </c>
      <c r="D6823" s="7" t="n">
        <f aca="false">AVERAGE(B6624:B6823)</f>
        <v>23884.50565</v>
      </c>
      <c r="E6823" s="7" t="n">
        <f aca="false">B6823/MAX(B6572:B6823)-1</f>
        <v>-0.0531059711292369</v>
      </c>
      <c r="F6823" s="7" t="str">
        <f aca="false">IFERROR(INDEX(02_轉折點45個!B:B,MATCH(A6823,02_轉折點45個!A:A,0)),"")</f>
        <v/>
      </c>
      <c r="G6823" s="7" t="s">
        <v>5494</v>
      </c>
    </row>
    <row r="6824" customFormat="false" ht="15" hidden="false" customHeight="false" outlineLevel="0" collapsed="false">
      <c r="A6824" s="7" t="s">
        <v>7217</v>
      </c>
      <c r="B6824" s="7" t="n">
        <v>24701.6</v>
      </c>
      <c r="C6824" s="7" t="n">
        <f aca="false">AVERAGE(B6775:B6824)</f>
        <v>25402.8062</v>
      </c>
      <c r="D6824" s="7" t="n">
        <f aca="false">AVERAGE(B6625:B6824)</f>
        <v>23910.15855</v>
      </c>
      <c r="E6824" s="7" t="n">
        <f aca="false">B6824/MAX(B6573:B6824)-1</f>
        <v>-0.0542977850179078</v>
      </c>
      <c r="F6824" s="7" t="str">
        <f aca="false">IFERROR(INDEX(02_轉折點45個!B:B,MATCH(A6824,02_轉折點45個!A:A,0)),"")</f>
        <v/>
      </c>
      <c r="G6824" s="7" t="s">
        <v>5494</v>
      </c>
    </row>
    <row r="6825" customFormat="false" ht="15" hidden="false" customHeight="false" outlineLevel="0" collapsed="false">
      <c r="A6825" s="7" t="s">
        <v>1952</v>
      </c>
      <c r="B6825" s="7" t="n">
        <v>24898.87</v>
      </c>
      <c r="C6825" s="7" t="n">
        <f aca="false">AVERAGE(B6776:B6825)</f>
        <v>25389.1496</v>
      </c>
      <c r="D6825" s="7" t="n">
        <f aca="false">AVERAGE(B6626:B6825)</f>
        <v>23935.71935</v>
      </c>
      <c r="E6825" s="7" t="n">
        <f aca="false">B6825/MAX(B6574:B6825)-1</f>
        <v>-0.0467452914162984</v>
      </c>
      <c r="F6825" s="7" t="str">
        <f aca="false">IFERROR(INDEX(02_轉折點45個!B:B,MATCH(A6825,02_轉折點45個!A:A,0)),"")</f>
        <v/>
      </c>
      <c r="G6825" s="7" t="s">
        <v>5494</v>
      </c>
    </row>
    <row r="6826" customFormat="false" ht="15" hidden="false" customHeight="false" outlineLevel="0" collapsed="false">
      <c r="A6826" s="7" t="s">
        <v>7218</v>
      </c>
      <c r="B6826" s="7" t="n">
        <v>24797.34</v>
      </c>
      <c r="C6826" s="7" t="n">
        <f aca="false">AVERAGE(B6777:B6826)</f>
        <v>25371.2554</v>
      </c>
      <c r="D6826" s="7" t="n">
        <f aca="false">AVERAGE(B6627:B6826)</f>
        <v>23959.193</v>
      </c>
      <c r="E6826" s="7" t="n">
        <f aca="false">B6826/MAX(B6575:B6826)-1</f>
        <v>-0.0506323734630941</v>
      </c>
      <c r="F6826" s="7" t="str">
        <f aca="false">IFERROR(INDEX(02_轉折點45個!B:B,MATCH(A6826,02_轉折點45個!A:A,0)),"")</f>
        <v/>
      </c>
      <c r="G6826" s="7" t="s">
        <v>5494</v>
      </c>
    </row>
    <row r="6827" customFormat="false" ht="15" hidden="false" customHeight="false" outlineLevel="0" collapsed="false">
      <c r="A6827" s="7" t="s">
        <v>1953</v>
      </c>
      <c r="B6827" s="7" t="n">
        <v>25012.62</v>
      </c>
      <c r="C6827" s="7" t="n">
        <f aca="false">AVERAGE(B6778:B6827)</f>
        <v>25358.9488</v>
      </c>
      <c r="D6827" s="7" t="n">
        <f aca="false">AVERAGE(B6628:B6827)</f>
        <v>23984.4164</v>
      </c>
      <c r="E6827" s="7" t="n">
        <f aca="false">B6827/MAX(B6576:B6827)-1</f>
        <v>-0.042390365947737</v>
      </c>
      <c r="F6827" s="7" t="str">
        <f aca="false">IFERROR(INDEX(02_轉折點45個!B:B,MATCH(A6827,02_轉折點45個!A:A,0)),"")</f>
        <v/>
      </c>
      <c r="G6827" s="7" t="s">
        <v>5494</v>
      </c>
    </row>
    <row r="6828" customFormat="false" ht="15" hidden="false" customHeight="false" outlineLevel="0" collapsed="false">
      <c r="A6828" s="7" t="s">
        <v>7219</v>
      </c>
      <c r="B6828" s="7" t="n">
        <v>24708.94</v>
      </c>
      <c r="C6828" s="7" t="n">
        <f aca="false">AVERAGE(B6779:B6828)</f>
        <v>25339.7538</v>
      </c>
      <c r="D6828" s="7" t="n">
        <f aca="false">AVERAGE(B6629:B6828)</f>
        <v>24009.00435</v>
      </c>
      <c r="E6828" s="7" t="n">
        <f aca="false">B6828/MAX(B6577:B6828)-1</f>
        <v>-0.0540167726843761</v>
      </c>
      <c r="F6828" s="7" t="str">
        <f aca="false">IFERROR(INDEX(02_轉折點45個!B:B,MATCH(A6828,02_轉折點45個!A:A,0)),"")</f>
        <v/>
      </c>
      <c r="G6828" s="7" t="s">
        <v>5494</v>
      </c>
    </row>
    <row r="6829" customFormat="false" ht="15" hidden="false" customHeight="false" outlineLevel="0" collapsed="false">
      <c r="A6829" s="7" t="s">
        <v>1954</v>
      </c>
      <c r="B6829" s="7" t="n">
        <v>24977.04</v>
      </c>
      <c r="C6829" s="7" t="n">
        <f aca="false">AVERAGE(B6780:B6829)</f>
        <v>25323.7658</v>
      </c>
      <c r="D6829" s="7" t="n">
        <f aca="false">AVERAGE(B6630:B6829)</f>
        <v>24034.5497</v>
      </c>
      <c r="E6829" s="7" t="n">
        <f aca="false">B6829/MAX(B6578:B6829)-1</f>
        <v>-0.0437525483492439</v>
      </c>
      <c r="F6829" s="7" t="str">
        <f aca="false">IFERROR(INDEX(02_轉折點45個!B:B,MATCH(A6829,02_轉折點45個!A:A,0)),"")</f>
        <v/>
      </c>
      <c r="G6829" s="7" t="s">
        <v>5494</v>
      </c>
    </row>
    <row r="6830" customFormat="false" ht="15" hidden="false" customHeight="false" outlineLevel="0" collapsed="false">
      <c r="A6830" s="7" t="s">
        <v>7220</v>
      </c>
      <c r="B6830" s="7" t="n">
        <v>25329.04</v>
      </c>
      <c r="C6830" s="7" t="n">
        <f aca="false">AVERAGE(B6781:B6830)</f>
        <v>25316.6128</v>
      </c>
      <c r="D6830" s="7" t="n">
        <f aca="false">AVERAGE(B6631:B6830)</f>
        <v>24060.8771</v>
      </c>
      <c r="E6830" s="7" t="n">
        <f aca="false">B6830/MAX(B6579:B6830)-1</f>
        <v>-0.0302762075586192</v>
      </c>
      <c r="F6830" s="7" t="str">
        <f aca="false">IFERROR(INDEX(02_轉折點45個!B:B,MATCH(A6830,02_轉折點45個!A:A,0)),"")</f>
        <v/>
      </c>
      <c r="G6830" s="7" t="s">
        <v>5494</v>
      </c>
    </row>
    <row r="6831" customFormat="false" ht="15" hidden="false" customHeight="false" outlineLevel="0" collapsed="false">
      <c r="A6831" s="7" t="s">
        <v>7221</v>
      </c>
      <c r="B6831" s="7" t="n">
        <v>25034.37</v>
      </c>
      <c r="C6831" s="7" t="n">
        <f aca="false">AVERAGE(B6782:B6831)</f>
        <v>25313.3656</v>
      </c>
      <c r="D6831" s="7" t="n">
        <f aca="false">AVERAGE(B6632:B6831)</f>
        <v>24085.7417</v>
      </c>
      <c r="E6831" s="7" t="n">
        <f aca="false">B6831/MAX(B6580:B6831)-1</f>
        <v>-0.0415576659130891</v>
      </c>
      <c r="F6831" s="7" t="str">
        <f aca="false">IFERROR(INDEX(02_轉折點45個!B:B,MATCH(A6831,02_轉折點45個!A:A,0)),"")</f>
        <v/>
      </c>
      <c r="G6831" s="7" t="s">
        <v>5494</v>
      </c>
    </row>
    <row r="6832" customFormat="false" ht="15" hidden="false" customHeight="false" outlineLevel="0" collapsed="false">
      <c r="A6832" s="7" t="s">
        <v>7222</v>
      </c>
      <c r="B6832" s="7" t="n">
        <v>24960.04</v>
      </c>
      <c r="C6832" s="7" t="n">
        <f aca="false">AVERAGE(B6783:B6832)</f>
        <v>25311.221</v>
      </c>
      <c r="D6832" s="7" t="n">
        <f aca="false">AVERAGE(B6633:B6832)</f>
        <v>24106.20115</v>
      </c>
      <c r="E6832" s="7" t="n">
        <f aca="false">B6832/MAX(B6581:B6832)-1</f>
        <v>-0.0444033943533365</v>
      </c>
      <c r="F6832" s="7" t="str">
        <f aca="false">IFERROR(INDEX(02_轉折點45個!B:B,MATCH(A6832,02_轉折點45個!A:A,0)),"")</f>
        <v/>
      </c>
      <c r="G6832" s="7" t="s">
        <v>5494</v>
      </c>
    </row>
    <row r="6833" customFormat="false" ht="15" hidden="false" customHeight="false" outlineLevel="0" collapsed="false">
      <c r="A6833" s="7" t="s">
        <v>7223</v>
      </c>
      <c r="B6833" s="7" t="n">
        <v>24992.6</v>
      </c>
      <c r="C6833" s="7" t="n">
        <f aca="false">AVERAGE(B6784:B6833)</f>
        <v>25308.4142</v>
      </c>
      <c r="D6833" s="7" t="n">
        <f aca="false">AVERAGE(B6634:B6833)</f>
        <v>24125.17565</v>
      </c>
      <c r="E6833" s="7" t="n">
        <f aca="false">B6833/MAX(B6582:B6833)-1</f>
        <v>-0.0431568328302039</v>
      </c>
      <c r="F6833" s="7" t="str">
        <f aca="false">IFERROR(INDEX(02_轉折點45個!B:B,MATCH(A6833,02_轉折點45個!A:A,0)),"")</f>
        <v/>
      </c>
      <c r="G6833" s="7" t="s">
        <v>5494</v>
      </c>
    </row>
    <row r="6834" customFormat="false" ht="15" hidden="false" customHeight="false" outlineLevel="0" collapsed="false">
      <c r="A6834" s="7" t="s">
        <v>7224</v>
      </c>
      <c r="B6834" s="7" t="n">
        <v>24720.08</v>
      </c>
      <c r="C6834" s="7" t="n">
        <f aca="false">AVERAGE(B6785:B6834)</f>
        <v>25309.8636</v>
      </c>
      <c r="D6834" s="7" t="n">
        <f aca="false">AVERAGE(B6635:B6834)</f>
        <v>24142.18</v>
      </c>
      <c r="E6834" s="7" t="n">
        <f aca="false">B6834/MAX(B6583:B6834)-1</f>
        <v>-0.0535902771264</v>
      </c>
      <c r="F6834" s="7" t="str">
        <f aca="false">IFERROR(INDEX(02_轉折點45個!B:B,MATCH(A6834,02_轉折點45個!A:A,0)),"")</f>
        <v/>
      </c>
      <c r="G6834" s="7" t="s">
        <v>5494</v>
      </c>
    </row>
    <row r="6835" customFormat="false" ht="15" hidden="false" customHeight="false" outlineLevel="0" collapsed="false">
      <c r="A6835" s="7" t="s">
        <v>1955</v>
      </c>
      <c r="B6835" s="7" t="n">
        <v>25093.68</v>
      </c>
      <c r="C6835" s="7" t="n">
        <f aca="false">AVERAGE(B6786:B6835)</f>
        <v>25311.3498</v>
      </c>
      <c r="D6835" s="7" t="n">
        <f aca="false">AVERAGE(B6636:B6835)</f>
        <v>24160.9693</v>
      </c>
      <c r="E6835" s="7" t="n">
        <f aca="false">B6835/MAX(B6584:B6835)-1</f>
        <v>-0.0392869790599869</v>
      </c>
      <c r="F6835" s="7" t="str">
        <f aca="false">IFERROR(INDEX(02_轉折點45個!B:B,MATCH(A6835,02_轉折點45個!A:A,0)),"")</f>
        <v/>
      </c>
      <c r="G6835" s="7" t="s">
        <v>5494</v>
      </c>
    </row>
    <row r="6836" customFormat="false" ht="15" hidden="false" customHeight="false" outlineLevel="0" collapsed="false">
      <c r="A6836" s="7" t="s">
        <v>7225</v>
      </c>
      <c r="B6836" s="7" t="n">
        <v>25020.41</v>
      </c>
      <c r="C6836" s="7" t="n">
        <f aca="false">AVERAGE(B6787:B6836)</f>
        <v>25304.8344</v>
      </c>
      <c r="D6836" s="7" t="n">
        <f aca="false">AVERAGE(B6637:B6836)</f>
        <v>24178.93165</v>
      </c>
      <c r="E6836" s="7" t="n">
        <f aca="false">B6836/MAX(B6585:B6836)-1</f>
        <v>-0.0420921253376263</v>
      </c>
      <c r="F6836" s="7" t="str">
        <f aca="false">IFERROR(INDEX(02_轉折點45個!B:B,MATCH(A6836,02_轉折點45個!A:A,0)),"")</f>
        <v/>
      </c>
      <c r="G6836" s="7" t="s">
        <v>5494</v>
      </c>
    </row>
    <row r="6837" customFormat="false" ht="15" hidden="false" customHeight="false" outlineLevel="0" collapsed="false">
      <c r="A6837" s="7" t="s">
        <v>7226</v>
      </c>
      <c r="B6837" s="7" t="n">
        <v>24643.02</v>
      </c>
      <c r="C6837" s="7" t="n">
        <f aca="false">AVERAGE(B6788:B6837)</f>
        <v>25288.4608</v>
      </c>
      <c r="D6837" s="7" t="n">
        <f aca="false">AVERAGE(B6638:B6837)</f>
        <v>24194.9115</v>
      </c>
      <c r="E6837" s="7" t="n">
        <f aca="false">B6837/MAX(B6586:B6837)-1</f>
        <v>-0.056540523777893</v>
      </c>
      <c r="F6837" s="7" t="str">
        <f aca="false">IFERROR(INDEX(02_轉折點45個!B:B,MATCH(A6837,02_轉折點45個!A:A,0)),"")</f>
        <v/>
      </c>
      <c r="G6837" s="7" t="s">
        <v>5494</v>
      </c>
    </row>
    <row r="6838" customFormat="false" ht="15" hidden="false" customHeight="false" outlineLevel="0" collapsed="false">
      <c r="A6838" s="7" t="s">
        <v>1956</v>
      </c>
      <c r="B6838" s="7" t="n">
        <v>24967.25</v>
      </c>
      <c r="C6838" s="7" t="n">
        <f aca="false">AVERAGE(B6789:B6838)</f>
        <v>25276.0492</v>
      </c>
      <c r="D6838" s="7" t="n">
        <f aca="false">AVERAGE(B6639:B6838)</f>
        <v>24212.9109</v>
      </c>
      <c r="E6838" s="7" t="n">
        <f aca="false">B6838/MAX(B6587:B6838)-1</f>
        <v>-0.0441273590774831</v>
      </c>
      <c r="F6838" s="7" t="str">
        <f aca="false">IFERROR(INDEX(02_轉折點45個!B:B,MATCH(A6838,02_轉折點45個!A:A,0)),"")</f>
        <v/>
      </c>
      <c r="G6838" s="7" t="s">
        <v>5494</v>
      </c>
    </row>
    <row r="6839" customFormat="false" ht="15" hidden="false" customHeight="false" outlineLevel="0" collapsed="false">
      <c r="A6839" s="7" t="s">
        <v>7227</v>
      </c>
      <c r="B6839" s="7" t="n">
        <v>24956.47</v>
      </c>
      <c r="C6839" s="7" t="n">
        <f aca="false">AVERAGE(B6790:B6839)</f>
        <v>25262.0556</v>
      </c>
      <c r="D6839" s="7" t="n">
        <f aca="false">AVERAGE(B6640:B6839)</f>
        <v>24232.29145</v>
      </c>
      <c r="E6839" s="7" t="n">
        <f aca="false">B6839/MAX(B6588:B6839)-1</f>
        <v>-0.044540072014196</v>
      </c>
      <c r="F6839" s="7" t="str">
        <f aca="false">IFERROR(INDEX(02_轉折點45個!B:B,MATCH(A6839,02_轉折點45個!A:A,0)),"")</f>
        <v/>
      </c>
      <c r="G6839" s="7" t="s">
        <v>5494</v>
      </c>
    </row>
    <row r="6840" customFormat="false" ht="15" hidden="false" customHeight="false" outlineLevel="0" collapsed="false">
      <c r="A6840" s="7" t="s">
        <v>7228</v>
      </c>
      <c r="B6840" s="7" t="n">
        <v>24965.01</v>
      </c>
      <c r="C6840" s="7" t="n">
        <f aca="false">AVERAGE(B6791:B6840)</f>
        <v>25248.468</v>
      </c>
      <c r="D6840" s="7" t="n">
        <f aca="false">AVERAGE(B6641:B6840)</f>
        <v>24251.55415</v>
      </c>
      <c r="E6840" s="7" t="n">
        <f aca="false">B6840/MAX(B6589:B6840)-1</f>
        <v>-0.0442131176097872</v>
      </c>
      <c r="F6840" s="7" t="str">
        <f aca="false">IFERROR(INDEX(02_轉折點45個!B:B,MATCH(A6840,02_轉折點45個!A:A,0)),"")</f>
        <v/>
      </c>
      <c r="G6840" s="7" t="s">
        <v>5494</v>
      </c>
    </row>
    <row r="6841" customFormat="false" ht="15" hidden="false" customHeight="false" outlineLevel="0" collapsed="false">
      <c r="A6841" s="7" t="s">
        <v>1957</v>
      </c>
      <c r="B6841" s="7" t="n">
        <v>24533.58</v>
      </c>
      <c r="C6841" s="7" t="n">
        <f aca="false">AVERAGE(B6792:B6841)</f>
        <v>25228.6284</v>
      </c>
      <c r="D6841" s="7" t="n">
        <f aca="false">AVERAGE(B6642:B6841)</f>
        <v>24269.64375</v>
      </c>
      <c r="E6841" s="7" t="n">
        <f aca="false">B6841/MAX(B6590:B6841)-1</f>
        <v>-0.0607304406418872</v>
      </c>
      <c r="F6841" s="7" t="str">
        <f aca="false">IFERROR(INDEX(02_轉折點45個!B:B,MATCH(A6841,02_轉折點45個!A:A,0)),"")</f>
        <v/>
      </c>
      <c r="G6841" s="7" t="s">
        <v>5494</v>
      </c>
    </row>
    <row r="6842" customFormat="false" ht="15" hidden="false" customHeight="false" outlineLevel="0" collapsed="false">
      <c r="A6842" s="7" t="s">
        <v>1958</v>
      </c>
      <c r="B6842" s="7" t="n">
        <v>24380.73</v>
      </c>
      <c r="C6842" s="7" t="n">
        <f aca="false">AVERAGE(B6793:B6842)</f>
        <v>25206.9918</v>
      </c>
      <c r="D6842" s="7" t="n">
        <f aca="false">AVERAGE(B6643:B6842)</f>
        <v>24284.47245</v>
      </c>
      <c r="E6842" s="7" t="n">
        <f aca="false">B6842/MAX(B6591:B6842)-1</f>
        <v>-0.0665823119198616</v>
      </c>
      <c r="F6842" s="7" t="str">
        <f aca="false">IFERROR(INDEX(02_轉折點45個!B:B,MATCH(A6842,02_轉折點45個!A:A,0)),"")</f>
        <v/>
      </c>
      <c r="G6842" s="7" t="s">
        <v>5494</v>
      </c>
    </row>
    <row r="6843" customFormat="false" ht="15" hidden="false" customHeight="false" outlineLevel="0" collapsed="false">
      <c r="A6843" s="7" t="s">
        <v>7229</v>
      </c>
      <c r="B6843" s="7" t="n">
        <v>24655.34</v>
      </c>
      <c r="C6843" s="7" t="n">
        <f aca="false">AVERAGE(B6794:B6843)</f>
        <v>25195.1016</v>
      </c>
      <c r="D6843" s="7" t="n">
        <f aca="false">AVERAGE(B6644:B6843)</f>
        <v>24301.1583</v>
      </c>
      <c r="E6843" s="7" t="n">
        <f aca="false">B6843/MAX(B6592:B6843)-1</f>
        <v>-0.0560688518502211</v>
      </c>
      <c r="F6843" s="7" t="str">
        <f aca="false">IFERROR(INDEX(02_轉折點45個!B:B,MATCH(A6843,02_轉折點45個!A:A,0)),"")</f>
        <v/>
      </c>
      <c r="G6843" s="7" t="s">
        <v>5494</v>
      </c>
    </row>
    <row r="6844" customFormat="false" ht="15" hidden="false" customHeight="false" outlineLevel="0" collapsed="false">
      <c r="A6844" s="7" t="s">
        <v>7230</v>
      </c>
      <c r="B6844" s="7" t="n">
        <v>24780.42</v>
      </c>
      <c r="C6844" s="7" t="n">
        <f aca="false">AVERAGE(B6795:B6844)</f>
        <v>25186.5866</v>
      </c>
      <c r="D6844" s="7" t="n">
        <f aca="false">AVERAGE(B6645:B6844)</f>
        <v>24318.24065</v>
      </c>
      <c r="E6844" s="7" t="n">
        <f aca="false">B6844/MAX(B6593:B6844)-1</f>
        <v>-0.0512801566624617</v>
      </c>
      <c r="F6844" s="7" t="str">
        <f aca="false">IFERROR(INDEX(02_轉折點45個!B:B,MATCH(A6844,02_轉折點45個!A:A,0)),"")</f>
        <v/>
      </c>
      <c r="G6844" s="7" t="s">
        <v>5494</v>
      </c>
    </row>
    <row r="6845" customFormat="false" ht="15" hidden="false" customHeight="false" outlineLevel="0" collapsed="false">
      <c r="A6845" s="7" t="s">
        <v>1959</v>
      </c>
      <c r="B6845" s="7" t="n">
        <v>24425.09</v>
      </c>
      <c r="C6845" s="7" t="n">
        <f aca="false">AVERAGE(B6796:B6845)</f>
        <v>25167.062</v>
      </c>
      <c r="D6845" s="7" t="n">
        <f aca="false">AVERAGE(B6646:B6845)</f>
        <v>24333.66115</v>
      </c>
      <c r="E6845" s="7" t="n">
        <f aca="false">B6845/MAX(B6594:B6845)-1</f>
        <v>-0.0648839866997705</v>
      </c>
      <c r="F6845" s="7" t="str">
        <f aca="false">IFERROR(INDEX(02_轉折點45個!B:B,MATCH(A6845,02_轉折點45個!A:A,0)),"")</f>
        <v/>
      </c>
      <c r="G6845" s="7" t="s">
        <v>5494</v>
      </c>
    </row>
    <row r="6846" customFormat="false" ht="15" hidden="false" customHeight="false" outlineLevel="0" collapsed="false">
      <c r="A6846" s="7" t="s">
        <v>7231</v>
      </c>
      <c r="B6846" s="7" t="n">
        <v>24355.28</v>
      </c>
      <c r="C6846" s="7" t="n">
        <f aca="false">AVERAGE(B6797:B6846)</f>
        <v>25141.3734</v>
      </c>
      <c r="D6846" s="7" t="n">
        <f aca="false">AVERAGE(B6647:B6846)</f>
        <v>24347.9788</v>
      </c>
      <c r="E6846" s="7" t="n">
        <f aca="false">B6846/MAX(B6595:B6846)-1</f>
        <v>-0.0675566666730475</v>
      </c>
      <c r="F6846" s="7" t="str">
        <f aca="false">IFERROR(INDEX(02_轉折點45個!B:B,MATCH(A6846,02_轉折點45個!A:A,0)),"")</f>
        <v/>
      </c>
      <c r="G6846" s="7" t="s">
        <v>5494</v>
      </c>
    </row>
    <row r="6847" customFormat="false" ht="15" hidden="false" customHeight="false" outlineLevel="0" collapsed="false">
      <c r="A6847" s="7" t="s">
        <v>1960</v>
      </c>
      <c r="B6847" s="7" t="n">
        <v>23898.15</v>
      </c>
      <c r="C6847" s="7" t="n">
        <f aca="false">AVERAGE(B6798:B6847)</f>
        <v>25106.2584</v>
      </c>
      <c r="D6847" s="7" t="n">
        <f aca="false">AVERAGE(B6648:B6847)</f>
        <v>24359.15665</v>
      </c>
      <c r="E6847" s="7" t="n">
        <f aca="false">B6847/MAX(B6596:B6847)-1</f>
        <v>-0.0850579157230994</v>
      </c>
      <c r="F6847" s="7" t="str">
        <f aca="false">IFERROR(INDEX(02_轉折點45個!B:B,MATCH(A6847,02_轉折點45個!A:A,0)),"")</f>
        <v/>
      </c>
      <c r="G6847" s="7" t="s">
        <v>5494</v>
      </c>
    </row>
    <row r="6848" customFormat="false" ht="15" hidden="false" customHeight="false" outlineLevel="0" collapsed="false">
      <c r="A6848" s="7" t="s">
        <v>7232</v>
      </c>
      <c r="B6848" s="7" t="n">
        <v>24188.59</v>
      </c>
      <c r="C6848" s="7" t="n">
        <f aca="false">AVERAGE(B6799:B6848)</f>
        <v>25079.8882</v>
      </c>
      <c r="D6848" s="7" t="n">
        <f aca="false">AVERAGE(B6649:B6848)</f>
        <v>24371.49</v>
      </c>
      <c r="E6848" s="7" t="n">
        <f aca="false">B6848/MAX(B6597:B6848)-1</f>
        <v>-0.0739384031684714</v>
      </c>
      <c r="F6848" s="7" t="str">
        <f aca="false">IFERROR(INDEX(02_轉折點45個!B:B,MATCH(A6848,02_轉折點45個!A:A,0)),"")</f>
        <v/>
      </c>
      <c r="G6848" s="7" t="s">
        <v>5494</v>
      </c>
    </row>
    <row r="6849" customFormat="false" ht="15" hidden="false" customHeight="false" outlineLevel="0" collapsed="false">
      <c r="A6849" s="7" t="s">
        <v>7233</v>
      </c>
      <c r="B6849" s="7" t="n">
        <v>24002.45</v>
      </c>
      <c r="C6849" s="7" t="n">
        <f aca="false">AVERAGE(B6800:B6849)</f>
        <v>25044.612</v>
      </c>
      <c r="D6849" s="7" t="n">
        <f aca="false">AVERAGE(B6650:B6849)</f>
        <v>24383.7651</v>
      </c>
      <c r="E6849" s="7" t="n">
        <f aca="false">B6849/MAX(B6598:B6849)-1</f>
        <v>-0.0810647840626956</v>
      </c>
      <c r="F6849" s="7" t="str">
        <f aca="false">IFERROR(INDEX(02_轉折點45個!B:B,MATCH(A6849,02_轉折點45個!A:A,0)),"")</f>
        <v/>
      </c>
      <c r="G6849" s="7" t="s">
        <v>5494</v>
      </c>
    </row>
    <row r="6850" customFormat="false" ht="15" hidden="false" customHeight="false" outlineLevel="0" collapsed="false">
      <c r="A6850" s="7" t="s">
        <v>7234</v>
      </c>
      <c r="B6850" s="7" t="n">
        <v>24162.98</v>
      </c>
      <c r="C6850" s="7" t="n">
        <f aca="false">AVERAGE(B6801:B6850)</f>
        <v>25012.1184</v>
      </c>
      <c r="D6850" s="7" t="n">
        <f aca="false">AVERAGE(B6651:B6850)</f>
        <v>24395.77105</v>
      </c>
      <c r="E6850" s="7" t="n">
        <f aca="false">B6850/MAX(B6599:B6850)-1</f>
        <v>-0.0749188835311075</v>
      </c>
      <c r="F6850" s="7" t="str">
        <f aca="false">IFERROR(INDEX(02_轉折點45個!B:B,MATCH(A6850,02_轉折點45個!A:A,0)),"")</f>
        <v/>
      </c>
      <c r="G6850" s="7" t="s">
        <v>5494</v>
      </c>
    </row>
    <row r="6851" customFormat="false" ht="15" hidden="false" customHeight="false" outlineLevel="0" collapsed="false">
      <c r="A6851" s="7" t="s">
        <v>7235</v>
      </c>
      <c r="B6851" s="7" t="n">
        <v>23586.99</v>
      </c>
      <c r="C6851" s="7" t="n">
        <f aca="false">AVERAGE(B6802:B6851)</f>
        <v>24969.0192</v>
      </c>
      <c r="D6851" s="7" t="n">
        <f aca="false">AVERAGE(B6652:B6851)</f>
        <v>24404.71665</v>
      </c>
      <c r="E6851" s="7" t="n">
        <f aca="false">B6851/MAX(B6600:B6851)-1</f>
        <v>-0.0969706947015392</v>
      </c>
      <c r="F6851" s="7" t="str">
        <f aca="false">IFERROR(INDEX(02_轉折點45個!B:B,MATCH(A6851,02_轉折點45個!A:A,0)),"")</f>
        <v/>
      </c>
      <c r="G6851" s="7" t="s">
        <v>5494</v>
      </c>
    </row>
    <row r="6852" customFormat="false" ht="15" hidden="false" customHeight="false" outlineLevel="0" collapsed="false">
      <c r="A6852" s="7" t="s">
        <v>1961</v>
      </c>
      <c r="B6852" s="7" t="n">
        <v>23132.77</v>
      </c>
      <c r="C6852" s="7" t="n">
        <f aca="false">AVERAGE(B6803:B6852)</f>
        <v>24922.3558</v>
      </c>
      <c r="D6852" s="7" t="n">
        <f aca="false">AVERAGE(B6653:B6852)</f>
        <v>24410.6709</v>
      </c>
      <c r="E6852" s="7" t="n">
        <f aca="false">B6852/MAX(B6601:B6852)-1</f>
        <v>-0.114360534229714</v>
      </c>
      <c r="F6852" s="7" t="str">
        <f aca="false">IFERROR(INDEX(02_轉折點45個!B:B,MATCH(A6852,02_轉折點45個!A:A,0)),"")</f>
        <v/>
      </c>
      <c r="G6852" s="7" t="s">
        <v>5494</v>
      </c>
    </row>
    <row r="6853" customFormat="false" ht="15" hidden="false" customHeight="false" outlineLevel="0" collapsed="false">
      <c r="A6853" s="7" t="s">
        <v>7236</v>
      </c>
      <c r="B6853" s="7" t="n">
        <v>22953.38</v>
      </c>
      <c r="C6853" s="7" t="n">
        <f aca="false">AVERAGE(B6804:B6853)</f>
        <v>24870.482</v>
      </c>
      <c r="D6853" s="7" t="n">
        <f aca="false">AVERAGE(B6654:B6853)</f>
        <v>24416.1338</v>
      </c>
      <c r="E6853" s="7" t="n">
        <f aca="false">B6853/MAX(B6602:B6853)-1</f>
        <v>-0.121228490975254</v>
      </c>
      <c r="F6853" s="7" t="str">
        <f aca="false">IFERROR(INDEX(02_轉折點45個!B:B,MATCH(A6853,02_轉折點45個!A:A,0)),"")</f>
        <v/>
      </c>
      <c r="G6853" s="7" t="s">
        <v>5494</v>
      </c>
    </row>
    <row r="6854" customFormat="false" ht="15" hidden="false" customHeight="false" outlineLevel="0" collapsed="false">
      <c r="A6854" s="7" t="s">
        <v>7237</v>
      </c>
      <c r="B6854" s="7" t="n">
        <v>23740.19</v>
      </c>
      <c r="C6854" s="7" t="n">
        <f aca="false">AVERAGE(B6805:B6854)</f>
        <v>24834.7006</v>
      </c>
      <c r="D6854" s="7" t="n">
        <f aca="false">AVERAGE(B6655:B6854)</f>
        <v>24425.26815</v>
      </c>
      <c r="E6854" s="7" t="n">
        <f aca="false">B6854/MAX(B6603:B6854)-1</f>
        <v>-0.0911054236528923</v>
      </c>
      <c r="F6854" s="7" t="str">
        <f aca="false">IFERROR(INDEX(02_轉折點45個!B:B,MATCH(A6854,02_轉折點45個!A:A,0)),"")</f>
        <v/>
      </c>
      <c r="G6854" s="7" t="s">
        <v>5494</v>
      </c>
    </row>
    <row r="6855" customFormat="false" ht="15" hidden="false" customHeight="false" outlineLevel="0" collapsed="false">
      <c r="A6855" s="7" t="s">
        <v>7238</v>
      </c>
      <c r="B6855" s="7" t="n">
        <v>24019.99</v>
      </c>
      <c r="C6855" s="7" t="n">
        <f aca="false">AVERAGE(B6806:B6855)</f>
        <v>24815.349</v>
      </c>
      <c r="D6855" s="7" t="n">
        <f aca="false">AVERAGE(B6656:B6855)</f>
        <v>24437.2129</v>
      </c>
      <c r="E6855" s="7" t="n">
        <f aca="false">B6855/MAX(B6604:B6855)-1</f>
        <v>-0.0803932641267081</v>
      </c>
      <c r="F6855" s="7" t="str">
        <f aca="false">IFERROR(INDEX(02_轉折點45個!B:B,MATCH(A6855,02_轉折點45個!A:A,0)),"")</f>
        <v/>
      </c>
      <c r="G6855" s="7" t="s">
        <v>5494</v>
      </c>
    </row>
    <row r="6856" customFormat="false" ht="15" hidden="false" customHeight="false" outlineLevel="0" collapsed="false">
      <c r="A6856" s="7" t="s">
        <v>7239</v>
      </c>
      <c r="B6856" s="7" t="n">
        <v>24045.53</v>
      </c>
      <c r="C6856" s="7" t="n">
        <f aca="false">AVERAGE(B6807:B6856)</f>
        <v>24789.728</v>
      </c>
      <c r="D6856" s="7" t="n">
        <f aca="false">AVERAGE(B6657:B6856)</f>
        <v>24447.7527</v>
      </c>
      <c r="E6856" s="7" t="n">
        <f aca="false">B6856/MAX(B6605:B6856)-1</f>
        <v>-0.0794154637182066</v>
      </c>
      <c r="F6856" s="7" t="str">
        <f aca="false">IFERROR(INDEX(02_轉折點45個!B:B,MATCH(A6856,02_轉折點45個!A:A,0)),"")</f>
        <v/>
      </c>
      <c r="G6856" s="7" t="s">
        <v>5494</v>
      </c>
    </row>
    <row r="6857" customFormat="false" ht="15" hidden="false" customHeight="false" outlineLevel="0" collapsed="false">
      <c r="A6857" s="7" t="s">
        <v>7240</v>
      </c>
      <c r="B6857" s="7" t="n">
        <v>24192.17</v>
      </c>
      <c r="C6857" s="7" t="n">
        <f aca="false">AVERAGE(B6808:B6857)</f>
        <v>24763.2044</v>
      </c>
      <c r="D6857" s="7" t="n">
        <f aca="false">AVERAGE(B6658:B6857)</f>
        <v>24460.11815</v>
      </c>
      <c r="E6857" s="7" t="n">
        <f aca="false">B6857/MAX(B6606:B6857)-1</f>
        <v>-0.0738013426570214</v>
      </c>
      <c r="F6857" s="7" t="str">
        <f aca="false">IFERROR(INDEX(02_轉折點45個!B:B,MATCH(A6857,02_轉折點45個!A:A,0)),"")</f>
        <v/>
      </c>
      <c r="G6857" s="7" t="s">
        <v>5494</v>
      </c>
    </row>
    <row r="6858" customFormat="false" ht="15" hidden="false" customHeight="false" outlineLevel="0" collapsed="false">
      <c r="A6858" s="7" t="s">
        <v>7241</v>
      </c>
      <c r="B6858" s="7" t="n">
        <v>24202.37</v>
      </c>
      <c r="C6858" s="7" t="n">
        <f aca="false">AVERAGE(B6809:B6858)</f>
        <v>24735.1424</v>
      </c>
      <c r="D6858" s="7" t="n">
        <f aca="false">AVERAGE(B6659:B6858)</f>
        <v>24472.53155</v>
      </c>
      <c r="E6858" s="7" t="n">
        <f aca="false">B6858/MAX(B6607:B6858)-1</f>
        <v>-0.0734108350545658</v>
      </c>
      <c r="F6858" s="7" t="str">
        <f aca="false">IFERROR(INDEX(02_轉折點45個!B:B,MATCH(A6858,02_轉折點45個!A:A,0)),"")</f>
        <v/>
      </c>
      <c r="G6858" s="7" t="s">
        <v>5494</v>
      </c>
    </row>
    <row r="6859" customFormat="false" ht="15" hidden="false" customHeight="false" outlineLevel="0" collapsed="false">
      <c r="A6859" s="7" t="s">
        <v>1962</v>
      </c>
      <c r="B6859" s="7" t="n">
        <v>24903.17</v>
      </c>
      <c r="C6859" s="7" t="n">
        <f aca="false">AVERAGE(B6810:B6859)</f>
        <v>24718.9416</v>
      </c>
      <c r="D6859" s="7" t="n">
        <f aca="false">AVERAGE(B6660:B6859)</f>
        <v>24488.91545</v>
      </c>
      <c r="E6859" s="7" t="n">
        <f aca="false">B6859/MAX(B6608:B6859)-1</f>
        <v>-0.046580665662322</v>
      </c>
      <c r="F6859" s="7" t="str">
        <f aca="false">IFERROR(INDEX(02_轉折點45個!B:B,MATCH(A6859,02_轉折點45個!A:A,0)),"")</f>
        <v/>
      </c>
      <c r="G6859" s="7" t="s">
        <v>5494</v>
      </c>
    </row>
    <row r="6860" customFormat="false" ht="15" hidden="false" customHeight="false" outlineLevel="0" collapsed="false">
      <c r="A6860" s="7" t="s">
        <v>7242</v>
      </c>
      <c r="B6860" s="7" t="n">
        <v>25082.09</v>
      </c>
      <c r="C6860" s="7" t="n">
        <f aca="false">AVERAGE(B6811:B6860)</f>
        <v>24701.7886</v>
      </c>
      <c r="D6860" s="7" t="n">
        <f aca="false">AVERAGE(B6661:B6860)</f>
        <v>24505.04425</v>
      </c>
      <c r="E6860" s="7" t="n">
        <f aca="false">B6860/MAX(B6609:B6860)-1</f>
        <v>-0.0397307028945418</v>
      </c>
      <c r="F6860" s="7" t="str">
        <f aca="false">IFERROR(INDEX(02_轉折點45個!B:B,MATCH(A6860,02_轉折點45個!A:A,0)),"")</f>
        <v/>
      </c>
      <c r="G6860" s="7" t="s">
        <v>5494</v>
      </c>
    </row>
    <row r="6861" customFormat="false" ht="15" hidden="false" customHeight="false" outlineLevel="0" collapsed="false">
      <c r="A6861" s="7" t="s">
        <v>1963</v>
      </c>
      <c r="B6861" s="7" t="n">
        <v>25116.34</v>
      </c>
      <c r="C6861" s="7" t="n">
        <f aca="false">AVERAGE(B6812:B6861)</f>
        <v>24683.6596</v>
      </c>
      <c r="D6861" s="7" t="n">
        <f aca="false">AVERAGE(B6662:B6861)</f>
        <v>24519.67335</v>
      </c>
      <c r="E6861" s="7" t="n">
        <f aca="false">B6861/MAX(B6610:B6861)-1</f>
        <v>-0.0384194396215904</v>
      </c>
      <c r="F6861" s="7" t="str">
        <f aca="false">IFERROR(INDEX(02_轉折點45個!B:B,MATCH(A6861,02_轉折點45個!A:A,0)),"")</f>
        <v/>
      </c>
      <c r="G6861" s="7" t="s">
        <v>5494</v>
      </c>
    </row>
    <row r="6862" customFormat="false" ht="15" hidden="false" customHeight="false" outlineLevel="0" collapsed="false">
      <c r="A6862" s="7" t="s">
        <v>7243</v>
      </c>
      <c r="B6862" s="7" t="n">
        <v>25383.72</v>
      </c>
      <c r="C6862" s="7" t="n">
        <f aca="false">AVERAGE(B6813:B6862)</f>
        <v>24673.648</v>
      </c>
      <c r="D6862" s="7" t="n">
        <f aca="false">AVERAGE(B6663:B6862)</f>
        <v>24535.40325</v>
      </c>
      <c r="E6862" s="7" t="n">
        <f aca="false">B6862/MAX(B6611:B6862)-1</f>
        <v>-0.0281827805289846</v>
      </c>
      <c r="F6862" s="7" t="str">
        <f aca="false">IFERROR(INDEX(02_轉折點45個!B:B,MATCH(A6862,02_轉折點45個!A:A,0)),"")</f>
        <v/>
      </c>
      <c r="G6862" s="7" t="s">
        <v>5494</v>
      </c>
    </row>
    <row r="6863" customFormat="false" ht="15" hidden="false" customHeight="false" outlineLevel="0" collapsed="false">
      <c r="A6863" s="7" t="s">
        <v>7244</v>
      </c>
      <c r="B6863" s="7" t="n">
        <v>25842</v>
      </c>
      <c r="C6863" s="7" t="n">
        <f aca="false">AVERAGE(B6814:B6863)</f>
        <v>24679.4402</v>
      </c>
      <c r="D6863" s="7" t="n">
        <f aca="false">AVERAGE(B6664:B6863)</f>
        <v>24552.3768</v>
      </c>
      <c r="E6863" s="7" t="n">
        <f aca="false">B6863/MAX(B6612:B6863)-1</f>
        <v>-0.0106375036610087</v>
      </c>
      <c r="F6863" s="7" t="str">
        <f aca="false">IFERROR(INDEX(02_轉折點45個!B:B,MATCH(A6863,02_轉折點45個!A:A,0)),"")</f>
        <v/>
      </c>
      <c r="G6863" s="7" t="s">
        <v>5494</v>
      </c>
    </row>
    <row r="6864" customFormat="false" ht="15" hidden="false" customHeight="false" outlineLevel="0" collapsed="false">
      <c r="A6864" s="7" t="s">
        <v>7245</v>
      </c>
      <c r="B6864" s="7" t="n">
        <v>26204.58</v>
      </c>
      <c r="C6864" s="7" t="n">
        <f aca="false">AVERAGE(B6815:B6864)</f>
        <v>24688.7596</v>
      </c>
      <c r="D6864" s="7" t="n">
        <f aca="false">AVERAGE(B6665:B6864)</f>
        <v>24570.7287</v>
      </c>
      <c r="E6864" s="7" t="n">
        <f aca="false">B6864/MAX(B6613:B6864)-1</f>
        <v>0</v>
      </c>
      <c r="F6864" s="7" t="str">
        <f aca="false">IFERROR(INDEX(02_轉折點45個!B:B,MATCH(A6864,02_轉折點45個!A:A,0)),"")</f>
        <v/>
      </c>
      <c r="G6864" s="7" t="s">
        <v>5494</v>
      </c>
    </row>
    <row r="6865" customFormat="false" ht="15" hidden="false" customHeight="false" outlineLevel="0" collapsed="false">
      <c r="A6865" s="7" t="s">
        <v>7246</v>
      </c>
      <c r="B6865" s="7" t="n">
        <v>26333</v>
      </c>
      <c r="C6865" s="7" t="n">
        <f aca="false">AVERAGE(B6816:B6865)</f>
        <v>24708.6472</v>
      </c>
      <c r="D6865" s="7" t="n">
        <f aca="false">AVERAGE(B6666:B6865)</f>
        <v>24588.99865</v>
      </c>
      <c r="E6865" s="7" t="n">
        <f aca="false">B6865/MAX(B6614:B6865)-1</f>
        <v>0</v>
      </c>
      <c r="F6865" s="7" t="str">
        <f aca="false">IFERROR(INDEX(02_轉折點45個!B:B,MATCH(A6865,02_轉折點45個!A:A,0)),"")</f>
        <v/>
      </c>
      <c r="G6865" s="7" t="s">
        <v>5494</v>
      </c>
    </row>
    <row r="6866" customFormat="false" ht="15" hidden="false" customHeight="false" outlineLevel="0" collapsed="false">
      <c r="A6866" s="7" t="s">
        <v>1964</v>
      </c>
      <c r="B6866" s="7" t="n">
        <v>26672.43</v>
      </c>
      <c r="C6866" s="7" t="n">
        <f aca="false">AVERAGE(B6817:B6866)</f>
        <v>24744.271</v>
      </c>
      <c r="D6866" s="7" t="n">
        <f aca="false">AVERAGE(B6667:B6866)</f>
        <v>24609.97015</v>
      </c>
      <c r="E6866" s="7" t="n">
        <f aca="false">B6866/MAX(B6615:B6866)-1</f>
        <v>0</v>
      </c>
      <c r="F6866" s="7" t="str">
        <f aca="false">IFERROR(INDEX(02_轉折點45個!B:B,MATCH(A6866,02_轉折點45個!A:A,0)),"")</f>
        <v/>
      </c>
      <c r="G6866" s="7" t="s">
        <v>5494</v>
      </c>
    </row>
    <row r="6867" customFormat="false" ht="15" hidden="false" customHeight="false" outlineLevel="0" collapsed="false">
      <c r="A6867" s="7" t="s">
        <v>7247</v>
      </c>
      <c r="B6867" s="7" t="n">
        <v>26590.34</v>
      </c>
      <c r="C6867" s="7" t="n">
        <f aca="false">AVERAGE(B6818:B6867)</f>
        <v>24785.104</v>
      </c>
      <c r="D6867" s="7" t="n">
        <f aca="false">AVERAGE(B6668:B6867)</f>
        <v>24629.7124</v>
      </c>
      <c r="E6867" s="7" t="n">
        <f aca="false">B6867/MAX(B6616:B6867)-1</f>
        <v>-0.00307770982996303</v>
      </c>
      <c r="F6867" s="7" t="str">
        <f aca="false">IFERROR(INDEX(02_轉折點45個!B:B,MATCH(A6867,02_轉折點45個!A:A,0)),"")</f>
        <v/>
      </c>
      <c r="G6867" s="7" t="s">
        <v>5494</v>
      </c>
    </row>
    <row r="6868" customFormat="false" ht="15" hidden="false" customHeight="false" outlineLevel="0" collapsed="false">
      <c r="A6868" s="7" t="s">
        <v>7248</v>
      </c>
      <c r="B6868" s="7" t="n">
        <v>26479.47</v>
      </c>
      <c r="C6868" s="7" t="n">
        <f aca="false">AVERAGE(B6819:B6868)</f>
        <v>24813.178</v>
      </c>
      <c r="D6868" s="7" t="n">
        <f aca="false">AVERAGE(B6669:B6868)</f>
        <v>24647.7749</v>
      </c>
      <c r="E6868" s="7" t="n">
        <f aca="false">B6868/MAX(B6617:B6868)-1</f>
        <v>-0.00723443645742061</v>
      </c>
      <c r="F6868" s="7" t="str">
        <f aca="false">IFERROR(INDEX(02_轉折點45個!B:B,MATCH(A6868,02_轉折點45個!A:A,0)),"")</f>
        <v/>
      </c>
      <c r="G6868" s="7" t="s">
        <v>5494</v>
      </c>
    </row>
    <row r="6869" customFormat="false" ht="15" hidden="false" customHeight="false" outlineLevel="0" collapsed="false">
      <c r="A6869" s="7" t="s">
        <v>7249</v>
      </c>
      <c r="B6869" s="7" t="n">
        <v>26937.28</v>
      </c>
      <c r="C6869" s="7" t="n">
        <f aca="false">AVERAGE(B6820:B6869)</f>
        <v>24846.5608</v>
      </c>
      <c r="D6869" s="7" t="n">
        <f aca="false">AVERAGE(B6670:B6869)</f>
        <v>24669.03345</v>
      </c>
      <c r="E6869" s="7" t="n">
        <f aca="false">B6869/MAX(B6618:B6869)-1</f>
        <v>0</v>
      </c>
      <c r="F6869" s="7" t="str">
        <f aca="false">IFERROR(INDEX(02_轉折點45個!B:B,MATCH(A6869,02_轉折點45個!A:A,0)),"")</f>
        <v/>
      </c>
      <c r="G6869" s="7" t="s">
        <v>5494</v>
      </c>
    </row>
    <row r="6870" customFormat="false" ht="15" hidden="false" customHeight="false" outlineLevel="0" collapsed="false">
      <c r="A6870" s="7" t="s">
        <v>7250</v>
      </c>
      <c r="B6870" s="7" t="n">
        <v>26782.63</v>
      </c>
      <c r="C6870" s="7" t="n">
        <f aca="false">AVERAGE(B6821:B6870)</f>
        <v>24879.6606</v>
      </c>
      <c r="D6870" s="7" t="n">
        <f aca="false">AVERAGE(B6671:B6870)</f>
        <v>24689.43535</v>
      </c>
      <c r="E6870" s="7" t="n">
        <f aca="false">B6870/MAX(B6619:B6870)-1</f>
        <v>-0.00574111417336853</v>
      </c>
      <c r="F6870" s="7" t="str">
        <f aca="false">IFERROR(INDEX(02_轉折點45個!B:B,MATCH(A6870,02_轉折點45個!A:A,0)),"")</f>
        <v/>
      </c>
      <c r="G6870" s="7" t="s">
        <v>5494</v>
      </c>
    </row>
    <row r="6871" customFormat="false" ht="15" hidden="false" customHeight="false" outlineLevel="0" collapsed="false">
      <c r="A6871" s="7" t="s">
        <v>7251</v>
      </c>
      <c r="B6871" s="7" t="n">
        <v>27303.67</v>
      </c>
      <c r="C6871" s="7" t="n">
        <f aca="false">AVERAGE(B6822:B6871)</f>
        <v>24921.7088</v>
      </c>
      <c r="D6871" s="7" t="n">
        <f aca="false">AVERAGE(B6672:B6871)</f>
        <v>24711.62915</v>
      </c>
      <c r="E6871" s="7" t="n">
        <f aca="false">B6871/MAX(B6620:B6871)-1</f>
        <v>0</v>
      </c>
      <c r="F6871" s="7" t="str">
        <f aca="false">IFERROR(INDEX(02_轉折點45個!B:B,MATCH(A6871,02_轉折點45個!A:A,0)),"")</f>
        <v/>
      </c>
      <c r="G6871" s="7" t="s">
        <v>5494</v>
      </c>
    </row>
    <row r="6872" customFormat="false" ht="15" hidden="false" customHeight="false" outlineLevel="0" collapsed="false">
      <c r="A6872" s="7" t="s">
        <v>7252</v>
      </c>
      <c r="B6872" s="7" t="n">
        <v>27305.68</v>
      </c>
      <c r="C6872" s="7" t="n">
        <f aca="false">AVERAGE(B6823:B6872)</f>
        <v>24974.0702</v>
      </c>
      <c r="D6872" s="7" t="n">
        <f aca="false">AVERAGE(B6673:B6872)</f>
        <v>24734.01125</v>
      </c>
      <c r="E6872" s="7" t="n">
        <f aca="false">B6872/MAX(B6621:B6872)-1</f>
        <v>0</v>
      </c>
      <c r="F6872" s="7" t="str">
        <f aca="false">IFERROR(INDEX(02_轉折點45個!B:B,MATCH(A6872,02_轉折點45個!A:A,0)),"")</f>
        <v/>
      </c>
      <c r="G6872" s="7" t="s">
        <v>5494</v>
      </c>
    </row>
    <row r="6873" customFormat="false" ht="15" hidden="false" customHeight="false" outlineLevel="0" collapsed="false">
      <c r="A6873" s="7" t="s">
        <v>7253</v>
      </c>
      <c r="B6873" s="7" t="n">
        <v>27029.01</v>
      </c>
      <c r="C6873" s="7" t="n">
        <f aca="false">AVERAGE(B6824:B6873)</f>
        <v>25019.9958</v>
      </c>
      <c r="D6873" s="7" t="n">
        <f aca="false">AVERAGE(B6674:B6873)</f>
        <v>24755.2533</v>
      </c>
      <c r="E6873" s="7" t="n">
        <f aca="false">B6873/MAX(B6622:B6873)-1</f>
        <v>-0.0101323241171801</v>
      </c>
      <c r="F6873" s="7" t="str">
        <f aca="false">IFERROR(INDEX(02_轉折點45個!B:B,MATCH(A6873,02_轉折點45個!A:A,0)),"")</f>
        <v/>
      </c>
      <c r="G6873" s="7" t="s">
        <v>5494</v>
      </c>
    </row>
    <row r="6874" customFormat="false" ht="15" hidden="false" customHeight="false" outlineLevel="0" collapsed="false">
      <c r="A6874" s="7" t="s">
        <v>7254</v>
      </c>
      <c r="B6874" s="7" t="n">
        <v>27186.98</v>
      </c>
      <c r="C6874" s="7" t="n">
        <f aca="false">AVERAGE(B6825:B6874)</f>
        <v>25069.7034</v>
      </c>
      <c r="D6874" s="7" t="n">
        <f aca="false">AVERAGE(B6675:B6874)</f>
        <v>24776.91005</v>
      </c>
      <c r="E6874" s="7" t="n">
        <f aca="false">B6874/MAX(B6623:B6874)-1</f>
        <v>-0.00434708090038416</v>
      </c>
      <c r="F6874" s="7" t="str">
        <f aca="false">IFERROR(INDEX(02_轉折點45個!B:B,MATCH(A6874,02_轉折點45個!A:A,0)),"")</f>
        <v/>
      </c>
      <c r="G6874" s="7" t="s">
        <v>5494</v>
      </c>
    </row>
    <row r="6875" customFormat="false" ht="15" hidden="false" customHeight="false" outlineLevel="0" collapsed="false">
      <c r="A6875" s="7" t="s">
        <v>7255</v>
      </c>
      <c r="B6875" s="7" t="n">
        <v>27452.12</v>
      </c>
      <c r="C6875" s="7" t="n">
        <f aca="false">AVERAGE(B6826:B6875)</f>
        <v>25120.7684</v>
      </c>
      <c r="D6875" s="7" t="n">
        <f aca="false">AVERAGE(B6676:B6875)</f>
        <v>24799.7477</v>
      </c>
      <c r="E6875" s="7" t="n">
        <f aca="false">B6875/MAX(B6624:B6875)-1</f>
        <v>0</v>
      </c>
      <c r="F6875" s="7" t="str">
        <f aca="false">IFERROR(INDEX(02_轉折點45個!B:B,MATCH(A6875,02_轉折點45個!A:A,0)),"")</f>
        <v/>
      </c>
      <c r="G6875" s="7" t="s">
        <v>5494</v>
      </c>
    </row>
    <row r="6876" customFormat="false" ht="15" hidden="false" customHeight="false" outlineLevel="0" collapsed="false">
      <c r="A6876" s="7" t="s">
        <v>7256</v>
      </c>
      <c r="B6876" s="7" t="n">
        <v>27710.36</v>
      </c>
      <c r="C6876" s="7" t="n">
        <f aca="false">AVERAGE(B6827:B6876)</f>
        <v>25179.0288</v>
      </c>
      <c r="D6876" s="7" t="n">
        <f aca="false">AVERAGE(B6677:B6876)</f>
        <v>24823.75965</v>
      </c>
      <c r="E6876" s="7" t="n">
        <f aca="false">B6876/MAX(B6625:B6876)-1</f>
        <v>0</v>
      </c>
      <c r="F6876" s="7" t="str">
        <f aca="false">IFERROR(INDEX(02_轉折點45個!B:B,MATCH(A6876,02_轉折點45個!A:A,0)),"")</f>
        <v/>
      </c>
      <c r="G6876" s="7" t="s">
        <v>5494</v>
      </c>
    </row>
    <row r="6877" customFormat="false" ht="15" hidden="false" customHeight="false" outlineLevel="0" collapsed="false">
      <c r="A6877" s="7" t="s">
        <v>7257</v>
      </c>
      <c r="B6877" s="7" t="n">
        <v>27651.82</v>
      </c>
      <c r="C6877" s="7" t="n">
        <f aca="false">AVERAGE(B6828:B6877)</f>
        <v>25231.8128</v>
      </c>
      <c r="D6877" s="7" t="n">
        <f aca="false">AVERAGE(B6678:B6877)</f>
        <v>24846.6135</v>
      </c>
      <c r="E6877" s="7" t="n">
        <f aca="false">B6877/MAX(B6626:B6877)-1</f>
        <v>-0.00211256728530418</v>
      </c>
      <c r="F6877" s="7" t="str">
        <f aca="false">IFERROR(INDEX(02_轉折點45個!B:B,MATCH(A6877,02_轉折點45個!A:A,0)),"")</f>
        <v/>
      </c>
      <c r="G6877" s="7" t="s">
        <v>5494</v>
      </c>
    </row>
    <row r="6878" customFormat="false" ht="15" hidden="false" customHeight="false" outlineLevel="0" collapsed="false">
      <c r="A6878" s="7" t="s">
        <v>7258</v>
      </c>
      <c r="B6878" s="7" t="n">
        <v>28015.06</v>
      </c>
      <c r="C6878" s="7" t="n">
        <f aca="false">AVERAGE(B6829:B6878)</f>
        <v>25297.9352</v>
      </c>
      <c r="D6878" s="7" t="n">
        <f aca="false">AVERAGE(B6679:B6878)</f>
        <v>24871.36145</v>
      </c>
      <c r="E6878" s="7" t="n">
        <f aca="false">B6878/MAX(B6627:B6878)-1</f>
        <v>0</v>
      </c>
      <c r="F6878" s="7" t="str">
        <f aca="false">IFERROR(INDEX(02_轉折點45個!B:B,MATCH(A6878,02_轉折點45個!A:A,0)),"")</f>
        <v/>
      </c>
      <c r="G6878" s="7" t="s">
        <v>5494</v>
      </c>
    </row>
    <row r="6879" customFormat="false" ht="15" hidden="false" customHeight="false" outlineLevel="0" collapsed="false">
      <c r="A6879" s="7" t="s">
        <v>7259</v>
      </c>
      <c r="B6879" s="7" t="n">
        <v>28599.17</v>
      </c>
      <c r="C6879" s="7" t="n">
        <f aca="false">AVERAGE(B6830:B6879)</f>
        <v>25370.3778</v>
      </c>
      <c r="D6879" s="7" t="n">
        <f aca="false">AVERAGE(B6680:B6879)</f>
        <v>24898.457</v>
      </c>
      <c r="E6879" s="7" t="n">
        <f aca="false">B6879/MAX(B6628:B6879)-1</f>
        <v>0</v>
      </c>
      <c r="F6879" s="7" t="str">
        <f aca="false">IFERROR(INDEX(02_轉折點45個!B:B,MATCH(A6879,02_轉折點45個!A:A,0)),"")</f>
        <v/>
      </c>
      <c r="G6879" s="7" t="s">
        <v>5494</v>
      </c>
    </row>
    <row r="6880" customFormat="false" ht="15" hidden="false" customHeight="false" outlineLevel="0" collapsed="false">
      <c r="A6880" s="7" t="s">
        <v>7260</v>
      </c>
      <c r="B6880" s="7" t="n">
        <v>28563.95</v>
      </c>
      <c r="C6880" s="7" t="n">
        <f aca="false">AVERAGE(B6831:B6880)</f>
        <v>25435.076</v>
      </c>
      <c r="D6880" s="7" t="n">
        <f aca="false">AVERAGE(B6681:B6880)</f>
        <v>24925.95885</v>
      </c>
      <c r="E6880" s="7" t="n">
        <f aca="false">B6880/MAX(B6629:B6880)-1</f>
        <v>-0.00123150427092811</v>
      </c>
      <c r="F6880" s="7" t="str">
        <f aca="false">IFERROR(INDEX(02_轉折點45個!B:B,MATCH(A6880,02_轉折點45個!A:A,0)),"")</f>
        <v/>
      </c>
      <c r="G6880" s="7" t="s">
        <v>5494</v>
      </c>
    </row>
    <row r="6881" customFormat="false" ht="15" hidden="false" customHeight="false" outlineLevel="0" collapsed="false">
      <c r="A6881" s="7" t="s">
        <v>7261</v>
      </c>
      <c r="B6881" s="7" t="n">
        <v>29234.99</v>
      </c>
      <c r="C6881" s="7" t="n">
        <f aca="false">AVERAGE(B6832:B6881)</f>
        <v>25519.0884</v>
      </c>
      <c r="D6881" s="7" t="n">
        <f aca="false">AVERAGE(B6682:B6881)</f>
        <v>24956.32175</v>
      </c>
      <c r="E6881" s="7" t="n">
        <f aca="false">B6881/MAX(B6630:B6881)-1</f>
        <v>0</v>
      </c>
      <c r="F6881" s="7" t="str">
        <f aca="false">IFERROR(INDEX(02_轉折點45個!B:B,MATCH(A6881,02_轉折點45個!A:A,0)),"")</f>
        <v/>
      </c>
      <c r="G6881" s="7" t="s">
        <v>5494</v>
      </c>
    </row>
    <row r="6882" customFormat="false" ht="15" hidden="false" customHeight="false" outlineLevel="0" collapsed="false">
      <c r="A6882" s="7" t="s">
        <v>7262</v>
      </c>
      <c r="B6882" s="7" t="n">
        <v>29320.66</v>
      </c>
      <c r="C6882" s="7" t="n">
        <f aca="false">AVERAGE(B6833:B6882)</f>
        <v>25606.3008</v>
      </c>
      <c r="D6882" s="7" t="n">
        <f aca="false">AVERAGE(B6683:B6882)</f>
        <v>24986.8257</v>
      </c>
      <c r="E6882" s="7" t="n">
        <f aca="false">B6882/MAX(B6631:B6882)-1</f>
        <v>0</v>
      </c>
      <c r="F6882" s="7" t="str">
        <f aca="false">IFERROR(INDEX(02_轉折點45個!B:B,MATCH(A6882,02_轉折點45個!A:A,0)),"")</f>
        <v/>
      </c>
      <c r="G6882" s="7" t="s">
        <v>5494</v>
      </c>
    </row>
    <row r="6883" customFormat="false" ht="15" hidden="false" customHeight="false" outlineLevel="0" collapsed="false">
      <c r="A6883" s="7" t="s">
        <v>7263</v>
      </c>
      <c r="B6883" s="7" t="n">
        <v>29064.8</v>
      </c>
      <c r="C6883" s="7" t="n">
        <f aca="false">AVERAGE(B6834:B6883)</f>
        <v>25687.7448</v>
      </c>
      <c r="D6883" s="7" t="n">
        <f aca="false">AVERAGE(B6684:B6883)</f>
        <v>25015.78845</v>
      </c>
      <c r="E6883" s="7" t="n">
        <f aca="false">B6883/MAX(B6632:B6883)-1</f>
        <v>-0.00872627014535143</v>
      </c>
      <c r="F6883" s="7" t="str">
        <f aca="false">IFERROR(INDEX(02_轉折點45個!B:B,MATCH(A6883,02_轉折點45個!A:A,0)),"")</f>
        <v/>
      </c>
      <c r="G6883" s="7" t="s">
        <v>5494</v>
      </c>
    </row>
    <row r="6884" customFormat="false" ht="15" hidden="false" customHeight="false" outlineLevel="0" collapsed="false">
      <c r="A6884" s="7" t="s">
        <v>7264</v>
      </c>
      <c r="B6884" s="7" t="n">
        <v>29366.94</v>
      </c>
      <c r="C6884" s="7" t="n">
        <f aca="false">AVERAGE(B6835:B6884)</f>
        <v>25780.682</v>
      </c>
      <c r="D6884" s="7" t="n">
        <f aca="false">AVERAGE(B6685:B6884)</f>
        <v>25045.8418</v>
      </c>
      <c r="E6884" s="7" t="n">
        <f aca="false">B6884/MAX(B6633:B6884)-1</f>
        <v>0</v>
      </c>
      <c r="F6884" s="7" t="str">
        <f aca="false">IFERROR(INDEX(02_轉折點45個!B:B,MATCH(A6884,02_轉折點45個!A:A,0)),"")</f>
        <v/>
      </c>
      <c r="G6884" s="7" t="s">
        <v>5494</v>
      </c>
    </row>
    <row r="6885" customFormat="false" ht="15" hidden="false" customHeight="false" outlineLevel="0" collapsed="false">
      <c r="A6885" s="7" t="s">
        <v>7265</v>
      </c>
      <c r="B6885" s="7" t="n">
        <v>29580.3</v>
      </c>
      <c r="C6885" s="7" t="n">
        <f aca="false">AVERAGE(B6836:B6885)</f>
        <v>25870.4144</v>
      </c>
      <c r="D6885" s="7" t="n">
        <f aca="false">AVERAGE(B6686:B6885)</f>
        <v>25077.2018</v>
      </c>
      <c r="E6885" s="7" t="n">
        <f aca="false">B6885/MAX(B6634:B6885)-1</f>
        <v>0</v>
      </c>
      <c r="F6885" s="7" t="str">
        <f aca="false">IFERROR(INDEX(02_轉折點45個!B:B,MATCH(A6885,02_轉折點45個!A:A,0)),"")</f>
        <v/>
      </c>
      <c r="G6885" s="7" t="s">
        <v>5494</v>
      </c>
    </row>
    <row r="6886" customFormat="false" ht="15" hidden="false" customHeight="false" outlineLevel="0" collapsed="false">
      <c r="A6886" s="7" t="s">
        <v>1965</v>
      </c>
      <c r="B6886" s="7" t="n">
        <v>29125.2</v>
      </c>
      <c r="C6886" s="7" t="n">
        <f aca="false">AVERAGE(B6837:B6886)</f>
        <v>25952.5102</v>
      </c>
      <c r="D6886" s="7" t="n">
        <f aca="false">AVERAGE(B6687:B6886)</f>
        <v>25106.10075</v>
      </c>
      <c r="E6886" s="7" t="n">
        <f aca="false">B6886/MAX(B6635:B6886)-1</f>
        <v>-0.0153852395006135</v>
      </c>
      <c r="F6886" s="7" t="str">
        <f aca="false">IFERROR(INDEX(02_轉折點45個!B:B,MATCH(A6886,02_轉折點45個!A:A,0)),"")</f>
        <v/>
      </c>
      <c r="G6886" s="7" t="s">
        <v>5494</v>
      </c>
    </row>
    <row r="6887" customFormat="false" ht="15" hidden="false" customHeight="false" outlineLevel="0" collapsed="false">
      <c r="A6887" s="7" t="s">
        <v>7266</v>
      </c>
      <c r="B6887" s="7" t="n">
        <v>28994.37</v>
      </c>
      <c r="C6887" s="7" t="n">
        <f aca="false">AVERAGE(B6838:B6887)</f>
        <v>26039.5372</v>
      </c>
      <c r="D6887" s="7" t="n">
        <f aca="false">AVERAGE(B6688:B6887)</f>
        <v>25134.982</v>
      </c>
      <c r="E6887" s="7" t="n">
        <f aca="false">B6887/MAX(B6636:B6887)-1</f>
        <v>-0.0198081155363536</v>
      </c>
      <c r="F6887" s="7" t="str">
        <f aca="false">IFERROR(INDEX(02_轉折點45個!B:B,MATCH(A6887,02_轉折點45個!A:A,0)),"")</f>
        <v/>
      </c>
      <c r="G6887" s="7" t="s">
        <v>5494</v>
      </c>
    </row>
    <row r="6888" customFormat="false" ht="15" hidden="false" customHeight="false" outlineLevel="0" collapsed="false">
      <c r="A6888" s="7" t="s">
        <v>7267</v>
      </c>
      <c r="B6888" s="7" t="n">
        <v>28818.84</v>
      </c>
      <c r="C6888" s="7" t="n">
        <f aca="false">AVERAGE(B6839:B6888)</f>
        <v>26116.569</v>
      </c>
      <c r="D6888" s="7" t="n">
        <f aca="false">AVERAGE(B6689:B6888)</f>
        <v>25165.25965</v>
      </c>
      <c r="E6888" s="7" t="n">
        <f aca="false">B6888/MAX(B6637:B6888)-1</f>
        <v>-0.0257421324327339</v>
      </c>
      <c r="F6888" s="7" t="str">
        <f aca="false">IFERROR(INDEX(02_轉折點45個!B:B,MATCH(A6888,02_轉折點45個!A:A,0)),"")</f>
        <v/>
      </c>
      <c r="G6888" s="7" t="s">
        <v>5494</v>
      </c>
    </row>
    <row r="6889" customFormat="false" ht="15" hidden="false" customHeight="false" outlineLevel="0" collapsed="false">
      <c r="A6889" s="7" t="s">
        <v>7268</v>
      </c>
      <c r="B6889" s="7" t="n">
        <v>29297.7</v>
      </c>
      <c r="C6889" s="7" t="n">
        <f aca="false">AVERAGE(B6840:B6889)</f>
        <v>26203.3936</v>
      </c>
      <c r="D6889" s="7" t="n">
        <f aca="false">AVERAGE(B6690:B6889)</f>
        <v>25195.8051</v>
      </c>
      <c r="E6889" s="7" t="n">
        <f aca="false">B6889/MAX(B6638:B6889)-1</f>
        <v>-0.00955365564243771</v>
      </c>
      <c r="F6889" s="7" t="str">
        <f aca="false">IFERROR(INDEX(02_轉折點45個!B:B,MATCH(A6889,02_轉折點45個!A:A,0)),"")</f>
        <v/>
      </c>
      <c r="G6889" s="7" t="s">
        <v>5494</v>
      </c>
    </row>
    <row r="6890" customFormat="false" ht="15" hidden="false" customHeight="false" outlineLevel="0" collapsed="false">
      <c r="A6890" s="7" t="s">
        <v>1966</v>
      </c>
      <c r="B6890" s="7" t="n">
        <v>29357.27</v>
      </c>
      <c r="C6890" s="7" t="n">
        <f aca="false">AVERAGE(B6841:B6890)</f>
        <v>26291.2388</v>
      </c>
      <c r="D6890" s="7" t="n">
        <f aca="false">AVERAGE(B6691:B6890)</f>
        <v>25227.49865</v>
      </c>
      <c r="E6890" s="7" t="n">
        <f aca="false">B6890/MAX(B6639:B6890)-1</f>
        <v>-0.00753981535008097</v>
      </c>
      <c r="F6890" s="7" t="str">
        <f aca="false">IFERROR(INDEX(02_轉折點45個!B:B,MATCH(A6890,02_轉折點45個!A:A,0)),"")</f>
        <v/>
      </c>
      <c r="G6890" s="7" t="s">
        <v>5494</v>
      </c>
    </row>
    <row r="6891" customFormat="false" ht="15" hidden="false" customHeight="false" outlineLevel="0" collapsed="false">
      <c r="A6891" s="7" t="s">
        <v>7269</v>
      </c>
      <c r="B6891" s="7" t="n">
        <v>29481.64</v>
      </c>
      <c r="C6891" s="7" t="n">
        <f aca="false">AVERAGE(B6842:B6891)</f>
        <v>26390.2</v>
      </c>
      <c r="D6891" s="7" t="n">
        <f aca="false">AVERAGE(B6692:B6891)</f>
        <v>25258.33165</v>
      </c>
      <c r="E6891" s="7" t="n">
        <f aca="false">B6891/MAX(B6640:B6891)-1</f>
        <v>-0.00333532790404423</v>
      </c>
      <c r="F6891" s="7" t="str">
        <f aca="false">IFERROR(INDEX(02_轉折點45個!B:B,MATCH(A6891,02_轉折點45個!A:A,0)),"")</f>
        <v/>
      </c>
      <c r="G6891" s="7" t="s">
        <v>5494</v>
      </c>
    </row>
    <row r="6892" customFormat="false" ht="15" hidden="false" customHeight="false" outlineLevel="0" collapsed="false">
      <c r="A6892" s="7" t="s">
        <v>1967</v>
      </c>
      <c r="B6892" s="7" t="n">
        <v>30001.32</v>
      </c>
      <c r="C6892" s="7" t="n">
        <f aca="false">AVERAGE(B6843:B6892)</f>
        <v>26502.6118</v>
      </c>
      <c r="D6892" s="7" t="n">
        <f aca="false">AVERAGE(B6693:B6892)</f>
        <v>25291.3906</v>
      </c>
      <c r="E6892" s="7" t="n">
        <f aca="false">B6892/MAX(B6641:B6892)-1</f>
        <v>0</v>
      </c>
      <c r="F6892" s="7" t="str">
        <f aca="false">IFERROR(INDEX(02_轉折點45個!B:B,MATCH(A6892,02_轉折點45個!A:A,0)),"")</f>
        <v/>
      </c>
      <c r="G6892" s="7" t="s">
        <v>5494</v>
      </c>
    </row>
    <row r="6893" customFormat="false" ht="15" hidden="false" customHeight="false" outlineLevel="0" collapsed="false">
      <c r="A6893" s="7" t="s">
        <v>7270</v>
      </c>
      <c r="B6893" s="7" t="n">
        <v>29973.57</v>
      </c>
      <c r="C6893" s="7" t="n">
        <f aca="false">AVERAGE(B6844:B6893)</f>
        <v>26608.9764</v>
      </c>
      <c r="D6893" s="7" t="n">
        <f aca="false">AVERAGE(B6694:B6893)</f>
        <v>25323.2021</v>
      </c>
      <c r="E6893" s="7" t="n">
        <f aca="false">B6893/MAX(B6642:B6893)-1</f>
        <v>-0.000924959301790707</v>
      </c>
      <c r="F6893" s="7" t="str">
        <f aca="false">IFERROR(INDEX(02_轉折點45個!B:B,MATCH(A6893,02_轉折點45個!A:A,0)),"")</f>
        <v/>
      </c>
      <c r="G6893" s="7" t="s">
        <v>5494</v>
      </c>
    </row>
    <row r="6894" customFormat="false" ht="15" hidden="false" customHeight="false" outlineLevel="0" collapsed="false">
      <c r="A6894" s="7" t="s">
        <v>1968</v>
      </c>
      <c r="B6894" s="7" t="n">
        <v>30223.89</v>
      </c>
      <c r="C6894" s="7" t="n">
        <f aca="false">AVERAGE(B6845:B6894)</f>
        <v>26717.8458</v>
      </c>
      <c r="D6894" s="7" t="n">
        <f aca="false">AVERAGE(B6695:B6894)</f>
        <v>25356.6884</v>
      </c>
      <c r="E6894" s="7" t="n">
        <f aca="false">B6894/MAX(B6643:B6894)-1</f>
        <v>0</v>
      </c>
      <c r="F6894" s="7" t="str">
        <f aca="false">IFERROR(INDEX(02_轉折點45個!B:B,MATCH(A6894,02_轉折點45個!A:A,0)),"")</f>
        <v/>
      </c>
      <c r="G6894" s="7" t="s">
        <v>5494</v>
      </c>
    </row>
    <row r="6895" customFormat="false" ht="15" hidden="false" customHeight="false" outlineLevel="0" collapsed="false">
      <c r="A6895" s="7" t="s">
        <v>1969</v>
      </c>
      <c r="B6895" s="7" t="n">
        <v>30333.18</v>
      </c>
      <c r="C6895" s="7" t="n">
        <f aca="false">AVERAGE(B6846:B6895)</f>
        <v>26836.0076</v>
      </c>
      <c r="D6895" s="7" t="n">
        <f aca="false">AVERAGE(B6696:B6895)</f>
        <v>25389.1583</v>
      </c>
      <c r="E6895" s="7" t="n">
        <f aca="false">B6895/MAX(B6644:B6895)-1</f>
        <v>0</v>
      </c>
      <c r="F6895" s="7" t="str">
        <f aca="false">IFERROR(INDEX(02_轉折點45個!B:B,MATCH(A6895,02_轉折點45個!A:A,0)),"")</f>
        <v/>
      </c>
      <c r="G6895" s="7" t="s">
        <v>5494</v>
      </c>
    </row>
    <row r="6896" customFormat="false" ht="15" hidden="false" customHeight="false" outlineLevel="0" collapsed="false">
      <c r="A6896" s="7" t="s">
        <v>1971</v>
      </c>
      <c r="B6896" s="7" t="n">
        <v>30513.86</v>
      </c>
      <c r="C6896" s="7" t="n">
        <f aca="false">AVERAGE(B6847:B6896)</f>
        <v>26959.1792</v>
      </c>
      <c r="D6896" s="7" t="n">
        <f aca="false">AVERAGE(B6697:B6896)</f>
        <v>25422.4824</v>
      </c>
      <c r="E6896" s="7" t="n">
        <f aca="false">B6896/MAX(B6645:B6896)-1</f>
        <v>0</v>
      </c>
      <c r="F6896" s="7" t="str">
        <f aca="false">IFERROR(INDEX(02_轉折點45個!B:B,MATCH(A6896,02_轉折點45個!A:A,0)),"")</f>
        <v/>
      </c>
      <c r="G6896" s="7" t="s">
        <v>5494</v>
      </c>
    </row>
    <row r="6897" customFormat="false" ht="15" hidden="false" customHeight="false" outlineLevel="0" collapsed="false">
      <c r="A6897" s="7" t="s">
        <v>1972</v>
      </c>
      <c r="B6897" s="7" t="n">
        <v>30660.6</v>
      </c>
      <c r="C6897" s="7" t="n">
        <f aca="false">AVERAGE(B6848:B6897)</f>
        <v>27094.4282</v>
      </c>
      <c r="D6897" s="7" t="n">
        <f aca="false">AVERAGE(B6698:B6897)</f>
        <v>25456.6232</v>
      </c>
      <c r="E6897" s="7" t="n">
        <f aca="false">B6897/MAX(B6646:B6897)-1</f>
        <v>0</v>
      </c>
      <c r="F6897" s="7" t="str">
        <f aca="false">IFERROR(INDEX(02_轉折點45個!B:B,MATCH(A6897,02_轉折點45個!A:A,0)),"")</f>
        <v/>
      </c>
      <c r="G6897" s="7" t="s">
        <v>5494</v>
      </c>
    </row>
    <row r="6898" customFormat="false" ht="15" hidden="false" customHeight="false" outlineLevel="0" collapsed="false">
      <c r="A6898" s="7" t="s">
        <v>7271</v>
      </c>
      <c r="B6898" s="7" t="n">
        <v>30571.24</v>
      </c>
      <c r="C6898" s="7" t="n">
        <f aca="false">AVERAGE(B6849:B6898)</f>
        <v>27222.0812</v>
      </c>
      <c r="D6898" s="7" t="n">
        <f aca="false">AVERAGE(B6699:B6898)</f>
        <v>25490.91905</v>
      </c>
      <c r="E6898" s="7" t="n">
        <f aca="false">B6898/MAX(B6647:B6898)-1</f>
        <v>-0.0029144896055523</v>
      </c>
      <c r="F6898" s="7" t="str">
        <f aca="false">IFERROR(INDEX(02_轉折點45個!B:B,MATCH(A6898,02_轉折點45個!A:A,0)),"")</f>
        <v/>
      </c>
      <c r="G6898" s="7" t="s">
        <v>5494</v>
      </c>
    </row>
    <row r="6899" customFormat="false" ht="15" hidden="false" customHeight="false" outlineLevel="0" collapsed="false">
      <c r="A6899" s="7" t="s">
        <v>1973</v>
      </c>
      <c r="B6899" s="7" t="n">
        <v>30407.81</v>
      </c>
      <c r="C6899" s="7" t="n">
        <f aca="false">AVERAGE(B6850:B6899)</f>
        <v>27350.1884</v>
      </c>
      <c r="D6899" s="7" t="n">
        <f aca="false">AVERAGE(B6700:B6899)</f>
        <v>25524.3893</v>
      </c>
      <c r="E6899" s="7" t="n">
        <f aca="false">B6899/MAX(B6648:B6899)-1</f>
        <v>-0.00824478320711264</v>
      </c>
      <c r="F6899" s="7" t="str">
        <f aca="false">IFERROR(INDEX(02_轉折點45個!B:B,MATCH(A6899,02_轉折點45個!A:A,0)),"")</f>
        <v/>
      </c>
      <c r="G6899" s="7" t="s">
        <v>5494</v>
      </c>
    </row>
    <row r="6900" customFormat="false" ht="15" hidden="false" customHeight="false" outlineLevel="0" collapsed="false">
      <c r="A6900" s="7" t="s">
        <v>7272</v>
      </c>
      <c r="B6900" s="7" t="n">
        <v>28957.6</v>
      </c>
      <c r="C6900" s="7" t="n">
        <f aca="false">AVERAGE(B6851:B6900)</f>
        <v>27446.0808</v>
      </c>
      <c r="D6900" s="7" t="n">
        <f aca="false">AVERAGE(B6701:B6900)</f>
        <v>25552.25345</v>
      </c>
      <c r="E6900" s="7" t="n">
        <f aca="false">B6900/MAX(B6649:B6900)-1</f>
        <v>-0.0555435966680365</v>
      </c>
      <c r="F6900" s="7" t="str">
        <f aca="false">IFERROR(INDEX(02_轉折點45個!B:B,MATCH(A6900,02_轉折點45個!A:A,0)),"")</f>
        <v/>
      </c>
      <c r="G6900" s="7" t="s">
        <v>5494</v>
      </c>
    </row>
    <row r="6901" customFormat="false" ht="15" hidden="false" customHeight="false" outlineLevel="0" collapsed="false">
      <c r="A6901" s="7" t="s">
        <v>1974</v>
      </c>
      <c r="B6901" s="7" t="n">
        <v>29414.26</v>
      </c>
      <c r="C6901" s="7" t="n">
        <f aca="false">AVERAGE(B6852:B6901)</f>
        <v>27562.6262</v>
      </c>
      <c r="D6901" s="7" t="n">
        <f aca="false">AVERAGE(B6702:B6901)</f>
        <v>25583.0769</v>
      </c>
      <c r="E6901" s="7" t="n">
        <f aca="false">B6901/MAX(B6650:B6901)-1</f>
        <v>-0.0406495632831713</v>
      </c>
      <c r="F6901" s="7" t="str">
        <f aca="false">IFERROR(INDEX(02_轉折點45個!B:B,MATCH(A6901,02_轉折點45個!A:A,0)),"")</f>
        <v/>
      </c>
      <c r="G6901" s="7" t="s">
        <v>5494</v>
      </c>
    </row>
    <row r="6902" customFormat="false" ht="15" hidden="false" customHeight="false" outlineLevel="0" collapsed="false">
      <c r="A6902" s="7" t="s">
        <v>1975</v>
      </c>
      <c r="B6902" s="7" t="n">
        <v>29084.5</v>
      </c>
      <c r="C6902" s="7" t="n">
        <f aca="false">AVERAGE(B6853:B6902)</f>
        <v>27681.6608</v>
      </c>
      <c r="D6902" s="7" t="n">
        <f aca="false">AVERAGE(B6703:B6902)</f>
        <v>25612.7865</v>
      </c>
      <c r="E6902" s="7" t="n">
        <f aca="false">B6902/MAX(B6651:B6902)-1</f>
        <v>-0.0514047344148516</v>
      </c>
      <c r="F6902" s="7" t="str">
        <f aca="false">IFERROR(INDEX(02_轉折點45個!B:B,MATCH(A6902,02_轉折點45個!A:A,0)),"")</f>
        <v/>
      </c>
      <c r="G6902" s="7" t="s">
        <v>5494</v>
      </c>
    </row>
    <row r="6903" customFormat="false" ht="15" hidden="false" customHeight="false" outlineLevel="0" collapsed="false">
      <c r="A6903" s="7" t="s">
        <v>1976</v>
      </c>
      <c r="B6903" s="7" t="n">
        <v>28508.03</v>
      </c>
      <c r="C6903" s="7" t="n">
        <f aca="false">AVERAGE(B6854:B6903)</f>
        <v>27792.7538</v>
      </c>
      <c r="D6903" s="7" t="n">
        <f aca="false">AVERAGE(B6704:B6903)</f>
        <v>25637.83605</v>
      </c>
      <c r="E6903" s="7" t="n">
        <f aca="false">B6903/MAX(B6652:B6903)-1</f>
        <v>-0.070206388655147</v>
      </c>
      <c r="F6903" s="7" t="str">
        <f aca="false">IFERROR(INDEX(02_轉折點45個!B:B,MATCH(A6903,02_轉折點45個!A:A,0)),"")</f>
        <v/>
      </c>
      <c r="G6903" s="7" t="s">
        <v>5494</v>
      </c>
    </row>
    <row r="6904" customFormat="false" ht="15" hidden="false" customHeight="false" outlineLevel="0" collapsed="false">
      <c r="A6904" s="7" t="s">
        <v>1977</v>
      </c>
      <c r="B6904" s="7" t="n">
        <v>29446.18</v>
      </c>
      <c r="C6904" s="7" t="n">
        <f aca="false">AVERAGE(B6855:B6904)</f>
        <v>27906.8736</v>
      </c>
      <c r="D6904" s="7" t="n">
        <f aca="false">AVERAGE(B6705:B6904)</f>
        <v>25667.9389</v>
      </c>
      <c r="E6904" s="7" t="n">
        <f aca="false">B6904/MAX(B6653:B6904)-1</f>
        <v>-0.039608487766058</v>
      </c>
      <c r="F6904" s="7" t="str">
        <f aca="false">IFERROR(INDEX(02_轉折點45個!B:B,MATCH(A6904,02_轉折點45個!A:A,0)),"")</f>
        <v/>
      </c>
      <c r="G6904" s="7" t="s">
        <v>5494</v>
      </c>
    </row>
    <row r="6905" customFormat="false" ht="15" hidden="false" customHeight="false" outlineLevel="0" collapsed="false">
      <c r="A6905" s="7" t="s">
        <v>7273</v>
      </c>
      <c r="B6905" s="7" t="n">
        <v>29635.95</v>
      </c>
      <c r="C6905" s="7" t="n">
        <f aca="false">AVERAGE(B6856:B6905)</f>
        <v>28019.1928</v>
      </c>
      <c r="D6905" s="7" t="n">
        <f aca="false">AVERAGE(B6706:B6905)</f>
        <v>25698.4922</v>
      </c>
      <c r="E6905" s="7" t="n">
        <f aca="false">B6905/MAX(B6654:B6905)-1</f>
        <v>-0.0334191111719927</v>
      </c>
      <c r="F6905" s="7" t="str">
        <f aca="false">IFERROR(INDEX(02_轉折點45個!B:B,MATCH(A6905,02_轉折點45個!A:A,0)),"")</f>
        <v/>
      </c>
      <c r="G6905" s="7" t="s">
        <v>5494</v>
      </c>
    </row>
    <row r="6906" customFormat="false" ht="15" hidden="false" customHeight="false" outlineLevel="0" collapsed="false">
      <c r="A6906" s="7" t="s">
        <v>7274</v>
      </c>
      <c r="B6906" s="7" t="n">
        <v>30543.92</v>
      </c>
      <c r="C6906" s="7" t="n">
        <f aca="false">AVERAGE(B6857:B6906)</f>
        <v>28149.1606</v>
      </c>
      <c r="D6906" s="7" t="n">
        <f aca="false">AVERAGE(B6707:B6906)</f>
        <v>25733.38255</v>
      </c>
      <c r="E6906" s="7" t="n">
        <f aca="false">B6906/MAX(B6655:B6906)-1</f>
        <v>-0.00380553544288109</v>
      </c>
      <c r="F6906" s="7" t="str">
        <f aca="false">IFERROR(INDEX(02_轉折點45個!B:B,MATCH(A6906,02_轉折點45個!A:A,0)),"")</f>
        <v/>
      </c>
      <c r="G6906" s="7" t="s">
        <v>5494</v>
      </c>
    </row>
    <row r="6907" customFormat="false" ht="15" hidden="false" customHeight="false" outlineLevel="0" collapsed="false">
      <c r="A6907" s="7" t="s">
        <v>7275</v>
      </c>
      <c r="B6907" s="7" t="n">
        <v>29968.13</v>
      </c>
      <c r="C6907" s="7" t="n">
        <f aca="false">AVERAGE(B6858:B6907)</f>
        <v>28264.6798</v>
      </c>
      <c r="D6907" s="7" t="n">
        <f aca="false">AVERAGE(B6708:B6907)</f>
        <v>25764.70595</v>
      </c>
      <c r="E6907" s="7" t="n">
        <f aca="false">B6907/MAX(B6656:B6907)-1</f>
        <v>-0.0225850113826865</v>
      </c>
      <c r="F6907" s="7" t="str">
        <f aca="false">IFERROR(INDEX(02_轉折點45個!B:B,MATCH(A6907,02_轉折點45個!A:A,0)),"")</f>
        <v/>
      </c>
      <c r="G6907" s="7" t="s">
        <v>5494</v>
      </c>
    </row>
    <row r="6908" customFormat="false" ht="15" hidden="false" customHeight="false" outlineLevel="0" collapsed="false">
      <c r="A6908" s="7" t="s">
        <v>7276</v>
      </c>
      <c r="B6908" s="7" t="n">
        <v>29670.95</v>
      </c>
      <c r="C6908" s="7" t="n">
        <f aca="false">AVERAGE(B6859:B6908)</f>
        <v>28374.0514</v>
      </c>
      <c r="D6908" s="7" t="n">
        <f aca="false">AVERAGE(B6709:B6908)</f>
        <v>25795.9836</v>
      </c>
      <c r="E6908" s="7" t="n">
        <f aca="false">B6908/MAX(B6657:B6908)-1</f>
        <v>-0.0322775809997194</v>
      </c>
      <c r="F6908" s="7" t="str">
        <f aca="false">IFERROR(INDEX(02_轉折點45個!B:B,MATCH(A6908,02_轉折點45個!A:A,0)),"")</f>
        <v/>
      </c>
      <c r="G6908" s="7" t="s">
        <v>5494</v>
      </c>
    </row>
    <row r="6909" customFormat="false" ht="15" hidden="false" customHeight="false" outlineLevel="0" collapsed="false">
      <c r="A6909" s="7" t="s">
        <v>7277</v>
      </c>
      <c r="B6909" s="7" t="n">
        <v>30406.19</v>
      </c>
      <c r="C6909" s="7" t="n">
        <f aca="false">AVERAGE(B6860:B6909)</f>
        <v>28484.1118</v>
      </c>
      <c r="D6909" s="7" t="n">
        <f aca="false">AVERAGE(B6710:B6909)</f>
        <v>25831.859</v>
      </c>
      <c r="E6909" s="7" t="n">
        <f aca="false">B6909/MAX(B6658:B6909)-1</f>
        <v>-0.00829761974651511</v>
      </c>
      <c r="F6909" s="7" t="str">
        <f aca="false">IFERROR(INDEX(02_轉折點45個!B:B,MATCH(A6909,02_轉折點45個!A:A,0)),"")</f>
        <v/>
      </c>
      <c r="G6909" s="7" t="s">
        <v>5494</v>
      </c>
    </row>
    <row r="6910" customFormat="false" ht="15" hidden="false" customHeight="false" outlineLevel="0" collapsed="false">
      <c r="A6910" s="7" t="s">
        <v>7278</v>
      </c>
      <c r="B6910" s="7" t="n">
        <v>30347.08</v>
      </c>
      <c r="C6910" s="7" t="n">
        <f aca="false">AVERAGE(B6861:B6910)</f>
        <v>28589.4116</v>
      </c>
      <c r="D6910" s="7" t="n">
        <f aca="false">AVERAGE(B6711:B6910)</f>
        <v>25866.5202</v>
      </c>
      <c r="E6910" s="7" t="n">
        <f aca="false">B6910/MAX(B6659:B6910)-1</f>
        <v>-0.0102255011317455</v>
      </c>
      <c r="F6910" s="7" t="str">
        <f aca="false">IFERROR(INDEX(02_轉折點45個!B:B,MATCH(A6910,02_轉折點45個!A:A,0)),"")</f>
        <v/>
      </c>
      <c r="G6910" s="7" t="s">
        <v>5494</v>
      </c>
    </row>
    <row r="6911" customFormat="false" ht="15" hidden="false" customHeight="false" outlineLevel="0" collapsed="false">
      <c r="A6911" s="7" t="s">
        <v>1978</v>
      </c>
      <c r="B6911" s="7" t="n">
        <v>29347.27</v>
      </c>
      <c r="C6911" s="7" t="n">
        <f aca="false">AVERAGE(B6862:B6911)</f>
        <v>28674.0302</v>
      </c>
      <c r="D6911" s="7" t="n">
        <f aca="false">AVERAGE(B6712:B6911)</f>
        <v>25895.0915</v>
      </c>
      <c r="E6911" s="7" t="n">
        <f aca="false">B6911/MAX(B6660:B6911)-1</f>
        <v>-0.0428344520329022</v>
      </c>
      <c r="F6911" s="7" t="str">
        <f aca="false">IFERROR(INDEX(02_轉折點45個!B:B,MATCH(A6911,02_轉折點45個!A:A,0)),"")</f>
        <v/>
      </c>
      <c r="G6911" s="7" t="s">
        <v>5494</v>
      </c>
    </row>
    <row r="6912" customFormat="false" ht="15" hidden="false" customHeight="false" outlineLevel="0" collapsed="false">
      <c r="A6912" s="7" t="s">
        <v>7279</v>
      </c>
      <c r="B6912" s="7" t="n">
        <v>29220.06</v>
      </c>
      <c r="C6912" s="7" t="n">
        <f aca="false">AVERAGE(B6863:B6912)</f>
        <v>28750.757</v>
      </c>
      <c r="D6912" s="7" t="n">
        <f aca="false">AVERAGE(B6713:B6912)</f>
        <v>25922.9296</v>
      </c>
      <c r="E6912" s="7" t="n">
        <f aca="false">B6912/MAX(B6661:B6912)-1</f>
        <v>-0.0469834249818986</v>
      </c>
      <c r="F6912" s="7" t="str">
        <f aca="false">IFERROR(INDEX(02_轉折點45個!B:B,MATCH(A6912,02_轉折點45個!A:A,0)),"")</f>
        <v/>
      </c>
      <c r="G6912" s="7" t="s">
        <v>5494</v>
      </c>
    </row>
    <row r="6913" customFormat="false" ht="15" hidden="false" customHeight="false" outlineLevel="0" collapsed="false">
      <c r="A6913" s="7" t="s">
        <v>1979</v>
      </c>
      <c r="B6913" s="7" t="n">
        <v>29440.32</v>
      </c>
      <c r="C6913" s="7" t="n">
        <f aca="false">AVERAGE(B6864:B6913)</f>
        <v>28822.7234</v>
      </c>
      <c r="D6913" s="7" t="n">
        <f aca="false">AVERAGE(B6714:B6913)</f>
        <v>25951.3197</v>
      </c>
      <c r="E6913" s="7" t="n">
        <f aca="false">B6913/MAX(B6662:B6913)-1</f>
        <v>-0.0397996125320443</v>
      </c>
      <c r="F6913" s="7" t="str">
        <f aca="false">IFERROR(INDEX(02_轉折點45個!B:B,MATCH(A6913,02_轉折點45個!A:A,0)),"")</f>
        <v/>
      </c>
      <c r="G6913" s="7" t="s">
        <v>5494</v>
      </c>
    </row>
    <row r="6914" customFormat="false" ht="15" hidden="false" customHeight="false" outlineLevel="0" collapsed="false">
      <c r="A6914" s="7" t="s">
        <v>1980</v>
      </c>
      <c r="B6914" s="7" t="n">
        <v>29118.24</v>
      </c>
      <c r="C6914" s="7" t="n">
        <f aca="false">AVERAGE(B6865:B6914)</f>
        <v>28880.9966</v>
      </c>
      <c r="D6914" s="7" t="n">
        <f aca="false">AVERAGE(B6715:B6914)</f>
        <v>25977.7119</v>
      </c>
      <c r="E6914" s="7" t="n">
        <f aca="false">B6914/MAX(B6663:B6914)-1</f>
        <v>-0.0503042993287801</v>
      </c>
      <c r="F6914" s="7" t="str">
        <f aca="false">IFERROR(INDEX(02_轉折點45個!B:B,MATCH(A6914,02_轉折點45個!A:A,0)),"")</f>
        <v/>
      </c>
      <c r="G6914" s="7" t="s">
        <v>5494</v>
      </c>
    </row>
    <row r="6915" customFormat="false" ht="15" hidden="false" customHeight="false" outlineLevel="0" collapsed="false">
      <c r="A6915" s="7" t="s">
        <v>1981</v>
      </c>
      <c r="B6915" s="7" t="n">
        <v>29774.75</v>
      </c>
      <c r="C6915" s="7" t="n">
        <f aca="false">AVERAGE(B6866:B6915)</f>
        <v>28949.8316</v>
      </c>
      <c r="D6915" s="7" t="n">
        <f aca="false">AVERAGE(B6716:B6915)</f>
        <v>26007.3393</v>
      </c>
      <c r="E6915" s="7" t="n">
        <f aca="false">B6915/MAX(B6664:B6915)-1</f>
        <v>-0.0288921286602349</v>
      </c>
      <c r="F6915" s="7" t="str">
        <f aca="false">IFERROR(INDEX(02_轉折點45個!B:B,MATCH(A6915,02_轉折點45個!A:A,0)),"")</f>
        <v/>
      </c>
      <c r="G6915" s="7" t="s">
        <v>5494</v>
      </c>
    </row>
    <row r="6916" customFormat="false" ht="15" hidden="false" customHeight="false" outlineLevel="0" collapsed="false">
      <c r="A6916" s="7" t="s">
        <v>1982</v>
      </c>
      <c r="B6916" s="7" t="n">
        <v>30276.35</v>
      </c>
      <c r="C6916" s="7" t="n">
        <f aca="false">AVERAGE(B6867:B6916)</f>
        <v>29021.91</v>
      </c>
      <c r="D6916" s="7" t="n">
        <f aca="false">AVERAGE(B6717:B6916)</f>
        <v>26038.75825</v>
      </c>
      <c r="E6916" s="7" t="n">
        <f aca="false">B6916/MAX(B6665:B6916)-1</f>
        <v>-0.0125323705341709</v>
      </c>
      <c r="F6916" s="7" t="str">
        <f aca="false">IFERROR(INDEX(02_轉折點45個!B:B,MATCH(A6916,02_轉折點45個!A:A,0)),"")</f>
        <v/>
      </c>
      <c r="G6916" s="7" t="s">
        <v>5494</v>
      </c>
    </row>
    <row r="6917" customFormat="false" ht="15" hidden="false" customHeight="false" outlineLevel="0" collapsed="false">
      <c r="A6917" s="7" t="s">
        <v>7280</v>
      </c>
      <c r="B6917" s="7" t="n">
        <v>29809.13</v>
      </c>
      <c r="C6917" s="7" t="n">
        <f aca="false">AVERAGE(B6868:B6917)</f>
        <v>29086.2858</v>
      </c>
      <c r="D6917" s="7" t="n">
        <f aca="false">AVERAGE(B6718:B6917)</f>
        <v>26067.34295</v>
      </c>
      <c r="E6917" s="7" t="n">
        <f aca="false">B6917/MAX(B6666:B6917)-1</f>
        <v>-0.0277708198795847</v>
      </c>
      <c r="F6917" s="7" t="str">
        <f aca="false">IFERROR(INDEX(02_轉折點45個!B:B,MATCH(A6917,02_轉折點45個!A:A,0)),"")</f>
        <v/>
      </c>
      <c r="G6917" s="7" t="s">
        <v>5494</v>
      </c>
    </row>
    <row r="6918" customFormat="false" ht="15" hidden="false" customHeight="false" outlineLevel="0" collapsed="false">
      <c r="A6918" s="7" t="s">
        <v>7281</v>
      </c>
      <c r="B6918" s="7" t="n">
        <v>29329.21</v>
      </c>
      <c r="C6918" s="7" t="n">
        <f aca="false">AVERAGE(B6869:B6918)</f>
        <v>29143.2806</v>
      </c>
      <c r="D6918" s="7" t="n">
        <f aca="false">AVERAGE(B6719:B6918)</f>
        <v>26092.5201</v>
      </c>
      <c r="E6918" s="7" t="n">
        <f aca="false">B6918/MAX(B6667:B6918)-1</f>
        <v>-0.0434234816017951</v>
      </c>
      <c r="F6918" s="7" t="str">
        <f aca="false">IFERROR(INDEX(02_轉折點45個!B:B,MATCH(A6918,02_轉折點45個!A:A,0)),"")</f>
        <v/>
      </c>
      <c r="G6918" s="7" t="s">
        <v>5494</v>
      </c>
    </row>
    <row r="6919" customFormat="false" ht="15" hidden="false" customHeight="false" outlineLevel="0" collapsed="false">
      <c r="A6919" s="7" t="s">
        <v>7282</v>
      </c>
      <c r="B6919" s="7" t="n">
        <v>29697.87</v>
      </c>
      <c r="C6919" s="7" t="n">
        <f aca="false">AVERAGE(B6870:B6919)</f>
        <v>29198.4924</v>
      </c>
      <c r="D6919" s="7" t="n">
        <f aca="false">AVERAGE(B6720:B6919)</f>
        <v>26119.6382</v>
      </c>
      <c r="E6919" s="7" t="n">
        <f aca="false">B6919/MAX(B6668:B6919)-1</f>
        <v>-0.0313995812215026</v>
      </c>
      <c r="F6919" s="7" t="str">
        <f aca="false">IFERROR(INDEX(02_轉折點45個!B:B,MATCH(A6919,02_轉折點45個!A:A,0)),"")</f>
        <v/>
      </c>
      <c r="G6919" s="7" t="s">
        <v>5494</v>
      </c>
    </row>
    <row r="6920" customFormat="false" ht="15" hidden="false" customHeight="false" outlineLevel="0" collapsed="false">
      <c r="A6920" s="7" t="s">
        <v>7283</v>
      </c>
      <c r="B6920" s="7" t="n">
        <v>29173.02</v>
      </c>
      <c r="C6920" s="7" t="n">
        <f aca="false">AVERAGE(B6871:B6920)</f>
        <v>29246.3002</v>
      </c>
      <c r="D6920" s="7" t="n">
        <f aca="false">AVERAGE(B6721:B6920)</f>
        <v>26144.38485</v>
      </c>
      <c r="E6920" s="7" t="n">
        <f aca="false">B6920/MAX(B6669:B6920)-1</f>
        <v>-0.0485176415334337</v>
      </c>
      <c r="F6920" s="7" t="str">
        <f aca="false">IFERROR(INDEX(02_轉折點45個!B:B,MATCH(A6920,02_轉折點45個!A:A,0)),"")</f>
        <v/>
      </c>
      <c r="G6920" s="7" t="s">
        <v>5494</v>
      </c>
    </row>
    <row r="6921" customFormat="false" ht="15" hidden="false" customHeight="false" outlineLevel="0" collapsed="false">
      <c r="A6921" s="7" t="s">
        <v>1983</v>
      </c>
      <c r="B6921" s="7" t="n">
        <v>29252.56</v>
      </c>
      <c r="C6921" s="7" t="n">
        <f aca="false">AVERAGE(B6872:B6921)</f>
        <v>29285.278</v>
      </c>
      <c r="D6921" s="7" t="n">
        <f aca="false">AVERAGE(B6722:B6921)</f>
        <v>26168.3732</v>
      </c>
      <c r="E6921" s="7" t="n">
        <f aca="false">B6921/MAX(B6670:B6921)-1</f>
        <v>-0.0459234326790734</v>
      </c>
      <c r="F6921" s="7" t="str">
        <f aca="false">IFERROR(INDEX(02_轉折點45個!B:B,MATCH(A6921,02_轉折點45個!A:A,0)),"")</f>
        <v/>
      </c>
      <c r="G6921" s="7" t="s">
        <v>5494</v>
      </c>
    </row>
    <row r="6922" customFormat="false" ht="15" hidden="false" customHeight="false" outlineLevel="0" collapsed="false">
      <c r="A6922" s="7" t="s">
        <v>7284</v>
      </c>
      <c r="B6922" s="7" t="n">
        <v>29727.1</v>
      </c>
      <c r="C6922" s="7" t="n">
        <f aca="false">AVERAGE(B6873:B6922)</f>
        <v>29333.7064</v>
      </c>
      <c r="D6922" s="7" t="n">
        <f aca="false">AVERAGE(B6723:B6922)</f>
        <v>26193.87745</v>
      </c>
      <c r="E6922" s="7" t="n">
        <f aca="false">B6922/MAX(B6671:B6922)-1</f>
        <v>-0.0304462404519155</v>
      </c>
      <c r="F6922" s="7" t="str">
        <f aca="false">IFERROR(INDEX(02_轉折點45個!B:B,MATCH(A6922,02_轉折點45個!A:A,0)),"")</f>
        <v/>
      </c>
      <c r="G6922" s="7" t="s">
        <v>5494</v>
      </c>
    </row>
    <row r="6923" customFormat="false" ht="15" hidden="false" customHeight="false" outlineLevel="0" collapsed="false">
      <c r="A6923" s="7" t="s">
        <v>158</v>
      </c>
      <c r="B6923" s="7" t="n">
        <v>29825.11</v>
      </c>
      <c r="C6923" s="7" t="n">
        <f aca="false">AVERAGE(B6874:B6923)</f>
        <v>29389.6284</v>
      </c>
      <c r="D6923" s="7" t="n">
        <f aca="false">AVERAGE(B6724:B6923)</f>
        <v>26219.19765</v>
      </c>
      <c r="E6923" s="7" t="n">
        <f aca="false">B6923/MAX(B6672:B6923)-1</f>
        <v>-0.0272496298180727</v>
      </c>
      <c r="F6923" s="7" t="str">
        <f aca="false">IFERROR(INDEX(02_轉折點45個!B:B,MATCH(A6923,02_轉折點45個!A:A,0)),"")</f>
        <v/>
      </c>
      <c r="G6923" s="7" t="s">
        <v>5494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2026-07-28T12:11:20Z</dcterms:created>
  <dc:creator>openpyxl</dc:creator>
  <dc:description/>
  <dc:language>en-US</dc:language>
  <cp:lastModifiedBy/>
  <dcterms:modified xsi:type="dcterms:W3CDTF">2026-07-28T12:11:22Z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