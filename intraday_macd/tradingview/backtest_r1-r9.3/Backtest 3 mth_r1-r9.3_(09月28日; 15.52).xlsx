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 test" sheetId="1" state="visible" r:id="rId1"/>
    <sheet name="步驟" sheetId="2" state="visible" r:id="rId2"/>
    <sheet name="SPY" sheetId="3" state="visible" r:id="rId3"/>
    <sheet name="QQQ" sheetId="4" state="visible" r:id="rId4"/>
    <sheet name="SOXL" sheetId="5" state="visible" r:id="rId5"/>
    <sheet name="NVDA" sheetId="6" state="visible" r:id="rId6"/>
    <sheet name="AMD" sheetId="7" state="visible" r:id="rId7"/>
    <sheet name="TSM" sheetId="8" state="visible" r:id="rId8"/>
    <sheet name="LITE" sheetId="9" state="visible" r:id="rId9"/>
    <sheet name="GOOGL" sheetId="10" state="visible" r:id="rId10"/>
    <sheet name="NBIS" sheetId="11" state="visible" r:id="rId11"/>
    <sheet name="IREN" sheetId="12" state="visible" r:id="rId12"/>
    <sheet name="HOOD" sheetId="13" state="visible" r:id="rId13"/>
    <sheet name="TSLA" sheetId="14" state="visible" r:id="rId14"/>
    <sheet name="AAPL" sheetId="15" state="visible" r:id="rId15"/>
    <sheet name="BTC-USD" sheetId="16" state="visible" r:id="rId16"/>
    <sheet name="FUTU" sheetId="17" state="visible" r:id="rId17"/>
    <sheet name="LMT" sheetId="18" state="visible" r:id="rId18"/>
    <sheet name="ARM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%;-0.00%;-"/>
    <numFmt numFmtId="167" formatCode="#,##0.00;(#,##0.00);-"/>
  </numFmts>
  <fonts count="7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8000"/>
      <sz val="10"/>
    </font>
    <font>
      <name val="Arial"/>
      <b val="1"/>
      <sz val="12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166" fontId="4" fillId="0" borderId="1" applyAlignment="1" pivotButton="0" quotePrefix="0" xfId="0">
      <alignment horizontal="center" vertical="center"/>
    </xf>
    <xf numFmtId="166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pivotButton="0" quotePrefix="0" xfId="0"/>
    <xf numFmtId="0" fontId="5" fillId="0" borderId="0" pivotButton="0" quotePrefix="0" xfId="0"/>
    <xf numFmtId="0" fontId="3" fillId="0" borderId="0" pivotButton="0" quotePrefix="0" xfId="0"/>
    <xf numFmtId="167" fontId="6" fillId="3" borderId="1" pivotButton="0" quotePrefix="0" xfId="0"/>
    <xf numFmtId="166" fontId="6" fillId="3" borderId="1" pivotButton="0" quotePrefix="0" xfId="0"/>
    <xf numFmtId="1" fontId="6" fillId="3" borderId="1" pivotButton="0" quotePrefix="0" xfId="0"/>
    <xf numFmtId="2" fontId="6" fillId="3" borderId="1" pivotButton="0" quotePrefix="0" xfId="0"/>
    <xf numFmtId="167" fontId="3" fillId="4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Claude</author>
  </authors>
  <commentList>
    <comment ref="I6" authorId="0" shapeId="0">
      <text>
        <t>來自你上傳的 BACKTEST__mini.xlsx; 用腳本預設窗口 (30 天 (一個月)) 跑出的 $ 金額, 不是 3 個月, 僅留底。</t>
      </text>
    </comment>
    <comment ref="I17" authorId="0" shapeId="0">
      <text>
        <t>來自你上傳的 BACKTEST__mini.xlsx; 用腳本預設窗口 (365 天 (十二個月)) 跑出的 $ 金額, 不是 3 個月, 僅留底。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I17" authorId="0" shapeId="0">
      <text>
        <t>來自你上傳的 BACKTEST__mini.xlsx; 用腳本預設窗口 (365 天 (十二個月)) 跑出的 $ 金額, 不是 3 個月, 僅留底。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8" customWidth="1" min="22" max="22"/>
    <col width="17" customWidth="1" min="23" max="23"/>
    <col width="52" customWidth="1" min="24" max="24"/>
  </cols>
  <sheetData>
    <row r="1">
      <c r="A1" t="inlineStr">
        <is>
          <t>Date of Backtest:</t>
        </is>
      </c>
      <c r="C1" s="1" t="n">
        <v>46293</v>
      </c>
    </row>
    <row r="2">
      <c r="A2" t="inlineStr">
        <is>
          <t>Total Capital (USD)</t>
        </is>
      </c>
      <c r="C2" s="2" t="n">
        <v>100000</v>
      </c>
    </row>
    <row r="3">
      <c r="A3" t="inlineStr">
        <is>
          <t>backtest duration:</t>
        </is>
      </c>
      <c r="C3" t="inlineStr">
        <is>
          <t>last 3 months</t>
        </is>
      </c>
      <c r="E3" s="3" t="inlineStr">
        <is>
          <t>3 個月 = 2026-06-28 ~ 2026-09-28 (日曆 90 天)</t>
        </is>
      </c>
    </row>
    <row r="4">
      <c r="D4" s="4" t="inlineStr">
        <is>
          <t>Total return (= TradingView Strategy Tester → Overview → Net Profit 的 %; 自動由各標的分頁帶入)</t>
        </is>
      </c>
    </row>
    <row r="5" ht="30" customHeight="1">
      <c r="A5" s="5" t="inlineStr">
        <is>
          <t>版本</t>
        </is>
      </c>
      <c r="B5" s="5" t="inlineStr">
        <is>
          <t>檔名 (backtest_r1-r9.3/ 資料夾)</t>
        </is>
      </c>
      <c r="C5" s="5" t="inlineStr">
        <is>
          <t>Timeframe</t>
        </is>
      </c>
      <c r="D5" s="5" t="inlineStr">
        <is>
          <t>SPY</t>
        </is>
      </c>
      <c r="E5" s="5" t="inlineStr">
        <is>
          <t>QQQ</t>
        </is>
      </c>
      <c r="F5" s="5" t="inlineStr">
        <is>
          <t>SOXL</t>
        </is>
      </c>
      <c r="G5" s="5" t="inlineStr">
        <is>
          <t>NVDA</t>
        </is>
      </c>
      <c r="H5" s="5" t="inlineStr">
        <is>
          <t>AMD</t>
        </is>
      </c>
      <c r="I5" s="5" t="inlineStr">
        <is>
          <t>TSM</t>
        </is>
      </c>
      <c r="J5" s="5" t="inlineStr">
        <is>
          <t>LITE</t>
        </is>
      </c>
      <c r="K5" s="5" t="inlineStr">
        <is>
          <t>GOOGL</t>
        </is>
      </c>
      <c r="L5" s="5" t="inlineStr">
        <is>
          <t>NBIS</t>
        </is>
      </c>
      <c r="M5" s="5" t="inlineStr">
        <is>
          <t>IREN</t>
        </is>
      </c>
      <c r="N5" s="5" t="inlineStr">
        <is>
          <t>HOOD</t>
        </is>
      </c>
      <c r="O5" s="5" t="inlineStr">
        <is>
          <t>TSLA</t>
        </is>
      </c>
      <c r="P5" s="5" t="inlineStr">
        <is>
          <t>AAPL</t>
        </is>
      </c>
      <c r="Q5" s="5" t="inlineStr">
        <is>
          <t>BTC-USD</t>
        </is>
      </c>
      <c r="R5" s="5" t="inlineStr">
        <is>
          <t>FUTU</t>
        </is>
      </c>
      <c r="S5" s="5" t="inlineStr">
        <is>
          <t>LMT</t>
        </is>
      </c>
      <c r="T5" s="5" t="inlineStr">
        <is>
          <t>ARM</t>
        </is>
      </c>
      <c r="U5" s="5" t="inlineStr">
        <is>
          <t>平均 (已填格)</t>
        </is>
      </c>
      <c r="V5" s="5" t="inlineStr">
        <is>
          <t>已填格數</t>
        </is>
      </c>
      <c r="W5" s="5" t="inlineStr">
        <is>
          <t>預設回測窗口</t>
        </is>
      </c>
      <c r="X5" s="5" t="inlineStr">
        <is>
          <t>要改的 Inputs (① 回測期間 群組)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7" t="inlineStr">
        <is>
          <t>3 mins</t>
        </is>
      </c>
      <c r="D6" s="8">
        <f>IF('SPY'!D6="","",'SPY'!D6)</f>
        <v/>
      </c>
      <c r="E6" s="8">
        <f>IF('QQQ'!D6="","",'QQQ'!D6)</f>
        <v/>
      </c>
      <c r="F6" s="8">
        <f>IF('SOXL'!D6="","",'SOXL'!D6)</f>
        <v/>
      </c>
      <c r="G6" s="8">
        <f>IF('NVDA'!D6="","",'NVDA'!D6)</f>
        <v/>
      </c>
      <c r="H6" s="8">
        <f>IF('AMD'!D6="","",'AMD'!D6)</f>
        <v/>
      </c>
      <c r="I6" s="8">
        <f>IF('TSM'!D6="","",'TSM'!D6)</f>
        <v/>
      </c>
      <c r="J6" s="8">
        <f>IF('LITE'!D6="","",'LITE'!D6)</f>
        <v/>
      </c>
      <c r="K6" s="8">
        <f>IF('GOOGL'!D6="","",'GOOGL'!D6)</f>
        <v/>
      </c>
      <c r="L6" s="8">
        <f>IF('NBIS'!D6="","",'NBIS'!D6)</f>
        <v/>
      </c>
      <c r="M6" s="8">
        <f>IF('IREN'!D6="","",'IREN'!D6)</f>
        <v/>
      </c>
      <c r="N6" s="8">
        <f>IF('HOOD'!D6="","",'HOOD'!D6)</f>
        <v/>
      </c>
      <c r="O6" s="8">
        <f>IF('TSLA'!D6="","",'TSLA'!D6)</f>
        <v/>
      </c>
      <c r="P6" s="8">
        <f>IF('AAPL'!D6="","",'AAPL'!D6)</f>
        <v/>
      </c>
      <c r="Q6" s="8">
        <f>IF('BTC-USD'!D6="","",'BTC-USD'!D6)</f>
        <v/>
      </c>
      <c r="R6" s="8">
        <f>IF('FUTU'!D6="","",'FUTU'!D6)</f>
        <v/>
      </c>
      <c r="S6" s="8">
        <f>IF('LMT'!D6="","",'LMT'!D6)</f>
        <v/>
      </c>
      <c r="T6" s="8">
        <f>IF('ARM'!D6="","",'ARM'!D6)</f>
        <v/>
      </c>
      <c r="U6" s="9">
        <f>IFERROR(AVERAGE(D6:T6),"")</f>
        <v/>
      </c>
      <c r="V6" s="10">
        <f>COUNT(D6:T6)&amp;"/17"</f>
        <v/>
      </c>
      <c r="W6" s="7" t="inlineStr">
        <is>
          <t>30 天 (一個月)</t>
        </is>
      </c>
      <c r="X6" s="11" t="inlineStr">
        <is>
          <t>winMode=最近 N 天 (日曆); lookbackD 30→90; tfExpect 1→3</t>
        </is>
      </c>
    </row>
    <row r="7">
      <c r="A7" s="6" t="inlineStr">
        <is>
          <t>R2</t>
        </is>
      </c>
      <c r="B7" s="7" t="inlineStr">
        <is>
          <t>r2_dashboard_(mode 2,4)_(09月26日; 17.40)</t>
        </is>
      </c>
      <c r="C7" s="7" t="inlineStr">
        <is>
          <t>3 mins</t>
        </is>
      </c>
      <c r="D7" s="8">
        <f>IF('SPY'!D7="","",'SPY'!D7)</f>
        <v/>
      </c>
      <c r="E7" s="8">
        <f>IF('QQQ'!D7="","",'QQQ'!D7)</f>
        <v/>
      </c>
      <c r="F7" s="8">
        <f>IF('SOXL'!D7="","",'SOXL'!D7)</f>
        <v/>
      </c>
      <c r="G7" s="8">
        <f>IF('NVDA'!D7="","",'NVDA'!D7)</f>
        <v/>
      </c>
      <c r="H7" s="8">
        <f>IF('AMD'!D7="","",'AMD'!D7)</f>
        <v/>
      </c>
      <c r="I7" s="8">
        <f>IF('TSM'!D7="","",'TSM'!D7)</f>
        <v/>
      </c>
      <c r="J7" s="8">
        <f>IF('LITE'!D7="","",'LITE'!D7)</f>
        <v/>
      </c>
      <c r="K7" s="8">
        <f>IF('GOOGL'!D7="","",'GOOGL'!D7)</f>
        <v/>
      </c>
      <c r="L7" s="8">
        <f>IF('NBIS'!D7="","",'NBIS'!D7)</f>
        <v/>
      </c>
      <c r="M7" s="8">
        <f>IF('IREN'!D7="","",'IREN'!D7)</f>
        <v/>
      </c>
      <c r="N7" s="8">
        <f>IF('HOOD'!D7="","",'HOOD'!D7)</f>
        <v/>
      </c>
      <c r="O7" s="8">
        <f>IF('TSLA'!D7="","",'TSLA'!D7)</f>
        <v/>
      </c>
      <c r="P7" s="8">
        <f>IF('AAPL'!D7="","",'AAPL'!D7)</f>
        <v/>
      </c>
      <c r="Q7" s="8">
        <f>IF('BTC-USD'!D7="","",'BTC-USD'!D7)</f>
        <v/>
      </c>
      <c r="R7" s="8">
        <f>IF('FUTU'!D7="","",'FUTU'!D7)</f>
        <v/>
      </c>
      <c r="S7" s="8">
        <f>IF('LMT'!D7="","",'LMT'!D7)</f>
        <v/>
      </c>
      <c r="T7" s="8">
        <f>IF('ARM'!D7="","",'ARM'!D7)</f>
        <v/>
      </c>
      <c r="U7" s="9">
        <f>IFERROR(AVERAGE(D7:T7),"")</f>
        <v/>
      </c>
      <c r="V7" s="10">
        <f>COUNT(D7:T7)&amp;"/17"</f>
        <v/>
      </c>
      <c r="W7" s="7" t="inlineStr">
        <is>
          <t>30 天 (一個月)</t>
        </is>
      </c>
      <c r="X7" s="11" t="inlineStr">
        <is>
          <t>winMode=最近 N 天 (日曆); lookbackD 30→90; tfExpect 1→3</t>
        </is>
      </c>
    </row>
    <row r="8">
      <c r="A8" s="6" t="inlineStr">
        <is>
          <t>R3</t>
        </is>
      </c>
      <c r="B8" s="7" t="inlineStr">
        <is>
          <t>r3_dashboard_(mode 2,4)_(09月26日; 21.11)</t>
        </is>
      </c>
      <c r="C8" s="7" t="inlineStr">
        <is>
          <t>3 mins</t>
        </is>
      </c>
      <c r="D8" s="8">
        <f>IF('SPY'!D8="","",'SPY'!D8)</f>
        <v/>
      </c>
      <c r="E8" s="8">
        <f>IF('QQQ'!D8="","",'QQQ'!D8)</f>
        <v/>
      </c>
      <c r="F8" s="8">
        <f>IF('SOXL'!D8="","",'SOXL'!D8)</f>
        <v/>
      </c>
      <c r="G8" s="8">
        <f>IF('NVDA'!D8="","",'NVDA'!D8)</f>
        <v/>
      </c>
      <c r="H8" s="8">
        <f>IF('AMD'!D8="","",'AMD'!D8)</f>
        <v/>
      </c>
      <c r="I8" s="8">
        <f>IF('TSM'!D8="","",'TSM'!D8)</f>
        <v/>
      </c>
      <c r="J8" s="8">
        <f>IF('LITE'!D8="","",'LITE'!D8)</f>
        <v/>
      </c>
      <c r="K8" s="8">
        <f>IF('GOOGL'!D8="","",'GOOGL'!D8)</f>
        <v/>
      </c>
      <c r="L8" s="8">
        <f>IF('NBIS'!D8="","",'NBIS'!D8)</f>
        <v/>
      </c>
      <c r="M8" s="8">
        <f>IF('IREN'!D8="","",'IREN'!D8)</f>
        <v/>
      </c>
      <c r="N8" s="8">
        <f>IF('HOOD'!D8="","",'HOOD'!D8)</f>
        <v/>
      </c>
      <c r="O8" s="8">
        <f>IF('TSLA'!D8="","",'TSLA'!D8)</f>
        <v/>
      </c>
      <c r="P8" s="8">
        <f>IF('AAPL'!D8="","",'AAPL'!D8)</f>
        <v/>
      </c>
      <c r="Q8" s="8">
        <f>IF('BTC-USD'!D8="","",'BTC-USD'!D8)</f>
        <v/>
      </c>
      <c r="R8" s="8">
        <f>IF('FUTU'!D8="","",'FUTU'!D8)</f>
        <v/>
      </c>
      <c r="S8" s="8">
        <f>IF('LMT'!D8="","",'LMT'!D8)</f>
        <v/>
      </c>
      <c r="T8" s="8">
        <f>IF('ARM'!D8="","",'ARM'!D8)</f>
        <v/>
      </c>
      <c r="U8" s="9">
        <f>IFERROR(AVERAGE(D8:T8),"")</f>
        <v/>
      </c>
      <c r="V8" s="10">
        <f>COUNT(D8:T8)&amp;"/17"</f>
        <v/>
      </c>
      <c r="W8" s="7" t="inlineStr">
        <is>
          <t>30 天 (一個月)</t>
        </is>
      </c>
      <c r="X8" s="11" t="inlineStr">
        <is>
          <t>winMode=最近 N 天 (日曆); lookbackD 30→90; tfExpect 1→3</t>
        </is>
      </c>
    </row>
    <row r="9">
      <c r="A9" s="6" t="inlineStr">
        <is>
          <t>R4</t>
        </is>
      </c>
      <c r="B9" s="7" t="inlineStr">
        <is>
          <t>r4_dashboard_(mode 2,4)_(09月26日; 21.33)</t>
        </is>
      </c>
      <c r="C9" s="7" t="inlineStr">
        <is>
          <t>3 mins</t>
        </is>
      </c>
      <c r="D9" s="8">
        <f>IF('SPY'!D9="","",'SPY'!D9)</f>
        <v/>
      </c>
      <c r="E9" s="8">
        <f>IF('QQQ'!D9="","",'QQQ'!D9)</f>
        <v/>
      </c>
      <c r="F9" s="8">
        <f>IF('SOXL'!D9="","",'SOXL'!D9)</f>
        <v/>
      </c>
      <c r="G9" s="8">
        <f>IF('NVDA'!D9="","",'NVDA'!D9)</f>
        <v/>
      </c>
      <c r="H9" s="8">
        <f>IF('AMD'!D9="","",'AMD'!D9)</f>
        <v/>
      </c>
      <c r="I9" s="8">
        <f>IF('TSM'!D9="","",'TSM'!D9)</f>
        <v/>
      </c>
      <c r="J9" s="8">
        <f>IF('LITE'!D9="","",'LITE'!D9)</f>
        <v/>
      </c>
      <c r="K9" s="8">
        <f>IF('GOOGL'!D9="","",'GOOGL'!D9)</f>
        <v/>
      </c>
      <c r="L9" s="8">
        <f>IF('NBIS'!D9="","",'NBIS'!D9)</f>
        <v/>
      </c>
      <c r="M9" s="8">
        <f>IF('IREN'!D9="","",'IREN'!D9)</f>
        <v/>
      </c>
      <c r="N9" s="8">
        <f>IF('HOOD'!D9="","",'HOOD'!D9)</f>
        <v/>
      </c>
      <c r="O9" s="8">
        <f>IF('TSLA'!D9="","",'TSLA'!D9)</f>
        <v/>
      </c>
      <c r="P9" s="8">
        <f>IF('AAPL'!D9="","",'AAPL'!D9)</f>
        <v/>
      </c>
      <c r="Q9" s="8">
        <f>IF('BTC-USD'!D9="","",'BTC-USD'!D9)</f>
        <v/>
      </c>
      <c r="R9" s="8">
        <f>IF('FUTU'!D9="","",'FUTU'!D9)</f>
        <v/>
      </c>
      <c r="S9" s="8">
        <f>IF('LMT'!D9="","",'LMT'!D9)</f>
        <v/>
      </c>
      <c r="T9" s="8">
        <f>IF('ARM'!D9="","",'ARM'!D9)</f>
        <v/>
      </c>
      <c r="U9" s="9">
        <f>IFERROR(AVERAGE(D9:T9),"")</f>
        <v/>
      </c>
      <c r="V9" s="10">
        <f>COUNT(D9:T9)&amp;"/17"</f>
        <v/>
      </c>
      <c r="W9" s="7" t="inlineStr">
        <is>
          <t>30 天 (一個月)</t>
        </is>
      </c>
      <c r="X9" s="11" t="inlineStr">
        <is>
          <t>winMode=最近 N 天 (日曆); lookbackD 30→90; tfExpect 1→3</t>
        </is>
      </c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7" t="inlineStr">
        <is>
          <t>3 mins</t>
        </is>
      </c>
      <c r="D10" s="8">
        <f>IF('SPY'!D10="","",'SPY'!D10)</f>
        <v/>
      </c>
      <c r="E10" s="8">
        <f>IF('QQQ'!D10="","",'QQQ'!D10)</f>
        <v/>
      </c>
      <c r="F10" s="8">
        <f>IF('SOXL'!D10="","",'SOXL'!D10)</f>
        <v/>
      </c>
      <c r="G10" s="8">
        <f>IF('NVDA'!D10="","",'NVDA'!D10)</f>
        <v/>
      </c>
      <c r="H10" s="8">
        <f>IF('AMD'!D10="","",'AMD'!D10)</f>
        <v/>
      </c>
      <c r="I10" s="8">
        <f>IF('TSM'!D10="","",'TSM'!D10)</f>
        <v/>
      </c>
      <c r="J10" s="8">
        <f>IF('LITE'!D10="","",'LITE'!D10)</f>
        <v/>
      </c>
      <c r="K10" s="8">
        <f>IF('GOOGL'!D10="","",'GOOGL'!D10)</f>
        <v/>
      </c>
      <c r="L10" s="8">
        <f>IF('NBIS'!D10="","",'NBIS'!D10)</f>
        <v/>
      </c>
      <c r="M10" s="8">
        <f>IF('IREN'!D10="","",'IREN'!D10)</f>
        <v/>
      </c>
      <c r="N10" s="8">
        <f>IF('HOOD'!D10="","",'HOOD'!D10)</f>
        <v/>
      </c>
      <c r="O10" s="8">
        <f>IF('TSLA'!D10="","",'TSLA'!D10)</f>
        <v/>
      </c>
      <c r="P10" s="8">
        <f>IF('AAPL'!D10="","",'AAPL'!D10)</f>
        <v/>
      </c>
      <c r="Q10" s="8">
        <f>IF('BTC-USD'!D10="","",'BTC-USD'!D10)</f>
        <v/>
      </c>
      <c r="R10" s="8">
        <f>IF('FUTU'!D10="","",'FUTU'!D10)</f>
        <v/>
      </c>
      <c r="S10" s="8">
        <f>IF('LMT'!D10="","",'LMT'!D10)</f>
        <v/>
      </c>
      <c r="T10" s="8">
        <f>IF('ARM'!D10="","",'ARM'!D10)</f>
        <v/>
      </c>
      <c r="U10" s="9">
        <f>IFERROR(AVERAGE(D10:T10),"")</f>
        <v/>
      </c>
      <c r="V10" s="10">
        <f>COUNT(D10:T10)&amp;"/17"</f>
        <v/>
      </c>
      <c r="W10" s="7" t="inlineStr">
        <is>
          <t>30 天 (一個月)</t>
        </is>
      </c>
      <c r="X10" s="11" t="inlineStr">
        <is>
          <t>winMode=最近 N 天 (日曆); lookbackD 30→90; tfExpect 1→3</t>
        </is>
      </c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7" t="inlineStr">
        <is>
          <t>3 mins</t>
        </is>
      </c>
      <c r="D11" s="8">
        <f>IF('SPY'!D11="","",'SPY'!D11)</f>
        <v/>
      </c>
      <c r="E11" s="8">
        <f>IF('QQQ'!D11="","",'QQQ'!D11)</f>
        <v/>
      </c>
      <c r="F11" s="8">
        <f>IF('SOXL'!D11="","",'SOXL'!D11)</f>
        <v/>
      </c>
      <c r="G11" s="8">
        <f>IF('NVDA'!D11="","",'NVDA'!D11)</f>
        <v/>
      </c>
      <c r="H11" s="8">
        <f>IF('AMD'!D11="","",'AMD'!D11)</f>
        <v/>
      </c>
      <c r="I11" s="8">
        <f>IF('TSM'!D11="","",'TSM'!D11)</f>
        <v/>
      </c>
      <c r="J11" s="8">
        <f>IF('LITE'!D11="","",'LITE'!D11)</f>
        <v/>
      </c>
      <c r="K11" s="8">
        <f>IF('GOOGL'!D11="","",'GOOGL'!D11)</f>
        <v/>
      </c>
      <c r="L11" s="8">
        <f>IF('NBIS'!D11="","",'NBIS'!D11)</f>
        <v/>
      </c>
      <c r="M11" s="8">
        <f>IF('IREN'!D11="","",'IREN'!D11)</f>
        <v/>
      </c>
      <c r="N11" s="8">
        <f>IF('HOOD'!D11="","",'HOOD'!D11)</f>
        <v/>
      </c>
      <c r="O11" s="8">
        <f>IF('TSLA'!D11="","",'TSLA'!D11)</f>
        <v/>
      </c>
      <c r="P11" s="8">
        <f>IF('AAPL'!D11="","",'AAPL'!D11)</f>
        <v/>
      </c>
      <c r="Q11" s="8">
        <f>IF('BTC-USD'!D11="","",'BTC-USD'!D11)</f>
        <v/>
      </c>
      <c r="R11" s="8">
        <f>IF('FUTU'!D11="","",'FUTU'!D11)</f>
        <v/>
      </c>
      <c r="S11" s="8">
        <f>IF('LMT'!D11="","",'LMT'!D11)</f>
        <v/>
      </c>
      <c r="T11" s="8">
        <f>IF('ARM'!D11="","",'ARM'!D11)</f>
        <v/>
      </c>
      <c r="U11" s="9">
        <f>IFERROR(AVERAGE(D11:T11),"")</f>
        <v/>
      </c>
      <c r="V11" s="10">
        <f>COUNT(D11:T11)&amp;"/17"</f>
        <v/>
      </c>
      <c r="W11" s="7" t="inlineStr">
        <is>
          <t>30 天 (一個月)</t>
        </is>
      </c>
      <c r="X11" s="11" t="inlineStr">
        <is>
          <t>winMode=最近 N 天 (日曆); lookbackD 30→90; tfExpect 1→3</t>
        </is>
      </c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7" t="inlineStr">
        <is>
          <t>3 mins</t>
        </is>
      </c>
      <c r="D12" s="8">
        <f>IF('SPY'!D12="","",'SPY'!D12)</f>
        <v/>
      </c>
      <c r="E12" s="8">
        <f>IF('QQQ'!D12="","",'QQQ'!D12)</f>
        <v/>
      </c>
      <c r="F12" s="8">
        <f>IF('SOXL'!D12="","",'SOXL'!D12)</f>
        <v/>
      </c>
      <c r="G12" s="8">
        <f>IF('NVDA'!D12="","",'NVDA'!D12)</f>
        <v/>
      </c>
      <c r="H12" s="8">
        <f>IF('AMD'!D12="","",'AMD'!D12)</f>
        <v/>
      </c>
      <c r="I12" s="8">
        <f>IF('TSM'!D12="","",'TSM'!D12)</f>
        <v/>
      </c>
      <c r="J12" s="8">
        <f>IF('LITE'!D12="","",'LITE'!D12)</f>
        <v/>
      </c>
      <c r="K12" s="8">
        <f>IF('GOOGL'!D12="","",'GOOGL'!D12)</f>
        <v/>
      </c>
      <c r="L12" s="8">
        <f>IF('NBIS'!D12="","",'NBIS'!D12)</f>
        <v/>
      </c>
      <c r="M12" s="8">
        <f>IF('IREN'!D12="","",'IREN'!D12)</f>
        <v/>
      </c>
      <c r="N12" s="8">
        <f>IF('HOOD'!D12="","",'HOOD'!D12)</f>
        <v/>
      </c>
      <c r="O12" s="8">
        <f>IF('TSLA'!D12="","",'TSLA'!D12)</f>
        <v/>
      </c>
      <c r="P12" s="8">
        <f>IF('AAPL'!D12="","",'AAPL'!D12)</f>
        <v/>
      </c>
      <c r="Q12" s="8">
        <f>IF('BTC-USD'!D12="","",'BTC-USD'!D12)</f>
        <v/>
      </c>
      <c r="R12" s="8">
        <f>IF('FUTU'!D12="","",'FUTU'!D12)</f>
        <v/>
      </c>
      <c r="S12" s="8">
        <f>IF('LMT'!D12="","",'LMT'!D12)</f>
        <v/>
      </c>
      <c r="T12" s="8">
        <f>IF('ARM'!D12="","",'ARM'!D12)</f>
        <v/>
      </c>
      <c r="U12" s="9">
        <f>IFERROR(AVERAGE(D12:T12),"")</f>
        <v/>
      </c>
      <c r="V12" s="10">
        <f>COUNT(D12:T12)&amp;"/17"</f>
        <v/>
      </c>
      <c r="W12" s="7" t="inlineStr">
        <is>
          <t>30 天 (一個月)</t>
        </is>
      </c>
      <c r="X12" s="11" t="inlineStr">
        <is>
          <t>winMode=最近 N 天 (日曆); lookbackD 30→90; tfExpect 1→3</t>
        </is>
      </c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7" t="inlineStr">
        <is>
          <t>3 mins</t>
        </is>
      </c>
      <c r="D13" s="8">
        <f>IF('SPY'!D13="","",'SPY'!D13)</f>
        <v/>
      </c>
      <c r="E13" s="8">
        <f>IF('QQQ'!D13="","",'QQQ'!D13)</f>
        <v/>
      </c>
      <c r="F13" s="8">
        <f>IF('SOXL'!D13="","",'SOXL'!D13)</f>
        <v/>
      </c>
      <c r="G13" s="8">
        <f>IF('NVDA'!D13="","",'NVDA'!D13)</f>
        <v/>
      </c>
      <c r="H13" s="8">
        <f>IF('AMD'!D13="","",'AMD'!D13)</f>
        <v/>
      </c>
      <c r="I13" s="8">
        <f>IF('TSM'!D13="","",'TSM'!D13)</f>
        <v/>
      </c>
      <c r="J13" s="8">
        <f>IF('LITE'!D13="","",'LITE'!D13)</f>
        <v/>
      </c>
      <c r="K13" s="8">
        <f>IF('GOOGL'!D13="","",'GOOGL'!D13)</f>
        <v/>
      </c>
      <c r="L13" s="8">
        <f>IF('NBIS'!D13="","",'NBIS'!D13)</f>
        <v/>
      </c>
      <c r="M13" s="8">
        <f>IF('IREN'!D13="","",'IREN'!D13)</f>
        <v/>
      </c>
      <c r="N13" s="8">
        <f>IF('HOOD'!D13="","",'HOOD'!D13)</f>
        <v/>
      </c>
      <c r="O13" s="8">
        <f>IF('TSLA'!D13="","",'TSLA'!D13)</f>
        <v/>
      </c>
      <c r="P13" s="8">
        <f>IF('AAPL'!D13="","",'AAPL'!D13)</f>
        <v/>
      </c>
      <c r="Q13" s="8">
        <f>IF('BTC-USD'!D13="","",'BTC-USD'!D13)</f>
        <v/>
      </c>
      <c r="R13" s="8">
        <f>IF('FUTU'!D13="","",'FUTU'!D13)</f>
        <v/>
      </c>
      <c r="S13" s="8">
        <f>IF('LMT'!D13="","",'LMT'!D13)</f>
        <v/>
      </c>
      <c r="T13" s="8">
        <f>IF('ARM'!D13="","",'ARM'!D13)</f>
        <v/>
      </c>
      <c r="U13" s="9">
        <f>IFERROR(AVERAGE(D13:T13),"")</f>
        <v/>
      </c>
      <c r="V13" s="10">
        <f>COUNT(D13:T13)&amp;"/17"</f>
        <v/>
      </c>
      <c r="W13" s="7" t="inlineStr">
        <is>
          <t>30 天 (一個月)</t>
        </is>
      </c>
      <c r="X13" s="11" t="inlineStr">
        <is>
          <t>winMode=最近 N 天 (日曆); lookbackD 30→90; tfExpect 1→3</t>
        </is>
      </c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7" t="inlineStr">
        <is>
          <t>3 mins</t>
        </is>
      </c>
      <c r="D14" s="8">
        <f>IF('SPY'!D14="","",'SPY'!D14)</f>
        <v/>
      </c>
      <c r="E14" s="8">
        <f>IF('QQQ'!D14="","",'QQQ'!D14)</f>
        <v/>
      </c>
      <c r="F14" s="8">
        <f>IF('SOXL'!D14="","",'SOXL'!D14)</f>
        <v/>
      </c>
      <c r="G14" s="8">
        <f>IF('NVDA'!D14="","",'NVDA'!D14)</f>
        <v/>
      </c>
      <c r="H14" s="8">
        <f>IF('AMD'!D14="","",'AMD'!D14)</f>
        <v/>
      </c>
      <c r="I14" s="8">
        <f>IF('TSM'!D14="","",'TSM'!D14)</f>
        <v/>
      </c>
      <c r="J14" s="8">
        <f>IF('LITE'!D14="","",'LITE'!D14)</f>
        <v/>
      </c>
      <c r="K14" s="8">
        <f>IF('GOOGL'!D14="","",'GOOGL'!D14)</f>
        <v/>
      </c>
      <c r="L14" s="8">
        <f>IF('NBIS'!D14="","",'NBIS'!D14)</f>
        <v/>
      </c>
      <c r="M14" s="8">
        <f>IF('IREN'!D14="","",'IREN'!D14)</f>
        <v/>
      </c>
      <c r="N14" s="8">
        <f>IF('HOOD'!D14="","",'HOOD'!D14)</f>
        <v/>
      </c>
      <c r="O14" s="8">
        <f>IF('TSLA'!D14="","",'TSLA'!D14)</f>
        <v/>
      </c>
      <c r="P14" s="8">
        <f>IF('AAPL'!D14="","",'AAPL'!D14)</f>
        <v/>
      </c>
      <c r="Q14" s="8">
        <f>IF('BTC-USD'!D14="","",'BTC-USD'!D14)</f>
        <v/>
      </c>
      <c r="R14" s="8">
        <f>IF('FUTU'!D14="","",'FUTU'!D14)</f>
        <v/>
      </c>
      <c r="S14" s="8">
        <f>IF('LMT'!D14="","",'LMT'!D14)</f>
        <v/>
      </c>
      <c r="T14" s="8">
        <f>IF('ARM'!D14="","",'ARM'!D14)</f>
        <v/>
      </c>
      <c r="U14" s="9">
        <f>IFERROR(AVERAGE(D14:T14),"")</f>
        <v/>
      </c>
      <c r="V14" s="10">
        <f>COUNT(D14:T14)&amp;"/17"</f>
        <v/>
      </c>
      <c r="W14" s="7" t="inlineStr">
        <is>
          <t>30 天 (一個月)</t>
        </is>
      </c>
      <c r="X14" s="11" t="inlineStr">
        <is>
          <t>winMode=最近 N 天 (日曆); lookbackD 30→90; tfExpect 1→3</t>
        </is>
      </c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7" t="inlineStr">
        <is>
          <t>3 mins</t>
        </is>
      </c>
      <c r="D15" s="8">
        <f>IF('SPY'!D15="","",'SPY'!D15)</f>
        <v/>
      </c>
      <c r="E15" s="8">
        <f>IF('QQQ'!D15="","",'QQQ'!D15)</f>
        <v/>
      </c>
      <c r="F15" s="8">
        <f>IF('SOXL'!D15="","",'SOXL'!D15)</f>
        <v/>
      </c>
      <c r="G15" s="8">
        <f>IF('NVDA'!D15="","",'NVDA'!D15)</f>
        <v/>
      </c>
      <c r="H15" s="8">
        <f>IF('AMD'!D15="","",'AMD'!D15)</f>
        <v/>
      </c>
      <c r="I15" s="8">
        <f>IF('TSM'!D15="","",'TSM'!D15)</f>
        <v/>
      </c>
      <c r="J15" s="8">
        <f>IF('LITE'!D15="","",'LITE'!D15)</f>
        <v/>
      </c>
      <c r="K15" s="8">
        <f>IF('GOOGL'!D15="","",'GOOGL'!D15)</f>
        <v/>
      </c>
      <c r="L15" s="8">
        <f>IF('NBIS'!D15="","",'NBIS'!D15)</f>
        <v/>
      </c>
      <c r="M15" s="8">
        <f>IF('IREN'!D15="","",'IREN'!D15)</f>
        <v/>
      </c>
      <c r="N15" s="8">
        <f>IF('HOOD'!D15="","",'HOOD'!D15)</f>
        <v/>
      </c>
      <c r="O15" s="8">
        <f>IF('TSLA'!D15="","",'TSLA'!D15)</f>
        <v/>
      </c>
      <c r="P15" s="8">
        <f>IF('AAPL'!D15="","",'AAPL'!D15)</f>
        <v/>
      </c>
      <c r="Q15" s="8">
        <f>IF('BTC-USD'!D15="","",'BTC-USD'!D15)</f>
        <v/>
      </c>
      <c r="R15" s="8">
        <f>IF('FUTU'!D15="","",'FUTU'!D15)</f>
        <v/>
      </c>
      <c r="S15" s="8">
        <f>IF('LMT'!D15="","",'LMT'!D15)</f>
        <v/>
      </c>
      <c r="T15" s="8">
        <f>IF('ARM'!D15="","",'ARM'!D15)</f>
        <v/>
      </c>
      <c r="U15" s="9">
        <f>IFERROR(AVERAGE(D15:T15),"")</f>
        <v/>
      </c>
      <c r="V15" s="10">
        <f>COUNT(D15:T15)&amp;"/17"</f>
        <v/>
      </c>
      <c r="W15" s="7" t="inlineStr">
        <is>
          <t>90 天 (三個月) ✓</t>
        </is>
      </c>
      <c r="X15" s="11" t="inlineStr">
        <is>
          <t>只改 tfExpect 1→3 (窗口預設已是 90 天)</t>
        </is>
      </c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7" t="inlineStr">
        <is>
          <t>3 mins</t>
        </is>
      </c>
      <c r="D16" s="8">
        <f>IF('SPY'!D16="","",'SPY'!D16)</f>
        <v/>
      </c>
      <c r="E16" s="8">
        <f>IF('QQQ'!D16="","",'QQQ'!D16)</f>
        <v/>
      </c>
      <c r="F16" s="8">
        <f>IF('SOXL'!D16="","",'SOXL'!D16)</f>
        <v/>
      </c>
      <c r="G16" s="8">
        <f>IF('NVDA'!D16="","",'NVDA'!D16)</f>
        <v/>
      </c>
      <c r="H16" s="8">
        <f>IF('AMD'!D16="","",'AMD'!D16)</f>
        <v/>
      </c>
      <c r="I16" s="8">
        <f>IF('TSM'!D16="","",'TSM'!D16)</f>
        <v/>
      </c>
      <c r="J16" s="8">
        <f>IF('LITE'!D16="","",'LITE'!D16)</f>
        <v/>
      </c>
      <c r="K16" s="8">
        <f>IF('GOOGL'!D16="","",'GOOGL'!D16)</f>
        <v/>
      </c>
      <c r="L16" s="8">
        <f>IF('NBIS'!D16="","",'NBIS'!D16)</f>
        <v/>
      </c>
      <c r="M16" s="8">
        <f>IF('IREN'!D16="","",'IREN'!D16)</f>
        <v/>
      </c>
      <c r="N16" s="8">
        <f>IF('HOOD'!D16="","",'HOOD'!D16)</f>
        <v/>
      </c>
      <c r="O16" s="8">
        <f>IF('TSLA'!D16="","",'TSLA'!D16)</f>
        <v/>
      </c>
      <c r="P16" s="8">
        <f>IF('AAPL'!D16="","",'AAPL'!D16)</f>
        <v/>
      </c>
      <c r="Q16" s="8">
        <f>IF('BTC-USD'!D16="","",'BTC-USD'!D16)</f>
        <v/>
      </c>
      <c r="R16" s="8">
        <f>IF('FUTU'!D16="","",'FUTU'!D16)</f>
        <v/>
      </c>
      <c r="S16" s="8">
        <f>IF('LMT'!D16="","",'LMT'!D16)</f>
        <v/>
      </c>
      <c r="T16" s="8">
        <f>IF('ARM'!D16="","",'ARM'!D16)</f>
        <v/>
      </c>
      <c r="U16" s="9">
        <f>IFERROR(AVERAGE(D16:T16),"")</f>
        <v/>
      </c>
      <c r="V16" s="10">
        <f>COUNT(D16:T16)&amp;"/17"</f>
        <v/>
      </c>
      <c r="W16" s="7" t="inlineStr">
        <is>
          <t>365 天 (十二個月)</t>
        </is>
      </c>
      <c r="X16" s="11" t="inlineStr">
        <is>
          <t>winMode=最近 N 天 (日曆); lookbackD 365→90; tfExpect 1→3</t>
        </is>
      </c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7" t="inlineStr">
        <is>
          <t>3 mins</t>
        </is>
      </c>
      <c r="D17" s="8">
        <f>IF('SPY'!D17="","",'SPY'!D17)</f>
        <v/>
      </c>
      <c r="E17" s="8">
        <f>IF('QQQ'!D17="","",'QQQ'!D17)</f>
        <v/>
      </c>
      <c r="F17" s="8">
        <f>IF('SOXL'!D17="","",'SOXL'!D17)</f>
        <v/>
      </c>
      <c r="G17" s="8">
        <f>IF('NVDA'!D17="","",'NVDA'!D17)</f>
        <v/>
      </c>
      <c r="H17" s="8">
        <f>IF('AMD'!D17="","",'AMD'!D17)</f>
        <v/>
      </c>
      <c r="I17" s="8">
        <f>IF('TSM'!D17="","",'TSM'!D17)</f>
        <v/>
      </c>
      <c r="J17" s="8">
        <f>IF('LITE'!D17="","",'LITE'!D17)</f>
        <v/>
      </c>
      <c r="K17" s="8">
        <f>IF('GOOGL'!D17="","",'GOOGL'!D17)</f>
        <v/>
      </c>
      <c r="L17" s="8">
        <f>IF('NBIS'!D17="","",'NBIS'!D17)</f>
        <v/>
      </c>
      <c r="M17" s="8">
        <f>IF('IREN'!D17="","",'IREN'!D17)</f>
        <v/>
      </c>
      <c r="N17" s="8">
        <f>IF('HOOD'!D17="","",'HOOD'!D17)</f>
        <v/>
      </c>
      <c r="O17" s="8">
        <f>IF('TSLA'!D17="","",'TSLA'!D17)</f>
        <v/>
      </c>
      <c r="P17" s="8">
        <f>IF('AAPL'!D17="","",'AAPL'!D17)</f>
        <v/>
      </c>
      <c r="Q17" s="8">
        <f>IF('BTC-USD'!D17="","",'BTC-USD'!D17)</f>
        <v/>
      </c>
      <c r="R17" s="8">
        <f>IF('FUTU'!D17="","",'FUTU'!D17)</f>
        <v/>
      </c>
      <c r="S17" s="8">
        <f>IF('LMT'!D17="","",'LMT'!D17)</f>
        <v/>
      </c>
      <c r="T17" s="8">
        <f>IF('ARM'!D17="","",'ARM'!D17)</f>
        <v/>
      </c>
      <c r="U17" s="9">
        <f>IFERROR(AVERAGE(D17:T17),"")</f>
        <v/>
      </c>
      <c r="V17" s="10">
        <f>COUNT(D17:T17)&amp;"/17"</f>
        <v/>
      </c>
      <c r="W17" s="7" t="inlineStr">
        <is>
          <t>365 天 (十二個月)</t>
        </is>
      </c>
      <c r="X17" s="11" t="inlineStr">
        <is>
          <t>winMode=最近 N 天 (日曆); lookbackD 365→90; tfExpect 1→3</t>
        </is>
      </c>
    </row>
    <row r="19">
      <c r="A19" s="3" t="inlineStr">
        <is>
          <t>圖例: 這一頁全部是公式 (綠字), 不要在這裡打字。要填的格在各標的分頁 (SPY, QQQ, …) 的黃底藍字欄。</t>
        </is>
      </c>
    </row>
    <row r="20">
      <c r="A20" s="3" t="inlineStr">
        <is>
          <t>你先前 mini Excel 已填的 3 個值 (SPY/R1 −133.91, SPY/R9.3 −47,000, QQQ/R9.3 −48,000) 是用各腳本「預設窗口」(R1 = 30 天, R9.3 = 365 天) 跑出來的 $ 金額, 不是 3 個月, 已移到 SPY / QQQ 分頁的「既有記錄」欄留底, 請按「步驟」分頁改好 Inputs 後重跑。</t>
        </is>
      </c>
    </row>
    <row r="21">
      <c r="A21" s="3" t="inlineStr">
        <is>
          <t>Total return 請填 Strategy Tester → Overview → Net Profit 下方的 % (例: −1.23% 就填 −1.23%), 不是 $ 金額; $ 金額另有一欄。</t>
        </is>
      </c>
    </row>
    <row r="22">
      <c r="A22" s="3" t="inlineStr">
        <is>
          <t>本檔由 Claude 依 mini Excel 版面生成; 所有回報數字均須由你在 TradingView 上實跑後填入, 檔內沒有任何預填的回測結果。</t>
        </is>
      </c>
    </row>
  </sheetData>
  <mergeCells count="4">
    <mergeCell ref="A20:L20"/>
    <mergeCell ref="A19:L19"/>
    <mergeCell ref="A21:L21"/>
    <mergeCell ref="A22:L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7" customWidth="1" min="1" max="1"/>
    <col width="120" customWidth="1" min="2" max="2"/>
    <col width="18" customWidth="1" min="3" max="3"/>
    <col width="60" customWidth="1" min="4" max="4"/>
  </cols>
  <sheetData>
    <row r="1">
      <c r="A1" s="4" t="inlineStr"/>
      <c r="B1" s="12" t="inlineStr">
        <is>
          <t>TradingView 手動回測步驟 (3 mins · 最近 3 個月 · R1 ~ R9.3 · 17 個標的 = 12 × 17 = 204 次)</t>
        </is>
      </c>
    </row>
    <row r="2">
      <c r="A2" s="4" t="inlineStr">
        <is>
          <t>1</t>
        </is>
      </c>
      <c r="B2" s="13" t="inlineStr">
        <is>
          <t>在 TradingView 打開 Pine Editor → New blank script → 把 backtest_r1-r9.3/ 資料夾裡對應的 r{n}_dashboard_… .pine 全文貼上 → Save, 名稱照檔內 strategy("…") 的字串 (冒號版)。12 個 dashboard 各存一次, 之後每次只需 Add to chart。</t>
        </is>
      </c>
    </row>
    <row r="3">
      <c r="A3" s="4" t="inlineStr">
        <is>
          <t>2</t>
        </is>
      </c>
      <c r="B3" s="13" t="inlineStr">
        <is>
          <t>副圖 (r{n}_RSI-mode2 / r{n}_winrate-mode4, R9 起為 r{n}_RSI-winrate) 只是顯示用, 不影響 Total return; 抄數字時可以不加, 想看訊號再加。</t>
        </is>
      </c>
    </row>
    <row r="4">
      <c r="A4" s="4" t="inlineStr">
        <is>
          <t>3</t>
        </is>
      </c>
      <c r="B4" s="13" t="inlineStr">
        <is>
          <t>圖表週期切到 3 分鐘 (3m)。腳本會用圖表週期算, 不必改程式; 但請到策略 Settings → Inputs → ① 回測期間 群組把「策略設計的 K 線週期」(tfExpect) 由 1 改 3, 否則右上報表會顯示「⚠ 圖表週期 3 ≠ 設定 1」(只是提醒, 不影響下單)。</t>
        </is>
      </c>
    </row>
    <row r="5">
      <c r="A5" s="4" t="inlineStr">
        <is>
          <t>4</t>
        </is>
      </c>
      <c r="B5" s="13" t="inlineStr">
        <is>
          <t>同一個 Inputs 群組把回測窗口統一成 3 個月: 「回測期間方式」選「最近 N 天 (日曆)」, 「方式 B · 最近 N 天」填 90。R1~R9 預設 30, R9.2/R9.3 預設 365, 一定要改; R9.1 預設已是 90, 不用改。也可以改用「指定日期」2026-06-28 00:00 ~ 2026-09-28 23:59, 17 個標的都用同一段, 結果最好比。</t>
        </is>
      </c>
    </row>
    <row r="6">
      <c r="A6" s="4" t="inlineStr">
        <is>
          <t>5</t>
        </is>
      </c>
      <c r="B6" s="13" t="inlineStr">
        <is>
          <t>若要 12 個版本都用一樣的設定, 改好一次後在 Inputs 視窗左下 Defaults → Save as default (每支腳本各存一次), 之後換標的不用重設。</t>
        </is>
      </c>
    </row>
    <row r="7">
      <c r="A7" s="4" t="inlineStr">
        <is>
          <t>6</t>
        </is>
      </c>
      <c r="B7" s="13" t="inlineStr">
        <is>
          <t>換標的: 圖表上方輸入 SPY / QQQ / … (美股用 NASDAQ: 或 NYSE:/AMEX: 都可, 交易所時區自動處理; BTC-USD 建議 COINBASE:BTCUSD 或 BITSTAMP:BTCUSD)。等 Strategy Tester 重算完 (右下有進度)。</t>
        </is>
      </c>
    </row>
    <row r="8">
      <c r="A8" s="4" t="inlineStr">
        <is>
          <t>7</t>
        </is>
      </c>
      <c r="B8" s="13" t="inlineStr">
        <is>
          <t>確認 K 線有載滿 3 個月: 3 mins × 3 個月 ≈ 63 個交易日 × 130 根 ≈ 8,200 根。Premium (20,000 根) / Pro+ (10,000 根) 一次就夠; Pro (10,000) 剛好夠; Basic 免費 (5,000 根) 載不滿 → 用「指定日期」分兩段 (06-28~08-12, 08-13~09-28) 各跑一次, 兩段 Net Profit % 相加 (近似)。右上報表若出現「⚠ 時段不符!」或 barsTot 很小 = 沒載滿, 先把圖表往左拖一下再重算。</t>
        </is>
      </c>
    </row>
    <row r="9">
      <c r="A9" s="4" t="inlineStr">
        <is>
          <t>8</t>
        </is>
      </c>
      <c r="B9" s="13" t="inlineStr">
        <is>
          <t>Strategy Tester → Overview → Net Profit: 上面是 $ (填 C 欄), 下面小字是 % (填 D 欄 = Total return)。順手抄 Total closed trades / Percent profitable / Max drawdown / Profit factor 到 E~H 欄, 之後比較版本時用得到。</t>
        </is>
      </c>
    </row>
    <row r="10">
      <c r="A10" s="4" t="inlineStr">
        <is>
          <t>9</t>
        </is>
      </c>
      <c r="B10" s="13" t="inlineStr">
        <is>
          <t>每個標的一頁 (SPY, QQQ, …), 每頁 12 列 (R1~R9.3)。「back test」摘要頁的 Total return 矩陣會自動帶入, 不要在摘要頁打字。</t>
        </is>
      </c>
    </row>
    <row r="11">
      <c r="A11" s="4" t="inlineStr"/>
      <c r="B11" s="13" t="inlineStr"/>
    </row>
    <row r="12">
      <c r="A12" s="4" t="inlineStr"/>
      <c r="B12" s="13" t="inlineStr">
        <is>
          <t>填寫範例 (只是格式示範, 不是真實結果): Net Profit ($) 欄輸入 -1234.56 → 顯示 (1,234.56); Net Profit (%) 欄輸入 -1.23% → 顯示 -1.23%, 摘要頁同步顯示 -1.23%; Percent profitable 輸入 45.6%; Profit factor 輸入 0.87。</t>
        </is>
      </c>
    </row>
    <row r="13">
      <c r="A13" s="4" t="inlineStr"/>
      <c r="B13" s="13" t="inlineStr"/>
    </row>
    <row r="14">
      <c r="A14" s="4" t="inlineStr"/>
      <c r="B14" s="13" t="inlineStr">
        <is>
          <t>各版本要改的 Inputs 一覽 (同「back test」頁最右兩欄):</t>
        </is>
      </c>
    </row>
    <row r="15">
      <c r="A15" s="14" t="inlineStr">
        <is>
          <t>版本</t>
        </is>
      </c>
      <c r="B15" s="14" t="inlineStr">
        <is>
          <t>檔名</t>
        </is>
      </c>
      <c r="C15" s="14" t="inlineStr">
        <is>
          <t>預設回測窗口</t>
        </is>
      </c>
      <c r="D15" s="14" t="inlineStr">
        <is>
          <t>要改的 Inputs</t>
        </is>
      </c>
    </row>
    <row r="16">
      <c r="A16" s="11" t="inlineStr">
        <is>
          <t>R1</t>
        </is>
      </c>
      <c r="B16" s="11" t="inlineStr">
        <is>
          <t>r1_dashboard_(mode 1-4)_(09月20日; 21.59)</t>
        </is>
      </c>
      <c r="C16" s="11" t="inlineStr">
        <is>
          <t>30 天 (一個月)</t>
        </is>
      </c>
      <c r="D16" s="11" t="inlineStr">
        <is>
          <t>winMode=最近 N 天 (日曆); lookbackD 30→90; tfExpect 1→3</t>
        </is>
      </c>
    </row>
    <row r="17">
      <c r="A17" s="11" t="inlineStr">
        <is>
          <t>R2</t>
        </is>
      </c>
      <c r="B17" s="11" t="inlineStr">
        <is>
          <t>r2_dashboard_(mode 2,4)_(09月26日; 17.40)</t>
        </is>
      </c>
      <c r="C17" s="11" t="inlineStr">
        <is>
          <t>30 天 (一個月)</t>
        </is>
      </c>
      <c r="D17" s="11" t="inlineStr">
        <is>
          <t>winMode=最近 N 天 (日曆); lookbackD 30→90; tfExpect 1→3</t>
        </is>
      </c>
    </row>
    <row r="18">
      <c r="A18" s="11" t="inlineStr">
        <is>
          <t>R3</t>
        </is>
      </c>
      <c r="B18" s="11" t="inlineStr">
        <is>
          <t>r3_dashboard_(mode 2,4)_(09月26日; 21.11)</t>
        </is>
      </c>
      <c r="C18" s="11" t="inlineStr">
        <is>
          <t>30 天 (一個月)</t>
        </is>
      </c>
      <c r="D18" s="11" t="inlineStr">
        <is>
          <t>winMode=最近 N 天 (日曆); lookbackD 30→90; tfExpect 1→3</t>
        </is>
      </c>
    </row>
    <row r="19">
      <c r="A19" s="11" t="inlineStr">
        <is>
          <t>R4</t>
        </is>
      </c>
      <c r="B19" s="11" t="inlineStr">
        <is>
          <t>r4_dashboard_(mode 2,4)_(09月26日; 21.33)</t>
        </is>
      </c>
      <c r="C19" s="11" t="inlineStr">
        <is>
          <t>30 天 (一個月)</t>
        </is>
      </c>
      <c r="D19" s="11" t="inlineStr">
        <is>
          <t>winMode=最近 N 天 (日曆); lookbackD 30→90; tfExpect 1→3</t>
        </is>
      </c>
    </row>
    <row r="20">
      <c r="A20" s="11" t="inlineStr">
        <is>
          <t>R5</t>
        </is>
      </c>
      <c r="B20" s="11" t="inlineStr">
        <is>
          <t>r5_dashboard_(mode 2,4)_(09月26日; 21.53)</t>
        </is>
      </c>
      <c r="C20" s="11" t="inlineStr">
        <is>
          <t>30 天 (一個月)</t>
        </is>
      </c>
      <c r="D20" s="11" t="inlineStr">
        <is>
          <t>winMode=最近 N 天 (日曆); lookbackD 30→90; tfExpect 1→3</t>
        </is>
      </c>
    </row>
    <row r="21">
      <c r="A21" s="11" t="inlineStr">
        <is>
          <t>R6</t>
        </is>
      </c>
      <c r="B21" s="11" t="inlineStr">
        <is>
          <t>r6_dashboard_(mode 2,4)_(09月26日; 22.09)</t>
        </is>
      </c>
      <c r="C21" s="11" t="inlineStr">
        <is>
          <t>30 天 (一個月)</t>
        </is>
      </c>
      <c r="D21" s="11" t="inlineStr">
        <is>
          <t>winMode=最近 N 天 (日曆); lookbackD 30→90; tfExpect 1→3</t>
        </is>
      </c>
    </row>
    <row r="22">
      <c r="A22" s="11" t="inlineStr">
        <is>
          <t>R7</t>
        </is>
      </c>
      <c r="B22" s="11" t="inlineStr">
        <is>
          <t>r7_dashboard_(mode 2,4)_(09月26日; 22.25)</t>
        </is>
      </c>
      <c r="C22" s="11" t="inlineStr">
        <is>
          <t>30 天 (一個月)</t>
        </is>
      </c>
      <c r="D22" s="11" t="inlineStr">
        <is>
          <t>winMode=最近 N 天 (日曆); lookbackD 30→90; tfExpect 1→3</t>
        </is>
      </c>
    </row>
    <row r="23">
      <c r="A23" s="11" t="inlineStr">
        <is>
          <t>R8</t>
        </is>
      </c>
      <c r="B23" s="11" t="inlineStr">
        <is>
          <t>r8_dashboard_(mode 2,4)_(09月27日; 00.58)</t>
        </is>
      </c>
      <c r="C23" s="11" t="inlineStr">
        <is>
          <t>30 天 (一個月)</t>
        </is>
      </c>
      <c r="D23" s="11" t="inlineStr">
        <is>
          <t>winMode=最近 N 天 (日曆); lookbackD 30→90; tfExpect 1→3</t>
        </is>
      </c>
    </row>
    <row r="24">
      <c r="A24" s="11" t="inlineStr">
        <is>
          <t>R9</t>
        </is>
      </c>
      <c r="B24" s="11" t="inlineStr">
        <is>
          <t>r9_dashboard_(mode 2,4)_(09月27日; 23.15)</t>
        </is>
      </c>
      <c r="C24" s="11" t="inlineStr">
        <is>
          <t>30 天 (一個月)</t>
        </is>
      </c>
      <c r="D24" s="11" t="inlineStr">
        <is>
          <t>winMode=最近 N 天 (日曆); lookbackD 30→90; tfExpect 1→3</t>
        </is>
      </c>
    </row>
    <row r="25">
      <c r="A25" s="11" t="inlineStr">
        <is>
          <t>R9.1</t>
        </is>
      </c>
      <c r="B25" s="11" t="inlineStr">
        <is>
          <t>r9.1_dashboard_(mode 2,4)_(09月28日; 09.34)</t>
        </is>
      </c>
      <c r="C25" s="11" t="inlineStr">
        <is>
          <t>90 天 (三個月) ✓</t>
        </is>
      </c>
      <c r="D25" s="11" t="inlineStr">
        <is>
          <t>只改 tfExpect 1→3 (窗口預設已是 90 天)</t>
        </is>
      </c>
    </row>
    <row r="26">
      <c r="A26" s="11" t="inlineStr">
        <is>
          <t>R9.2</t>
        </is>
      </c>
      <c r="B26" s="11" t="inlineStr">
        <is>
          <t>r9.2_dashboard_(mode 2,4)_(09月28日; 09.50)</t>
        </is>
      </c>
      <c r="C26" s="11" t="inlineStr">
        <is>
          <t>365 天 (十二個月)</t>
        </is>
      </c>
      <c r="D26" s="11" t="inlineStr">
        <is>
          <t>winMode=最近 N 天 (日曆); lookbackD 365→90; tfExpect 1→3</t>
        </is>
      </c>
    </row>
    <row r="27">
      <c r="A27" s="11" t="inlineStr">
        <is>
          <t>R9.3</t>
        </is>
      </c>
      <c r="B27" s="11" t="inlineStr">
        <is>
          <t>r9.3_dashboard_(mode 2,4)_(09月28日; 10.10)</t>
        </is>
      </c>
      <c r="C27" s="11" t="inlineStr">
        <is>
          <t>365 天 (十二個月)</t>
        </is>
      </c>
      <c r="D27" s="11" t="inlineStr">
        <is>
          <t>winMode=最近 N 天 (日曆); lookbackD 365→90; tfExpect 1→3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SPY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1" t="n">
        <v>-133.91</v>
      </c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1" t="n">
        <v>-47000</v>
      </c>
      <c r="J1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QQQ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1" t="n">
        <v>-48000</v>
      </c>
      <c r="J1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SOXL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NVDA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AMD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TSM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LITE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GOOGL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NBIS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IREN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HOOD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TSLA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AAPL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BTC-USD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4">
      <c r="A4" s="3" t="inlineStr">
        <is>
          <t>注意: BTC-USD 是 24/7 交易, 但腳本有美股時段過濾 (09:30~15:58 美東) 與 15:58 強平, 所以只會在美股時段內下單; 這是腳本設計, 不是錯誤。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FUTU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LMT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1" customWidth="1" min="8" max="8"/>
    <col width="20" customWidth="1" min="9" max="9"/>
    <col width="40" customWidth="1" min="10" max="10"/>
  </cols>
  <sheetData>
    <row r="1">
      <c r="A1" s="15" t="inlineStr">
        <is>
          <t>ARM</t>
        </is>
      </c>
    </row>
    <row r="2">
      <c r="A2" s="16" t="inlineStr">
        <is>
          <t>Timeframe: 3 mins   ·   回測窗口: 最近 90 天 (2026-06-28 ~ 2026-09-28)   ·   初始資金: USD 100,000   ·   手續費 0.03% + 滑價 2 tick (腳本內建)</t>
        </is>
      </c>
    </row>
    <row r="3">
      <c r="A3" s="3" t="inlineStr">
        <is>
          <t>黃底藍字 = 你要填的格 (C~H 欄); 「Net Profit (%)」會自動帶回「back test」摘要頁。百分比請直接輸入如 -1.23% (Excel 會存成 -0.0123)。</t>
        </is>
      </c>
    </row>
    <row r="5" ht="42" customHeight="1">
      <c r="A5" s="5" t="inlineStr">
        <is>
          <t>版本</t>
        </is>
      </c>
      <c r="B5" s="5" t="inlineStr">
        <is>
          <t>檔名</t>
        </is>
      </c>
      <c r="C5" s="5" t="inlineStr">
        <is>
          <t>Net Profit ($)</t>
        </is>
      </c>
      <c r="D5" s="5" t="inlineStr">
        <is>
          <t>Net Profit (%) = Total return</t>
        </is>
      </c>
      <c r="E5" s="5" t="inlineStr">
        <is>
          <t>Total closed trades</t>
        </is>
      </c>
      <c r="F5" s="5" t="inlineStr">
        <is>
          <t>Percent profitable (%)</t>
        </is>
      </c>
      <c r="G5" s="5" t="inlineStr">
        <is>
          <t>Max drawdown (%)</t>
        </is>
      </c>
      <c r="H5" s="5" t="inlineStr">
        <is>
          <t>Profit factor</t>
        </is>
      </c>
      <c r="I5" s="5" t="inlineStr">
        <is>
          <t>既有記錄 ($, 預設窗口, 非 3 個月)</t>
        </is>
      </c>
      <c r="J5" s="5" t="inlineStr">
        <is>
          <t>備註 (例: 圖表警告 / 未載滿 K 線)</t>
        </is>
      </c>
    </row>
    <row r="6">
      <c r="A6" s="6" t="inlineStr">
        <is>
          <t>R1</t>
        </is>
      </c>
      <c r="B6" s="7" t="inlineStr">
        <is>
          <t>r1_dashboard_(mode 1-4)_(09月20日; 21.59)</t>
        </is>
      </c>
      <c r="C6" s="17" t="n"/>
      <c r="D6" s="18" t="n"/>
      <c r="E6" s="19" t="n"/>
      <c r="F6" s="18" t="n"/>
      <c r="G6" s="18" t="n"/>
      <c r="H6" s="20" t="n"/>
      <c r="I6" s="22" t="n"/>
      <c r="J6" s="11" t="n"/>
    </row>
    <row r="7">
      <c r="A7" s="6" t="inlineStr">
        <is>
          <t>R2</t>
        </is>
      </c>
      <c r="B7" s="7" t="inlineStr">
        <is>
          <t>r2_dashboard_(mode 2,4)_(09月26日; 17.40)</t>
        </is>
      </c>
      <c r="C7" s="17" t="n"/>
      <c r="D7" s="18" t="n"/>
      <c r="E7" s="19" t="n"/>
      <c r="F7" s="18" t="n"/>
      <c r="G7" s="18" t="n"/>
      <c r="H7" s="20" t="n"/>
      <c r="I7" s="22" t="n"/>
      <c r="J7" s="11" t="n"/>
    </row>
    <row r="8">
      <c r="A8" s="6" t="inlineStr">
        <is>
          <t>R3</t>
        </is>
      </c>
      <c r="B8" s="7" t="inlineStr">
        <is>
          <t>r3_dashboard_(mode 2,4)_(09月26日; 21.11)</t>
        </is>
      </c>
      <c r="C8" s="17" t="n"/>
      <c r="D8" s="18" t="n"/>
      <c r="E8" s="19" t="n"/>
      <c r="F8" s="18" t="n"/>
      <c r="G8" s="18" t="n"/>
      <c r="H8" s="20" t="n"/>
      <c r="I8" s="22" t="n"/>
      <c r="J8" s="11" t="n"/>
    </row>
    <row r="9">
      <c r="A9" s="6" t="inlineStr">
        <is>
          <t>R4</t>
        </is>
      </c>
      <c r="B9" s="7" t="inlineStr">
        <is>
          <t>r4_dashboard_(mode 2,4)_(09月26日; 21.33)</t>
        </is>
      </c>
      <c r="C9" s="17" t="n"/>
      <c r="D9" s="18" t="n"/>
      <c r="E9" s="19" t="n"/>
      <c r="F9" s="18" t="n"/>
      <c r="G9" s="18" t="n"/>
      <c r="H9" s="20" t="n"/>
      <c r="I9" s="22" t="n"/>
      <c r="J9" s="11" t="n"/>
    </row>
    <row r="10">
      <c r="A10" s="6" t="inlineStr">
        <is>
          <t>R5</t>
        </is>
      </c>
      <c r="B10" s="7" t="inlineStr">
        <is>
          <t>r5_dashboard_(mode 2,4)_(09月26日; 21.53)</t>
        </is>
      </c>
      <c r="C10" s="17" t="n"/>
      <c r="D10" s="18" t="n"/>
      <c r="E10" s="19" t="n"/>
      <c r="F10" s="18" t="n"/>
      <c r="G10" s="18" t="n"/>
      <c r="H10" s="20" t="n"/>
      <c r="I10" s="22" t="n"/>
      <c r="J10" s="11" t="n"/>
    </row>
    <row r="11">
      <c r="A11" s="6" t="inlineStr">
        <is>
          <t>R6</t>
        </is>
      </c>
      <c r="B11" s="7" t="inlineStr">
        <is>
          <t>r6_dashboard_(mode 2,4)_(09月26日; 22.09)</t>
        </is>
      </c>
      <c r="C11" s="17" t="n"/>
      <c r="D11" s="18" t="n"/>
      <c r="E11" s="19" t="n"/>
      <c r="F11" s="18" t="n"/>
      <c r="G11" s="18" t="n"/>
      <c r="H11" s="20" t="n"/>
      <c r="I11" s="22" t="n"/>
      <c r="J11" s="11" t="n"/>
    </row>
    <row r="12">
      <c r="A12" s="6" t="inlineStr">
        <is>
          <t>R7</t>
        </is>
      </c>
      <c r="B12" s="7" t="inlineStr">
        <is>
          <t>r7_dashboard_(mode 2,4)_(09月26日; 22.25)</t>
        </is>
      </c>
      <c r="C12" s="17" t="n"/>
      <c r="D12" s="18" t="n"/>
      <c r="E12" s="19" t="n"/>
      <c r="F12" s="18" t="n"/>
      <c r="G12" s="18" t="n"/>
      <c r="H12" s="20" t="n"/>
      <c r="I12" s="22" t="n"/>
      <c r="J12" s="11" t="n"/>
    </row>
    <row r="13">
      <c r="A13" s="6" t="inlineStr">
        <is>
          <t>R8</t>
        </is>
      </c>
      <c r="B13" s="7" t="inlineStr">
        <is>
          <t>r8_dashboard_(mode 2,4)_(09月27日; 00.58)</t>
        </is>
      </c>
      <c r="C13" s="17" t="n"/>
      <c r="D13" s="18" t="n"/>
      <c r="E13" s="19" t="n"/>
      <c r="F13" s="18" t="n"/>
      <c r="G13" s="18" t="n"/>
      <c r="H13" s="20" t="n"/>
      <c r="I13" s="22" t="n"/>
      <c r="J13" s="11" t="n"/>
    </row>
    <row r="14">
      <c r="A14" s="6" t="inlineStr">
        <is>
          <t>R9</t>
        </is>
      </c>
      <c r="B14" s="7" t="inlineStr">
        <is>
          <t>r9_dashboard_(mode 2,4)_(09月27日; 23.15)</t>
        </is>
      </c>
      <c r="C14" s="17" t="n"/>
      <c r="D14" s="18" t="n"/>
      <c r="E14" s="19" t="n"/>
      <c r="F14" s="18" t="n"/>
      <c r="G14" s="18" t="n"/>
      <c r="H14" s="20" t="n"/>
      <c r="I14" s="22" t="n"/>
      <c r="J14" s="11" t="n"/>
    </row>
    <row r="15">
      <c r="A15" s="6" t="inlineStr">
        <is>
          <t>R9.1</t>
        </is>
      </c>
      <c r="B15" s="7" t="inlineStr">
        <is>
          <t>r9.1_dashboard_(mode 2,4)_(09月28日; 09.34)</t>
        </is>
      </c>
      <c r="C15" s="17" t="n"/>
      <c r="D15" s="18" t="n"/>
      <c r="E15" s="19" t="n"/>
      <c r="F15" s="18" t="n"/>
      <c r="G15" s="18" t="n"/>
      <c r="H15" s="20" t="n"/>
      <c r="I15" s="22" t="n"/>
      <c r="J15" s="11" t="n"/>
    </row>
    <row r="16">
      <c r="A16" s="6" t="inlineStr">
        <is>
          <t>R9.2</t>
        </is>
      </c>
      <c r="B16" s="7" t="inlineStr">
        <is>
          <t>r9.2_dashboard_(mode 2,4)_(09月28日; 09.50)</t>
        </is>
      </c>
      <c r="C16" s="17" t="n"/>
      <c r="D16" s="18" t="n"/>
      <c r="E16" s="19" t="n"/>
      <c r="F16" s="18" t="n"/>
      <c r="G16" s="18" t="n"/>
      <c r="H16" s="20" t="n"/>
      <c r="I16" s="22" t="n"/>
      <c r="J16" s="11" t="n"/>
    </row>
    <row r="17">
      <c r="A17" s="6" t="inlineStr">
        <is>
          <t>R9.3</t>
        </is>
      </c>
      <c r="B17" s="7" t="inlineStr">
        <is>
          <t>r9.3_dashboard_(mode 2,4)_(09月28日; 10.10)</t>
        </is>
      </c>
      <c r="C17" s="17" t="n"/>
      <c r="D17" s="18" t="n"/>
      <c r="E17" s="19" t="n"/>
      <c r="F17" s="18" t="n"/>
      <c r="G17" s="18" t="n"/>
      <c r="H17" s="20" t="n"/>
      <c r="I17" s="22" t="n"/>
      <c r="J17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2026-09-28T07:54:26Z</dcterms:created>
  <dcterms:modified xsi:type="dcterms:W3CDTF">2026-09-28T07:54:26Z</dcterms:modified>
</cp:coreProperties>
</file>